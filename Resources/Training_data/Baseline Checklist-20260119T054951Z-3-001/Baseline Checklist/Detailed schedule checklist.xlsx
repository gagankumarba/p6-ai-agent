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6" windowWidth="19152" windowHeight="8256"/>
  </bookViews>
  <sheets>
    <sheet name="LIST" sheetId="1" r:id="rId1"/>
    <sheet name="DASHBOARD" sheetId="2" r:id="rId2"/>
    <sheet name="lEGEND" sheetId="4" r:id="rId3"/>
  </sheets>
  <definedNames>
    <definedName name="_xlnm._FilterDatabase" localSheetId="0" hidden="1">LIST!$B$13:$H$141</definedName>
    <definedName name="_xlnm.Print_Area" localSheetId="1">DASHBOARD!$A$1:$M$39</definedName>
    <definedName name="_xlnm.Print_Area" localSheetId="0">LIST!$A$1:$I$142</definedName>
    <definedName name="_xlnm.Print_Titles" localSheetId="0">LIST!$12:$13</definedName>
  </definedNames>
  <calcPr calcId="144525"/>
</workbook>
</file>

<file path=xl/calcChain.xml><?xml version="1.0" encoding="utf-8"?>
<calcChain xmlns="http://schemas.openxmlformats.org/spreadsheetml/2006/main">
  <c r="N11" i="2" l="1"/>
  <c r="E7" i="1" l="1"/>
  <c r="G10" i="2"/>
  <c r="F10" i="2"/>
  <c r="E10" i="2"/>
  <c r="D10" i="2"/>
  <c r="C10" i="2"/>
  <c r="G9" i="2"/>
  <c r="F9" i="2"/>
  <c r="E9" i="2"/>
  <c r="D9" i="2"/>
  <c r="C9" i="2"/>
  <c r="G8" i="2"/>
  <c r="F8" i="2"/>
  <c r="E8" i="2"/>
  <c r="D8" i="2"/>
  <c r="C8" i="2"/>
  <c r="G7" i="2"/>
  <c r="F7" i="2"/>
  <c r="E7" i="2"/>
  <c r="D7" i="2"/>
  <c r="C7" i="2"/>
  <c r="G6" i="2"/>
  <c r="F6" i="2"/>
  <c r="E6" i="2"/>
  <c r="D6" i="2"/>
  <c r="C6" i="2"/>
  <c r="B10" i="2"/>
  <c r="B9" i="2"/>
  <c r="B8" i="2"/>
  <c r="B7" i="2"/>
  <c r="B6" i="2"/>
  <c r="E6" i="1" l="1"/>
  <c r="E5" i="1"/>
  <c r="L7" i="2"/>
  <c r="K8" i="2" l="1"/>
  <c r="K7" i="2"/>
  <c r="L10" i="2"/>
  <c r="L6" i="2"/>
  <c r="K6" i="2"/>
  <c r="K10" i="2"/>
  <c r="L8" i="2"/>
  <c r="L9" i="2"/>
  <c r="K9" i="2"/>
  <c r="F11" i="2"/>
  <c r="G11" i="2"/>
  <c r="H7" i="2" l="1"/>
  <c r="J6" i="2"/>
  <c r="J11" i="2" s="1"/>
  <c r="H8" i="2"/>
  <c r="I9" i="2"/>
  <c r="J10" i="2"/>
  <c r="I6" i="2"/>
  <c r="I11" i="2" s="1"/>
  <c r="J7" i="2"/>
  <c r="H9" i="2"/>
  <c r="I10" i="2"/>
  <c r="H6" i="2"/>
  <c r="H11" i="2" s="1"/>
  <c r="I7" i="2"/>
  <c r="I8" i="2"/>
  <c r="H10" i="2"/>
  <c r="J8" i="2"/>
  <c r="J9" i="2"/>
  <c r="K11" i="2"/>
  <c r="C11" i="2"/>
  <c r="E11" i="2"/>
  <c r="D11" i="2"/>
  <c r="L11" i="2" l="1"/>
</calcChain>
</file>

<file path=xl/sharedStrings.xml><?xml version="1.0" encoding="utf-8"?>
<sst xmlns="http://schemas.openxmlformats.org/spreadsheetml/2006/main" count="434" uniqueCount="198">
  <si>
    <t>Project Name</t>
  </si>
  <si>
    <t>Submitted Date</t>
  </si>
  <si>
    <t>Date of Review</t>
  </si>
  <si>
    <t>Submittal Number</t>
  </si>
  <si>
    <t>Revision</t>
  </si>
  <si>
    <t>Description</t>
  </si>
  <si>
    <t>Remarks</t>
  </si>
  <si>
    <t>S.No</t>
  </si>
  <si>
    <t>General</t>
  </si>
  <si>
    <t>Data Date (Start Date of Contract)</t>
  </si>
  <si>
    <t>a</t>
  </si>
  <si>
    <t>b</t>
  </si>
  <si>
    <t>c</t>
  </si>
  <si>
    <t>d</t>
  </si>
  <si>
    <t>e</t>
  </si>
  <si>
    <t>Activities</t>
  </si>
  <si>
    <t>YES</t>
  </si>
  <si>
    <t>NO</t>
  </si>
  <si>
    <t>:</t>
  </si>
  <si>
    <t>NA</t>
  </si>
  <si>
    <t>% YES</t>
  </si>
  <si>
    <t>% NO</t>
  </si>
  <si>
    <t>% NA</t>
  </si>
  <si>
    <t>MAJOR</t>
  </si>
  <si>
    <t>MINOR</t>
  </si>
  <si>
    <t xml:space="preserve">% MAJOR </t>
  </si>
  <si>
    <t>% MINOR</t>
  </si>
  <si>
    <t>If NO</t>
  </si>
  <si>
    <t>Status</t>
  </si>
  <si>
    <t>STATUS</t>
  </si>
  <si>
    <t>Fill only
 Colored</t>
  </si>
  <si>
    <t>REMARKS/COMMENTS:</t>
  </si>
  <si>
    <t>LEGEND</t>
  </si>
  <si>
    <t>Agreed/Mentioned as per requirements</t>
  </si>
  <si>
    <t>Not Mentioned/ Not as per requirements</t>
  </si>
  <si>
    <t>Not Applicable</t>
  </si>
  <si>
    <t>Not Mentioned as per requirements but may be acceptable</t>
  </si>
  <si>
    <t>IF NO</t>
  </si>
  <si>
    <t>PROJECT NAME</t>
  </si>
  <si>
    <t>TR4</t>
  </si>
  <si>
    <t>SCAHC ER</t>
  </si>
  <si>
    <t>LC3</t>
  </si>
  <si>
    <t>PROJECT CODE</t>
  </si>
  <si>
    <t>RUH-CP-1402</t>
  </si>
  <si>
    <t>RUH-CP-1501A</t>
  </si>
  <si>
    <t>RUH-CP-1501C</t>
  </si>
  <si>
    <t>RUH-CP-1501B</t>
  </si>
  <si>
    <t>RUH-CP-1502</t>
  </si>
  <si>
    <t>CONTRACT NUMBER</t>
  </si>
  <si>
    <t>R-14-084-BF</t>
  </si>
  <si>
    <t>R-13-067-SD-0</t>
  </si>
  <si>
    <t>TO BE AWARDED</t>
  </si>
  <si>
    <t>R-00-085-DB-0</t>
  </si>
  <si>
    <t>R-00-074-DB-0</t>
  </si>
  <si>
    <t>Airfield Facilities Upgrades (AFU) - Phase 1</t>
  </si>
  <si>
    <t>Development &amp; Expansion of Existing Terminals (T3)</t>
  </si>
  <si>
    <t>Contract Number</t>
  </si>
  <si>
    <t>Project Code</t>
  </si>
  <si>
    <t>A</t>
  </si>
  <si>
    <t>B</t>
  </si>
  <si>
    <t>C</t>
  </si>
  <si>
    <t>D</t>
  </si>
  <si>
    <t>E</t>
  </si>
  <si>
    <t>Any other Information</t>
  </si>
  <si>
    <t>Project Name, Contract Number and Project Code</t>
  </si>
  <si>
    <t>Contractor Name/Logo</t>
  </si>
  <si>
    <t>Schedule Submittal Date (In Revision Box)</t>
  </si>
  <si>
    <t>Primavera Bug error</t>
  </si>
  <si>
    <t>Does the Contractor used latest version of Oracle Primavera as per specifications</t>
  </si>
  <si>
    <t>Retained Logic</t>
  </si>
  <si>
    <t>Early Start</t>
  </si>
  <si>
    <t>Non Critical</t>
  </si>
  <si>
    <t>Finish Float</t>
  </si>
  <si>
    <t>Longest Path</t>
  </si>
  <si>
    <t>f</t>
  </si>
  <si>
    <t>SUMMARY</t>
  </si>
  <si>
    <t>Does WBS Codes are inline with schedule guidelines provided by Engineer</t>
  </si>
  <si>
    <t>Activities shall provide Permits, Inspection/Surveys, Other agency utility relocations, Temporary facilities, Mobilizations</t>
  </si>
  <si>
    <t>Does the Title page or Footer / Header block show the followings:</t>
  </si>
  <si>
    <t>KKIA Logo Missing</t>
  </si>
  <si>
    <t>Client &amp; Consultant Name/Logo</t>
  </si>
  <si>
    <t>Does Start/Finish dates for each WBS are inline with contractual requirements/mutually agreed by all</t>
  </si>
  <si>
    <t>Does Project Budgeted Cost = Contract Price/Value</t>
  </si>
  <si>
    <t>Does All activities are Task Dependant type only except summary level activities which may be Level of Effort or WBS Summary type at each major work packages</t>
  </si>
  <si>
    <t>Not mentioned but strictly follow/fulfill as per requirements</t>
  </si>
  <si>
    <t>Does Activities with Constraints followed as per below:</t>
  </si>
  <si>
    <t>Date constaints is limited to "Start on or Before" and "Finish on or Before" for only Milestone activities</t>
  </si>
  <si>
    <t>Date constraints of "Start on or After", "Finish on or After", "Mandatory Start',"Mandatory Finish" are not assigned to any activity</t>
  </si>
  <si>
    <t>Float and Duration constraints are not assigned to any activity</t>
  </si>
  <si>
    <t>Does Percent complete type = Physical %, applied for all activities</t>
  </si>
  <si>
    <t>Contractual Milestones</t>
  </si>
  <si>
    <t>Critical Milestones</t>
  </si>
  <si>
    <t>Temporary Facilities activities</t>
  </si>
  <si>
    <t>Mobilization activities</t>
  </si>
  <si>
    <t>Permit activities</t>
  </si>
  <si>
    <t>Interface activities</t>
  </si>
  <si>
    <t>Other agency Utility relocations activities</t>
  </si>
  <si>
    <t>g</t>
  </si>
  <si>
    <t>Inspection/Survey activities</t>
  </si>
  <si>
    <t>Any other specific activities</t>
  </si>
  <si>
    <t>Does Activity ID numbering system is as per Engineer schedule guidelines or acceptable to Engineer</t>
  </si>
  <si>
    <t>Does WBS structure is inline with schedule guidelines provided by Engineer or as per Price Breakdown structure Uniformat Level</t>
  </si>
  <si>
    <t>No negativeLead/Lag relationships are used</t>
  </si>
  <si>
    <t>Commencement Milestones per phases/area etc</t>
  </si>
  <si>
    <t>Completion Milestones pper phases/area etc</t>
  </si>
  <si>
    <t>Intermediate Milestones at each work packages/discipline etc</t>
  </si>
  <si>
    <t>Preparation and Submission</t>
  </si>
  <si>
    <t>Review by Engineer (Duration as per contract)</t>
  </si>
  <si>
    <t>Incorporation of comments &amp; Re-Submission</t>
  </si>
  <si>
    <t>Does Design/Engineering submittal activities complies following Structure:</t>
  </si>
  <si>
    <t>Intermediate Design activities</t>
  </si>
  <si>
    <t>Pre-Final Design activities</t>
  </si>
  <si>
    <t>Final Design activities</t>
  </si>
  <si>
    <t>Approval/Comment by Engineer (Duration as per contract)</t>
  </si>
  <si>
    <t>Does Shop Drawing activities complies following pattern:</t>
  </si>
  <si>
    <t>h</t>
  </si>
  <si>
    <t>Method Statement/Work Plans</t>
  </si>
  <si>
    <t>Does Material Approval of sample submittal activities complies following pattern:</t>
  </si>
  <si>
    <t>Shop drawing Activities</t>
  </si>
  <si>
    <t>Material Approval of sample submittal activities</t>
  </si>
  <si>
    <t>Material Fabrication</t>
  </si>
  <si>
    <t>Delivery of Items</t>
  </si>
  <si>
    <t>Does Activity Codes are as per Engineer schedule guidelines or acceptable to Engineer as following</t>
  </si>
  <si>
    <t>Mobilization comprising Temp. facilities, Permits, Method statements etc</t>
  </si>
  <si>
    <t>Design/Engineering/BIM comprising Specifications, shop drawings, 3D Modeling etc</t>
  </si>
  <si>
    <t>Discipline comprising Civil, Electrical, Mechanical, Process Areas etc</t>
  </si>
  <si>
    <t>Project Phases/ Phasing Plan etc</t>
  </si>
  <si>
    <t>Critical Path Method (CPM)</t>
  </si>
  <si>
    <t>Does Critical activities defined as “Longest Path”</t>
  </si>
  <si>
    <t>Does Sequential Logics are realistic in nature ie. Mobilization-&gt; Design-&gt; Procurment-&gt; Construction-&gt; Testing &amp; Commissioning</t>
  </si>
  <si>
    <t>Does Logics applied fulfills Phasing Plans/Agreed dates for completion</t>
  </si>
  <si>
    <t>Schedule does not use Negative Lead/Lag relationships</t>
  </si>
  <si>
    <t>Does different Calendars defined considering Client working days, Holidays, Ramadan period, Adverse weather etc</t>
  </si>
  <si>
    <t>Is Critical path defined clearly</t>
  </si>
  <si>
    <t>Does Critical path have negative floats</t>
  </si>
  <si>
    <t>Work Breakdown Structure (WBS)</t>
  </si>
  <si>
    <t>Resources</t>
  </si>
  <si>
    <t>Does Material type resource is used as Cost loaded for activities having cost</t>
  </si>
  <si>
    <t>Does the Resources loaded are broken down by craft or trade man</t>
  </si>
  <si>
    <t>Does Resources Budgeted units/time and Budget units values for activities are same as per Resources calculation document provided by contractor</t>
  </si>
  <si>
    <t>No Revision tables in footer</t>
  </si>
  <si>
    <t>Does Activity duration is in workdays</t>
  </si>
  <si>
    <t>Does Duration type = Fixed Duration and Units, applied for all activities unless specified by Engineer</t>
  </si>
  <si>
    <t>Procurment comprising Long lead items, Purchase Order etc</t>
  </si>
  <si>
    <t>Not assigned</t>
  </si>
  <si>
    <t>Not assined for POs</t>
  </si>
  <si>
    <t>Few summary activities appplied</t>
  </si>
  <si>
    <t>Does all activities have atleast one predecessor and one successor except Project commencement date and Project Completion date</t>
  </si>
  <si>
    <t>Does Finish to start logics appplied no less than 80% of all relationships</t>
  </si>
  <si>
    <t>Does No more than 20% of all logic relationships other than Finish-to-Start applied</t>
  </si>
  <si>
    <t>May be problem whille tracking, updating</t>
  </si>
  <si>
    <t>Not mentioned</t>
  </si>
  <si>
    <t>Required for monitoring</t>
  </si>
  <si>
    <t>FAT</t>
  </si>
  <si>
    <t>Does Activity duration not exceed 30 days except for non-construction activities incl. mobilization, procurement and concrete curing activities</t>
  </si>
  <si>
    <t>To be provided by Contractor</t>
  </si>
  <si>
    <t>Does Primavera layout files (PLF) provided</t>
  </si>
  <si>
    <t>"Must finish by" is left blank</t>
  </si>
  <si>
    <t>1. Schedule is Approved with Exceptions</t>
  </si>
  <si>
    <t>2. Critical Path shall be defined a Longest Path</t>
  </si>
  <si>
    <t>Detailed Schedule Checklist</t>
  </si>
  <si>
    <t>Does Detailed  Schedule complies with complete Contract time frame/Duration of the project</t>
  </si>
  <si>
    <t>Detailed and General Requirements comprising Milestones</t>
  </si>
  <si>
    <t>Does Detailed Schedule comprises following milestones as per contract</t>
  </si>
  <si>
    <t>Does Detailed schedule have reasonable Critical path and total float as finish float</t>
  </si>
  <si>
    <t>Does Detailed schedule is resource loaded (Man, Material &amp; Machinary)</t>
  </si>
  <si>
    <t>Is the Detailed schedule submitted within 60 days from commencement date?</t>
  </si>
  <si>
    <t>Does Contractor follow the default settings in Primavera as per specifications as below:</t>
  </si>
  <si>
    <t>Does Construction Activities are inline with uniformat level i.e. Price Breakdown Structure (PBS)</t>
  </si>
  <si>
    <t>Does the logic sequence applied as mentioned in Narrative Report for all construction Activities</t>
  </si>
  <si>
    <t>Does the logic sequence applied as mentioned in Narrative Report for all Testing Activities</t>
  </si>
  <si>
    <t>Does the logic sequence applied as mentioned in Narrative Report for all Commissioning Activities</t>
  </si>
  <si>
    <t xml:space="preserve">LOD 1 </t>
  </si>
  <si>
    <t>LOD 2</t>
  </si>
  <si>
    <t>LOD 3</t>
  </si>
  <si>
    <t>LOD 4</t>
  </si>
  <si>
    <t>LOD 5</t>
  </si>
  <si>
    <t>Does Detailed schedule is defined in detail reflecting entire scope of work</t>
  </si>
  <si>
    <t>Does Detailed schedule shows the Project Phases/Zones/Levels as agreed</t>
  </si>
  <si>
    <t>Does Design/Engineering submittal activities complies following pattern for Sl.12 strucutre:</t>
  </si>
  <si>
    <t>Does Procurement activities complies following pattern:</t>
  </si>
  <si>
    <t>Tender and PO issuance</t>
  </si>
  <si>
    <t>Does Detailed schedule comprises the construction of temporary facilities</t>
  </si>
  <si>
    <t>Does all Contractual major submittals (Ex. HSE Plan, QA/QC etc) listed in schedule</t>
  </si>
  <si>
    <t>Does schedule has As-built drawing activities</t>
  </si>
  <si>
    <t>3. Procurement Activities Fabrication &amp; FAT information to be provided</t>
  </si>
  <si>
    <t>Does ORAT activities are sequentially logical and in agreed timelines</t>
  </si>
  <si>
    <t/>
  </si>
  <si>
    <t>Does BIM submittals complies following Structure and follow sl.13 pattern:</t>
  </si>
  <si>
    <t>Sub-Contractors/ Interfaces etc</t>
  </si>
  <si>
    <t>Does Activity relationships are as per following:</t>
  </si>
  <si>
    <t>Does Budgeted Cost at each WBS/Work package is inline with Price breakdown structure</t>
  </si>
  <si>
    <t>Contractor</t>
  </si>
  <si>
    <t>CONTRACTOR</t>
  </si>
  <si>
    <t>Almabani General Contractor</t>
  </si>
  <si>
    <t>Riyadh Airport Contractor</t>
  </si>
  <si>
    <t>Saudi Services of Electro-Mechanic</t>
  </si>
  <si>
    <t>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</si>
</sst>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4"/>
      <name val="Arial"/>
      <family val="2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0"/>
      <color rgb="FFC00000"/>
      <name val="Arial"/>
      <family val="2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2" tint="-0.89999084444715716"/>
      <name val="Arial"/>
      <family val="2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B0F0"/>
      <name val="Calibri"/>
      <family val="2"/>
      <scheme val="minor"/>
    </font>
    <font>
      <strike/>
      <sz val="10"/>
      <color theme="1"/>
      <name val="Arial"/>
      <family val="2"/>
    </font>
    <font>
      <b/>
      <strike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25" fillId="2" borderId="13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26" fillId="2" borderId="13" xfId="0" applyFont="1" applyFill="1" applyBorder="1" applyAlignment="1">
      <alignment vertical="center"/>
    </xf>
    <xf numFmtId="0" fontId="27" fillId="2" borderId="0" xfId="0" applyFont="1" applyFill="1" applyBorder="1" applyAlignment="1">
      <alignment vertical="center"/>
    </xf>
    <xf numFmtId="0" fontId="26" fillId="2" borderId="0" xfId="0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8" fillId="2" borderId="13" xfId="0" applyFont="1" applyFill="1" applyBorder="1" applyAlignment="1">
      <alignment vertical="center"/>
    </xf>
    <xf numFmtId="0" fontId="29" fillId="2" borderId="0" xfId="0" applyFont="1" applyFill="1" applyBorder="1" applyAlignment="1">
      <alignment vertical="center"/>
    </xf>
    <xf numFmtId="0" fontId="28" fillId="2" borderId="0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vertical="center"/>
    </xf>
    <xf numFmtId="0" fontId="28" fillId="2" borderId="0" xfId="0" applyFont="1" applyFill="1" applyAlignment="1">
      <alignment vertical="center"/>
    </xf>
    <xf numFmtId="0" fontId="30" fillId="2" borderId="13" xfId="0" applyFont="1" applyFill="1" applyBorder="1" applyAlignment="1">
      <alignment vertical="center"/>
    </xf>
    <xf numFmtId="0" fontId="31" fillId="2" borderId="0" xfId="0" applyFont="1" applyFill="1" applyBorder="1" applyAlignment="1">
      <alignment vertical="center"/>
    </xf>
    <xf numFmtId="0" fontId="30" fillId="2" borderId="0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vertical="center"/>
    </xf>
    <xf numFmtId="0" fontId="30" fillId="2" borderId="0" xfId="0" applyFont="1" applyFill="1" applyAlignment="1">
      <alignment vertical="center"/>
    </xf>
    <xf numFmtId="0" fontId="32" fillId="2" borderId="13" xfId="0" applyFont="1" applyFill="1" applyBorder="1" applyAlignment="1">
      <alignment vertical="center"/>
    </xf>
    <xf numFmtId="0" fontId="33" fillId="2" borderId="0" xfId="0" applyFont="1" applyFill="1" applyBorder="1" applyAlignment="1">
      <alignment vertical="center"/>
    </xf>
    <xf numFmtId="0" fontId="32" fillId="2" borderId="0" xfId="0" applyFont="1" applyFill="1" applyBorder="1" applyAlignment="1">
      <alignment horizontal="center" vertical="center"/>
    </xf>
    <xf numFmtId="0" fontId="32" fillId="2" borderId="14" xfId="0" applyFont="1" applyFill="1" applyBorder="1" applyAlignment="1">
      <alignment vertical="center"/>
    </xf>
    <xf numFmtId="0" fontId="32" fillId="2" borderId="0" xfId="0" applyFont="1" applyFill="1" applyAlignment="1">
      <alignment vertical="center"/>
    </xf>
    <xf numFmtId="0" fontId="34" fillId="2" borderId="13" xfId="0" applyFont="1" applyFill="1" applyBorder="1" applyAlignment="1">
      <alignment vertical="center"/>
    </xf>
    <xf numFmtId="0" fontId="35" fillId="2" borderId="0" xfId="0" applyFont="1" applyFill="1" applyBorder="1" applyAlignment="1">
      <alignment vertical="center"/>
    </xf>
    <xf numFmtId="0" fontId="34" fillId="2" borderId="0" xfId="0" applyFont="1" applyFill="1" applyBorder="1" applyAlignment="1">
      <alignment horizontal="center" vertical="center"/>
    </xf>
    <xf numFmtId="0" fontId="34" fillId="2" borderId="14" xfId="0" applyFont="1" applyFill="1" applyBorder="1" applyAlignment="1">
      <alignment vertical="center"/>
    </xf>
    <xf numFmtId="0" fontId="34" fillId="2" borderId="0" xfId="0" applyFont="1" applyFill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vertical="center"/>
    </xf>
    <xf numFmtId="0" fontId="4" fillId="2" borderId="0" xfId="0" applyFont="1" applyFill="1" applyBorder="1" applyAlignment="1" applyProtection="1">
      <alignment vertical="center"/>
      <protection hidden="1"/>
    </xf>
    <xf numFmtId="0" fontId="4" fillId="2" borderId="0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vertical="center" wrapText="1"/>
      <protection locked="0"/>
    </xf>
    <xf numFmtId="0" fontId="4" fillId="2" borderId="0" xfId="0" applyFont="1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9" fontId="11" fillId="2" borderId="1" xfId="1" applyFont="1" applyFill="1" applyBorder="1" applyAlignment="1" applyProtection="1">
      <alignment horizontal="center" vertical="center" wrapText="1"/>
      <protection hidden="1"/>
    </xf>
    <xf numFmtId="9" fontId="10" fillId="2" borderId="1" xfId="1" applyFont="1" applyFill="1" applyBorder="1" applyAlignment="1" applyProtection="1">
      <alignment horizontal="center" vertical="center" wrapText="1"/>
      <protection hidden="1"/>
    </xf>
    <xf numFmtId="9" fontId="17" fillId="2" borderId="1" xfId="1" applyFont="1" applyFill="1" applyBorder="1" applyAlignment="1" applyProtection="1">
      <alignment horizontal="center" vertical="center" wrapText="1"/>
      <protection hidden="1"/>
    </xf>
    <xf numFmtId="9" fontId="20" fillId="2" borderId="1" xfId="1" applyFont="1" applyFill="1" applyBorder="1" applyAlignment="1" applyProtection="1">
      <alignment horizontal="center" vertical="center" wrapText="1"/>
      <protection hidden="1"/>
    </xf>
    <xf numFmtId="0" fontId="9" fillId="2" borderId="9" xfId="0" applyFont="1" applyFill="1" applyBorder="1" applyAlignment="1" applyProtection="1">
      <alignment horizontal="center" vertical="center" wrapText="1"/>
      <protection hidden="1"/>
    </xf>
    <xf numFmtId="9" fontId="12" fillId="2" borderId="9" xfId="1" applyFont="1" applyFill="1" applyBorder="1" applyAlignment="1" applyProtection="1">
      <alignment horizontal="center" vertical="center" wrapText="1"/>
      <protection hidden="1"/>
    </xf>
    <xf numFmtId="9" fontId="21" fillId="2" borderId="9" xfId="1" applyFont="1" applyFill="1" applyBorder="1" applyAlignment="1" applyProtection="1">
      <alignment horizontal="center" vertical="center" wrapText="1"/>
      <protection hidden="1"/>
    </xf>
    <xf numFmtId="0" fontId="0" fillId="2" borderId="6" xfId="0" applyFill="1" applyBorder="1" applyAlignment="1" applyProtection="1">
      <alignment horizontal="center" vertical="center"/>
      <protection hidden="1"/>
    </xf>
    <xf numFmtId="0" fontId="0" fillId="2" borderId="0" xfId="0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vertical="center"/>
    </xf>
    <xf numFmtId="0" fontId="9" fillId="2" borderId="0" xfId="0" applyFont="1" applyFill="1" applyAlignment="1" applyProtection="1">
      <alignment vertical="center"/>
    </xf>
    <xf numFmtId="0" fontId="7" fillId="2" borderId="6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0" fontId="7" fillId="2" borderId="0" xfId="0" applyFont="1" applyFill="1" applyAlignment="1" applyProtection="1">
      <alignment horizontal="center" vertical="center"/>
    </xf>
    <xf numFmtId="0" fontId="7" fillId="2" borderId="0" xfId="0" applyFont="1" applyFill="1" applyAlignment="1" applyProtection="1">
      <alignment vertical="center" wrapText="1"/>
    </xf>
    <xf numFmtId="0" fontId="2" fillId="0" borderId="0" xfId="0" applyFont="1" applyProtection="1">
      <protection hidden="1"/>
    </xf>
    <xf numFmtId="0" fontId="0" fillId="0" borderId="0" xfId="0" applyProtection="1">
      <protection hidden="1"/>
    </xf>
    <xf numFmtId="0" fontId="11" fillId="0" borderId="0" xfId="0" applyFont="1" applyProtection="1">
      <protection hidden="1"/>
    </xf>
    <xf numFmtId="0" fontId="20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23" fillId="0" borderId="0" xfId="0" applyFont="1" applyProtection="1">
      <protection hidden="1"/>
    </xf>
    <xf numFmtId="0" fontId="37" fillId="0" borderId="0" xfId="0" applyFont="1" applyProtection="1"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vertical="center"/>
      <protection locked="0"/>
    </xf>
    <xf numFmtId="0" fontId="36" fillId="2" borderId="0" xfId="0" applyFont="1" applyFill="1" applyAlignment="1" applyProtection="1">
      <alignment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7" fillId="2" borderId="0" xfId="0" applyFont="1" applyFill="1" applyAlignment="1" applyProtection="1">
      <alignment vertical="center"/>
      <protection locked="0" hidden="1"/>
    </xf>
    <xf numFmtId="0" fontId="9" fillId="2" borderId="0" xfId="0" applyFont="1" applyFill="1" applyAlignment="1" applyProtection="1">
      <alignment vertical="center"/>
      <protection locked="0" hidden="1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Border="1" applyAlignment="1" applyProtection="1">
      <alignment vertical="center"/>
      <protection locked="0"/>
    </xf>
    <xf numFmtId="0" fontId="6" fillId="2" borderId="0" xfId="0" applyFont="1" applyFill="1" applyBorder="1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38" fillId="2" borderId="0" xfId="0" applyFont="1" applyFill="1" applyAlignment="1" applyProtection="1">
      <alignment vertical="center"/>
      <protection locked="0"/>
    </xf>
    <xf numFmtId="0" fontId="39" fillId="2" borderId="0" xfId="0" applyFont="1" applyFill="1" applyAlignment="1" applyProtection="1">
      <alignment vertical="center"/>
      <protection locked="0"/>
    </xf>
    <xf numFmtId="0" fontId="9" fillId="0" borderId="18" xfId="0" applyFont="1" applyFill="1" applyBorder="1" applyAlignment="1" applyProtection="1">
      <alignment horizontal="center" vertical="center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right" vertical="center" wrapText="1"/>
    </xf>
    <xf numFmtId="0" fontId="6" fillId="6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vertical="center"/>
      <protection locked="0"/>
    </xf>
    <xf numFmtId="0" fontId="38" fillId="6" borderId="21" xfId="0" applyFont="1" applyFill="1" applyBorder="1" applyAlignment="1" applyProtection="1">
      <alignment horizontal="center" vertical="center" wrapText="1"/>
      <protection locked="0"/>
    </xf>
    <xf numFmtId="0" fontId="7" fillId="2" borderId="27" xfId="0" applyFont="1" applyFill="1" applyBorder="1" applyAlignment="1" applyProtection="1">
      <alignment horizontal="center" vertical="center"/>
    </xf>
    <xf numFmtId="0" fontId="7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vertical="center" wrapText="1"/>
      <protection locked="0"/>
    </xf>
    <xf numFmtId="0" fontId="7" fillId="2" borderId="29" xfId="0" applyFont="1" applyFill="1" applyBorder="1" applyAlignment="1" applyProtection="1">
      <alignment horizontal="center" vertical="center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vertical="center" wrapText="1"/>
      <protection locked="0"/>
    </xf>
    <xf numFmtId="0" fontId="4" fillId="2" borderId="32" xfId="0" applyFont="1" applyFill="1" applyBorder="1" applyAlignment="1" applyProtection="1">
      <alignment horizontal="left" vertical="center"/>
      <protection locked="0"/>
    </xf>
    <xf numFmtId="0" fontId="4" fillId="2" borderId="32" xfId="0" applyFont="1" applyFill="1" applyBorder="1" applyAlignment="1" applyProtection="1">
      <alignment vertical="center"/>
      <protection locked="0"/>
    </xf>
    <xf numFmtId="0" fontId="36" fillId="4" borderId="34" xfId="0" applyFont="1" applyFill="1" applyBorder="1" applyAlignment="1" applyProtection="1">
      <alignment horizontal="center" vertical="center"/>
      <protection hidden="1"/>
    </xf>
    <xf numFmtId="0" fontId="36" fillId="4" borderId="35" xfId="0" applyFont="1" applyFill="1" applyBorder="1" applyAlignment="1" applyProtection="1">
      <alignment horizontal="center" vertical="center"/>
      <protection hidden="1"/>
    </xf>
    <xf numFmtId="0" fontId="13" fillId="4" borderId="35" xfId="0" applyFont="1" applyFill="1" applyBorder="1" applyAlignment="1" applyProtection="1">
      <alignment horizontal="center" vertical="center" wrapText="1"/>
      <protection hidden="1"/>
    </xf>
    <xf numFmtId="0" fontId="14" fillId="4" borderId="35" xfId="0" applyFont="1" applyFill="1" applyBorder="1" applyAlignment="1" applyProtection="1">
      <alignment horizontal="center" vertical="center" wrapText="1"/>
      <protection hidden="1"/>
    </xf>
    <xf numFmtId="0" fontId="16" fillId="4" borderId="35" xfId="0" applyFont="1" applyFill="1" applyBorder="1" applyAlignment="1" applyProtection="1">
      <alignment horizontal="center" vertical="center" wrapText="1"/>
      <protection hidden="1"/>
    </xf>
    <xf numFmtId="0" fontId="19" fillId="4" borderId="35" xfId="0" applyFont="1" applyFill="1" applyBorder="1" applyAlignment="1" applyProtection="1">
      <alignment horizontal="center" vertical="center" wrapText="1"/>
      <protection hidden="1"/>
    </xf>
    <xf numFmtId="0" fontId="22" fillId="4" borderId="36" xfId="0" applyFont="1" applyFill="1" applyBorder="1" applyAlignment="1" applyProtection="1">
      <alignment horizontal="center" vertical="center" wrapText="1"/>
      <protection hidden="1"/>
    </xf>
    <xf numFmtId="0" fontId="7" fillId="2" borderId="37" xfId="0" applyFont="1" applyFill="1" applyBorder="1" applyAlignment="1" applyProtection="1">
      <alignment horizontal="left" vertical="center" wrapText="1"/>
      <protection hidden="1"/>
    </xf>
    <xf numFmtId="9" fontId="23" fillId="2" borderId="38" xfId="1" applyFont="1" applyFill="1" applyBorder="1" applyAlignment="1" applyProtection="1">
      <alignment horizontal="center" vertical="center" wrapText="1"/>
      <protection hidden="1"/>
    </xf>
    <xf numFmtId="0" fontId="9" fillId="2" borderId="39" xfId="0" applyFont="1" applyFill="1" applyBorder="1" applyAlignment="1" applyProtection="1">
      <alignment horizontal="left" vertical="center" wrapText="1"/>
      <protection hidden="1"/>
    </xf>
    <xf numFmtId="9" fontId="24" fillId="2" borderId="40" xfId="1" applyFont="1" applyFill="1" applyBorder="1" applyAlignment="1" applyProtection="1">
      <alignment horizontal="center" vertical="center" wrapText="1"/>
      <protection hidden="1"/>
    </xf>
    <xf numFmtId="0" fontId="0" fillId="2" borderId="27" xfId="0" applyFill="1" applyBorder="1" applyAlignment="1" applyProtection="1">
      <alignment horizontal="center" vertical="center"/>
      <protection hidden="1"/>
    </xf>
    <xf numFmtId="0" fontId="0" fillId="2" borderId="28" xfId="0" applyFill="1" applyBorder="1" applyAlignment="1" applyProtection="1">
      <alignment horizontal="center" vertical="center"/>
      <protection hidden="1"/>
    </xf>
    <xf numFmtId="0" fontId="0" fillId="2" borderId="29" xfId="0" applyFill="1" applyBorder="1" applyAlignment="1" applyProtection="1">
      <alignment horizontal="center" vertical="center"/>
      <protection hidden="1"/>
    </xf>
    <xf numFmtId="0" fontId="0" fillId="2" borderId="30" xfId="0" applyFill="1" applyBorder="1" applyAlignment="1" applyProtection="1">
      <alignment horizontal="center" vertical="center"/>
      <protection hidden="1"/>
    </xf>
    <xf numFmtId="0" fontId="0" fillId="2" borderId="41" xfId="0" applyFill="1" applyBorder="1" applyAlignment="1" applyProtection="1">
      <alignment horizontal="center" vertical="center"/>
      <protection hidden="1"/>
    </xf>
    <xf numFmtId="0" fontId="0" fillId="2" borderId="42" xfId="0" applyFill="1" applyBorder="1" applyAlignment="1" applyProtection="1">
      <alignment horizontal="center" vertical="center"/>
      <protection hidden="1"/>
    </xf>
    <xf numFmtId="0" fontId="2" fillId="2" borderId="29" xfId="0" applyFont="1" applyFill="1" applyBorder="1" applyAlignment="1" applyProtection="1">
      <alignment horizontal="left" vertical="center"/>
      <protection hidden="1"/>
    </xf>
    <xf numFmtId="0" fontId="0" fillId="2" borderId="29" xfId="0" applyFill="1" applyBorder="1" applyAlignment="1" applyProtection="1">
      <alignment horizontal="left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29" xfId="0" applyFill="1" applyBorder="1" applyAlignment="1" applyProtection="1">
      <alignment horizontal="center" vertical="center"/>
      <protection locked="0"/>
    </xf>
    <xf numFmtId="0" fontId="0" fillId="2" borderId="31" xfId="0" applyFill="1" applyBorder="1" applyAlignment="1" applyProtection="1">
      <alignment horizontal="center" vertical="center"/>
      <protection locked="0"/>
    </xf>
    <xf numFmtId="0" fontId="0" fillId="2" borderId="32" xfId="0" applyFill="1" applyBorder="1" applyAlignment="1" applyProtection="1">
      <alignment horizontal="center" vertical="center"/>
      <protection locked="0"/>
    </xf>
    <xf numFmtId="0" fontId="0" fillId="2" borderId="33" xfId="0" applyFill="1" applyBorder="1" applyAlignment="1" applyProtection="1">
      <alignment horizontal="center" vertical="center"/>
      <protection locked="0"/>
    </xf>
    <xf numFmtId="0" fontId="9" fillId="7" borderId="34" xfId="0" applyFont="1" applyFill="1" applyBorder="1" applyAlignment="1" applyProtection="1">
      <alignment horizontal="center" vertical="center"/>
    </xf>
    <xf numFmtId="0" fontId="9" fillId="7" borderId="35" xfId="0" applyFont="1" applyFill="1" applyBorder="1" applyAlignment="1" applyProtection="1">
      <alignment horizontal="center" vertical="center"/>
    </xf>
    <xf numFmtId="0" fontId="9" fillId="7" borderId="35" xfId="0" applyFont="1" applyFill="1" applyBorder="1" applyAlignment="1" applyProtection="1">
      <alignment horizontal="center" vertical="center" wrapText="1"/>
    </xf>
    <xf numFmtId="0" fontId="4" fillId="2" borderId="30" xfId="0" applyFont="1" applyFill="1" applyBorder="1" applyAlignment="1" applyProtection="1">
      <alignment vertical="center" wrapText="1"/>
    </xf>
    <xf numFmtId="0" fontId="4" fillId="2" borderId="33" xfId="0" applyFont="1" applyFill="1" applyBorder="1" applyAlignment="1" applyProtection="1">
      <alignment vertical="center" wrapText="1"/>
      <protection locked="0"/>
    </xf>
    <xf numFmtId="0" fontId="9" fillId="7" borderId="36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vertical="center" wrapText="1"/>
      <protection locked="0"/>
    </xf>
    <xf numFmtId="0" fontId="6" fillId="6" borderId="20" xfId="0" applyFont="1" applyFill="1" applyBorder="1" applyAlignment="1" applyProtection="1">
      <alignment vertical="center" wrapText="1"/>
      <protection locked="0"/>
    </xf>
    <xf numFmtId="0" fontId="6" fillId="6" borderId="20" xfId="0" quotePrefix="1" applyFont="1" applyFill="1" applyBorder="1" applyAlignment="1" applyProtection="1">
      <alignment vertical="center" wrapText="1"/>
      <protection locked="0"/>
    </xf>
    <xf numFmtId="0" fontId="38" fillId="6" borderId="23" xfId="0" quotePrefix="1" applyFont="1" applyFill="1" applyBorder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horizontal="center" vertical="center"/>
      <protection hidden="1"/>
    </xf>
    <xf numFmtId="9" fontId="15" fillId="2" borderId="1" xfId="1" applyFont="1" applyFill="1" applyBorder="1" applyAlignment="1" applyProtection="1">
      <alignment horizontal="center" vertical="center" wrapText="1"/>
      <protection hidden="1"/>
    </xf>
    <xf numFmtId="9" fontId="18" fillId="2" borderId="1" xfId="1" applyFont="1" applyFill="1" applyBorder="1" applyAlignment="1" applyProtection="1">
      <alignment horizontal="center" vertical="center" wrapText="1"/>
      <protection hidden="1"/>
    </xf>
    <xf numFmtId="0" fontId="6" fillId="2" borderId="19" xfId="0" applyFont="1" applyFill="1" applyBorder="1" applyAlignment="1" applyProtection="1">
      <alignment horizontal="left" vertical="center" wrapText="1"/>
    </xf>
    <xf numFmtId="0" fontId="9" fillId="3" borderId="19" xfId="0" applyFont="1" applyFill="1" applyBorder="1" applyAlignment="1" applyProtection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8" fillId="5" borderId="24" xfId="0" applyFont="1" applyFill="1" applyBorder="1" applyAlignment="1" applyProtection="1">
      <alignment horizontal="center" vertical="center"/>
    </xf>
    <xf numFmtId="0" fontId="8" fillId="5" borderId="25" xfId="0" applyFont="1" applyFill="1" applyBorder="1" applyAlignment="1" applyProtection="1">
      <alignment horizontal="center" vertical="center"/>
    </xf>
    <xf numFmtId="0" fontId="8" fillId="5" borderId="26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28" xfId="0" applyFont="1" applyFill="1" applyBorder="1" applyAlignment="1" applyProtection="1">
      <alignment horizontal="center" vertical="center" wrapText="1"/>
    </xf>
    <xf numFmtId="0" fontId="9" fillId="7" borderId="35" xfId="0" applyFont="1" applyFill="1" applyBorder="1" applyAlignment="1" applyProtection="1">
      <alignment horizontal="center" vertical="center" wrapText="1"/>
    </xf>
    <xf numFmtId="0" fontId="38" fillId="6" borderId="22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6" fillId="2" borderId="43" xfId="0" applyFont="1" applyFill="1" applyBorder="1" applyAlignment="1" applyProtection="1">
      <alignment horizontal="left" vertical="center" wrapText="1"/>
    </xf>
    <xf numFmtId="0" fontId="6" fillId="2" borderId="44" xfId="0" applyFont="1" applyFill="1" applyBorder="1" applyAlignment="1" applyProtection="1">
      <alignment horizontal="left" vertical="center" wrapText="1"/>
    </xf>
    <xf numFmtId="0" fontId="6" fillId="2" borderId="45" xfId="0" applyFont="1" applyFill="1" applyBorder="1" applyAlignment="1" applyProtection="1">
      <alignment horizontal="left" vertical="center" wrapText="1"/>
    </xf>
    <xf numFmtId="0" fontId="8" fillId="5" borderId="2" xfId="0" applyFont="1" applyFill="1" applyBorder="1" applyAlignment="1" applyProtection="1">
      <alignment horizontal="center" vertical="center"/>
      <protection hidden="1"/>
    </xf>
    <xf numFmtId="0" fontId="8" fillId="5" borderId="3" xfId="0" applyFont="1" applyFill="1" applyBorder="1" applyAlignment="1" applyProtection="1">
      <alignment horizontal="center" vertical="center"/>
      <protection hidden="1"/>
    </xf>
    <xf numFmtId="0" fontId="8" fillId="5" borderId="4" xfId="0" applyFont="1" applyFill="1" applyBorder="1" applyAlignment="1" applyProtection="1">
      <alignment horizontal="center" vertical="center"/>
      <protection hidden="1"/>
    </xf>
    <xf numFmtId="0" fontId="2" fillId="6" borderId="5" xfId="0" applyFont="1" applyFill="1" applyBorder="1" applyAlignment="1" applyProtection="1">
      <alignment horizontal="center" vertical="center"/>
      <protection hidden="1"/>
    </xf>
    <xf numFmtId="0" fontId="2" fillId="6" borderId="6" xfId="0" applyFont="1" applyFill="1" applyBorder="1" applyAlignment="1" applyProtection="1">
      <alignment horizontal="center" vertical="center"/>
      <protection hidden="1"/>
    </xf>
    <xf numFmtId="0" fontId="2" fillId="6" borderId="7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ercent" xfId="1" builtinId="5"/>
  </cellStyles>
  <dxfs count="25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rgb="FFC00000"/>
      </font>
    </dxf>
    <dxf>
      <font>
        <color theme="2" tint="-0.89996032593768116"/>
      </font>
    </dxf>
    <dxf>
      <font>
        <color rgb="FF00B050"/>
      </font>
    </dxf>
    <dxf>
      <font>
        <color rgb="FFFF0000"/>
      </font>
    </dxf>
    <dxf>
      <font>
        <color rgb="FF00B0F0"/>
      </font>
    </dxf>
  </dxfs>
  <tableStyles count="0" defaultTableStyle="TableStyleMedium9" defaultPivotStyle="PivotStyleLight16"/>
  <colors>
    <mruColors>
      <color rgb="FFC3EFAB"/>
      <color rgb="FF85E61F"/>
      <color rgb="FF63C1DF"/>
      <color rgb="FFFC9F1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780899828970847"/>
          <c:y val="0.15355363431617391"/>
          <c:w val="0.73676376366725249"/>
          <c:h val="0.74145479712910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C1DF"/>
              </a:solidFill>
            </c:spPr>
          </c:dPt>
          <c:dPt>
            <c:idx val="1"/>
            <c:bubble3D val="0"/>
            <c:spPr>
              <a:solidFill>
                <a:srgbClr val="85E61F"/>
              </a:solidFill>
            </c:spPr>
          </c:dPt>
          <c:dPt>
            <c:idx val="2"/>
            <c:bubble3D val="0"/>
            <c:spPr>
              <a:solidFill>
                <a:srgbClr val="FC9F1A"/>
              </a:solidFill>
            </c:spPr>
          </c:dPt>
          <c:dLbls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</c:dLbls>
          <c:cat>
            <c:strRef>
              <c:f>DASHBOARD!$H$5:$J$5</c:f>
              <c:strCache>
                <c:ptCount val="3"/>
                <c:pt idx="0">
                  <c:v>% YES</c:v>
                </c:pt>
                <c:pt idx="1">
                  <c:v>% NO</c:v>
                </c:pt>
                <c:pt idx="2">
                  <c:v>% NA</c:v>
                </c:pt>
              </c:strCache>
            </c:strRef>
          </c:cat>
          <c:val>
            <c:numRef>
              <c:f>DASHBOARD!$H$11:$J$11</c:f>
              <c:numCache>
                <c:formatCode>0%</c:formatCode>
                <c:ptCount val="3"/>
                <c:pt idx="0">
                  <c:v>0.50846702317290549</c:v>
                </c:pt>
                <c:pt idx="1">
                  <c:v>0.32534759358288767</c:v>
                </c:pt>
                <c:pt idx="2">
                  <c:v>0.16618538324420676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61788069184879"/>
          <c:y val="0.15355363431617391"/>
          <c:w val="0.73676376366725249"/>
          <c:h val="0.74145479712910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C1DF"/>
              </a:solidFill>
            </c:spPr>
          </c:dPt>
          <c:dPt>
            <c:idx val="1"/>
            <c:bubble3D val="0"/>
            <c:spPr>
              <a:solidFill>
                <a:srgbClr val="85E61F"/>
              </a:solidFill>
            </c:spPr>
          </c:dPt>
          <c:dLbls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1"/>
          </c:dLbls>
          <c:cat>
            <c:strRef>
              <c:f>DASHBOARD!$K$5:$L$5</c:f>
              <c:strCache>
                <c:ptCount val="2"/>
                <c:pt idx="0">
                  <c:v>% MAJOR </c:v>
                </c:pt>
                <c:pt idx="1">
                  <c:v>% MINOR</c:v>
                </c:pt>
              </c:strCache>
            </c:strRef>
          </c:cat>
          <c:val>
            <c:numRef>
              <c:f>DASHBOARD!$K$11:$L$11</c:f>
              <c:numCache>
                <c:formatCode>0%</c:formatCode>
                <c:ptCount val="2"/>
                <c:pt idx="0">
                  <c:v>0.14444444444444443</c:v>
                </c:pt>
                <c:pt idx="1">
                  <c:v>0.85555555555555551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128556</xdr:colOff>
      <xdr:row>11</xdr:row>
      <xdr:rowOff>185173</xdr:rowOff>
    </xdr:from>
    <xdr:to>
      <xdr:col>1</xdr:col>
      <xdr:colOff>2234045</xdr:colOff>
      <xdr:row>22</xdr:row>
      <xdr:rowOff>181841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701386</xdr:colOff>
      <xdr:row>11</xdr:row>
      <xdr:rowOff>190499</xdr:rowOff>
    </xdr:from>
    <xdr:to>
      <xdr:col>11</xdr:col>
      <xdr:colOff>217807</xdr:colOff>
      <xdr:row>22</xdr:row>
      <xdr:rowOff>187167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0.32553</cdr:x>
      <cdr:y>0.0191</cdr:y>
    </cdr:from>
    <cdr:to>
      <cdr:x>0.77792</cdr:x>
      <cdr:y>0.11429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685398" y="39964"/>
          <a:ext cx="952500" cy="1991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STATUS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0.26732</cdr:x>
      <cdr:y>0.02069</cdr:y>
    </cdr:from>
    <cdr:to>
      <cdr:x>0.71971</cdr:x>
      <cdr:y>0.11589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62840" y="43296"/>
          <a:ext cx="952500" cy="1991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b="1"/>
            <a:t>If NO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U142"/>
  <sheetViews>
    <sheetView tabSelected="1" zoomScaleNormal="100" zoomScaleSheetLayoutView="115" workbookViewId="0">
      <selection activeCell="B2" sqref="B2:H2"/>
    </sheetView>
  </sheetViews>
  <sheetFormatPr defaultColWidth="9.109375" defaultRowHeight="13.8" x14ac:dyDescent="0.3"/>
  <cols>
    <col min="1" max="1" width="1.6640625" style="77" customWidth="1"/>
    <col min="2" max="2" width="6.5546875" style="85" bestFit="1" customWidth="1"/>
    <col min="3" max="3" width="26.33203125" style="86" customWidth="1"/>
    <col min="4" max="4" width="1.6640625" style="86" customWidth="1"/>
    <col min="5" max="5" width="25" style="86" customWidth="1"/>
    <col min="6" max="6" width="10.5546875" style="85" customWidth="1"/>
    <col min="7" max="7" width="9.44140625" style="85" customWidth="1"/>
    <col min="8" max="8" width="29.44140625" style="86" customWidth="1"/>
    <col min="9" max="9" width="1.6640625" style="77" customWidth="1"/>
    <col min="10" max="11" width="9.109375" style="77"/>
    <col min="12" max="12" width="0.88671875" style="78" customWidth="1"/>
    <col min="13" max="13" width="9.109375" style="77"/>
    <col min="14" max="14" width="0.88671875" style="78" customWidth="1"/>
    <col min="15" max="15" width="48.6640625" style="77" bestFit="1" customWidth="1"/>
    <col min="16" max="16" width="0.88671875" style="78" customWidth="1"/>
    <col min="17" max="17" width="14.33203125" style="77" bestFit="1" customWidth="1"/>
    <col min="18" max="18" width="0.88671875" style="78" customWidth="1"/>
    <col min="19" max="19" width="19.5546875" style="77" bestFit="1" customWidth="1"/>
    <col min="20" max="20" width="0.88671875" style="78" customWidth="1"/>
    <col min="21" max="21" width="19.5546875" style="77" bestFit="1" customWidth="1"/>
    <col min="22" max="16384" width="9.109375" style="77"/>
  </cols>
  <sheetData>
    <row r="1" spans="2:21" s="58" customFormat="1" ht="14.4" thickBot="1" x14ac:dyDescent="0.35">
      <c r="B1" s="65"/>
      <c r="C1" s="66"/>
      <c r="D1" s="66"/>
      <c r="E1" s="66"/>
      <c r="F1" s="65"/>
      <c r="G1" s="65"/>
      <c r="H1" s="66"/>
      <c r="L1" s="59"/>
      <c r="N1" s="59"/>
      <c r="P1" s="59"/>
      <c r="R1" s="59"/>
      <c r="T1" s="59"/>
    </row>
    <row r="2" spans="2:21" s="58" customFormat="1" ht="18" thickTop="1" x14ac:dyDescent="0.3">
      <c r="B2" s="147" t="s">
        <v>160</v>
      </c>
      <c r="C2" s="148"/>
      <c r="D2" s="148"/>
      <c r="E2" s="148"/>
      <c r="F2" s="148"/>
      <c r="G2" s="148"/>
      <c r="H2" s="149"/>
      <c r="L2" s="59"/>
      <c r="N2" s="59"/>
      <c r="P2" s="59"/>
      <c r="R2" s="59"/>
      <c r="T2" s="59"/>
    </row>
    <row r="3" spans="2:21" s="58" customFormat="1" ht="15.6" x14ac:dyDescent="0.3">
      <c r="B3" s="99"/>
      <c r="C3" s="60"/>
      <c r="D3" s="60"/>
      <c r="E3" s="150"/>
      <c r="F3" s="150"/>
      <c r="G3" s="150"/>
      <c r="H3" s="151"/>
      <c r="L3" s="59"/>
      <c r="N3" s="59"/>
      <c r="P3" s="59"/>
      <c r="R3" s="59"/>
      <c r="T3" s="59"/>
    </row>
    <row r="4" spans="2:21" ht="20.100000000000001" customHeight="1" x14ac:dyDescent="0.3">
      <c r="B4" s="100"/>
      <c r="C4" s="44" t="s">
        <v>0</v>
      </c>
      <c r="D4" s="44" t="s">
        <v>18</v>
      </c>
      <c r="E4" s="45" t="s">
        <v>54</v>
      </c>
      <c r="F4" s="44"/>
      <c r="G4" s="44"/>
      <c r="H4" s="101"/>
      <c r="K4" s="79"/>
      <c r="L4" s="80"/>
      <c r="M4" s="79"/>
      <c r="N4" s="80"/>
      <c r="O4" s="79"/>
      <c r="P4" s="80"/>
      <c r="Q4" s="79"/>
      <c r="R4" s="80"/>
      <c r="S4" s="79"/>
      <c r="T4" s="80"/>
      <c r="U4" s="79"/>
    </row>
    <row r="5" spans="2:21" s="58" customFormat="1" ht="20.100000000000001" customHeight="1" x14ac:dyDescent="0.3">
      <c r="B5" s="102"/>
      <c r="C5" s="61" t="s">
        <v>56</v>
      </c>
      <c r="D5" s="61" t="s">
        <v>18</v>
      </c>
      <c r="E5" s="42" t="str">
        <f>IF($E$4=$O$8,S$8,IF($E$4=$O$9,S$9,IF($E$4=$O$10,S$10,IF($E$4=$O$11,S$11,IF($E$4=$O$12,S$12,0)))))</f>
        <v>R-14-084-BF</v>
      </c>
      <c r="F5" s="62"/>
      <c r="G5" s="62"/>
      <c r="H5" s="134"/>
      <c r="K5" s="67" t="s">
        <v>29</v>
      </c>
      <c r="L5" s="67"/>
      <c r="M5" s="67" t="s">
        <v>37</v>
      </c>
      <c r="N5" s="67"/>
      <c r="O5" s="67" t="s">
        <v>38</v>
      </c>
      <c r="P5" s="67"/>
      <c r="Q5" s="67" t="s">
        <v>42</v>
      </c>
      <c r="R5" s="67"/>
      <c r="S5" s="67" t="s">
        <v>48</v>
      </c>
      <c r="T5" s="67"/>
      <c r="U5" s="67" t="s">
        <v>193</v>
      </c>
    </row>
    <row r="6" spans="2:21" s="58" customFormat="1" ht="20.100000000000001" customHeight="1" x14ac:dyDescent="0.3">
      <c r="B6" s="102"/>
      <c r="C6" s="61" t="s">
        <v>57</v>
      </c>
      <c r="D6" s="61" t="s">
        <v>18</v>
      </c>
      <c r="E6" s="42" t="str">
        <f>IF($E$4=$O$8,Q$8,IF($E$4=$O$9,Q$9,IF($E$4=$O$10,Q$10,IF($E$4=$O$11,Q$11,IF($E$4=$O$12,Q$12,0)))))</f>
        <v>RUH-CP-1402</v>
      </c>
      <c r="F6" s="62"/>
      <c r="G6" s="62"/>
      <c r="H6" s="134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</row>
    <row r="7" spans="2:21" s="58" customFormat="1" ht="20.100000000000001" customHeight="1" x14ac:dyDescent="0.3">
      <c r="B7" s="102"/>
      <c r="C7" s="61" t="s">
        <v>192</v>
      </c>
      <c r="D7" s="61" t="s">
        <v>18</v>
      </c>
      <c r="E7" s="42" t="str">
        <f>IF($E$4=$O$8,U$8,IF($E$4=$O$9,U$9,IF($E$4=$O$10,U$10,IF($E$4=$O$11,U$11,IF($E$4=$O$12,U$12,0)))))</f>
        <v>Almabani General Contractor</v>
      </c>
      <c r="F7" s="62"/>
      <c r="G7" s="62"/>
      <c r="H7" s="134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</row>
    <row r="8" spans="2:21" ht="20.100000000000001" customHeight="1" x14ac:dyDescent="0.3">
      <c r="B8" s="100"/>
      <c r="C8" s="44" t="s">
        <v>3</v>
      </c>
      <c r="D8" s="44" t="s">
        <v>18</v>
      </c>
      <c r="E8" s="43"/>
      <c r="F8" s="45"/>
      <c r="G8" s="45"/>
      <c r="H8" s="101"/>
      <c r="K8" s="69" t="s">
        <v>16</v>
      </c>
      <c r="L8" s="68"/>
      <c r="M8" s="70" t="s">
        <v>23</v>
      </c>
      <c r="N8" s="68"/>
      <c r="O8" s="68" t="s">
        <v>54</v>
      </c>
      <c r="P8" s="68"/>
      <c r="Q8" s="68" t="s">
        <v>43</v>
      </c>
      <c r="R8" s="68"/>
      <c r="S8" s="68" t="s">
        <v>49</v>
      </c>
      <c r="T8" s="68"/>
      <c r="U8" s="68" t="s">
        <v>194</v>
      </c>
    </row>
    <row r="9" spans="2:21" ht="20.100000000000001" customHeight="1" x14ac:dyDescent="0.3">
      <c r="B9" s="100"/>
      <c r="C9" s="44" t="s">
        <v>1</v>
      </c>
      <c r="D9" s="44" t="s">
        <v>18</v>
      </c>
      <c r="E9" s="44"/>
      <c r="F9" s="45"/>
      <c r="G9" s="45"/>
      <c r="H9" s="101"/>
      <c r="K9" s="71" t="s">
        <v>17</v>
      </c>
      <c r="L9" s="68"/>
      <c r="M9" s="72" t="s">
        <v>24</v>
      </c>
      <c r="N9" s="68"/>
      <c r="O9" s="68" t="s">
        <v>55</v>
      </c>
      <c r="P9" s="68"/>
      <c r="Q9" s="68" t="s">
        <v>44</v>
      </c>
      <c r="R9" s="68"/>
      <c r="S9" s="68" t="s">
        <v>53</v>
      </c>
      <c r="T9" s="68"/>
      <c r="U9" s="68" t="s">
        <v>195</v>
      </c>
    </row>
    <row r="10" spans="2:21" ht="20.100000000000001" customHeight="1" x14ac:dyDescent="0.3">
      <c r="B10" s="100"/>
      <c r="C10" s="44" t="s">
        <v>4</v>
      </c>
      <c r="D10" s="44" t="s">
        <v>18</v>
      </c>
      <c r="E10" s="44"/>
      <c r="F10" s="45"/>
      <c r="G10" s="45"/>
      <c r="H10" s="101"/>
      <c r="K10" s="73" t="s">
        <v>19</v>
      </c>
      <c r="L10" s="68"/>
      <c r="M10" s="68"/>
      <c r="N10" s="68"/>
      <c r="O10" s="68" t="s">
        <v>39</v>
      </c>
      <c r="P10" s="68"/>
      <c r="Q10" s="68" t="s">
        <v>45</v>
      </c>
      <c r="R10" s="68"/>
      <c r="S10" s="68" t="s">
        <v>50</v>
      </c>
      <c r="T10" s="68"/>
      <c r="U10" s="68" t="s">
        <v>195</v>
      </c>
    </row>
    <row r="11" spans="2:21" ht="20.100000000000001" customHeight="1" thickBot="1" x14ac:dyDescent="0.35">
      <c r="B11" s="103"/>
      <c r="C11" s="104" t="s">
        <v>2</v>
      </c>
      <c r="D11" s="104" t="s">
        <v>18</v>
      </c>
      <c r="E11" s="105"/>
      <c r="F11" s="106"/>
      <c r="G11" s="106"/>
      <c r="H11" s="135"/>
      <c r="K11" s="68"/>
      <c r="L11" s="68"/>
      <c r="M11" s="68"/>
      <c r="N11" s="68"/>
      <c r="O11" s="68" t="s">
        <v>40</v>
      </c>
      <c r="P11" s="68"/>
      <c r="Q11" s="68" t="s">
        <v>46</v>
      </c>
      <c r="R11" s="68"/>
      <c r="S11" s="68" t="s">
        <v>51</v>
      </c>
      <c r="T11" s="68"/>
      <c r="U11" s="68" t="s">
        <v>195</v>
      </c>
    </row>
    <row r="12" spans="2:21" s="83" customFormat="1" ht="15.6" thickTop="1" thickBot="1" x14ac:dyDescent="0.35">
      <c r="B12" s="81"/>
      <c r="C12" s="82"/>
      <c r="D12" s="82"/>
      <c r="E12" s="82"/>
      <c r="F12" s="81"/>
      <c r="G12" s="81"/>
      <c r="H12" s="82"/>
      <c r="K12" s="68"/>
      <c r="L12" s="68"/>
      <c r="M12" s="68"/>
      <c r="N12" s="68"/>
      <c r="O12" s="68" t="s">
        <v>41</v>
      </c>
      <c r="P12" s="68"/>
      <c r="Q12" s="68" t="s">
        <v>47</v>
      </c>
      <c r="R12" s="68"/>
      <c r="S12" s="68" t="s">
        <v>52</v>
      </c>
      <c r="T12" s="68"/>
      <c r="U12" s="68" t="s">
        <v>196</v>
      </c>
    </row>
    <row r="13" spans="2:21" s="64" customFormat="1" ht="32.25" customHeight="1" thickTop="1" x14ac:dyDescent="0.3">
      <c r="B13" s="131" t="s">
        <v>7</v>
      </c>
      <c r="C13" s="152" t="s">
        <v>5</v>
      </c>
      <c r="D13" s="152"/>
      <c r="E13" s="152"/>
      <c r="F13" s="132" t="s">
        <v>28</v>
      </c>
      <c r="G13" s="133" t="s">
        <v>30</v>
      </c>
      <c r="H13" s="136" t="s">
        <v>6</v>
      </c>
      <c r="I13" s="63"/>
      <c r="J13" s="63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</row>
    <row r="14" spans="2:21" ht="30" customHeight="1" x14ac:dyDescent="0.3">
      <c r="B14" s="90" t="s">
        <v>58</v>
      </c>
      <c r="C14" s="145" t="s">
        <v>8</v>
      </c>
      <c r="D14" s="145"/>
      <c r="E14" s="145"/>
      <c r="F14" s="97"/>
      <c r="G14" s="91"/>
      <c r="H14" s="137"/>
    </row>
    <row r="15" spans="2:21" s="75" customFormat="1" ht="30" customHeight="1" x14ac:dyDescent="0.3">
      <c r="B15" s="92">
        <v>1</v>
      </c>
      <c r="C15" s="144" t="s">
        <v>166</v>
      </c>
      <c r="D15" s="144"/>
      <c r="E15" s="144"/>
      <c r="F15" s="93" t="s">
        <v>17</v>
      </c>
      <c r="G15" s="91" t="s">
        <v>24</v>
      </c>
      <c r="H15" s="137"/>
      <c r="I15" s="84"/>
      <c r="J15" s="84"/>
      <c r="L15" s="76"/>
      <c r="N15" s="76"/>
      <c r="P15" s="76"/>
      <c r="R15" s="76"/>
      <c r="T15" s="76"/>
    </row>
    <row r="16" spans="2:21" s="75" customFormat="1" ht="30" customHeight="1" x14ac:dyDescent="0.3">
      <c r="B16" s="92">
        <v>2</v>
      </c>
      <c r="C16" s="144" t="s">
        <v>78</v>
      </c>
      <c r="D16" s="144"/>
      <c r="E16" s="144"/>
      <c r="F16" s="93"/>
      <c r="G16" s="91"/>
      <c r="H16" s="137"/>
      <c r="I16" s="84"/>
      <c r="J16" s="84"/>
      <c r="L16" s="76"/>
      <c r="N16" s="76"/>
      <c r="P16" s="76"/>
      <c r="R16" s="76"/>
      <c r="T16" s="76"/>
    </row>
    <row r="17" spans="2:20" s="75" customFormat="1" ht="22.5" customHeight="1" x14ac:dyDescent="0.3">
      <c r="B17" s="94" t="s">
        <v>10</v>
      </c>
      <c r="C17" s="144" t="s">
        <v>64</v>
      </c>
      <c r="D17" s="144"/>
      <c r="E17" s="144"/>
      <c r="F17" s="93" t="s">
        <v>16</v>
      </c>
      <c r="G17" s="91"/>
      <c r="H17" s="137"/>
      <c r="I17" s="84"/>
      <c r="J17" s="84"/>
      <c r="L17" s="76"/>
      <c r="N17" s="76"/>
      <c r="P17" s="76"/>
      <c r="R17" s="76"/>
      <c r="T17" s="76"/>
    </row>
    <row r="18" spans="2:20" s="75" customFormat="1" ht="22.5" customHeight="1" x14ac:dyDescent="0.3">
      <c r="B18" s="94" t="s">
        <v>11</v>
      </c>
      <c r="C18" s="144" t="s">
        <v>65</v>
      </c>
      <c r="D18" s="144"/>
      <c r="E18" s="144"/>
      <c r="F18" s="93" t="s">
        <v>16</v>
      </c>
      <c r="G18" s="91"/>
      <c r="H18" s="137"/>
      <c r="I18" s="84"/>
      <c r="J18" s="84"/>
    </row>
    <row r="19" spans="2:20" s="75" customFormat="1" ht="22.5" customHeight="1" x14ac:dyDescent="0.3">
      <c r="B19" s="94" t="s">
        <v>12</v>
      </c>
      <c r="C19" s="144" t="s">
        <v>80</v>
      </c>
      <c r="D19" s="144"/>
      <c r="E19" s="144"/>
      <c r="F19" s="93" t="s">
        <v>17</v>
      </c>
      <c r="G19" s="91" t="s">
        <v>24</v>
      </c>
      <c r="H19" s="137" t="s">
        <v>79</v>
      </c>
      <c r="I19" s="84"/>
      <c r="J19" s="84"/>
      <c r="L19" s="76"/>
      <c r="N19" s="76"/>
      <c r="P19" s="76"/>
      <c r="R19" s="76"/>
      <c r="T19" s="76"/>
    </row>
    <row r="20" spans="2:20" s="75" customFormat="1" ht="19.5" customHeight="1" x14ac:dyDescent="0.3">
      <c r="B20" s="94" t="s">
        <v>13</v>
      </c>
      <c r="C20" s="144" t="s">
        <v>9</v>
      </c>
      <c r="D20" s="144"/>
      <c r="E20" s="144"/>
      <c r="F20" s="93" t="s">
        <v>16</v>
      </c>
      <c r="G20" s="91"/>
      <c r="H20" s="137"/>
      <c r="I20" s="84"/>
      <c r="J20" s="84"/>
      <c r="L20" s="76"/>
      <c r="N20" s="76"/>
      <c r="P20" s="76"/>
      <c r="R20" s="76"/>
      <c r="T20" s="76"/>
    </row>
    <row r="21" spans="2:20" s="75" customFormat="1" ht="22.5" customHeight="1" x14ac:dyDescent="0.3">
      <c r="B21" s="94" t="s">
        <v>14</v>
      </c>
      <c r="C21" s="144" t="s">
        <v>66</v>
      </c>
      <c r="D21" s="144"/>
      <c r="E21" s="144"/>
      <c r="F21" s="93" t="s">
        <v>17</v>
      </c>
      <c r="G21" s="91" t="s">
        <v>24</v>
      </c>
      <c r="H21" s="137" t="s">
        <v>140</v>
      </c>
      <c r="I21" s="84"/>
      <c r="J21" s="84"/>
      <c r="L21" s="76"/>
      <c r="N21" s="76"/>
      <c r="P21" s="76"/>
      <c r="R21" s="76"/>
      <c r="T21" s="76"/>
    </row>
    <row r="22" spans="2:20" s="75" customFormat="1" ht="30" customHeight="1" x14ac:dyDescent="0.3">
      <c r="B22" s="92">
        <v>3</v>
      </c>
      <c r="C22" s="144" t="s">
        <v>68</v>
      </c>
      <c r="D22" s="144"/>
      <c r="E22" s="144"/>
      <c r="F22" s="93" t="s">
        <v>16</v>
      </c>
      <c r="G22" s="91"/>
      <c r="H22" s="137"/>
      <c r="I22" s="84"/>
      <c r="J22" s="84"/>
      <c r="L22" s="76"/>
      <c r="N22" s="76"/>
      <c r="P22" s="76"/>
      <c r="R22" s="76"/>
      <c r="T22" s="76"/>
    </row>
    <row r="23" spans="2:20" s="75" customFormat="1" ht="30" customHeight="1" x14ac:dyDescent="0.3">
      <c r="B23" s="92">
        <v>4</v>
      </c>
      <c r="C23" s="144" t="s">
        <v>167</v>
      </c>
      <c r="D23" s="144"/>
      <c r="E23" s="144"/>
      <c r="F23" s="93"/>
      <c r="G23" s="91"/>
      <c r="H23" s="137"/>
      <c r="L23" s="76"/>
      <c r="N23" s="76"/>
      <c r="P23" s="76"/>
      <c r="R23" s="76"/>
      <c r="T23" s="76"/>
    </row>
    <row r="24" spans="2:20" s="75" customFormat="1" ht="24.9" customHeight="1" x14ac:dyDescent="0.3">
      <c r="B24" s="94" t="s">
        <v>10</v>
      </c>
      <c r="C24" s="144" t="s">
        <v>69</v>
      </c>
      <c r="D24" s="144"/>
      <c r="E24" s="144"/>
      <c r="F24" s="93" t="s">
        <v>16</v>
      </c>
      <c r="G24" s="91"/>
      <c r="H24" s="137"/>
      <c r="L24" s="76"/>
      <c r="N24" s="76"/>
      <c r="P24" s="76"/>
      <c r="R24" s="76"/>
      <c r="T24" s="76"/>
    </row>
    <row r="25" spans="2:20" s="75" customFormat="1" ht="24.9" customHeight="1" x14ac:dyDescent="0.3">
      <c r="B25" s="94" t="s">
        <v>11</v>
      </c>
      <c r="C25" s="144" t="s">
        <v>70</v>
      </c>
      <c r="D25" s="144"/>
      <c r="E25" s="144"/>
      <c r="F25" s="93" t="s">
        <v>16</v>
      </c>
      <c r="G25" s="91"/>
      <c r="H25" s="137"/>
      <c r="L25" s="76"/>
      <c r="N25" s="76"/>
      <c r="P25" s="76"/>
      <c r="R25" s="76"/>
      <c r="T25" s="76"/>
    </row>
    <row r="26" spans="2:20" s="75" customFormat="1" ht="24.9" customHeight="1" x14ac:dyDescent="0.3">
      <c r="B26" s="94" t="s">
        <v>12</v>
      </c>
      <c r="C26" s="144" t="s">
        <v>71</v>
      </c>
      <c r="D26" s="144"/>
      <c r="E26" s="144"/>
      <c r="F26" s="93" t="s">
        <v>16</v>
      </c>
      <c r="G26" s="91"/>
      <c r="H26" s="137"/>
      <c r="L26" s="76"/>
      <c r="N26" s="76"/>
      <c r="P26" s="76"/>
      <c r="R26" s="76"/>
      <c r="T26" s="76"/>
    </row>
    <row r="27" spans="2:20" s="75" customFormat="1" ht="24.9" customHeight="1" x14ac:dyDescent="0.3">
      <c r="B27" s="94" t="s">
        <v>13</v>
      </c>
      <c r="C27" s="144" t="s">
        <v>72</v>
      </c>
      <c r="D27" s="144"/>
      <c r="E27" s="144"/>
      <c r="F27" s="93" t="s">
        <v>16</v>
      </c>
      <c r="G27" s="91"/>
      <c r="H27" s="137"/>
      <c r="L27" s="76"/>
      <c r="N27" s="76"/>
      <c r="P27" s="76"/>
      <c r="R27" s="76"/>
      <c r="T27" s="76"/>
    </row>
    <row r="28" spans="2:20" s="75" customFormat="1" ht="24.9" customHeight="1" x14ac:dyDescent="0.3">
      <c r="B28" s="94" t="s">
        <v>14</v>
      </c>
      <c r="C28" s="144" t="s">
        <v>73</v>
      </c>
      <c r="D28" s="144"/>
      <c r="E28" s="144"/>
      <c r="F28" s="93" t="s">
        <v>17</v>
      </c>
      <c r="G28" s="91" t="s">
        <v>24</v>
      </c>
      <c r="H28" s="137"/>
      <c r="L28" s="76"/>
      <c r="N28" s="76"/>
      <c r="P28" s="76"/>
      <c r="R28" s="76"/>
      <c r="T28" s="76"/>
    </row>
    <row r="29" spans="2:20" s="75" customFormat="1" ht="30" customHeight="1" x14ac:dyDescent="0.3">
      <c r="B29" s="92">
        <v>5</v>
      </c>
      <c r="C29" s="144" t="s">
        <v>161</v>
      </c>
      <c r="D29" s="144"/>
      <c r="E29" s="144"/>
      <c r="F29" s="93" t="s">
        <v>16</v>
      </c>
      <c r="G29" s="91"/>
      <c r="H29" s="137"/>
      <c r="L29" s="76"/>
      <c r="N29" s="76"/>
      <c r="P29" s="76"/>
      <c r="R29" s="76"/>
      <c r="T29" s="76"/>
    </row>
    <row r="30" spans="2:20" s="75" customFormat="1" ht="30" customHeight="1" x14ac:dyDescent="0.3">
      <c r="B30" s="92">
        <v>6</v>
      </c>
      <c r="C30" s="144" t="s">
        <v>177</v>
      </c>
      <c r="D30" s="144"/>
      <c r="E30" s="144"/>
      <c r="F30" s="93" t="s">
        <v>16</v>
      </c>
      <c r="G30" s="91"/>
      <c r="H30" s="137"/>
      <c r="L30" s="76"/>
      <c r="N30" s="76"/>
      <c r="P30" s="76"/>
      <c r="R30" s="76"/>
      <c r="T30" s="76"/>
    </row>
    <row r="31" spans="2:20" s="75" customFormat="1" ht="44.25" customHeight="1" x14ac:dyDescent="0.3">
      <c r="B31" s="92">
        <v>8</v>
      </c>
      <c r="C31" s="144" t="s">
        <v>178</v>
      </c>
      <c r="D31" s="144"/>
      <c r="E31" s="144"/>
      <c r="F31" s="93" t="s">
        <v>16</v>
      </c>
      <c r="G31" s="91"/>
      <c r="H31" s="137"/>
      <c r="L31" s="76"/>
      <c r="N31" s="76"/>
      <c r="P31" s="76"/>
      <c r="R31" s="76"/>
      <c r="T31" s="76"/>
    </row>
    <row r="32" spans="2:20" s="75" customFormat="1" ht="21.75" customHeight="1" x14ac:dyDescent="0.3">
      <c r="B32" s="92">
        <v>9</v>
      </c>
      <c r="C32" s="144" t="s">
        <v>156</v>
      </c>
      <c r="D32" s="144"/>
      <c r="E32" s="144"/>
      <c r="F32" s="93" t="s">
        <v>16</v>
      </c>
      <c r="G32" s="91"/>
      <c r="H32" s="137"/>
      <c r="L32" s="76"/>
      <c r="N32" s="76"/>
      <c r="P32" s="76"/>
      <c r="R32" s="76"/>
      <c r="T32" s="76"/>
    </row>
    <row r="33" spans="2:20" s="75" customFormat="1" ht="30" customHeight="1" x14ac:dyDescent="0.3">
      <c r="B33" s="92">
        <v>10</v>
      </c>
      <c r="C33" s="146" t="s">
        <v>63</v>
      </c>
      <c r="D33" s="146"/>
      <c r="E33" s="146"/>
      <c r="F33" s="93" t="s">
        <v>19</v>
      </c>
      <c r="G33" s="91"/>
      <c r="H33" s="137"/>
      <c r="L33" s="76"/>
      <c r="N33" s="76"/>
      <c r="P33" s="76"/>
      <c r="R33" s="76"/>
      <c r="T33" s="76"/>
    </row>
    <row r="34" spans="2:20" s="75" customFormat="1" ht="3" customHeight="1" x14ac:dyDescent="0.3">
      <c r="B34" s="95"/>
      <c r="C34" s="154"/>
      <c r="D34" s="154"/>
      <c r="E34" s="154"/>
      <c r="F34" s="139" t="s">
        <v>187</v>
      </c>
      <c r="G34" s="139" t="s">
        <v>187</v>
      </c>
      <c r="H34" s="139" t="s">
        <v>187</v>
      </c>
      <c r="L34" s="76"/>
      <c r="N34" s="76"/>
      <c r="P34" s="76"/>
      <c r="R34" s="76"/>
      <c r="T34" s="76"/>
    </row>
    <row r="35" spans="2:20" ht="30" customHeight="1" x14ac:dyDescent="0.3">
      <c r="B35" s="90" t="s">
        <v>59</v>
      </c>
      <c r="C35" s="145" t="s">
        <v>135</v>
      </c>
      <c r="D35" s="145"/>
      <c r="E35" s="145"/>
      <c r="F35" s="97"/>
      <c r="G35" s="91"/>
      <c r="H35" s="137"/>
    </row>
    <row r="36" spans="2:20" s="75" customFormat="1" ht="47.25" customHeight="1" x14ac:dyDescent="0.3">
      <c r="B36" s="92">
        <v>1</v>
      </c>
      <c r="C36" s="144" t="s">
        <v>101</v>
      </c>
      <c r="D36" s="144"/>
      <c r="E36" s="144"/>
      <c r="F36" s="93" t="s">
        <v>17</v>
      </c>
      <c r="G36" s="91" t="s">
        <v>24</v>
      </c>
      <c r="H36" s="137"/>
      <c r="L36" s="76"/>
      <c r="N36" s="76"/>
      <c r="P36" s="76"/>
      <c r="R36" s="76"/>
      <c r="T36" s="76"/>
    </row>
    <row r="37" spans="2:20" s="75" customFormat="1" ht="30" customHeight="1" x14ac:dyDescent="0.3">
      <c r="B37" s="92">
        <v>2</v>
      </c>
      <c r="C37" s="144" t="s">
        <v>76</v>
      </c>
      <c r="D37" s="144"/>
      <c r="E37" s="144"/>
      <c r="F37" s="93" t="s">
        <v>16</v>
      </c>
      <c r="G37" s="91"/>
      <c r="H37" s="137"/>
      <c r="L37" s="76"/>
      <c r="N37" s="76"/>
      <c r="P37" s="76"/>
      <c r="R37" s="76"/>
      <c r="T37" s="76"/>
    </row>
    <row r="38" spans="2:20" s="75" customFormat="1" ht="30" customHeight="1" x14ac:dyDescent="0.3">
      <c r="B38" s="92">
        <v>3</v>
      </c>
      <c r="C38" s="144" t="s">
        <v>191</v>
      </c>
      <c r="D38" s="144"/>
      <c r="E38" s="144"/>
      <c r="F38" s="93" t="s">
        <v>17</v>
      </c>
      <c r="G38" s="91" t="s">
        <v>24</v>
      </c>
      <c r="H38" s="137" t="s">
        <v>67</v>
      </c>
      <c r="L38" s="76"/>
      <c r="N38" s="76"/>
      <c r="P38" s="76"/>
      <c r="R38" s="76"/>
      <c r="T38" s="76"/>
    </row>
    <row r="39" spans="2:20" s="75" customFormat="1" ht="30" customHeight="1" x14ac:dyDescent="0.3">
      <c r="B39" s="92">
        <v>4</v>
      </c>
      <c r="C39" s="144" t="s">
        <v>81</v>
      </c>
      <c r="D39" s="144"/>
      <c r="E39" s="144"/>
      <c r="F39" s="93" t="s">
        <v>19</v>
      </c>
      <c r="G39" s="91"/>
      <c r="H39" s="137"/>
      <c r="L39" s="76"/>
      <c r="N39" s="76"/>
      <c r="P39" s="76"/>
      <c r="R39" s="76"/>
      <c r="T39" s="76"/>
    </row>
    <row r="40" spans="2:20" s="75" customFormat="1" ht="30" customHeight="1" x14ac:dyDescent="0.3">
      <c r="B40" s="92">
        <v>5</v>
      </c>
      <c r="C40" s="144" t="s">
        <v>82</v>
      </c>
      <c r="D40" s="144"/>
      <c r="E40" s="144"/>
      <c r="F40" s="93" t="s">
        <v>17</v>
      </c>
      <c r="G40" s="91" t="s">
        <v>24</v>
      </c>
      <c r="H40" s="137" t="s">
        <v>67</v>
      </c>
      <c r="L40" s="76"/>
      <c r="N40" s="76"/>
      <c r="P40" s="76"/>
      <c r="R40" s="76"/>
      <c r="T40" s="76"/>
    </row>
    <row r="41" spans="2:20" s="75" customFormat="1" ht="30" customHeight="1" x14ac:dyDescent="0.3">
      <c r="B41" s="96">
        <v>6</v>
      </c>
      <c r="C41" s="146" t="s">
        <v>63</v>
      </c>
      <c r="D41" s="146"/>
      <c r="E41" s="146"/>
      <c r="F41" s="93" t="s">
        <v>19</v>
      </c>
      <c r="G41" s="91"/>
      <c r="H41" s="137"/>
      <c r="L41" s="76"/>
      <c r="N41" s="76"/>
      <c r="P41" s="76"/>
      <c r="R41" s="76"/>
      <c r="T41" s="76"/>
    </row>
    <row r="42" spans="2:20" s="75" customFormat="1" ht="3" customHeight="1" x14ac:dyDescent="0.3">
      <c r="B42" s="95"/>
      <c r="C42" s="154"/>
      <c r="D42" s="154"/>
      <c r="E42" s="154"/>
      <c r="F42" s="139" t="s">
        <v>187</v>
      </c>
      <c r="G42" s="139" t="s">
        <v>187</v>
      </c>
      <c r="H42" s="138"/>
      <c r="L42" s="76"/>
      <c r="N42" s="76"/>
      <c r="P42" s="76"/>
      <c r="R42" s="76"/>
      <c r="T42" s="76"/>
    </row>
    <row r="43" spans="2:20" ht="30" customHeight="1" x14ac:dyDescent="0.3">
      <c r="B43" s="90" t="s">
        <v>60</v>
      </c>
      <c r="C43" s="145" t="s">
        <v>15</v>
      </c>
      <c r="D43" s="145"/>
      <c r="E43" s="145"/>
      <c r="F43" s="97"/>
      <c r="G43" s="91"/>
      <c r="H43" s="137"/>
    </row>
    <row r="44" spans="2:20" s="75" customFormat="1" ht="24.9" customHeight="1" x14ac:dyDescent="0.3">
      <c r="B44" s="92">
        <v>1</v>
      </c>
      <c r="C44" s="144" t="s">
        <v>141</v>
      </c>
      <c r="D44" s="144"/>
      <c r="E44" s="144"/>
      <c r="F44" s="93" t="s">
        <v>16</v>
      </c>
      <c r="G44" s="91"/>
      <c r="H44" s="137"/>
      <c r="L44" s="76"/>
      <c r="N44" s="76"/>
      <c r="P44" s="76"/>
      <c r="R44" s="76"/>
      <c r="T44" s="76"/>
    </row>
    <row r="45" spans="2:20" s="75" customFormat="1" ht="48.75" customHeight="1" x14ac:dyDescent="0.3">
      <c r="B45" s="92">
        <v>2</v>
      </c>
      <c r="C45" s="144" t="s">
        <v>83</v>
      </c>
      <c r="D45" s="144"/>
      <c r="E45" s="144"/>
      <c r="F45" s="93" t="s">
        <v>16</v>
      </c>
      <c r="G45" s="91"/>
      <c r="H45" s="137"/>
      <c r="L45" s="76"/>
      <c r="N45" s="76"/>
      <c r="P45" s="76"/>
      <c r="R45" s="76"/>
      <c r="T45" s="76"/>
    </row>
    <row r="46" spans="2:20" s="75" customFormat="1" ht="38.25" customHeight="1" x14ac:dyDescent="0.3">
      <c r="B46" s="92">
        <v>3</v>
      </c>
      <c r="C46" s="144" t="s">
        <v>142</v>
      </c>
      <c r="D46" s="144"/>
      <c r="E46" s="144"/>
      <c r="F46" s="93" t="s">
        <v>16</v>
      </c>
      <c r="G46" s="91"/>
      <c r="H46" s="137"/>
      <c r="L46" s="76"/>
      <c r="N46" s="76"/>
      <c r="P46" s="76"/>
      <c r="R46" s="76"/>
      <c r="T46" s="76"/>
    </row>
    <row r="47" spans="2:20" s="75" customFormat="1" ht="27.75" customHeight="1" x14ac:dyDescent="0.3">
      <c r="B47" s="92">
        <v>4</v>
      </c>
      <c r="C47" s="144" t="s">
        <v>89</v>
      </c>
      <c r="D47" s="144"/>
      <c r="E47" s="144"/>
      <c r="F47" s="93" t="s">
        <v>16</v>
      </c>
      <c r="G47" s="91"/>
      <c r="H47" s="137"/>
      <c r="L47" s="76"/>
      <c r="N47" s="76"/>
      <c r="P47" s="76"/>
      <c r="R47" s="76"/>
      <c r="T47" s="76"/>
    </row>
    <row r="48" spans="2:20" s="75" customFormat="1" ht="30" customHeight="1" x14ac:dyDescent="0.3">
      <c r="B48" s="92">
        <v>5</v>
      </c>
      <c r="C48" s="144" t="s">
        <v>100</v>
      </c>
      <c r="D48" s="144"/>
      <c r="E48" s="144"/>
      <c r="F48" s="93" t="s">
        <v>17</v>
      </c>
      <c r="G48" s="91" t="s">
        <v>24</v>
      </c>
      <c r="H48" s="137"/>
      <c r="L48" s="76"/>
      <c r="N48" s="76"/>
      <c r="P48" s="76"/>
      <c r="R48" s="76"/>
      <c r="T48" s="76"/>
    </row>
    <row r="49" spans="2:20" s="75" customFormat="1" ht="31.5" customHeight="1" x14ac:dyDescent="0.3">
      <c r="B49" s="92">
        <v>6</v>
      </c>
      <c r="C49" s="144" t="s">
        <v>132</v>
      </c>
      <c r="D49" s="144"/>
      <c r="E49" s="144"/>
      <c r="F49" s="93" t="s">
        <v>17</v>
      </c>
      <c r="G49" s="91" t="s">
        <v>24</v>
      </c>
      <c r="H49" s="137"/>
      <c r="L49" s="76"/>
      <c r="N49" s="76"/>
      <c r="P49" s="76"/>
      <c r="R49" s="76"/>
      <c r="T49" s="76"/>
    </row>
    <row r="50" spans="2:20" s="75" customFormat="1" ht="33" customHeight="1" x14ac:dyDescent="0.3">
      <c r="B50" s="92">
        <v>7</v>
      </c>
      <c r="C50" s="144" t="s">
        <v>122</v>
      </c>
      <c r="D50" s="144"/>
      <c r="E50" s="144"/>
      <c r="F50" s="93"/>
      <c r="G50" s="91"/>
      <c r="H50" s="137"/>
      <c r="L50" s="76"/>
      <c r="N50" s="76"/>
      <c r="P50" s="76"/>
      <c r="R50" s="76"/>
      <c r="T50" s="76"/>
    </row>
    <row r="51" spans="2:20" s="75" customFormat="1" ht="33" customHeight="1" x14ac:dyDescent="0.3">
      <c r="B51" s="94" t="s">
        <v>10</v>
      </c>
      <c r="C51" s="144" t="s">
        <v>162</v>
      </c>
      <c r="D51" s="144"/>
      <c r="E51" s="144"/>
      <c r="F51" s="93" t="s">
        <v>16</v>
      </c>
      <c r="G51" s="91"/>
      <c r="H51" s="137"/>
      <c r="L51" s="76"/>
      <c r="N51" s="76"/>
      <c r="P51" s="76"/>
      <c r="R51" s="76"/>
      <c r="T51" s="76"/>
    </row>
    <row r="52" spans="2:20" s="75" customFormat="1" ht="33" customHeight="1" x14ac:dyDescent="0.3">
      <c r="B52" s="94" t="s">
        <v>11</v>
      </c>
      <c r="C52" s="144" t="s">
        <v>123</v>
      </c>
      <c r="D52" s="144"/>
      <c r="E52" s="144"/>
      <c r="F52" s="93" t="s">
        <v>16</v>
      </c>
      <c r="G52" s="91"/>
      <c r="H52" s="137"/>
      <c r="L52" s="76"/>
      <c r="N52" s="76"/>
      <c r="P52" s="76"/>
      <c r="R52" s="76"/>
      <c r="T52" s="76"/>
    </row>
    <row r="53" spans="2:20" s="75" customFormat="1" ht="33" customHeight="1" x14ac:dyDescent="0.3">
      <c r="B53" s="94" t="s">
        <v>12</v>
      </c>
      <c r="C53" s="144" t="s">
        <v>124</v>
      </c>
      <c r="D53" s="144"/>
      <c r="E53" s="144"/>
      <c r="F53" s="93" t="s">
        <v>16</v>
      </c>
      <c r="G53" s="91"/>
      <c r="H53" s="137"/>
      <c r="L53" s="76"/>
      <c r="N53" s="76"/>
      <c r="P53" s="76"/>
      <c r="R53" s="76"/>
      <c r="T53" s="76"/>
    </row>
    <row r="54" spans="2:20" s="75" customFormat="1" ht="27.75" customHeight="1" x14ac:dyDescent="0.3">
      <c r="B54" s="94" t="s">
        <v>13</v>
      </c>
      <c r="C54" s="144" t="s">
        <v>143</v>
      </c>
      <c r="D54" s="144"/>
      <c r="E54" s="144"/>
      <c r="F54" s="93" t="s">
        <v>17</v>
      </c>
      <c r="G54" s="91" t="s">
        <v>24</v>
      </c>
      <c r="H54" s="137" t="s">
        <v>145</v>
      </c>
      <c r="L54" s="76"/>
      <c r="N54" s="76"/>
      <c r="P54" s="76"/>
      <c r="R54" s="76"/>
      <c r="T54" s="76"/>
    </row>
    <row r="55" spans="2:20" s="75" customFormat="1" ht="33" customHeight="1" x14ac:dyDescent="0.3">
      <c r="B55" s="94" t="s">
        <v>14</v>
      </c>
      <c r="C55" s="144" t="s">
        <v>125</v>
      </c>
      <c r="D55" s="144"/>
      <c r="E55" s="144"/>
      <c r="F55" s="93" t="s">
        <v>17</v>
      </c>
      <c r="G55" s="91" t="s">
        <v>24</v>
      </c>
      <c r="H55" s="137"/>
      <c r="L55" s="76"/>
      <c r="N55" s="76"/>
      <c r="P55" s="76"/>
      <c r="R55" s="76"/>
      <c r="T55" s="76"/>
    </row>
    <row r="56" spans="2:20" s="75" customFormat="1" ht="28.5" customHeight="1" x14ac:dyDescent="0.3">
      <c r="B56" s="94" t="s">
        <v>74</v>
      </c>
      <c r="C56" s="144" t="s">
        <v>126</v>
      </c>
      <c r="D56" s="144"/>
      <c r="E56" s="144"/>
      <c r="F56" s="93" t="s">
        <v>16</v>
      </c>
      <c r="G56" s="91"/>
      <c r="H56" s="137"/>
      <c r="L56" s="76"/>
      <c r="N56" s="76"/>
      <c r="P56" s="76"/>
      <c r="R56" s="76"/>
      <c r="T56" s="76"/>
    </row>
    <row r="57" spans="2:20" s="75" customFormat="1" ht="27" customHeight="1" x14ac:dyDescent="0.3">
      <c r="B57" s="94" t="s">
        <v>97</v>
      </c>
      <c r="C57" s="144" t="s">
        <v>189</v>
      </c>
      <c r="D57" s="144"/>
      <c r="E57" s="144"/>
      <c r="F57" s="93" t="s">
        <v>17</v>
      </c>
      <c r="G57" s="91" t="s">
        <v>24</v>
      </c>
      <c r="H57" s="137" t="s">
        <v>144</v>
      </c>
      <c r="L57" s="76"/>
      <c r="N57" s="76"/>
      <c r="P57" s="76"/>
      <c r="R57" s="76"/>
      <c r="T57" s="76"/>
    </row>
    <row r="58" spans="2:20" s="75" customFormat="1" ht="27" customHeight="1" x14ac:dyDescent="0.3">
      <c r="B58" s="92">
        <v>8</v>
      </c>
      <c r="C58" s="144" t="s">
        <v>190</v>
      </c>
      <c r="D58" s="144"/>
      <c r="E58" s="144"/>
      <c r="F58" s="93"/>
      <c r="G58" s="91"/>
      <c r="H58" s="137"/>
      <c r="L58" s="76"/>
      <c r="N58" s="76"/>
      <c r="P58" s="76"/>
      <c r="R58" s="76"/>
      <c r="T58" s="76"/>
    </row>
    <row r="59" spans="2:20" s="75" customFormat="1" ht="45" customHeight="1" x14ac:dyDescent="0.3">
      <c r="B59" s="94" t="s">
        <v>10</v>
      </c>
      <c r="C59" s="144" t="s">
        <v>147</v>
      </c>
      <c r="D59" s="144"/>
      <c r="E59" s="144"/>
      <c r="F59" s="93" t="s">
        <v>17</v>
      </c>
      <c r="G59" s="91" t="s">
        <v>24</v>
      </c>
      <c r="H59" s="137" t="s">
        <v>146</v>
      </c>
      <c r="L59" s="76"/>
      <c r="N59" s="76"/>
      <c r="P59" s="76"/>
      <c r="R59" s="76"/>
      <c r="T59" s="76"/>
    </row>
    <row r="60" spans="2:20" s="75" customFormat="1" ht="30.75" customHeight="1" x14ac:dyDescent="0.3">
      <c r="B60" s="94" t="s">
        <v>11</v>
      </c>
      <c r="C60" s="144" t="s">
        <v>148</v>
      </c>
      <c r="D60" s="144"/>
      <c r="E60" s="144"/>
      <c r="F60" s="93" t="s">
        <v>17</v>
      </c>
      <c r="G60" s="91" t="s">
        <v>24</v>
      </c>
      <c r="H60" s="137"/>
      <c r="L60" s="76"/>
      <c r="N60" s="76"/>
      <c r="P60" s="76"/>
      <c r="R60" s="76"/>
      <c r="T60" s="76"/>
    </row>
    <row r="61" spans="2:20" s="75" customFormat="1" ht="30.75" customHeight="1" x14ac:dyDescent="0.3">
      <c r="B61" s="94" t="s">
        <v>12</v>
      </c>
      <c r="C61" s="144" t="s">
        <v>149</v>
      </c>
      <c r="D61" s="144"/>
      <c r="E61" s="144"/>
      <c r="F61" s="93" t="s">
        <v>17</v>
      </c>
      <c r="G61" s="91" t="s">
        <v>23</v>
      </c>
      <c r="H61" s="137" t="s">
        <v>150</v>
      </c>
      <c r="L61" s="76"/>
      <c r="N61" s="76"/>
      <c r="P61" s="76"/>
      <c r="R61" s="76"/>
      <c r="T61" s="76"/>
    </row>
    <row r="62" spans="2:20" s="75" customFormat="1" ht="24.9" customHeight="1" x14ac:dyDescent="0.3">
      <c r="B62" s="94" t="s">
        <v>13</v>
      </c>
      <c r="C62" s="144" t="s">
        <v>102</v>
      </c>
      <c r="D62" s="144"/>
      <c r="E62" s="144"/>
      <c r="F62" s="93" t="s">
        <v>16</v>
      </c>
      <c r="G62" s="91"/>
      <c r="H62" s="137"/>
      <c r="L62" s="76"/>
      <c r="N62" s="76"/>
      <c r="P62" s="76"/>
      <c r="R62" s="76"/>
      <c r="T62" s="76"/>
    </row>
    <row r="63" spans="2:20" s="75" customFormat="1" ht="43.5" customHeight="1" x14ac:dyDescent="0.3">
      <c r="B63" s="92">
        <v>9</v>
      </c>
      <c r="C63" s="144" t="s">
        <v>163</v>
      </c>
      <c r="D63" s="144"/>
      <c r="E63" s="144"/>
      <c r="F63" s="93"/>
      <c r="G63" s="91"/>
      <c r="H63" s="137"/>
      <c r="L63" s="76"/>
      <c r="N63" s="76"/>
      <c r="P63" s="76"/>
      <c r="R63" s="76"/>
      <c r="T63" s="76"/>
    </row>
    <row r="64" spans="2:20" s="75" customFormat="1" ht="24.9" customHeight="1" x14ac:dyDescent="0.3">
      <c r="B64" s="94" t="s">
        <v>10</v>
      </c>
      <c r="C64" s="144" t="s">
        <v>90</v>
      </c>
      <c r="D64" s="144"/>
      <c r="E64" s="144"/>
      <c r="F64" s="93" t="s">
        <v>16</v>
      </c>
      <c r="G64" s="91"/>
      <c r="H64" s="137"/>
      <c r="L64" s="76"/>
      <c r="N64" s="76"/>
      <c r="P64" s="76"/>
      <c r="R64" s="76"/>
      <c r="T64" s="76"/>
    </row>
    <row r="65" spans="2:20" s="75" customFormat="1" ht="24.9" customHeight="1" x14ac:dyDescent="0.3">
      <c r="B65" s="94" t="s">
        <v>11</v>
      </c>
      <c r="C65" s="144" t="s">
        <v>91</v>
      </c>
      <c r="D65" s="144"/>
      <c r="E65" s="144"/>
      <c r="F65" s="93" t="s">
        <v>17</v>
      </c>
      <c r="G65" s="91" t="s">
        <v>24</v>
      </c>
      <c r="H65" s="137" t="s">
        <v>151</v>
      </c>
      <c r="L65" s="76"/>
      <c r="N65" s="76"/>
      <c r="P65" s="76"/>
      <c r="R65" s="76"/>
      <c r="T65" s="76"/>
    </row>
    <row r="66" spans="2:20" s="75" customFormat="1" ht="24.9" customHeight="1" x14ac:dyDescent="0.3">
      <c r="B66" s="94" t="s">
        <v>12</v>
      </c>
      <c r="C66" s="144" t="s">
        <v>105</v>
      </c>
      <c r="D66" s="144"/>
      <c r="E66" s="144"/>
      <c r="F66" s="93" t="s">
        <v>17</v>
      </c>
      <c r="G66" s="91" t="s">
        <v>24</v>
      </c>
      <c r="H66" s="137" t="s">
        <v>151</v>
      </c>
      <c r="L66" s="76"/>
      <c r="N66" s="76"/>
      <c r="P66" s="76"/>
      <c r="R66" s="76"/>
      <c r="T66" s="76"/>
    </row>
    <row r="67" spans="2:20" s="75" customFormat="1" ht="24.9" customHeight="1" x14ac:dyDescent="0.3">
      <c r="B67" s="94" t="s">
        <v>13</v>
      </c>
      <c r="C67" s="144" t="s">
        <v>103</v>
      </c>
      <c r="D67" s="144"/>
      <c r="E67" s="144"/>
      <c r="F67" s="93" t="s">
        <v>16</v>
      </c>
      <c r="G67" s="91"/>
      <c r="H67" s="137"/>
      <c r="L67" s="76"/>
      <c r="N67" s="76"/>
      <c r="P67" s="76"/>
      <c r="R67" s="76"/>
      <c r="T67" s="76"/>
    </row>
    <row r="68" spans="2:20" s="75" customFormat="1" ht="24.9" customHeight="1" x14ac:dyDescent="0.3">
      <c r="B68" s="94" t="s">
        <v>14</v>
      </c>
      <c r="C68" s="144" t="s">
        <v>104</v>
      </c>
      <c r="D68" s="144"/>
      <c r="E68" s="144"/>
      <c r="F68" s="93" t="s">
        <v>16</v>
      </c>
      <c r="G68" s="91"/>
      <c r="H68" s="137"/>
      <c r="L68" s="76"/>
      <c r="N68" s="76"/>
      <c r="P68" s="76"/>
      <c r="R68" s="76"/>
      <c r="T68" s="76"/>
    </row>
    <row r="69" spans="2:20" s="75" customFormat="1" ht="27.75" customHeight="1" x14ac:dyDescent="0.3">
      <c r="B69" s="92">
        <v>10</v>
      </c>
      <c r="C69" s="155" t="s">
        <v>85</v>
      </c>
      <c r="D69" s="156"/>
      <c r="E69" s="157"/>
      <c r="F69" s="93"/>
      <c r="G69" s="91"/>
      <c r="H69" s="137"/>
      <c r="L69" s="76"/>
      <c r="N69" s="76"/>
      <c r="P69" s="76"/>
      <c r="R69" s="76"/>
      <c r="T69" s="76"/>
    </row>
    <row r="70" spans="2:20" s="75" customFormat="1" ht="45.75" customHeight="1" x14ac:dyDescent="0.3">
      <c r="B70" s="94" t="s">
        <v>10</v>
      </c>
      <c r="C70" s="144" t="s">
        <v>86</v>
      </c>
      <c r="D70" s="144"/>
      <c r="E70" s="144"/>
      <c r="F70" s="93" t="s">
        <v>16</v>
      </c>
      <c r="G70" s="91"/>
      <c r="H70" s="137"/>
      <c r="L70" s="76"/>
      <c r="N70" s="76"/>
      <c r="P70" s="76"/>
      <c r="R70" s="76"/>
      <c r="T70" s="76"/>
    </row>
    <row r="71" spans="2:20" s="75" customFormat="1" ht="43.5" customHeight="1" x14ac:dyDescent="0.3">
      <c r="B71" s="94" t="s">
        <v>11</v>
      </c>
      <c r="C71" s="144" t="s">
        <v>87</v>
      </c>
      <c r="D71" s="144"/>
      <c r="E71" s="144"/>
      <c r="F71" s="93" t="s">
        <v>16</v>
      </c>
      <c r="G71" s="91"/>
      <c r="H71" s="137"/>
      <c r="L71" s="76"/>
      <c r="N71" s="76"/>
      <c r="P71" s="76"/>
      <c r="R71" s="76"/>
      <c r="T71" s="76"/>
    </row>
    <row r="72" spans="2:20" s="75" customFormat="1" ht="35.25" customHeight="1" x14ac:dyDescent="0.3">
      <c r="B72" s="94" t="s">
        <v>12</v>
      </c>
      <c r="C72" s="144" t="s">
        <v>88</v>
      </c>
      <c r="D72" s="144"/>
      <c r="E72" s="144"/>
      <c r="F72" s="93" t="s">
        <v>16</v>
      </c>
      <c r="G72" s="91"/>
      <c r="H72" s="137"/>
      <c r="L72" s="76"/>
      <c r="N72" s="76"/>
      <c r="P72" s="76"/>
      <c r="R72" s="76"/>
      <c r="T72" s="76"/>
    </row>
    <row r="73" spans="2:20" s="75" customFormat="1" ht="35.25" customHeight="1" x14ac:dyDescent="0.3">
      <c r="B73" s="92">
        <v>11</v>
      </c>
      <c r="C73" s="144" t="s">
        <v>77</v>
      </c>
      <c r="D73" s="144"/>
      <c r="E73" s="144"/>
      <c r="F73" s="93"/>
      <c r="G73" s="91"/>
      <c r="H73" s="137"/>
      <c r="L73" s="76"/>
      <c r="N73" s="76"/>
      <c r="P73" s="76"/>
      <c r="R73" s="76"/>
      <c r="T73" s="76"/>
    </row>
    <row r="74" spans="2:20" s="75" customFormat="1" ht="24.9" customHeight="1" x14ac:dyDescent="0.3">
      <c r="B74" s="94" t="s">
        <v>10</v>
      </c>
      <c r="C74" s="144" t="s">
        <v>94</v>
      </c>
      <c r="D74" s="144"/>
      <c r="E74" s="144"/>
      <c r="F74" s="93" t="s">
        <v>16</v>
      </c>
      <c r="G74" s="91"/>
      <c r="H74" s="137"/>
      <c r="L74" s="76"/>
      <c r="N74" s="76"/>
      <c r="P74" s="76"/>
      <c r="R74" s="76"/>
      <c r="T74" s="76"/>
    </row>
    <row r="75" spans="2:20" s="75" customFormat="1" ht="24.9" customHeight="1" x14ac:dyDescent="0.3">
      <c r="B75" s="94" t="s">
        <v>11</v>
      </c>
      <c r="C75" s="144" t="s">
        <v>98</v>
      </c>
      <c r="D75" s="144"/>
      <c r="E75" s="144"/>
      <c r="F75" s="93" t="s">
        <v>16</v>
      </c>
      <c r="G75" s="91"/>
      <c r="H75" s="137"/>
      <c r="L75" s="76"/>
      <c r="N75" s="76"/>
      <c r="P75" s="76"/>
      <c r="R75" s="76"/>
      <c r="T75" s="76"/>
    </row>
    <row r="76" spans="2:20" s="75" customFormat="1" ht="24.9" customHeight="1" x14ac:dyDescent="0.3">
      <c r="B76" s="94" t="s">
        <v>12</v>
      </c>
      <c r="C76" s="144" t="s">
        <v>92</v>
      </c>
      <c r="D76" s="144"/>
      <c r="E76" s="144"/>
      <c r="F76" s="93" t="s">
        <v>16</v>
      </c>
      <c r="G76" s="91"/>
      <c r="H76" s="137"/>
      <c r="L76" s="76"/>
      <c r="N76" s="76"/>
      <c r="P76" s="76"/>
      <c r="R76" s="76"/>
      <c r="T76" s="76"/>
    </row>
    <row r="77" spans="2:20" s="75" customFormat="1" ht="24.9" customHeight="1" x14ac:dyDescent="0.3">
      <c r="B77" s="94" t="s">
        <v>13</v>
      </c>
      <c r="C77" s="144" t="s">
        <v>93</v>
      </c>
      <c r="D77" s="144"/>
      <c r="E77" s="144"/>
      <c r="F77" s="93" t="s">
        <v>16</v>
      </c>
      <c r="G77" s="91"/>
      <c r="H77" s="137"/>
      <c r="L77" s="76"/>
      <c r="N77" s="76"/>
      <c r="P77" s="76"/>
      <c r="R77" s="76"/>
      <c r="T77" s="76"/>
    </row>
    <row r="78" spans="2:20" s="75" customFormat="1" ht="24.9" customHeight="1" x14ac:dyDescent="0.3">
      <c r="B78" s="94" t="s">
        <v>14</v>
      </c>
      <c r="C78" s="144" t="s">
        <v>96</v>
      </c>
      <c r="D78" s="144"/>
      <c r="E78" s="144"/>
      <c r="F78" s="93" t="s">
        <v>19</v>
      </c>
      <c r="G78" s="91"/>
      <c r="H78" s="137"/>
      <c r="L78" s="76"/>
      <c r="N78" s="76"/>
      <c r="P78" s="76"/>
      <c r="R78" s="76"/>
      <c r="T78" s="76"/>
    </row>
    <row r="79" spans="2:20" s="75" customFormat="1" ht="24.9" customHeight="1" x14ac:dyDescent="0.3">
      <c r="B79" s="94" t="s">
        <v>74</v>
      </c>
      <c r="C79" s="144" t="s">
        <v>95</v>
      </c>
      <c r="D79" s="144"/>
      <c r="E79" s="144"/>
      <c r="F79" s="93" t="s">
        <v>17</v>
      </c>
      <c r="G79" s="91" t="s">
        <v>24</v>
      </c>
      <c r="H79" s="137" t="s">
        <v>152</v>
      </c>
      <c r="L79" s="76"/>
      <c r="N79" s="76"/>
      <c r="P79" s="76"/>
      <c r="R79" s="76"/>
      <c r="T79" s="76"/>
    </row>
    <row r="80" spans="2:20" s="75" customFormat="1" ht="24.9" customHeight="1" x14ac:dyDescent="0.3">
      <c r="B80" s="94" t="s">
        <v>97</v>
      </c>
      <c r="C80" s="144" t="s">
        <v>116</v>
      </c>
      <c r="D80" s="144"/>
      <c r="E80" s="144"/>
      <c r="F80" s="93" t="s">
        <v>16</v>
      </c>
      <c r="G80" s="91"/>
      <c r="H80" s="137"/>
      <c r="L80" s="76"/>
      <c r="N80" s="76"/>
      <c r="P80" s="76"/>
      <c r="R80" s="76"/>
      <c r="T80" s="76"/>
    </row>
    <row r="81" spans="2:20" s="75" customFormat="1" ht="24.9" customHeight="1" x14ac:dyDescent="0.3">
      <c r="B81" s="94" t="s">
        <v>115</v>
      </c>
      <c r="C81" s="144" t="s">
        <v>99</v>
      </c>
      <c r="D81" s="144"/>
      <c r="E81" s="144"/>
      <c r="F81" s="93" t="s">
        <v>19</v>
      </c>
      <c r="G81" s="91"/>
      <c r="H81" s="137"/>
      <c r="L81" s="76"/>
      <c r="N81" s="76"/>
      <c r="P81" s="76"/>
      <c r="R81" s="76"/>
      <c r="T81" s="76"/>
    </row>
    <row r="82" spans="2:20" s="75" customFormat="1" ht="33.75" customHeight="1" x14ac:dyDescent="0.3">
      <c r="B82" s="92">
        <v>12</v>
      </c>
      <c r="C82" s="144" t="s">
        <v>109</v>
      </c>
      <c r="D82" s="144"/>
      <c r="E82" s="144"/>
      <c r="F82" s="93"/>
      <c r="G82" s="91"/>
      <c r="H82" s="137"/>
      <c r="L82" s="76"/>
      <c r="N82" s="76"/>
      <c r="P82" s="76"/>
      <c r="R82" s="76"/>
      <c r="T82" s="76"/>
    </row>
    <row r="83" spans="2:20" s="75" customFormat="1" ht="24.9" customHeight="1" x14ac:dyDescent="0.3">
      <c r="B83" s="94" t="s">
        <v>10</v>
      </c>
      <c r="C83" s="144" t="s">
        <v>110</v>
      </c>
      <c r="D83" s="144"/>
      <c r="E83" s="144"/>
      <c r="F83" s="93" t="s">
        <v>16</v>
      </c>
      <c r="G83" s="91"/>
      <c r="H83" s="137"/>
      <c r="L83" s="76"/>
      <c r="N83" s="76"/>
      <c r="P83" s="76"/>
      <c r="R83" s="76"/>
      <c r="T83" s="76"/>
    </row>
    <row r="84" spans="2:20" s="75" customFormat="1" ht="24.9" customHeight="1" x14ac:dyDescent="0.3">
      <c r="B84" s="94" t="s">
        <v>11</v>
      </c>
      <c r="C84" s="144" t="s">
        <v>111</v>
      </c>
      <c r="D84" s="144"/>
      <c r="E84" s="144"/>
      <c r="F84" s="93" t="s">
        <v>16</v>
      </c>
      <c r="G84" s="91"/>
      <c r="H84" s="137"/>
      <c r="L84" s="76"/>
      <c r="N84" s="76"/>
      <c r="P84" s="76"/>
      <c r="R84" s="76"/>
      <c r="T84" s="76"/>
    </row>
    <row r="85" spans="2:20" s="75" customFormat="1" ht="24.9" customHeight="1" x14ac:dyDescent="0.3">
      <c r="B85" s="94" t="s">
        <v>12</v>
      </c>
      <c r="C85" s="144" t="s">
        <v>112</v>
      </c>
      <c r="D85" s="144"/>
      <c r="E85" s="144"/>
      <c r="F85" s="93" t="s">
        <v>16</v>
      </c>
      <c r="G85" s="91"/>
      <c r="H85" s="137"/>
      <c r="L85" s="76"/>
      <c r="N85" s="76"/>
      <c r="P85" s="76"/>
      <c r="R85" s="76"/>
      <c r="T85" s="76"/>
    </row>
    <row r="86" spans="2:20" s="75" customFormat="1" ht="27.75" customHeight="1" x14ac:dyDescent="0.3">
      <c r="B86" s="92">
        <v>13</v>
      </c>
      <c r="C86" s="144" t="s">
        <v>179</v>
      </c>
      <c r="D86" s="144"/>
      <c r="E86" s="144"/>
      <c r="F86" s="93"/>
      <c r="G86" s="91"/>
      <c r="H86" s="137"/>
      <c r="L86" s="76"/>
      <c r="N86" s="76"/>
      <c r="P86" s="76"/>
      <c r="R86" s="76"/>
      <c r="T86" s="76"/>
    </row>
    <row r="87" spans="2:20" s="75" customFormat="1" ht="24.9" customHeight="1" x14ac:dyDescent="0.3">
      <c r="B87" s="94" t="s">
        <v>10</v>
      </c>
      <c r="C87" s="144" t="s">
        <v>106</v>
      </c>
      <c r="D87" s="144"/>
      <c r="E87" s="144"/>
      <c r="F87" s="93" t="s">
        <v>16</v>
      </c>
      <c r="G87" s="91"/>
      <c r="H87" s="137"/>
      <c r="L87" s="76"/>
      <c r="N87" s="76"/>
      <c r="P87" s="76"/>
      <c r="R87" s="76"/>
      <c r="T87" s="76"/>
    </row>
    <row r="88" spans="2:20" s="75" customFormat="1" ht="24.9" customHeight="1" x14ac:dyDescent="0.3">
      <c r="B88" s="94" t="s">
        <v>11</v>
      </c>
      <c r="C88" s="144" t="s">
        <v>107</v>
      </c>
      <c r="D88" s="144"/>
      <c r="E88" s="144"/>
      <c r="F88" s="93" t="s">
        <v>16</v>
      </c>
      <c r="G88" s="91"/>
      <c r="H88" s="137"/>
      <c r="L88" s="76"/>
      <c r="N88" s="76"/>
      <c r="P88" s="76"/>
      <c r="R88" s="76"/>
      <c r="T88" s="76"/>
    </row>
    <row r="89" spans="2:20" s="75" customFormat="1" ht="24.9" customHeight="1" x14ac:dyDescent="0.3">
      <c r="B89" s="94" t="s">
        <v>12</v>
      </c>
      <c r="C89" s="144" t="s">
        <v>108</v>
      </c>
      <c r="D89" s="144"/>
      <c r="E89" s="144"/>
      <c r="F89" s="93" t="s">
        <v>16</v>
      </c>
      <c r="G89" s="91"/>
      <c r="H89" s="137"/>
      <c r="L89" s="76"/>
      <c r="N89" s="76"/>
      <c r="P89" s="76"/>
      <c r="R89" s="76"/>
      <c r="T89" s="76"/>
    </row>
    <row r="90" spans="2:20" s="75" customFormat="1" ht="24.9" customHeight="1" x14ac:dyDescent="0.3">
      <c r="B90" s="94" t="s">
        <v>13</v>
      </c>
      <c r="C90" s="144" t="s">
        <v>113</v>
      </c>
      <c r="D90" s="144"/>
      <c r="E90" s="144"/>
      <c r="F90" s="93" t="s">
        <v>16</v>
      </c>
      <c r="G90" s="91"/>
      <c r="H90" s="137"/>
      <c r="L90" s="76"/>
      <c r="N90" s="76"/>
      <c r="P90" s="76"/>
      <c r="R90" s="76"/>
      <c r="T90" s="76"/>
    </row>
    <row r="91" spans="2:20" s="75" customFormat="1" ht="27.75" customHeight="1" x14ac:dyDescent="0.3">
      <c r="B91" s="92">
        <v>14</v>
      </c>
      <c r="C91" s="144" t="s">
        <v>188</v>
      </c>
      <c r="D91" s="144"/>
      <c r="E91" s="144"/>
      <c r="F91" s="93"/>
      <c r="G91" s="91"/>
      <c r="H91" s="137"/>
      <c r="L91" s="76"/>
      <c r="N91" s="76"/>
      <c r="P91" s="76"/>
      <c r="R91" s="76"/>
      <c r="T91" s="76"/>
    </row>
    <row r="92" spans="2:20" s="75" customFormat="1" ht="24.9" customHeight="1" x14ac:dyDescent="0.3">
      <c r="B92" s="94" t="s">
        <v>10</v>
      </c>
      <c r="C92" s="144" t="s">
        <v>172</v>
      </c>
      <c r="D92" s="144"/>
      <c r="E92" s="144"/>
      <c r="F92" s="93" t="s">
        <v>16</v>
      </c>
      <c r="G92" s="91"/>
      <c r="H92" s="137"/>
      <c r="L92" s="76"/>
      <c r="N92" s="76"/>
      <c r="P92" s="76"/>
      <c r="R92" s="76"/>
      <c r="T92" s="76"/>
    </row>
    <row r="93" spans="2:20" s="75" customFormat="1" ht="24.9" customHeight="1" x14ac:dyDescent="0.3">
      <c r="B93" s="94" t="s">
        <v>11</v>
      </c>
      <c r="C93" s="144" t="s">
        <v>173</v>
      </c>
      <c r="D93" s="144"/>
      <c r="E93" s="144"/>
      <c r="F93" s="93" t="s">
        <v>16</v>
      </c>
      <c r="G93" s="91"/>
      <c r="H93" s="137"/>
      <c r="L93" s="76"/>
      <c r="N93" s="76"/>
      <c r="P93" s="76"/>
      <c r="R93" s="76"/>
      <c r="T93" s="76"/>
    </row>
    <row r="94" spans="2:20" s="75" customFormat="1" ht="24.9" customHeight="1" x14ac:dyDescent="0.3">
      <c r="B94" s="94" t="s">
        <v>12</v>
      </c>
      <c r="C94" s="144" t="s">
        <v>174</v>
      </c>
      <c r="D94" s="144"/>
      <c r="E94" s="144"/>
      <c r="F94" s="93" t="s">
        <v>16</v>
      </c>
      <c r="G94" s="91"/>
      <c r="H94" s="137"/>
      <c r="L94" s="76"/>
      <c r="N94" s="76"/>
      <c r="P94" s="76"/>
      <c r="R94" s="76"/>
      <c r="T94" s="76"/>
    </row>
    <row r="95" spans="2:20" s="75" customFormat="1" ht="24.9" customHeight="1" x14ac:dyDescent="0.3">
      <c r="B95" s="94" t="s">
        <v>13</v>
      </c>
      <c r="C95" s="144" t="s">
        <v>175</v>
      </c>
      <c r="D95" s="144"/>
      <c r="E95" s="144"/>
      <c r="F95" s="93" t="s">
        <v>16</v>
      </c>
      <c r="G95" s="91"/>
      <c r="H95" s="137"/>
      <c r="L95" s="76"/>
      <c r="N95" s="76"/>
      <c r="P95" s="76"/>
      <c r="R95" s="76"/>
      <c r="T95" s="76"/>
    </row>
    <row r="96" spans="2:20" s="75" customFormat="1" ht="24.9" customHeight="1" x14ac:dyDescent="0.3">
      <c r="B96" s="94" t="s">
        <v>14</v>
      </c>
      <c r="C96" s="144" t="s">
        <v>176</v>
      </c>
      <c r="D96" s="144"/>
      <c r="E96" s="144"/>
      <c r="F96" s="93" t="s">
        <v>16</v>
      </c>
      <c r="G96" s="91"/>
      <c r="H96" s="137"/>
      <c r="L96" s="76"/>
      <c r="N96" s="76"/>
      <c r="P96" s="76"/>
      <c r="R96" s="76"/>
      <c r="T96" s="76"/>
    </row>
    <row r="97" spans="2:20" s="75" customFormat="1" ht="27.75" customHeight="1" x14ac:dyDescent="0.3">
      <c r="B97" s="92">
        <v>15</v>
      </c>
      <c r="C97" s="144" t="s">
        <v>114</v>
      </c>
      <c r="D97" s="144"/>
      <c r="E97" s="144"/>
      <c r="F97" s="93"/>
      <c r="G97" s="91"/>
      <c r="H97" s="137"/>
      <c r="L97" s="76"/>
      <c r="N97" s="76"/>
      <c r="P97" s="76"/>
      <c r="R97" s="76"/>
      <c r="T97" s="76"/>
    </row>
    <row r="98" spans="2:20" s="75" customFormat="1" ht="24.9" customHeight="1" x14ac:dyDescent="0.3">
      <c r="B98" s="94" t="s">
        <v>10</v>
      </c>
      <c r="C98" s="144" t="s">
        <v>106</v>
      </c>
      <c r="D98" s="144"/>
      <c r="E98" s="144"/>
      <c r="F98" s="93" t="s">
        <v>16</v>
      </c>
      <c r="G98" s="91"/>
      <c r="H98" s="137"/>
      <c r="L98" s="76"/>
      <c r="N98" s="76"/>
      <c r="P98" s="76"/>
      <c r="R98" s="76"/>
      <c r="T98" s="76"/>
    </row>
    <row r="99" spans="2:20" s="75" customFormat="1" ht="24.9" customHeight="1" x14ac:dyDescent="0.3">
      <c r="B99" s="94" t="s">
        <v>11</v>
      </c>
      <c r="C99" s="144" t="s">
        <v>107</v>
      </c>
      <c r="D99" s="144"/>
      <c r="E99" s="144"/>
      <c r="F99" s="93" t="s">
        <v>16</v>
      </c>
      <c r="G99" s="91"/>
      <c r="H99" s="137"/>
      <c r="L99" s="76"/>
      <c r="N99" s="76"/>
      <c r="P99" s="76"/>
      <c r="R99" s="76"/>
      <c r="T99" s="76"/>
    </row>
    <row r="100" spans="2:20" s="75" customFormat="1" ht="24.9" customHeight="1" x14ac:dyDescent="0.3">
      <c r="B100" s="94" t="s">
        <v>12</v>
      </c>
      <c r="C100" s="144" t="s">
        <v>108</v>
      </c>
      <c r="D100" s="144"/>
      <c r="E100" s="144"/>
      <c r="F100" s="93" t="s">
        <v>16</v>
      </c>
      <c r="G100" s="91"/>
      <c r="H100" s="137"/>
      <c r="L100" s="76"/>
      <c r="N100" s="76"/>
      <c r="P100" s="76"/>
      <c r="R100" s="76"/>
      <c r="T100" s="76"/>
    </row>
    <row r="101" spans="2:20" s="75" customFormat="1" ht="24.9" customHeight="1" x14ac:dyDescent="0.3">
      <c r="B101" s="94" t="s">
        <v>13</v>
      </c>
      <c r="C101" s="144" t="s">
        <v>113</v>
      </c>
      <c r="D101" s="144"/>
      <c r="E101" s="144"/>
      <c r="F101" s="93" t="s">
        <v>16</v>
      </c>
      <c r="G101" s="91"/>
      <c r="H101" s="137"/>
      <c r="L101" s="76"/>
      <c r="N101" s="76"/>
      <c r="P101" s="76"/>
      <c r="R101" s="76"/>
      <c r="T101" s="76"/>
    </row>
    <row r="102" spans="2:20" s="75" customFormat="1" ht="27.75" customHeight="1" x14ac:dyDescent="0.3">
      <c r="B102" s="92">
        <v>16</v>
      </c>
      <c r="C102" s="144" t="s">
        <v>117</v>
      </c>
      <c r="D102" s="144"/>
      <c r="E102" s="144"/>
      <c r="F102" s="93"/>
      <c r="G102" s="91"/>
      <c r="H102" s="137"/>
      <c r="L102" s="76"/>
      <c r="N102" s="76"/>
      <c r="P102" s="76"/>
      <c r="R102" s="76"/>
      <c r="T102" s="76"/>
    </row>
    <row r="103" spans="2:20" s="75" customFormat="1" ht="24.9" customHeight="1" x14ac:dyDescent="0.3">
      <c r="B103" s="94" t="s">
        <v>10</v>
      </c>
      <c r="C103" s="144" t="s">
        <v>106</v>
      </c>
      <c r="D103" s="144"/>
      <c r="E103" s="144"/>
      <c r="F103" s="93" t="s">
        <v>16</v>
      </c>
      <c r="G103" s="91"/>
      <c r="H103" s="137"/>
      <c r="L103" s="76"/>
      <c r="N103" s="76"/>
      <c r="P103" s="76"/>
      <c r="R103" s="76"/>
      <c r="T103" s="76"/>
    </row>
    <row r="104" spans="2:20" s="75" customFormat="1" ht="24.9" customHeight="1" x14ac:dyDescent="0.3">
      <c r="B104" s="94" t="s">
        <v>11</v>
      </c>
      <c r="C104" s="144" t="s">
        <v>107</v>
      </c>
      <c r="D104" s="144"/>
      <c r="E104" s="144"/>
      <c r="F104" s="93" t="s">
        <v>16</v>
      </c>
      <c r="G104" s="91"/>
      <c r="H104" s="137"/>
      <c r="L104" s="76"/>
      <c r="N104" s="76"/>
      <c r="P104" s="76"/>
      <c r="R104" s="76"/>
      <c r="T104" s="76"/>
    </row>
    <row r="105" spans="2:20" s="75" customFormat="1" ht="24.9" customHeight="1" x14ac:dyDescent="0.3">
      <c r="B105" s="94" t="s">
        <v>12</v>
      </c>
      <c r="C105" s="144" t="s">
        <v>108</v>
      </c>
      <c r="D105" s="144"/>
      <c r="E105" s="144"/>
      <c r="F105" s="93" t="s">
        <v>16</v>
      </c>
      <c r="G105" s="91"/>
      <c r="H105" s="137"/>
      <c r="L105" s="76"/>
      <c r="N105" s="76"/>
      <c r="P105" s="76"/>
      <c r="R105" s="76"/>
      <c r="T105" s="76"/>
    </row>
    <row r="106" spans="2:20" s="75" customFormat="1" ht="24.9" customHeight="1" x14ac:dyDescent="0.3">
      <c r="B106" s="94" t="s">
        <v>13</v>
      </c>
      <c r="C106" s="144" t="s">
        <v>113</v>
      </c>
      <c r="D106" s="144"/>
      <c r="E106" s="144"/>
      <c r="F106" s="93" t="s">
        <v>16</v>
      </c>
      <c r="G106" s="91"/>
      <c r="H106" s="137"/>
      <c r="L106" s="76"/>
      <c r="N106" s="76"/>
      <c r="P106" s="76"/>
      <c r="R106" s="76"/>
      <c r="T106" s="76"/>
    </row>
    <row r="107" spans="2:20" s="75" customFormat="1" ht="25.5" customHeight="1" x14ac:dyDescent="0.3">
      <c r="B107" s="92">
        <v>17</v>
      </c>
      <c r="C107" s="144" t="s">
        <v>180</v>
      </c>
      <c r="D107" s="144"/>
      <c r="E107" s="144"/>
      <c r="F107" s="93"/>
      <c r="G107" s="91"/>
      <c r="H107" s="137"/>
      <c r="L107" s="76"/>
      <c r="N107" s="76"/>
      <c r="P107" s="76"/>
      <c r="R107" s="76"/>
      <c r="T107" s="76"/>
    </row>
    <row r="108" spans="2:20" s="75" customFormat="1" ht="24.9" customHeight="1" x14ac:dyDescent="0.3">
      <c r="B108" s="94" t="s">
        <v>10</v>
      </c>
      <c r="C108" s="144" t="s">
        <v>181</v>
      </c>
      <c r="D108" s="144"/>
      <c r="E108" s="144"/>
      <c r="F108" s="93" t="s">
        <v>16</v>
      </c>
      <c r="G108" s="91"/>
      <c r="H108" s="137"/>
      <c r="L108" s="76"/>
      <c r="N108" s="76"/>
      <c r="P108" s="76"/>
      <c r="R108" s="76"/>
      <c r="T108" s="76"/>
    </row>
    <row r="109" spans="2:20" s="75" customFormat="1" ht="24.9" customHeight="1" x14ac:dyDescent="0.3">
      <c r="B109" s="94" t="s">
        <v>11</v>
      </c>
      <c r="C109" s="144" t="s">
        <v>118</v>
      </c>
      <c r="D109" s="144"/>
      <c r="E109" s="144"/>
      <c r="F109" s="93" t="s">
        <v>16</v>
      </c>
      <c r="G109" s="91"/>
      <c r="H109" s="137"/>
      <c r="L109" s="76"/>
      <c r="N109" s="76"/>
      <c r="P109" s="76"/>
      <c r="R109" s="76"/>
      <c r="T109" s="76"/>
    </row>
    <row r="110" spans="2:20" s="75" customFormat="1" ht="24.9" customHeight="1" x14ac:dyDescent="0.3">
      <c r="B110" s="94" t="s">
        <v>12</v>
      </c>
      <c r="C110" s="144" t="s">
        <v>119</v>
      </c>
      <c r="D110" s="144"/>
      <c r="E110" s="144"/>
      <c r="F110" s="93" t="s">
        <v>16</v>
      </c>
      <c r="G110" s="91"/>
      <c r="H110" s="137"/>
      <c r="L110" s="76"/>
      <c r="N110" s="76"/>
      <c r="P110" s="76"/>
      <c r="R110" s="76"/>
      <c r="T110" s="76"/>
    </row>
    <row r="111" spans="2:20" s="75" customFormat="1" ht="24.9" customHeight="1" x14ac:dyDescent="0.3">
      <c r="B111" s="94" t="s">
        <v>13</v>
      </c>
      <c r="C111" s="144" t="s">
        <v>120</v>
      </c>
      <c r="D111" s="144"/>
      <c r="E111" s="144"/>
      <c r="F111" s="93" t="s">
        <v>17</v>
      </c>
      <c r="G111" s="91" t="s">
        <v>23</v>
      </c>
      <c r="H111" s="137"/>
      <c r="L111" s="76"/>
      <c r="N111" s="76"/>
      <c r="P111" s="76"/>
      <c r="R111" s="76"/>
      <c r="T111" s="76"/>
    </row>
    <row r="112" spans="2:20" s="75" customFormat="1" ht="24.9" customHeight="1" x14ac:dyDescent="0.3">
      <c r="B112" s="94" t="s">
        <v>14</v>
      </c>
      <c r="C112" s="144" t="s">
        <v>153</v>
      </c>
      <c r="D112" s="144"/>
      <c r="E112" s="144"/>
      <c r="F112" s="93" t="s">
        <v>17</v>
      </c>
      <c r="G112" s="91" t="s">
        <v>23</v>
      </c>
      <c r="H112" s="137"/>
      <c r="L112" s="76"/>
      <c r="N112" s="76"/>
      <c r="P112" s="76"/>
      <c r="R112" s="76"/>
      <c r="T112" s="76"/>
    </row>
    <row r="113" spans="2:20" s="75" customFormat="1" ht="24.9" customHeight="1" x14ac:dyDescent="0.3">
      <c r="B113" s="94" t="s">
        <v>74</v>
      </c>
      <c r="C113" s="144" t="s">
        <v>121</v>
      </c>
      <c r="D113" s="144"/>
      <c r="E113" s="144"/>
      <c r="F113" s="93" t="s">
        <v>16</v>
      </c>
      <c r="G113" s="91"/>
      <c r="H113" s="137"/>
      <c r="L113" s="76"/>
      <c r="N113" s="76"/>
      <c r="P113" s="76"/>
      <c r="R113" s="76"/>
      <c r="T113" s="76"/>
    </row>
    <row r="114" spans="2:20" s="75" customFormat="1" ht="36.75" customHeight="1" x14ac:dyDescent="0.3">
      <c r="B114" s="92">
        <v>18</v>
      </c>
      <c r="C114" s="144" t="s">
        <v>182</v>
      </c>
      <c r="D114" s="144"/>
      <c r="E114" s="144"/>
      <c r="F114" s="93"/>
      <c r="G114" s="91"/>
      <c r="H114" s="137"/>
      <c r="L114" s="76"/>
      <c r="N114" s="76"/>
      <c r="P114" s="76"/>
      <c r="R114" s="76"/>
      <c r="T114" s="76"/>
    </row>
    <row r="115" spans="2:20" s="75" customFormat="1" ht="36.75" customHeight="1" x14ac:dyDescent="0.3">
      <c r="B115" s="92">
        <v>19</v>
      </c>
      <c r="C115" s="144" t="s">
        <v>168</v>
      </c>
      <c r="D115" s="144"/>
      <c r="E115" s="144"/>
      <c r="F115" s="93"/>
      <c r="G115" s="91"/>
      <c r="H115" s="137"/>
      <c r="L115" s="76"/>
      <c r="N115" s="76"/>
      <c r="P115" s="76"/>
      <c r="R115" s="76"/>
      <c r="T115" s="76"/>
    </row>
    <row r="116" spans="2:20" s="75" customFormat="1" ht="36.75" customHeight="1" x14ac:dyDescent="0.3">
      <c r="B116" s="92">
        <v>20</v>
      </c>
      <c r="C116" s="144" t="s">
        <v>169</v>
      </c>
      <c r="D116" s="144"/>
      <c r="E116" s="144"/>
      <c r="F116" s="93"/>
      <c r="G116" s="91"/>
      <c r="H116" s="137"/>
      <c r="L116" s="76"/>
      <c r="N116" s="76"/>
      <c r="P116" s="76"/>
      <c r="R116" s="76"/>
      <c r="T116" s="76"/>
    </row>
    <row r="117" spans="2:20" s="75" customFormat="1" ht="36" customHeight="1" x14ac:dyDescent="0.3">
      <c r="B117" s="92">
        <v>21</v>
      </c>
      <c r="C117" s="144" t="s">
        <v>170</v>
      </c>
      <c r="D117" s="144"/>
      <c r="E117" s="144"/>
      <c r="F117" s="93"/>
      <c r="G117" s="91"/>
      <c r="H117" s="137"/>
      <c r="L117" s="76"/>
      <c r="N117" s="76"/>
      <c r="P117" s="76"/>
      <c r="R117" s="76"/>
      <c r="T117" s="76"/>
    </row>
    <row r="118" spans="2:20" s="75" customFormat="1" ht="39.75" customHeight="1" x14ac:dyDescent="0.3">
      <c r="B118" s="92">
        <v>22</v>
      </c>
      <c r="C118" s="144" t="s">
        <v>171</v>
      </c>
      <c r="D118" s="144"/>
      <c r="E118" s="144"/>
      <c r="F118" s="93"/>
      <c r="G118" s="91"/>
      <c r="H118" s="137"/>
      <c r="L118" s="76"/>
      <c r="N118" s="76"/>
      <c r="P118" s="76"/>
      <c r="R118" s="76"/>
      <c r="T118" s="76"/>
    </row>
    <row r="119" spans="2:20" s="75" customFormat="1" ht="36" customHeight="1" x14ac:dyDescent="0.3">
      <c r="B119" s="92">
        <v>23</v>
      </c>
      <c r="C119" s="144" t="s">
        <v>186</v>
      </c>
      <c r="D119" s="144"/>
      <c r="E119" s="144"/>
      <c r="F119" s="93"/>
      <c r="G119" s="91"/>
      <c r="H119" s="137"/>
      <c r="L119" s="76"/>
      <c r="N119" s="76"/>
      <c r="P119" s="76"/>
      <c r="R119" s="76"/>
      <c r="T119" s="76"/>
    </row>
    <row r="120" spans="2:20" s="75" customFormat="1" ht="42" customHeight="1" x14ac:dyDescent="0.3">
      <c r="B120" s="92">
        <v>24</v>
      </c>
      <c r="C120" s="144" t="s">
        <v>154</v>
      </c>
      <c r="D120" s="144"/>
      <c r="E120" s="144"/>
      <c r="F120" s="93" t="s">
        <v>17</v>
      </c>
      <c r="G120" s="91" t="s">
        <v>24</v>
      </c>
      <c r="H120" s="137" t="s">
        <v>155</v>
      </c>
      <c r="L120" s="76"/>
      <c r="N120" s="76"/>
      <c r="P120" s="76"/>
      <c r="R120" s="76"/>
      <c r="T120" s="76"/>
    </row>
    <row r="121" spans="2:20" s="75" customFormat="1" ht="26.25" customHeight="1" x14ac:dyDescent="0.3">
      <c r="B121" s="92">
        <v>25</v>
      </c>
      <c r="C121" s="144" t="s">
        <v>131</v>
      </c>
      <c r="D121" s="144"/>
      <c r="E121" s="144"/>
      <c r="F121" s="93" t="s">
        <v>17</v>
      </c>
      <c r="G121" s="91" t="s">
        <v>23</v>
      </c>
      <c r="H121" s="137"/>
      <c r="L121" s="76"/>
      <c r="N121" s="76"/>
      <c r="P121" s="76"/>
      <c r="R121" s="76"/>
      <c r="T121" s="76"/>
    </row>
    <row r="122" spans="2:20" s="75" customFormat="1" ht="47.25" customHeight="1" x14ac:dyDescent="0.3">
      <c r="B122" s="92">
        <v>26</v>
      </c>
      <c r="C122" s="144" t="s">
        <v>129</v>
      </c>
      <c r="D122" s="144"/>
      <c r="E122" s="144"/>
      <c r="F122" s="93" t="s">
        <v>16</v>
      </c>
      <c r="G122" s="91"/>
      <c r="H122" s="137"/>
      <c r="L122" s="76"/>
      <c r="N122" s="76"/>
      <c r="P122" s="76"/>
      <c r="R122" s="76"/>
      <c r="T122" s="76"/>
    </row>
    <row r="123" spans="2:20" s="75" customFormat="1" ht="42" customHeight="1" x14ac:dyDescent="0.3">
      <c r="B123" s="92">
        <v>27</v>
      </c>
      <c r="C123" s="144" t="s">
        <v>130</v>
      </c>
      <c r="D123" s="144"/>
      <c r="E123" s="144"/>
      <c r="F123" s="93" t="s">
        <v>17</v>
      </c>
      <c r="G123" s="91" t="s">
        <v>23</v>
      </c>
      <c r="H123" s="137"/>
      <c r="L123" s="76"/>
      <c r="N123" s="76"/>
      <c r="P123" s="76"/>
      <c r="R123" s="76"/>
      <c r="T123" s="76"/>
    </row>
    <row r="124" spans="2:20" s="75" customFormat="1" ht="42" customHeight="1" x14ac:dyDescent="0.3">
      <c r="B124" s="92">
        <v>28</v>
      </c>
      <c r="C124" s="144" t="s">
        <v>183</v>
      </c>
      <c r="D124" s="144"/>
      <c r="E124" s="144"/>
      <c r="F124" s="93" t="s">
        <v>17</v>
      </c>
      <c r="G124" s="91" t="s">
        <v>23</v>
      </c>
      <c r="H124" s="137"/>
      <c r="L124" s="76"/>
      <c r="N124" s="76"/>
      <c r="P124" s="76"/>
      <c r="R124" s="76"/>
      <c r="T124" s="76"/>
    </row>
    <row r="125" spans="2:20" s="75" customFormat="1" ht="24.9" customHeight="1" x14ac:dyDescent="0.3">
      <c r="B125" s="92">
        <v>29</v>
      </c>
      <c r="C125" s="146" t="s">
        <v>184</v>
      </c>
      <c r="D125" s="146"/>
      <c r="E125" s="146"/>
      <c r="F125" s="93" t="s">
        <v>17</v>
      </c>
      <c r="G125" s="91" t="s">
        <v>23</v>
      </c>
      <c r="H125" s="137"/>
      <c r="L125" s="76"/>
      <c r="N125" s="76"/>
      <c r="P125" s="76"/>
      <c r="R125" s="76"/>
      <c r="T125" s="76"/>
    </row>
    <row r="126" spans="2:20" s="75" customFormat="1" ht="24.9" customHeight="1" x14ac:dyDescent="0.3">
      <c r="B126" s="92">
        <v>30</v>
      </c>
      <c r="C126" s="146" t="s">
        <v>63</v>
      </c>
      <c r="D126" s="146"/>
      <c r="E126" s="146"/>
      <c r="F126" s="93" t="s">
        <v>19</v>
      </c>
      <c r="G126" s="91"/>
      <c r="H126" s="137"/>
      <c r="L126" s="76"/>
      <c r="N126" s="76"/>
      <c r="P126" s="76"/>
      <c r="R126" s="76"/>
      <c r="T126" s="76"/>
    </row>
    <row r="127" spans="2:20" s="75" customFormat="1" ht="3" customHeight="1" x14ac:dyDescent="0.3">
      <c r="B127" s="95"/>
      <c r="C127" s="154"/>
      <c r="D127" s="154"/>
      <c r="E127" s="154"/>
      <c r="F127" s="139" t="s">
        <v>187</v>
      </c>
      <c r="G127" s="139" t="s">
        <v>187</v>
      </c>
      <c r="H127" s="138"/>
      <c r="L127" s="76"/>
      <c r="N127" s="76"/>
      <c r="P127" s="76"/>
      <c r="R127" s="76"/>
      <c r="T127" s="76"/>
    </row>
    <row r="128" spans="2:20" ht="30" customHeight="1" x14ac:dyDescent="0.3">
      <c r="B128" s="90" t="s">
        <v>61</v>
      </c>
      <c r="C128" s="145" t="s">
        <v>127</v>
      </c>
      <c r="D128" s="145"/>
      <c r="E128" s="145"/>
      <c r="F128" s="97"/>
      <c r="G128" s="91"/>
      <c r="H128" s="137"/>
    </row>
    <row r="129" spans="2:20" s="75" customFormat="1" ht="24.9" customHeight="1" x14ac:dyDescent="0.3">
      <c r="B129" s="92">
        <v>1</v>
      </c>
      <c r="C129" s="144" t="s">
        <v>133</v>
      </c>
      <c r="D129" s="144"/>
      <c r="E129" s="144"/>
      <c r="F129" s="93" t="s">
        <v>17</v>
      </c>
      <c r="G129" s="91" t="s">
        <v>24</v>
      </c>
      <c r="H129" s="137"/>
      <c r="L129" s="76"/>
      <c r="N129" s="76"/>
      <c r="P129" s="76"/>
      <c r="R129" s="76"/>
      <c r="T129" s="76"/>
    </row>
    <row r="130" spans="2:20" s="75" customFormat="1" ht="24.9" customHeight="1" x14ac:dyDescent="0.3">
      <c r="B130" s="92">
        <v>2</v>
      </c>
      <c r="C130" s="144" t="s">
        <v>128</v>
      </c>
      <c r="D130" s="144"/>
      <c r="E130" s="144"/>
      <c r="F130" s="93" t="s">
        <v>17</v>
      </c>
      <c r="G130" s="91" t="s">
        <v>24</v>
      </c>
      <c r="H130" s="137"/>
      <c r="L130" s="76"/>
      <c r="N130" s="76"/>
      <c r="P130" s="76"/>
      <c r="R130" s="76"/>
      <c r="T130" s="76"/>
    </row>
    <row r="131" spans="2:20" s="75" customFormat="1" ht="30" customHeight="1" x14ac:dyDescent="0.3">
      <c r="B131" s="92">
        <v>4</v>
      </c>
      <c r="C131" s="144" t="s">
        <v>164</v>
      </c>
      <c r="D131" s="144"/>
      <c r="E131" s="144"/>
      <c r="F131" s="93" t="s">
        <v>16</v>
      </c>
      <c r="G131" s="91"/>
      <c r="H131" s="137"/>
      <c r="L131" s="76"/>
      <c r="N131" s="76"/>
      <c r="P131" s="76"/>
      <c r="R131" s="76"/>
      <c r="T131" s="76"/>
    </row>
    <row r="132" spans="2:20" s="75" customFormat="1" ht="24.9" customHeight="1" x14ac:dyDescent="0.3">
      <c r="B132" s="92">
        <v>5</v>
      </c>
      <c r="C132" s="144" t="s">
        <v>134</v>
      </c>
      <c r="D132" s="144"/>
      <c r="E132" s="144"/>
      <c r="F132" s="93" t="s">
        <v>17</v>
      </c>
      <c r="G132" s="91" t="s">
        <v>23</v>
      </c>
      <c r="H132" s="137" t="s">
        <v>157</v>
      </c>
      <c r="L132" s="76"/>
      <c r="N132" s="76"/>
      <c r="P132" s="76"/>
      <c r="R132" s="76"/>
      <c r="T132" s="76"/>
    </row>
    <row r="133" spans="2:20" s="75" customFormat="1" ht="24.9" customHeight="1" x14ac:dyDescent="0.3">
      <c r="B133" s="96">
        <v>6</v>
      </c>
      <c r="C133" s="146" t="s">
        <v>63</v>
      </c>
      <c r="D133" s="146"/>
      <c r="E133" s="146"/>
      <c r="F133" s="93" t="s">
        <v>19</v>
      </c>
      <c r="G133" s="91"/>
      <c r="H133" s="137"/>
      <c r="L133" s="76"/>
      <c r="N133" s="76"/>
      <c r="P133" s="76"/>
      <c r="R133" s="76"/>
      <c r="T133" s="76"/>
    </row>
    <row r="134" spans="2:20" s="75" customFormat="1" ht="3" customHeight="1" x14ac:dyDescent="0.3">
      <c r="B134" s="95"/>
      <c r="C134" s="154"/>
      <c r="D134" s="154"/>
      <c r="E134" s="154"/>
      <c r="F134" s="139" t="s">
        <v>187</v>
      </c>
      <c r="G134" s="139" t="s">
        <v>187</v>
      </c>
      <c r="H134" s="138"/>
      <c r="L134" s="76"/>
      <c r="N134" s="76"/>
      <c r="P134" s="76"/>
      <c r="R134" s="76"/>
      <c r="T134" s="76"/>
    </row>
    <row r="135" spans="2:20" ht="30" customHeight="1" x14ac:dyDescent="0.3">
      <c r="B135" s="90" t="s">
        <v>62</v>
      </c>
      <c r="C135" s="145" t="s">
        <v>136</v>
      </c>
      <c r="D135" s="145"/>
      <c r="E135" s="145"/>
      <c r="F135" s="97"/>
      <c r="G135" s="91"/>
      <c r="H135" s="137"/>
    </row>
    <row r="136" spans="2:20" s="88" customFormat="1" ht="27.75" customHeight="1" x14ac:dyDescent="0.3">
      <c r="B136" s="92">
        <v>1</v>
      </c>
      <c r="C136" s="144" t="s">
        <v>165</v>
      </c>
      <c r="D136" s="144"/>
      <c r="E136" s="144"/>
      <c r="F136" s="93" t="s">
        <v>16</v>
      </c>
      <c r="G136" s="91"/>
      <c r="H136" s="137"/>
      <c r="L136" s="89"/>
      <c r="N136" s="89"/>
      <c r="P136" s="89"/>
      <c r="R136" s="89"/>
      <c r="T136" s="89"/>
    </row>
    <row r="137" spans="2:20" s="88" customFormat="1" ht="32.25" customHeight="1" x14ac:dyDescent="0.3">
      <c r="B137" s="92">
        <v>2</v>
      </c>
      <c r="C137" s="144" t="s">
        <v>138</v>
      </c>
      <c r="D137" s="144"/>
      <c r="E137" s="144"/>
      <c r="F137" s="93" t="s">
        <v>16</v>
      </c>
      <c r="G137" s="91"/>
      <c r="H137" s="137"/>
      <c r="L137" s="89"/>
      <c r="N137" s="89"/>
      <c r="P137" s="89"/>
      <c r="R137" s="89"/>
      <c r="T137" s="89"/>
    </row>
    <row r="138" spans="2:20" s="88" customFormat="1" ht="39.75" customHeight="1" x14ac:dyDescent="0.3">
      <c r="B138" s="92">
        <v>3</v>
      </c>
      <c r="C138" s="144" t="s">
        <v>137</v>
      </c>
      <c r="D138" s="144"/>
      <c r="E138" s="144"/>
      <c r="F138" s="93" t="s">
        <v>16</v>
      </c>
      <c r="G138" s="91"/>
      <c r="H138" s="137"/>
      <c r="L138" s="89"/>
      <c r="N138" s="89"/>
      <c r="P138" s="89"/>
      <c r="R138" s="89"/>
      <c r="T138" s="89"/>
    </row>
    <row r="139" spans="2:20" s="88" customFormat="1" ht="49.5" customHeight="1" x14ac:dyDescent="0.3">
      <c r="B139" s="92">
        <v>4</v>
      </c>
      <c r="C139" s="144" t="s">
        <v>139</v>
      </c>
      <c r="D139" s="144"/>
      <c r="E139" s="144"/>
      <c r="F139" s="93" t="s">
        <v>17</v>
      </c>
      <c r="G139" s="91" t="s">
        <v>24</v>
      </c>
      <c r="H139" s="137"/>
      <c r="L139" s="89"/>
      <c r="N139" s="89"/>
      <c r="P139" s="89"/>
      <c r="R139" s="89"/>
      <c r="T139" s="89"/>
    </row>
    <row r="140" spans="2:20" s="75" customFormat="1" ht="24.9" customHeight="1" x14ac:dyDescent="0.3">
      <c r="B140" s="96">
        <v>5</v>
      </c>
      <c r="C140" s="146" t="s">
        <v>63</v>
      </c>
      <c r="D140" s="146"/>
      <c r="E140" s="146"/>
      <c r="F140" s="93" t="s">
        <v>19</v>
      </c>
      <c r="G140" s="91"/>
      <c r="H140" s="137"/>
      <c r="L140" s="76"/>
      <c r="N140" s="76"/>
      <c r="P140" s="76"/>
      <c r="R140" s="76"/>
      <c r="T140" s="76"/>
    </row>
    <row r="141" spans="2:20" s="88" customFormat="1" ht="3" customHeight="1" thickBot="1" x14ac:dyDescent="0.35">
      <c r="B141" s="98"/>
      <c r="C141" s="153"/>
      <c r="D141" s="153"/>
      <c r="E141" s="153"/>
      <c r="F141" s="140" t="s">
        <v>187</v>
      </c>
      <c r="G141" s="140" t="s">
        <v>187</v>
      </c>
      <c r="H141" s="140" t="s">
        <v>187</v>
      </c>
      <c r="L141" s="89"/>
      <c r="N141" s="89"/>
      <c r="P141" s="89"/>
      <c r="R141" s="89"/>
      <c r="T141" s="89"/>
    </row>
    <row r="142" spans="2:20" ht="14.4" thickTop="1" x14ac:dyDescent="0.3"/>
  </sheetData>
  <sheetProtection insertRows="0" selectLockedCells="1" sort="0" autoFilter="0" pivotTables="0"/>
  <autoFilter ref="B13:H141">
    <filterColumn colId="1" showButton="0"/>
    <filterColumn colId="2" showButton="0"/>
  </autoFilter>
  <dataConsolidate/>
  <mergeCells count="131">
    <mergeCell ref="C35:E35"/>
    <mergeCell ref="C36:E36"/>
    <mergeCell ref="C63:E63"/>
    <mergeCell ref="C73:E73"/>
    <mergeCell ref="C37:E37"/>
    <mergeCell ref="C77:E77"/>
    <mergeCell ref="C71:E71"/>
    <mergeCell ref="C67:E67"/>
    <mergeCell ref="C74:E74"/>
    <mergeCell ref="C75:E75"/>
    <mergeCell ref="C72:E72"/>
    <mergeCell ref="C69:E69"/>
    <mergeCell ref="C46:E46"/>
    <mergeCell ref="C64:E64"/>
    <mergeCell ref="C65:E65"/>
    <mergeCell ref="C66:E66"/>
    <mergeCell ref="C44:E44"/>
    <mergeCell ref="C70:E70"/>
    <mergeCell ref="C49:E49"/>
    <mergeCell ref="C50:E50"/>
    <mergeCell ref="C58:E58"/>
    <mergeCell ref="C60:E60"/>
    <mergeCell ref="C61:E61"/>
    <mergeCell ref="C68:E68"/>
    <mergeCell ref="C141:E141"/>
    <mergeCell ref="C33:E33"/>
    <mergeCell ref="C41:E41"/>
    <mergeCell ref="C62:E62"/>
    <mergeCell ref="C133:E133"/>
    <mergeCell ref="C140:E140"/>
    <mergeCell ref="C34:E34"/>
    <mergeCell ref="C42:E42"/>
    <mergeCell ref="C127:E127"/>
    <mergeCell ref="C134:E134"/>
    <mergeCell ref="C38:E38"/>
    <mergeCell ref="C132:E132"/>
    <mergeCell ref="C123:E123"/>
    <mergeCell ref="C82:E82"/>
    <mergeCell ref="C88:E88"/>
    <mergeCell ref="C59:E59"/>
    <mergeCell ref="C39:E39"/>
    <mergeCell ref="C137:E137"/>
    <mergeCell ref="C131:E131"/>
    <mergeCell ref="C48:E48"/>
    <mergeCell ref="C43:E43"/>
    <mergeCell ref="C45:E45"/>
    <mergeCell ref="C102:E102"/>
    <mergeCell ref="C47:E47"/>
    <mergeCell ref="B2:H2"/>
    <mergeCell ref="C18:E18"/>
    <mergeCell ref="C19:E19"/>
    <mergeCell ref="C20:E20"/>
    <mergeCell ref="C21:E21"/>
    <mergeCell ref="E3:H3"/>
    <mergeCell ref="C16:E16"/>
    <mergeCell ref="C17:E17"/>
    <mergeCell ref="C15:E15"/>
    <mergeCell ref="C14:E14"/>
    <mergeCell ref="C13:E13"/>
    <mergeCell ref="C130:E130"/>
    <mergeCell ref="C135:E135"/>
    <mergeCell ref="C76:E76"/>
    <mergeCell ref="C92:E92"/>
    <mergeCell ref="C93:E93"/>
    <mergeCell ref="C94:E94"/>
    <mergeCell ref="C95:E95"/>
    <mergeCell ref="C96:E96"/>
    <mergeCell ref="C126:E126"/>
    <mergeCell ref="C124:E124"/>
    <mergeCell ref="C125:E125"/>
    <mergeCell ref="C97:E97"/>
    <mergeCell ref="C107:E107"/>
    <mergeCell ref="C120:E120"/>
    <mergeCell ref="C115:E115"/>
    <mergeCell ref="C116:E116"/>
    <mergeCell ref="C117:E117"/>
    <mergeCell ref="C100:E100"/>
    <mergeCell ref="C101:E101"/>
    <mergeCell ref="C78:E78"/>
    <mergeCell ref="C106:E106"/>
    <mergeCell ref="C109:E109"/>
    <mergeCell ref="C79:E79"/>
    <mergeCell ref="C81:E81"/>
    <mergeCell ref="C84:E84"/>
    <mergeCell ref="C108:E108"/>
    <mergeCell ref="C138:E138"/>
    <mergeCell ref="C139:E139"/>
    <mergeCell ref="C113:E113"/>
    <mergeCell ref="C128:E128"/>
    <mergeCell ref="C129:E129"/>
    <mergeCell ref="C136:E136"/>
    <mergeCell ref="C22:E22"/>
    <mergeCell ref="C29:E29"/>
    <mergeCell ref="C40:E40"/>
    <mergeCell ref="C30:E30"/>
    <mergeCell ref="C31:E31"/>
    <mergeCell ref="C23:E23"/>
    <mergeCell ref="C24:E24"/>
    <mergeCell ref="C25:E25"/>
    <mergeCell ref="C26:E26"/>
    <mergeCell ref="C27:E27"/>
    <mergeCell ref="C28:E28"/>
    <mergeCell ref="C119:E119"/>
    <mergeCell ref="C114:E114"/>
    <mergeCell ref="C91:E91"/>
    <mergeCell ref="C98:E98"/>
    <mergeCell ref="C99:E99"/>
    <mergeCell ref="C32:E32"/>
    <mergeCell ref="C51:E51"/>
    <mergeCell ref="C52:E52"/>
    <mergeCell ref="C122:E122"/>
    <mergeCell ref="C121:E121"/>
    <mergeCell ref="C57:E57"/>
    <mergeCell ref="C55:E55"/>
    <mergeCell ref="C56:E56"/>
    <mergeCell ref="C53:E53"/>
    <mergeCell ref="C54:E54"/>
    <mergeCell ref="C110:E110"/>
    <mergeCell ref="C111:E111"/>
    <mergeCell ref="C112:E112"/>
    <mergeCell ref="C80:E80"/>
    <mergeCell ref="C103:E103"/>
    <mergeCell ref="C104:E104"/>
    <mergeCell ref="C105:E105"/>
    <mergeCell ref="C85:E85"/>
    <mergeCell ref="C86:E86"/>
    <mergeCell ref="C118:E118"/>
    <mergeCell ref="C87:E87"/>
    <mergeCell ref="C90:E90"/>
    <mergeCell ref="C89:E89"/>
    <mergeCell ref="C83:E83"/>
  </mergeCells>
  <conditionalFormatting sqref="F135:F140 F35:F41 F14:F33 F44:F126 F128:F133">
    <cfRule type="containsText" dxfId="24" priority="76" operator="containsText" text="NA">
      <formula>NOT(ISERROR(SEARCH("NA",F14)))</formula>
    </cfRule>
    <cfRule type="containsText" dxfId="23" priority="77" operator="containsText" text="no">
      <formula>NOT(ISERROR(SEARCH("no",F14)))</formula>
    </cfRule>
    <cfRule type="containsText" dxfId="22" priority="78" operator="containsText" text="yes">
      <formula>NOT(ISERROR(SEARCH("yes",F14)))</formula>
    </cfRule>
  </conditionalFormatting>
  <conditionalFormatting sqref="G14:G16 G18:G33 G35:G41 G135:G140 G43:G126 G128:G133">
    <cfRule type="containsText" dxfId="21" priority="72" operator="containsText" text="minor">
      <formula>NOT(ISERROR(SEARCH("minor",G14)))</formula>
    </cfRule>
    <cfRule type="containsText" dxfId="20" priority="73" operator="containsText" text="major">
      <formula>NOT(ISERROR(SEARCH("major",G14)))</formula>
    </cfRule>
    <cfRule type="expression" dxfId="19" priority="74">
      <formula>F14=$K$9</formula>
    </cfRule>
  </conditionalFormatting>
  <conditionalFormatting sqref="G35:G41 G14:G16 G128:G133 G135:G140 G18:G33 G43:G126">
    <cfRule type="expression" dxfId="18" priority="52">
      <formula>F14=$K$10</formula>
    </cfRule>
    <cfRule type="expression" dxfId="17" priority="53">
      <formula>F14=$K$8</formula>
    </cfRule>
  </conditionalFormatting>
  <conditionalFormatting sqref="G35:G41 G14:G16 G128:G133 G135:G140 G18:G33 G43:G126">
    <cfRule type="expression" dxfId="16" priority="47">
      <formula>F14=$K$11</formula>
    </cfRule>
    <cfRule type="expression" dxfId="15" priority="49">
      <formula>F14=$K$11</formula>
    </cfRule>
  </conditionalFormatting>
  <conditionalFormatting sqref="G14">
    <cfRule type="expression" dxfId="14" priority="48">
      <formula>F14=$K$11</formula>
    </cfRule>
  </conditionalFormatting>
  <conditionalFormatting sqref="G135:G140 G14:G33 G35:G41 G43:G126 G128:G133">
    <cfRule type="expression" dxfId="13" priority="27">
      <formula>F14=$K$11</formula>
    </cfRule>
    <cfRule type="expression" dxfId="12" priority="28">
      <formula>F14=$K$10</formula>
    </cfRule>
    <cfRule type="expression" dxfId="11" priority="29">
      <formula>F14=$K$9</formula>
    </cfRule>
    <cfRule type="expression" dxfId="10" priority="30">
      <formula>F14=$K$8</formula>
    </cfRule>
  </conditionalFormatting>
  <conditionalFormatting sqref="G140">
    <cfRule type="expression" dxfId="9" priority="9">
      <formula>F140=$K$10</formula>
    </cfRule>
    <cfRule type="expression" dxfId="8" priority="10">
      <formula>F140=$K$8</formula>
    </cfRule>
  </conditionalFormatting>
  <conditionalFormatting sqref="G140">
    <cfRule type="expression" dxfId="7" priority="7">
      <formula>F140=$K$11</formula>
    </cfRule>
    <cfRule type="expression" dxfId="6" priority="8">
      <formula>F140=$K$11</formula>
    </cfRule>
  </conditionalFormatting>
  <conditionalFormatting sqref="G140">
    <cfRule type="expression" dxfId="5" priority="3">
      <formula>F140=$K$11</formula>
    </cfRule>
    <cfRule type="expression" dxfId="4" priority="4">
      <formula>F140=$K$10</formula>
    </cfRule>
    <cfRule type="expression" dxfId="3" priority="5">
      <formula>F140=$K$9</formula>
    </cfRule>
    <cfRule type="expression" dxfId="2" priority="6">
      <formula>F140=$K$8</formula>
    </cfRule>
  </conditionalFormatting>
  <conditionalFormatting sqref="G128">
    <cfRule type="expression" dxfId="1" priority="2">
      <formula>F128=$K$11</formula>
    </cfRule>
  </conditionalFormatting>
  <conditionalFormatting sqref="G135">
    <cfRule type="expression" dxfId="0" priority="1">
      <formula>F135=$K$11</formula>
    </cfRule>
  </conditionalFormatting>
  <dataValidations count="3">
    <dataValidation type="list" allowBlank="1" showInputMessage="1" showErrorMessage="1" sqref="G43:G126 G128:G133 G35:G41 G135:G140 G14:G33">
      <formula1>$M$8:$M$9</formula1>
    </dataValidation>
    <dataValidation type="list" allowBlank="1" showInputMessage="1" showErrorMessage="1" sqref="F135:F140 F128:F133 F43:F126 F14:F33 F35:F41">
      <formula1>$K$8:$K$10</formula1>
    </dataValidation>
    <dataValidation type="list" allowBlank="1" showInputMessage="1" showErrorMessage="1" sqref="E4">
      <formula1>$O$8:$O$12</formula1>
    </dataValidation>
  </dataValidations>
  <printOptions horizontalCentered="1"/>
  <pageMargins left="0.19" right="0.2" top="1.1499999999999999" bottom="0.61" header="0.3" footer="0.24"/>
  <pageSetup paperSize="9" scale="87" orientation="portrait" copies="0" r:id="rId1"/>
  <headerFooter>
    <oddHeader>&amp;C&amp;G</oddHeader>
    <oddFooter>&amp;CPage &amp;P of &amp;N</oddFooter>
  </headerFooter>
  <rowBreaks count="1" manualBreakCount="1">
    <brk id="34" max="8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C1DF"/>
    <outlinePr summaryBelow="0"/>
  </sheetPr>
  <dimension ref="B2:N40"/>
  <sheetViews>
    <sheetView zoomScaleNormal="100" zoomScaleSheetLayoutView="110" workbookViewId="0">
      <selection activeCell="J11" sqref="J11"/>
    </sheetView>
  </sheetViews>
  <sheetFormatPr defaultColWidth="9.109375" defaultRowHeight="14.4" x14ac:dyDescent="0.3"/>
  <cols>
    <col min="1" max="1" width="2.109375" style="46" customWidth="1"/>
    <col min="2" max="2" width="37.88671875" style="46" customWidth="1"/>
    <col min="3" max="7" width="9.109375" style="46" customWidth="1"/>
    <col min="8" max="8" width="11.5546875" style="46" bestFit="1" customWidth="1"/>
    <col min="9" max="12" width="9.109375" style="46"/>
    <col min="13" max="13" width="2.5546875" style="46" customWidth="1"/>
    <col min="14" max="16384" width="9.109375" style="46"/>
  </cols>
  <sheetData>
    <row r="2" spans="2:14" ht="17.399999999999999" x14ac:dyDescent="0.3">
      <c r="B2" s="158" t="s">
        <v>160</v>
      </c>
      <c r="C2" s="159"/>
      <c r="D2" s="159"/>
      <c r="E2" s="159"/>
      <c r="F2" s="159"/>
      <c r="G2" s="159"/>
      <c r="H2" s="159"/>
      <c r="I2" s="159"/>
      <c r="J2" s="159"/>
      <c r="K2" s="159"/>
      <c r="L2" s="160"/>
    </row>
    <row r="4" spans="2:14" ht="15" thickBot="1" x14ac:dyDescent="0.35">
      <c r="H4" s="161" t="s">
        <v>29</v>
      </c>
      <c r="I4" s="162"/>
      <c r="J4" s="163"/>
      <c r="K4" s="161" t="s">
        <v>27</v>
      </c>
      <c r="L4" s="163"/>
    </row>
    <row r="5" spans="2:14" ht="28.5" customHeight="1" thickTop="1" x14ac:dyDescent="0.3">
      <c r="B5" s="107" t="s">
        <v>5</v>
      </c>
      <c r="C5" s="108" t="s">
        <v>16</v>
      </c>
      <c r="D5" s="108" t="s">
        <v>17</v>
      </c>
      <c r="E5" s="108" t="s">
        <v>19</v>
      </c>
      <c r="F5" s="108" t="s">
        <v>23</v>
      </c>
      <c r="G5" s="108" t="s">
        <v>24</v>
      </c>
      <c r="H5" s="109" t="s">
        <v>20</v>
      </c>
      <c r="I5" s="110" t="s">
        <v>21</v>
      </c>
      <c r="J5" s="111" t="s">
        <v>22</v>
      </c>
      <c r="K5" s="112" t="s">
        <v>25</v>
      </c>
      <c r="L5" s="113" t="s">
        <v>26</v>
      </c>
      <c r="N5" s="141" t="s">
        <v>197</v>
      </c>
    </row>
    <row r="6" spans="2:14" ht="30" customHeight="1" x14ac:dyDescent="0.3">
      <c r="B6" s="114" t="str">
        <f>LIST!C14</f>
        <v>General</v>
      </c>
      <c r="C6" s="47">
        <f>COUNTIF(LIST!$F14:$F34,DASHBOARD!C$5)</f>
        <v>12</v>
      </c>
      <c r="D6" s="47">
        <f>COUNTIF(LIST!$F14:$F34,DASHBOARD!D$5)</f>
        <v>4</v>
      </c>
      <c r="E6" s="47">
        <f>COUNTIF(LIST!$F14:$F34,DASHBOARD!E$5)</f>
        <v>1</v>
      </c>
      <c r="F6" s="47">
        <f>COUNTIF(LIST!$G14:$G34,DASHBOARD!F$5)</f>
        <v>0</v>
      </c>
      <c r="G6" s="47">
        <f>COUNTIF(LIST!$G14:$G34,DASHBOARD!G$5)</f>
        <v>4</v>
      </c>
      <c r="H6" s="48">
        <f>IF(C6=0,0,C6/SUM($C6:$E6))</f>
        <v>0.70588235294117652</v>
      </c>
      <c r="I6" s="49">
        <f t="shared" ref="I6:I10" si="0">IF(D6=0,0,D6/SUM($C6:$E6))</f>
        <v>0.23529411764705882</v>
      </c>
      <c r="J6" s="50">
        <f t="shared" ref="J6:J10" si="1">IF(E6=0,0,E6/SUM($C6:$E6))</f>
        <v>5.8823529411764705E-2</v>
      </c>
      <c r="K6" s="51">
        <f t="shared" ref="K6:L10" si="2">IF(F6=0,0,F6/SUM($F6:$G6))</f>
        <v>0</v>
      </c>
      <c r="L6" s="115">
        <f t="shared" si="2"/>
        <v>1</v>
      </c>
      <c r="N6" s="141">
        <v>10</v>
      </c>
    </row>
    <row r="7" spans="2:14" ht="30" customHeight="1" x14ac:dyDescent="0.3">
      <c r="B7" s="114" t="str">
        <f>LIST!C35</f>
        <v>Work Breakdown Structure (WBS)</v>
      </c>
      <c r="C7" s="47">
        <f>COUNTIF(LIST!$F35:$F42,DASHBOARD!C$5)</f>
        <v>1</v>
      </c>
      <c r="D7" s="47">
        <f>COUNTIF(LIST!$F35:$F42,DASHBOARD!D$5)</f>
        <v>3</v>
      </c>
      <c r="E7" s="47">
        <f>COUNTIF(LIST!$F35:$F42,DASHBOARD!E$5)</f>
        <v>2</v>
      </c>
      <c r="F7" s="47">
        <f>COUNTIF(LIST!$G35:$G42,DASHBOARD!F$5)</f>
        <v>0</v>
      </c>
      <c r="G7" s="47">
        <f>COUNTIF(LIST!$G35:$G42,DASHBOARD!G$5)</f>
        <v>3</v>
      </c>
      <c r="H7" s="48">
        <f t="shared" ref="H7:H10" si="3">IF(C7=0,0,C7/SUM($C7:$E7))</f>
        <v>0.16666666666666666</v>
      </c>
      <c r="I7" s="49">
        <f t="shared" si="0"/>
        <v>0.5</v>
      </c>
      <c r="J7" s="50">
        <f t="shared" si="1"/>
        <v>0.33333333333333331</v>
      </c>
      <c r="K7" s="51">
        <f t="shared" si="2"/>
        <v>0</v>
      </c>
      <c r="L7" s="115">
        <f t="shared" si="2"/>
        <v>1</v>
      </c>
      <c r="N7" s="141">
        <v>20</v>
      </c>
    </row>
    <row r="8" spans="2:14" ht="30" customHeight="1" x14ac:dyDescent="0.3">
      <c r="B8" s="114" t="str">
        <f>LIST!C43</f>
        <v>Activities</v>
      </c>
      <c r="C8" s="47">
        <f>COUNTIF(LIST!$F43:$F127,DASHBOARD!C$5)</f>
        <v>45</v>
      </c>
      <c r="D8" s="47">
        <f>COUNTIF(LIST!$F43:$F127,DASHBOARD!D$5)</f>
        <v>18</v>
      </c>
      <c r="E8" s="47">
        <f>COUNTIF(LIST!$F43:$F127,DASHBOARD!E$5)</f>
        <v>3</v>
      </c>
      <c r="F8" s="47">
        <f>COUNTIF(LIST!$G43:$G127,DASHBOARD!F$5)</f>
        <v>7</v>
      </c>
      <c r="G8" s="47">
        <f>COUNTIF(LIST!$G43:$G127,DASHBOARD!G$5)</f>
        <v>11</v>
      </c>
      <c r="H8" s="48">
        <f t="shared" si="3"/>
        <v>0.68181818181818177</v>
      </c>
      <c r="I8" s="49">
        <f t="shared" si="0"/>
        <v>0.27272727272727271</v>
      </c>
      <c r="J8" s="50">
        <f t="shared" si="1"/>
        <v>4.5454545454545456E-2</v>
      </c>
      <c r="K8" s="51">
        <f t="shared" si="2"/>
        <v>0.3888888888888889</v>
      </c>
      <c r="L8" s="115">
        <f t="shared" si="2"/>
        <v>0.61111111111111116</v>
      </c>
      <c r="N8" s="141">
        <v>30</v>
      </c>
    </row>
    <row r="9" spans="2:14" ht="30" customHeight="1" x14ac:dyDescent="0.3">
      <c r="B9" s="114" t="str">
        <f>LIST!C128</f>
        <v>Critical Path Method (CPM)</v>
      </c>
      <c r="C9" s="47">
        <f>COUNTIF(LIST!$F128:$F134,DASHBOARD!C$5)</f>
        <v>1</v>
      </c>
      <c r="D9" s="47">
        <f>COUNTIF(LIST!$F128:$F134,DASHBOARD!D$5)</f>
        <v>3</v>
      </c>
      <c r="E9" s="47">
        <f>COUNTIF(LIST!$F128:$F134,DASHBOARD!E$5)</f>
        <v>1</v>
      </c>
      <c r="F9" s="47">
        <f>COUNTIF(LIST!$G128:$G134,DASHBOARD!F$5)</f>
        <v>1</v>
      </c>
      <c r="G9" s="47">
        <f>COUNTIF(LIST!$G128:$G134,DASHBOARD!G$5)</f>
        <v>2</v>
      </c>
      <c r="H9" s="48">
        <f t="shared" si="3"/>
        <v>0.2</v>
      </c>
      <c r="I9" s="49">
        <f t="shared" si="0"/>
        <v>0.6</v>
      </c>
      <c r="J9" s="50">
        <f t="shared" si="1"/>
        <v>0.2</v>
      </c>
      <c r="K9" s="51">
        <f t="shared" si="2"/>
        <v>0.33333333333333331</v>
      </c>
      <c r="L9" s="115">
        <f t="shared" si="2"/>
        <v>0.66666666666666663</v>
      </c>
      <c r="N9" s="141">
        <v>10</v>
      </c>
    </row>
    <row r="10" spans="2:14" ht="30" customHeight="1" x14ac:dyDescent="0.3">
      <c r="B10" s="114" t="str">
        <f>LIST!C135</f>
        <v>Resources</v>
      </c>
      <c r="C10" s="47">
        <f>COUNTIF(LIST!$F135:$F141,DASHBOARD!C$5)</f>
        <v>3</v>
      </c>
      <c r="D10" s="47">
        <f>COUNTIF(LIST!$F135:$F141,DASHBOARD!D$5)</f>
        <v>1</v>
      </c>
      <c r="E10" s="47">
        <f>COUNTIF(LIST!$F135:$F141,DASHBOARD!E$5)</f>
        <v>1</v>
      </c>
      <c r="F10" s="47">
        <f>COUNTIF(LIST!$G135:$G141,DASHBOARD!F$5)</f>
        <v>0</v>
      </c>
      <c r="G10" s="47">
        <f>COUNTIF(LIST!$G135:$G141,DASHBOARD!G$5)</f>
        <v>1</v>
      </c>
      <c r="H10" s="48">
        <f t="shared" si="3"/>
        <v>0.6</v>
      </c>
      <c r="I10" s="49">
        <f t="shared" si="0"/>
        <v>0.2</v>
      </c>
      <c r="J10" s="50">
        <f t="shared" si="1"/>
        <v>0.2</v>
      </c>
      <c r="K10" s="51">
        <f t="shared" si="2"/>
        <v>0</v>
      </c>
      <c r="L10" s="115">
        <f t="shared" si="2"/>
        <v>1</v>
      </c>
      <c r="N10" s="141">
        <v>30</v>
      </c>
    </row>
    <row r="11" spans="2:14" ht="24.9" customHeight="1" x14ac:dyDescent="0.3">
      <c r="B11" s="116" t="s">
        <v>75</v>
      </c>
      <c r="C11" s="52">
        <f>SUM(C6:C10)</f>
        <v>62</v>
      </c>
      <c r="D11" s="52">
        <f>SUM(D6:D10)</f>
        <v>29</v>
      </c>
      <c r="E11" s="52">
        <f>SUM(E6:E10)</f>
        <v>8</v>
      </c>
      <c r="F11" s="52">
        <f>SUM(F6:F10)</f>
        <v>8</v>
      </c>
      <c r="G11" s="52">
        <f>SUM(G6:G10)</f>
        <v>21</v>
      </c>
      <c r="H11" s="53">
        <f>SUMPRODUCT(H6:H10,N6:N10)/100</f>
        <v>0.50846702317290549</v>
      </c>
      <c r="I11" s="142">
        <f>SUMPRODUCT(I6:I10,N6:N10)/100</f>
        <v>0.32534759358288767</v>
      </c>
      <c r="J11" s="143">
        <f>SUMPRODUCT(J6:J10,N6:N10)/100</f>
        <v>0.16618538324420676</v>
      </c>
      <c r="K11" s="54">
        <f>AVERAGE(K6:K10)</f>
        <v>0.14444444444444443</v>
      </c>
      <c r="L11" s="117">
        <f>AVERAGE(L6:L10)</f>
        <v>0.85555555555555551</v>
      </c>
      <c r="N11" s="141">
        <f>SUM(N6:N10)</f>
        <v>100</v>
      </c>
    </row>
    <row r="12" spans="2:14" x14ac:dyDescent="0.3">
      <c r="B12" s="118"/>
      <c r="C12" s="55"/>
      <c r="D12" s="55"/>
      <c r="E12" s="55"/>
      <c r="F12" s="55"/>
      <c r="G12" s="55"/>
      <c r="H12" s="55"/>
      <c r="I12" s="55"/>
      <c r="J12" s="55"/>
      <c r="K12" s="55"/>
      <c r="L12" s="119"/>
    </row>
    <row r="13" spans="2:14" x14ac:dyDescent="0.3">
      <c r="B13" s="120"/>
      <c r="C13" s="56"/>
      <c r="D13" s="56"/>
      <c r="E13" s="56"/>
      <c r="F13" s="56"/>
      <c r="G13" s="56"/>
      <c r="H13" s="56"/>
      <c r="I13" s="56"/>
      <c r="J13" s="56"/>
      <c r="K13" s="56"/>
      <c r="L13" s="121"/>
    </row>
    <row r="14" spans="2:14" x14ac:dyDescent="0.3">
      <c r="B14" s="120"/>
      <c r="C14" s="56"/>
      <c r="D14" s="56"/>
      <c r="E14" s="56"/>
      <c r="F14" s="56"/>
      <c r="G14" s="56"/>
      <c r="H14" s="56"/>
      <c r="I14" s="56"/>
      <c r="J14" s="56"/>
      <c r="K14" s="56"/>
      <c r="L14" s="121"/>
    </row>
    <row r="15" spans="2:14" x14ac:dyDescent="0.3">
      <c r="B15" s="120"/>
      <c r="C15" s="56"/>
      <c r="D15" s="56"/>
      <c r="E15" s="56"/>
      <c r="F15" s="56"/>
      <c r="G15" s="56"/>
      <c r="H15" s="56"/>
      <c r="I15" s="56"/>
      <c r="J15" s="56"/>
      <c r="K15" s="56"/>
      <c r="L15" s="121"/>
    </row>
    <row r="16" spans="2:14" x14ac:dyDescent="0.3">
      <c r="B16" s="120"/>
      <c r="C16" s="56"/>
      <c r="D16" s="56"/>
      <c r="E16" s="56"/>
      <c r="F16" s="56"/>
      <c r="G16" s="56"/>
      <c r="H16" s="56"/>
      <c r="I16" s="56"/>
      <c r="J16" s="56"/>
      <c r="K16" s="56"/>
      <c r="L16" s="121"/>
    </row>
    <row r="17" spans="2:12" x14ac:dyDescent="0.3">
      <c r="B17" s="120"/>
      <c r="C17" s="56"/>
      <c r="D17" s="56"/>
      <c r="E17" s="56"/>
      <c r="F17" s="56"/>
      <c r="G17" s="56"/>
      <c r="H17" s="56"/>
      <c r="I17" s="56"/>
      <c r="J17" s="56"/>
      <c r="K17" s="56"/>
      <c r="L17" s="121"/>
    </row>
    <row r="18" spans="2:12" x14ac:dyDescent="0.3">
      <c r="B18" s="120"/>
      <c r="C18" s="56"/>
      <c r="D18" s="56"/>
      <c r="E18" s="56"/>
      <c r="F18" s="56"/>
      <c r="G18" s="56"/>
      <c r="H18" s="56"/>
      <c r="I18" s="56"/>
      <c r="J18" s="56"/>
      <c r="K18" s="56"/>
      <c r="L18" s="121"/>
    </row>
    <row r="19" spans="2:12" x14ac:dyDescent="0.3">
      <c r="B19" s="120"/>
      <c r="C19" s="56"/>
      <c r="D19" s="56"/>
      <c r="E19" s="56"/>
      <c r="F19" s="56"/>
      <c r="G19" s="56"/>
      <c r="H19" s="56"/>
      <c r="I19" s="56"/>
      <c r="J19" s="56"/>
      <c r="K19" s="56"/>
      <c r="L19" s="121"/>
    </row>
    <row r="20" spans="2:12" x14ac:dyDescent="0.3">
      <c r="B20" s="120"/>
      <c r="C20" s="56"/>
      <c r="D20" s="56"/>
      <c r="E20" s="56"/>
      <c r="F20" s="56"/>
      <c r="G20" s="56"/>
      <c r="H20" s="56"/>
      <c r="I20" s="56"/>
      <c r="J20" s="56"/>
      <c r="K20" s="56"/>
      <c r="L20" s="121"/>
    </row>
    <row r="21" spans="2:12" x14ac:dyDescent="0.3">
      <c r="B21" s="120"/>
      <c r="C21" s="56"/>
      <c r="D21" s="56"/>
      <c r="E21" s="56"/>
      <c r="F21" s="56"/>
      <c r="G21" s="56"/>
      <c r="H21" s="56"/>
      <c r="I21" s="56"/>
      <c r="J21" s="56"/>
      <c r="K21" s="56"/>
      <c r="L21" s="121"/>
    </row>
    <row r="22" spans="2:12" x14ac:dyDescent="0.3">
      <c r="B22" s="120"/>
      <c r="C22" s="56"/>
      <c r="D22" s="56"/>
      <c r="E22" s="56"/>
      <c r="F22" s="56"/>
      <c r="G22" s="56"/>
      <c r="H22" s="56"/>
      <c r="I22" s="56"/>
      <c r="J22" s="56"/>
      <c r="K22" s="56"/>
      <c r="L22" s="121"/>
    </row>
    <row r="23" spans="2:12" x14ac:dyDescent="0.3">
      <c r="B23" s="122"/>
      <c r="C23" s="57"/>
      <c r="D23" s="57"/>
      <c r="E23" s="57"/>
      <c r="F23" s="57"/>
      <c r="G23" s="57"/>
      <c r="H23" s="57"/>
      <c r="I23" s="57"/>
      <c r="J23" s="57"/>
      <c r="K23" s="57"/>
      <c r="L23" s="123"/>
    </row>
    <row r="24" spans="2:12" x14ac:dyDescent="0.3">
      <c r="B24" s="124" t="s">
        <v>31</v>
      </c>
      <c r="C24" s="56"/>
      <c r="D24" s="56"/>
      <c r="E24" s="56"/>
      <c r="F24" s="56"/>
      <c r="G24" s="56"/>
      <c r="H24" s="56"/>
      <c r="I24" s="56"/>
      <c r="J24" s="56"/>
      <c r="K24" s="56"/>
      <c r="L24" s="121"/>
    </row>
    <row r="25" spans="2:12" x14ac:dyDescent="0.3">
      <c r="B25" s="125" t="s">
        <v>158</v>
      </c>
      <c r="C25" s="87"/>
      <c r="D25" s="87"/>
      <c r="E25" s="87"/>
      <c r="F25" s="87"/>
      <c r="G25" s="87"/>
      <c r="H25" s="87"/>
      <c r="I25" s="87"/>
      <c r="J25" s="87"/>
      <c r="K25" s="87"/>
      <c r="L25" s="126"/>
    </row>
    <row r="26" spans="2:12" x14ac:dyDescent="0.3">
      <c r="B26" s="125" t="s">
        <v>159</v>
      </c>
      <c r="C26" s="87"/>
      <c r="D26" s="87"/>
      <c r="E26" s="87"/>
      <c r="F26" s="87"/>
      <c r="G26" s="87"/>
      <c r="H26" s="87"/>
      <c r="I26" s="87"/>
      <c r="J26" s="87"/>
      <c r="K26" s="87"/>
      <c r="L26" s="126"/>
    </row>
    <row r="27" spans="2:12" x14ac:dyDescent="0.3">
      <c r="B27" s="125" t="s">
        <v>185</v>
      </c>
      <c r="C27" s="87"/>
      <c r="D27" s="87"/>
      <c r="E27" s="87"/>
      <c r="F27" s="87"/>
      <c r="G27" s="87"/>
      <c r="H27" s="87"/>
      <c r="I27" s="87"/>
      <c r="J27" s="87"/>
      <c r="K27" s="87"/>
      <c r="L27" s="126"/>
    </row>
    <row r="28" spans="2:12" x14ac:dyDescent="0.3">
      <c r="B28" s="125">
        <v>4</v>
      </c>
      <c r="C28" s="87"/>
      <c r="D28" s="87"/>
      <c r="E28" s="87"/>
      <c r="F28" s="87"/>
      <c r="G28" s="87"/>
      <c r="H28" s="87"/>
      <c r="I28" s="87"/>
      <c r="J28" s="87"/>
      <c r="K28" s="87"/>
      <c r="L28" s="126"/>
    </row>
    <row r="29" spans="2:12" x14ac:dyDescent="0.3">
      <c r="B29" s="125">
        <v>5</v>
      </c>
      <c r="C29" s="87"/>
      <c r="D29" s="87"/>
      <c r="E29" s="87"/>
      <c r="F29" s="87"/>
      <c r="G29" s="87"/>
      <c r="H29" s="87"/>
      <c r="I29" s="87"/>
      <c r="J29" s="87"/>
      <c r="K29" s="87"/>
      <c r="L29" s="126"/>
    </row>
    <row r="30" spans="2:12" x14ac:dyDescent="0.3">
      <c r="B30" s="125">
        <v>6</v>
      </c>
      <c r="C30" s="87"/>
      <c r="D30" s="87"/>
      <c r="E30" s="87"/>
      <c r="F30" s="87"/>
      <c r="G30" s="87"/>
      <c r="H30" s="87"/>
      <c r="I30" s="87"/>
      <c r="J30" s="87"/>
      <c r="K30" s="87"/>
      <c r="L30" s="126"/>
    </row>
    <row r="31" spans="2:12" x14ac:dyDescent="0.3">
      <c r="B31" s="125">
        <v>7</v>
      </c>
      <c r="C31" s="87"/>
      <c r="D31" s="87"/>
      <c r="E31" s="87"/>
      <c r="F31" s="87"/>
      <c r="G31" s="87"/>
      <c r="H31" s="87"/>
      <c r="I31" s="87"/>
      <c r="J31" s="87"/>
      <c r="K31" s="87"/>
      <c r="L31" s="126"/>
    </row>
    <row r="32" spans="2:12" x14ac:dyDescent="0.3">
      <c r="B32" s="125">
        <v>8</v>
      </c>
      <c r="C32" s="87"/>
      <c r="D32" s="87"/>
      <c r="E32" s="87"/>
      <c r="F32" s="87"/>
      <c r="G32" s="87"/>
      <c r="H32" s="87"/>
      <c r="I32" s="87"/>
      <c r="J32" s="87"/>
      <c r="K32" s="87"/>
      <c r="L32" s="126"/>
    </row>
    <row r="33" spans="2:12" x14ac:dyDescent="0.3">
      <c r="B33" s="125">
        <v>9</v>
      </c>
      <c r="C33" s="87"/>
      <c r="D33" s="87"/>
      <c r="E33" s="87"/>
      <c r="F33" s="87"/>
      <c r="G33" s="87"/>
      <c r="H33" s="87"/>
      <c r="I33" s="87"/>
      <c r="J33" s="87"/>
      <c r="K33" s="87"/>
      <c r="L33" s="126"/>
    </row>
    <row r="34" spans="2:12" x14ac:dyDescent="0.3">
      <c r="B34" s="125">
        <v>10</v>
      </c>
      <c r="C34" s="87"/>
      <c r="D34" s="87"/>
      <c r="E34" s="87"/>
      <c r="F34" s="87"/>
      <c r="G34" s="87"/>
      <c r="H34" s="87"/>
      <c r="I34" s="87"/>
      <c r="J34" s="87"/>
      <c r="K34" s="87"/>
      <c r="L34" s="126"/>
    </row>
    <row r="35" spans="2:12" x14ac:dyDescent="0.3">
      <c r="B35" s="125"/>
      <c r="C35" s="87"/>
      <c r="D35" s="87"/>
      <c r="E35" s="87"/>
      <c r="F35" s="87"/>
      <c r="G35" s="87"/>
      <c r="H35" s="87"/>
      <c r="I35" s="87"/>
      <c r="J35" s="87"/>
      <c r="K35" s="87"/>
      <c r="L35" s="126"/>
    </row>
    <row r="36" spans="2:12" x14ac:dyDescent="0.3">
      <c r="B36" s="125"/>
      <c r="C36" s="87"/>
      <c r="D36" s="87"/>
      <c r="E36" s="87"/>
      <c r="F36" s="87"/>
      <c r="G36" s="87"/>
      <c r="H36" s="87"/>
      <c r="I36" s="87"/>
      <c r="J36" s="87"/>
      <c r="K36" s="87"/>
      <c r="L36" s="126"/>
    </row>
    <row r="37" spans="2:12" x14ac:dyDescent="0.3">
      <c r="B37" s="127"/>
      <c r="C37" s="87"/>
      <c r="D37" s="87"/>
      <c r="E37" s="87"/>
      <c r="F37" s="87"/>
      <c r="G37" s="87"/>
      <c r="H37" s="87"/>
      <c r="I37" s="87"/>
      <c r="J37" s="87"/>
      <c r="K37" s="87"/>
      <c r="L37" s="126"/>
    </row>
    <row r="38" spans="2:12" x14ac:dyDescent="0.3">
      <c r="B38" s="127"/>
      <c r="C38" s="87"/>
      <c r="D38" s="87"/>
      <c r="E38" s="87"/>
      <c r="F38" s="87"/>
      <c r="G38" s="87"/>
      <c r="H38" s="87"/>
      <c r="I38" s="87"/>
      <c r="J38" s="87"/>
      <c r="K38" s="87"/>
      <c r="L38" s="126"/>
    </row>
    <row r="39" spans="2:12" ht="15" thickBot="1" x14ac:dyDescent="0.35">
      <c r="B39" s="128"/>
      <c r="C39" s="129"/>
      <c r="D39" s="129"/>
      <c r="E39" s="129"/>
      <c r="F39" s="129"/>
      <c r="G39" s="129"/>
      <c r="H39" s="129"/>
      <c r="I39" s="129"/>
      <c r="J39" s="129"/>
      <c r="K39" s="129"/>
      <c r="L39" s="130"/>
    </row>
    <row r="40" spans="2:12" ht="15" thickTop="1" x14ac:dyDescent="0.3"/>
  </sheetData>
  <sheetProtection selectLockedCells="1" selectUnlockedCells="1"/>
  <mergeCells count="3">
    <mergeCell ref="B2:L2"/>
    <mergeCell ref="H4:J4"/>
    <mergeCell ref="K4:L4"/>
  </mergeCells>
  <printOptions horizontalCentered="1"/>
  <pageMargins left="0.23" right="0.23" top="1.17" bottom="0.59" header="0.23" footer="0.3"/>
  <pageSetup paperSize="9" scale="105" orientation="portrait" copies="0" r:id="rId1"/>
  <headerFooter>
    <oddHeader>&amp;C&amp;G</oddHeader>
    <oddFooter>&amp;CPage &amp;P of 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E10"/>
  <sheetViews>
    <sheetView zoomScaleNormal="100" zoomScaleSheetLayoutView="100" workbookViewId="0">
      <selection activeCell="C46" sqref="C46:E46"/>
    </sheetView>
  </sheetViews>
  <sheetFormatPr defaultColWidth="9.109375" defaultRowHeight="15.6" x14ac:dyDescent="0.3"/>
  <cols>
    <col min="1" max="1" width="0.5546875" style="1" customWidth="1"/>
    <col min="2" max="2" width="4" style="1" customWidth="1"/>
    <col min="3" max="3" width="9.109375" style="2"/>
    <col min="4" max="4" width="3.33203125" style="3" customWidth="1"/>
    <col min="5" max="5" width="81.33203125" style="1" bestFit="1" customWidth="1"/>
    <col min="6" max="16384" width="9.109375" style="1"/>
  </cols>
  <sheetData>
    <row r="1" spans="2:5" ht="16.2" thickBot="1" x14ac:dyDescent="0.35"/>
    <row r="2" spans="2:5" x14ac:dyDescent="0.3">
      <c r="B2" s="4"/>
      <c r="C2" s="5"/>
      <c r="D2" s="6"/>
      <c r="E2" s="7"/>
    </row>
    <row r="3" spans="2:5" ht="18" x14ac:dyDescent="0.3">
      <c r="B3" s="8" t="s">
        <v>32</v>
      </c>
      <c r="C3" s="9"/>
      <c r="D3" s="10"/>
      <c r="E3" s="11"/>
    </row>
    <row r="4" spans="2:5" s="16" customFormat="1" ht="30" customHeight="1" x14ac:dyDescent="0.3">
      <c r="B4" s="12"/>
      <c r="C4" s="13" t="s">
        <v>16</v>
      </c>
      <c r="D4" s="14" t="s">
        <v>18</v>
      </c>
      <c r="E4" s="15" t="s">
        <v>33</v>
      </c>
    </row>
    <row r="5" spans="2:5" s="21" customFormat="1" ht="30" customHeight="1" x14ac:dyDescent="0.3">
      <c r="B5" s="17"/>
      <c r="C5" s="18" t="s">
        <v>17</v>
      </c>
      <c r="D5" s="19" t="s">
        <v>18</v>
      </c>
      <c r="E5" s="20" t="s">
        <v>34</v>
      </c>
    </row>
    <row r="6" spans="2:5" s="26" customFormat="1" ht="30" customHeight="1" x14ac:dyDescent="0.3">
      <c r="B6" s="22"/>
      <c r="C6" s="23" t="s">
        <v>19</v>
      </c>
      <c r="D6" s="24" t="s">
        <v>18</v>
      </c>
      <c r="E6" s="25" t="s">
        <v>35</v>
      </c>
    </row>
    <row r="7" spans="2:5" s="31" customFormat="1" ht="30" customHeight="1" x14ac:dyDescent="0.3">
      <c r="B7" s="27"/>
      <c r="C7" s="28" t="s">
        <v>23</v>
      </c>
      <c r="D7" s="29" t="s">
        <v>18</v>
      </c>
      <c r="E7" s="30" t="s">
        <v>84</v>
      </c>
    </row>
    <row r="8" spans="2:5" s="36" customFormat="1" ht="30" customHeight="1" x14ac:dyDescent="0.3">
      <c r="B8" s="32"/>
      <c r="C8" s="33" t="s">
        <v>24</v>
      </c>
      <c r="D8" s="34" t="s">
        <v>18</v>
      </c>
      <c r="E8" s="35" t="s">
        <v>36</v>
      </c>
    </row>
    <row r="9" spans="2:5" x14ac:dyDescent="0.3">
      <c r="B9" s="37"/>
      <c r="C9" s="9"/>
      <c r="D9" s="10"/>
      <c r="E9" s="11"/>
    </row>
    <row r="10" spans="2:5" ht="16.2" thickBot="1" x14ac:dyDescent="0.35">
      <c r="B10" s="38"/>
      <c r="C10" s="39"/>
      <c r="D10" s="40"/>
      <c r="E10" s="41"/>
    </row>
  </sheetData>
  <printOptions horizontalCentered="1" verticalCentered="1"/>
  <pageMargins left="0.2" right="0.25" top="0.75" bottom="0.75" header="0.3" footer="0.3"/>
  <pageSetup paperSize="9" scale="96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LIST</vt:lpstr>
      <vt:lpstr>DASHBOARD</vt:lpstr>
      <vt:lpstr>lEGEND</vt:lpstr>
      <vt:lpstr>DASHBOARD!Print_Area</vt:lpstr>
      <vt:lpstr>LIST!Print_Area</vt:lpstr>
      <vt:lpstr>LIST!Print_Titles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YadavalliS</dc:creator>
  <cp:lastModifiedBy>Satish</cp:lastModifiedBy>
  <cp:lastPrinted>2015-05-14T08:32:42Z</cp:lastPrinted>
  <dcterms:created xsi:type="dcterms:W3CDTF">2015-05-11T08:27:54Z</dcterms:created>
  <dcterms:modified xsi:type="dcterms:W3CDTF">2016-12-27T10:21:44Z</dcterms:modified>
</cp:coreProperties>
</file>