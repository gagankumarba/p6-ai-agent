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Users\vpl\Desktop\Dash Board\"/>
    </mc:Choice>
  </mc:AlternateContent>
  <xr:revisionPtr revIDLastSave="0" documentId="13_ncr:1_{64349967-1B12-474B-923F-3FD93FBB4FE6}" xr6:coauthVersionLast="36" xr6:coauthVersionMax="36" xr10:uidLastSave="{00000000-0000-0000-0000-000000000000}"/>
  <bookViews>
    <workbookView xWindow="0" yWindow="0" windowWidth="19200" windowHeight="12768" firstSheet="2" activeTab="2" xr2:uid="{86D7BBC5-6C9A-4D24-8E92-610AE9D31EEC}"/>
  </bookViews>
  <sheets>
    <sheet name="DASH BOARD - Opt 1" sheetId="4" state="hidden" r:id="rId1"/>
    <sheet name="DASH BOARD- Option 2" sheetId="2" state="hidden" r:id="rId2"/>
    <sheet name="DASH BOARD" sheetId="5" r:id="rId3"/>
    <sheet name="S CUREVE DATAS" sheetId="3"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s>
  <definedNames>
    <definedName name="\A" localSheetId="2">#REF!</definedName>
    <definedName name="\A" localSheetId="0">#REF!</definedName>
    <definedName name="\A">#REF!</definedName>
    <definedName name="\B" localSheetId="2">#REF!</definedName>
    <definedName name="\B" localSheetId="0">#REF!</definedName>
    <definedName name="\B">#REF!</definedName>
    <definedName name="\C" localSheetId="2">#REF!</definedName>
    <definedName name="\C" localSheetId="0">#REF!</definedName>
    <definedName name="\C">#REF!</definedName>
    <definedName name="\D" localSheetId="2">#REF!</definedName>
    <definedName name="\D" localSheetId="0">#REF!</definedName>
    <definedName name="\D">#REF!</definedName>
    <definedName name="\E" localSheetId="2">#REF!</definedName>
    <definedName name="\E" localSheetId="0">#REF!</definedName>
    <definedName name="\E">#REF!</definedName>
    <definedName name="\F" localSheetId="2">#REF!</definedName>
    <definedName name="\F" localSheetId="0">#REF!</definedName>
    <definedName name="\F">#REF!</definedName>
    <definedName name="\G" localSheetId="2">#REF!</definedName>
    <definedName name="\G" localSheetId="0">#REF!</definedName>
    <definedName name="\G">#REF!</definedName>
    <definedName name="\H" localSheetId="2">#REF!</definedName>
    <definedName name="\H" localSheetId="0">#REF!</definedName>
    <definedName name="\H">#REF!</definedName>
    <definedName name="___a1" localSheetId="2">#REF!</definedName>
    <definedName name="___a1" localSheetId="0">#REF!</definedName>
    <definedName name="___a1">#REF!</definedName>
    <definedName name="___INDEX_SHEET___ASAP_Utilities" localSheetId="2">'[1]Index sheet'!#REF!</definedName>
    <definedName name="___INDEX_SHEET___ASAP_Utilities" localSheetId="0">'[1]Index sheet'!#REF!</definedName>
    <definedName name="___INDEX_SHEET___ASAP_Utilities">'[1]Index sheet'!#REF!</definedName>
    <definedName name="___PA7" localSheetId="2">[2]Preliminaries!#REF!</definedName>
    <definedName name="___PA7" localSheetId="0">[2]Preliminaries!#REF!</definedName>
    <definedName name="___PA7">[2]Preliminaries!#REF!</definedName>
    <definedName name="___uu1" localSheetId="2">#REF!</definedName>
    <definedName name="___uu1" localSheetId="0">#REF!</definedName>
    <definedName name="___uu1">#REF!</definedName>
    <definedName name="___wb1" hidden="1">{"form-D1",#N/A,FALSE,"FORM-D1";"form-D1_amt",#N/A,FALSE,"FORM-D1"}</definedName>
    <definedName name="__a1" localSheetId="2">#REF!</definedName>
    <definedName name="__a1" localSheetId="0">#REF!</definedName>
    <definedName name="__a1">#REF!</definedName>
    <definedName name="__PA7" localSheetId="2">[3]Preliminaries!#REF!</definedName>
    <definedName name="__PA7" localSheetId="0">[3]Preliminaries!#REF!</definedName>
    <definedName name="__PA7">[3]Preliminaries!#REF!</definedName>
    <definedName name="__tf1">[4]Intro!$J$140</definedName>
    <definedName name="__tf2">[4]Intro!$J$142</definedName>
    <definedName name="__tf3">[4]Intro!$J$148</definedName>
    <definedName name="__tf4">[4]Intro!$J$150</definedName>
    <definedName name="__tfd1">[4]Intro!$L$141</definedName>
    <definedName name="__tfd2">[4]Intro!$L$143</definedName>
    <definedName name="__tfd3">[4]Intro!$L$147</definedName>
    <definedName name="__tfd4">[4]Intro!$L$149</definedName>
    <definedName name="__tr1">[4]Intro!$C$140</definedName>
    <definedName name="__tr2">[4]Intro!$C$142</definedName>
    <definedName name="__tr3">[4]Intro!$C$150</definedName>
    <definedName name="__trd1">[4]Intro!$B$140</definedName>
    <definedName name="__trd2">[4]Intro!$B$142</definedName>
    <definedName name="__trd3">[4]Intro!$B$148</definedName>
    <definedName name="__uu1" localSheetId="2">#REF!</definedName>
    <definedName name="__uu1" localSheetId="0">#REF!</definedName>
    <definedName name="__uu1">#REF!</definedName>
    <definedName name="_a1" localSheetId="2">#REF!</definedName>
    <definedName name="_a1" localSheetId="0">#REF!</definedName>
    <definedName name="_a1">#REF!</definedName>
    <definedName name="_dep2" localSheetId="2">#REF!</definedName>
    <definedName name="_dep2" localSheetId="0">#REF!</definedName>
    <definedName name="_dep2">#REF!</definedName>
    <definedName name="_dep3" localSheetId="2">#REF!</definedName>
    <definedName name="_dep3" localSheetId="0">#REF!</definedName>
    <definedName name="_dep3">#REF!</definedName>
    <definedName name="_ext2" localSheetId="2">#REF!</definedName>
    <definedName name="_ext2" localSheetId="0">#REF!</definedName>
    <definedName name="_ext2">#REF!</definedName>
    <definedName name="_ext3" localSheetId="2">#REF!</definedName>
    <definedName name="_ext3" localSheetId="0">#REF!</definedName>
    <definedName name="_ext3">#REF!</definedName>
    <definedName name="_Fill" localSheetId="2" hidden="1">#REF!</definedName>
    <definedName name="_Fill" localSheetId="0" hidden="1">#REF!</definedName>
    <definedName name="_Fill" hidden="1">#REF!</definedName>
    <definedName name="_Key1" localSheetId="2" hidden="1">#REF!</definedName>
    <definedName name="_Key1" localSheetId="0" hidden="1">#REF!</definedName>
    <definedName name="_Key1" hidden="1">#REF!</definedName>
    <definedName name="_Key2" localSheetId="2" hidden="1">#REF!</definedName>
    <definedName name="_Key2" localSheetId="0" hidden="1">#REF!</definedName>
    <definedName name="_Key2" hidden="1">#REF!</definedName>
    <definedName name="_len2" localSheetId="2">#REF!</definedName>
    <definedName name="_len2" localSheetId="0">#REF!</definedName>
    <definedName name="_len2">#REF!</definedName>
    <definedName name="_len3" localSheetId="2">#REF!</definedName>
    <definedName name="_len3" localSheetId="0">#REF!</definedName>
    <definedName name="_len3">#REF!</definedName>
    <definedName name="_MatInverse_In" localSheetId="2" hidden="1">#REF!</definedName>
    <definedName name="_MatInverse_In" localSheetId="0" hidden="1">#REF!</definedName>
    <definedName name="_MatInverse_In" hidden="1">#REF!</definedName>
    <definedName name="_Order1" hidden="1">1</definedName>
    <definedName name="_Order2" hidden="1">255</definedName>
    <definedName name="_PA7" localSheetId="2">[3]Preliminaries!#REF!</definedName>
    <definedName name="_PA7" localSheetId="0">[3]Preliminaries!#REF!</definedName>
    <definedName name="_PA7">[3]Preliminaries!#REF!</definedName>
    <definedName name="_pc1" localSheetId="2">#REF!</definedName>
    <definedName name="_pc1" localSheetId="0">#REF!</definedName>
    <definedName name="_pc1">#REF!</definedName>
    <definedName name="_pc2" localSheetId="2">#REF!</definedName>
    <definedName name="_pc2" localSheetId="0">#REF!</definedName>
    <definedName name="_pc2">#REF!</definedName>
    <definedName name="_pc3" localSheetId="2">#REF!</definedName>
    <definedName name="_pc3" localSheetId="0">#REF!</definedName>
    <definedName name="_pc3">#REF!</definedName>
    <definedName name="_Sort" localSheetId="2" hidden="1">#REF!</definedName>
    <definedName name="_Sort" localSheetId="0" hidden="1">#REF!</definedName>
    <definedName name="_Sort" hidden="1">#REF!</definedName>
    <definedName name="_tbc2" localSheetId="2">#REF!</definedName>
    <definedName name="_tbc2" localSheetId="0">#REF!</definedName>
    <definedName name="_tbc2">#REF!</definedName>
    <definedName name="_tbc3" localSheetId="2">#REF!</definedName>
    <definedName name="_tbc3" localSheetId="0">#REF!</definedName>
    <definedName name="_tbc3">#REF!</definedName>
    <definedName name="_tf1">[4]Intro!$J$140</definedName>
    <definedName name="_tf2">[4]Intro!$J$142</definedName>
    <definedName name="_tf3">[4]Intro!$J$148</definedName>
    <definedName name="_tf4">[4]Intro!$J$150</definedName>
    <definedName name="_tfd1">[4]Intro!$L$141</definedName>
    <definedName name="_tfd2">[4]Intro!$L$143</definedName>
    <definedName name="_tfd3">[4]Intro!$L$147</definedName>
    <definedName name="_tfd4">[4]Intro!$L$149</definedName>
    <definedName name="_tr1">[4]Intro!$C$140</definedName>
    <definedName name="_tr2">[4]Intro!$C$142</definedName>
    <definedName name="_tr3">[4]Intro!$C$150</definedName>
    <definedName name="_trd1">[4]Intro!$B$140</definedName>
    <definedName name="_trd2">[4]Intro!$B$142</definedName>
    <definedName name="_trd3">[4]Intro!$B$148</definedName>
    <definedName name="_uu1" localSheetId="2">#REF!</definedName>
    <definedName name="_uu1" localSheetId="0">#REF!</definedName>
    <definedName name="_uu1">#REF!</definedName>
    <definedName name="_wb1" hidden="1">{"form-D1",#N/A,FALSE,"FORM-D1";"form-D1_amt",#N/A,FALSE,"FORM-D1"}</definedName>
    <definedName name="_wid2" localSheetId="2">#REF!</definedName>
    <definedName name="_wid2" localSheetId="0">#REF!</definedName>
    <definedName name="_wid2">#REF!</definedName>
    <definedName name="_wid3" localSheetId="2">#REF!</definedName>
    <definedName name="_wid3" localSheetId="0">#REF!</definedName>
    <definedName name="_wid3">#REF!</definedName>
    <definedName name="a" localSheetId="2">'[5]GRP Pipes'!#REF!</definedName>
    <definedName name="a" localSheetId="0">'[5]GRP Pipes'!#REF!</definedName>
    <definedName name="a">'[5]GRP Pipes'!#REF!</definedName>
    <definedName name="A0000" localSheetId="2">#REF!</definedName>
    <definedName name="A0000" localSheetId="0">#REF!</definedName>
    <definedName name="A0000">#REF!</definedName>
    <definedName name="a4d7" localSheetId="2">#REF!</definedName>
    <definedName name="a4d7" localSheetId="0">#REF!</definedName>
    <definedName name="a4d7">#REF!</definedName>
    <definedName name="AA" localSheetId="2">#REF!</definedName>
    <definedName name="AA" localSheetId="0">#REF!</definedName>
    <definedName name="AA">#REF!</definedName>
    <definedName name="aaa" localSheetId="2" hidden="1">#REF!</definedName>
    <definedName name="aaa" localSheetId="0" hidden="1">#REF!</definedName>
    <definedName name="aaa" hidden="1">#REF!</definedName>
    <definedName name="AAAA" localSheetId="2">#REF!</definedName>
    <definedName name="AAAA" localSheetId="0">#REF!</definedName>
    <definedName name="AAAA">#REF!</definedName>
    <definedName name="Aapp" localSheetId="2">#REF!</definedName>
    <definedName name="Aapp" localSheetId="0">#REF!</definedName>
    <definedName name="Aapp">#REF!</definedName>
    <definedName name="AB" localSheetId="2">#REF!</definedName>
    <definedName name="AB" localSheetId="0">#REF!</definedName>
    <definedName name="AB">#REF!</definedName>
    <definedName name="abc" localSheetId="2">#REF!</definedName>
    <definedName name="abc" localSheetId="0">#REF!</definedName>
    <definedName name="abc">#REF!</definedName>
    <definedName name="abd" localSheetId="2">#REF!</definedName>
    <definedName name="abd" localSheetId="0">#REF!</definedName>
    <definedName name="abd">#REF!</definedName>
    <definedName name="Abraham" localSheetId="2">#REF!</definedName>
    <definedName name="Abraham" localSheetId="0">#REF!</definedName>
    <definedName name="Abraham">#REF!</definedName>
    <definedName name="abtarea" localSheetId="2">#REF!</definedName>
    <definedName name="abtarea" localSheetId="0">#REF!</definedName>
    <definedName name="abtarea">#REF!</definedName>
    <definedName name="abtends" localSheetId="2">#REF!</definedName>
    <definedName name="abtends" localSheetId="0">#REF!</definedName>
    <definedName name="abtends">#REF!</definedName>
    <definedName name="abtpi" localSheetId="2">#REF!</definedName>
    <definedName name="abtpi" localSheetId="0">#REF!</definedName>
    <definedName name="abtpi">#REF!</definedName>
    <definedName name="abtpiledia" localSheetId="2">#REF!</definedName>
    <definedName name="abtpiledia" localSheetId="0">#REF!</definedName>
    <definedName name="abtpiledia">#REF!</definedName>
    <definedName name="abutpiles" localSheetId="2">#REF!</definedName>
    <definedName name="abutpiles" localSheetId="0">#REF!</definedName>
    <definedName name="abutpiles">#REF!</definedName>
    <definedName name="AC" localSheetId="2">#REF!</definedName>
    <definedName name="AC" localSheetId="0">#REF!</definedName>
    <definedName name="AC">#REF!</definedName>
    <definedName name="Acap" localSheetId="2">#REF!</definedName>
    <definedName name="Acap" localSheetId="0">#REF!</definedName>
    <definedName name="Acap">#REF!</definedName>
    <definedName name="ACC">[6]P6144!$D$1</definedName>
    <definedName name="ACT">[7]P6144!$A$1</definedName>
    <definedName name="AD" localSheetId="2">#REF!</definedName>
    <definedName name="AD" localSheetId="0">#REF!</definedName>
    <definedName name="AD">#REF!</definedName>
    <definedName name="addbeam" localSheetId="2">#REF!</definedName>
    <definedName name="addbeam" localSheetId="0">#REF!</definedName>
    <definedName name="addbeam">#REF!</definedName>
    <definedName name="adpvol" localSheetId="2">#REF!</definedName>
    <definedName name="adpvol" localSheetId="0">#REF!</definedName>
    <definedName name="adpvol">#REF!</definedName>
    <definedName name="AE" localSheetId="2">#REF!</definedName>
    <definedName name="AE" localSheetId="0">#REF!</definedName>
    <definedName name="AE">#REF!</definedName>
    <definedName name="AF">'[8]P1841 (4)'!$P$1</definedName>
    <definedName name="Aflar" localSheetId="2">#REF!</definedName>
    <definedName name="Aflar" localSheetId="0">#REF!</definedName>
    <definedName name="Aflar">#REF!</definedName>
    <definedName name="AG" localSheetId="2">#REF!</definedName>
    <definedName name="AG" localSheetId="0">#REF!</definedName>
    <definedName name="AG">#REF!</definedName>
    <definedName name="AH" localSheetId="2">#REF!</definedName>
    <definedName name="AH" localSheetId="0">#REF!</definedName>
    <definedName name="AH">#REF!</definedName>
    <definedName name="AI" localSheetId="2">#REF!</definedName>
    <definedName name="AI" localSheetId="0">#REF!</definedName>
    <definedName name="AI">#REF!</definedName>
    <definedName name="AJ" localSheetId="2">#REF!</definedName>
    <definedName name="AJ" localSheetId="0">#REF!</definedName>
    <definedName name="AJ">#REF!</definedName>
    <definedName name="AK" localSheetId="2">#REF!</definedName>
    <definedName name="AK" localSheetId="0">#REF!</definedName>
    <definedName name="AK">#REF!</definedName>
    <definedName name="AL" localSheetId="2">#REF!</definedName>
    <definedName name="AL" localSheetId="0">#REF!</definedName>
    <definedName name="AL">#REF!</definedName>
    <definedName name="allii" localSheetId="2">#REF!</definedName>
    <definedName name="allii" localSheetId="0">#REF!</definedName>
    <definedName name="allii">#REF!</definedName>
    <definedName name="Alumin" localSheetId="2">#REF!</definedName>
    <definedName name="Alumin" localSheetId="0">#REF!</definedName>
    <definedName name="Alumin">#REF!</definedName>
    <definedName name="AM" localSheetId="2">#REF!</definedName>
    <definedName name="AM" localSheetId="0">#REF!</definedName>
    <definedName name="AM">#REF!</definedName>
    <definedName name="AN" localSheetId="2">#REF!</definedName>
    <definedName name="AN" localSheetId="0">#REF!</definedName>
    <definedName name="AN">#REF!</definedName>
    <definedName name="Angle">'[9]Validation List'!$H$3:$H$12</definedName>
    <definedName name="ANSWER" localSheetId="2">[3]Preliminaries!#REF!</definedName>
    <definedName name="ANSWER" localSheetId="0">[3]Preliminaries!#REF!</definedName>
    <definedName name="ANSWER">[3]Preliminaries!#REF!</definedName>
    <definedName name="AO" localSheetId="2">#REF!</definedName>
    <definedName name="AO" localSheetId="0">#REF!</definedName>
    <definedName name="AO">#REF!</definedName>
    <definedName name="AP" localSheetId="2">#REF!</definedName>
    <definedName name="AP" localSheetId="0">#REF!</definedName>
    <definedName name="AP">#REF!</definedName>
    <definedName name="applen" localSheetId="2">#REF!</definedName>
    <definedName name="applen" localSheetId="0">#REF!</definedName>
    <definedName name="applen">#REF!</definedName>
    <definedName name="AQ" localSheetId="2">#REF!</definedName>
    <definedName name="AQ" localSheetId="0">#REF!</definedName>
    <definedName name="AQ">#REF!</definedName>
    <definedName name="AR" localSheetId="2">#REF!</definedName>
    <definedName name="AR" localSheetId="0">#REF!</definedName>
    <definedName name="AR">#REF!</definedName>
    <definedName name="areatop2" localSheetId="2">#REF!</definedName>
    <definedName name="areatop2" localSheetId="0">#REF!</definedName>
    <definedName name="areatop2">#REF!</definedName>
    <definedName name="AS">'[8]P1841 (4)'!$O$1</definedName>
    <definedName name="ASDF" localSheetId="2">#REF!</definedName>
    <definedName name="ASDF" localSheetId="0">#REF!</definedName>
    <definedName name="ASDF">#REF!</definedName>
    <definedName name="ASDFG" localSheetId="2">#REF!</definedName>
    <definedName name="ASDFG" localSheetId="0">#REF!</definedName>
    <definedName name="ASDFG">#REF!</definedName>
    <definedName name="AT" localSheetId="2">#REF!</definedName>
    <definedName name="AT" localSheetId="0">#REF!</definedName>
    <definedName name="AT">#REF!</definedName>
    <definedName name="atef" localSheetId="2">#REF!</definedName>
    <definedName name="atef" localSheetId="0">#REF!</definedName>
    <definedName name="atef">#REF!</definedName>
    <definedName name="AU" localSheetId="2">#REF!</definedName>
    <definedName name="AU" localSheetId="0">#REF!</definedName>
    <definedName name="AU">#REF!</definedName>
    <definedName name="avethk" localSheetId="2">#REF!</definedName>
    <definedName name="avethk" localSheetId="0">#REF!</definedName>
    <definedName name="avethk">#REF!</definedName>
    <definedName name="avewid" localSheetId="2">#REF!</definedName>
    <definedName name="avewid" localSheetId="0">#REF!</definedName>
    <definedName name="avewid">#REF!</definedName>
    <definedName name="b" localSheetId="2">'[5]GRP Pipes'!#REF!</definedName>
    <definedName name="b" localSheetId="0">'[5]GRP Pipes'!#REF!</definedName>
    <definedName name="b">'[5]GRP Pipes'!#REF!</definedName>
    <definedName name="B1_T">[3]Preliminaries!$K$69</definedName>
    <definedName name="B1T">'[10]BILL-1'!$F$371</definedName>
    <definedName name="B2_T" localSheetId="2">[3]Preliminaries!#REF!</definedName>
    <definedName name="B2_T" localSheetId="0">[3]Preliminaries!#REF!</definedName>
    <definedName name="B2_T">[3]Preliminaries!#REF!</definedName>
    <definedName name="B2T">'[10]BILL-2'!$F$372</definedName>
    <definedName name="B3_T" localSheetId="2">[3]Preliminaries!#REF!</definedName>
    <definedName name="B3_T" localSheetId="0">[3]Preliminaries!#REF!</definedName>
    <definedName name="B3_T">[3]Preliminaries!#REF!</definedName>
    <definedName name="B3TAL1">'[10]BILL-3 ALT-1'!$F$247</definedName>
    <definedName name="B3TAL2">'[10]BILL-3 ALT-2'!$F$247</definedName>
    <definedName name="B4_T" localSheetId="2">[3]Preliminaries!#REF!</definedName>
    <definedName name="B4_T" localSheetId="0">[3]Preliminaries!#REF!</definedName>
    <definedName name="B4_T">[3]Preliminaries!#REF!</definedName>
    <definedName name="B4T">'[10]BILL-4'!$F$371</definedName>
    <definedName name="B5_T" localSheetId="2">[3]Preliminaries!#REF!</definedName>
    <definedName name="B5_T" localSheetId="0">[3]Preliminaries!#REF!</definedName>
    <definedName name="B5_T">[3]Preliminaries!#REF!</definedName>
    <definedName name="B5TAL1">'[10]BILL-5 ALT-1'!$F$433</definedName>
    <definedName name="B5TAL2">'[10]BILL-5 ALT-2'!$F$433</definedName>
    <definedName name="B6_T" localSheetId="2">[3]Preliminaries!#REF!</definedName>
    <definedName name="B6_T" localSheetId="0">[3]Preliminaries!#REF!</definedName>
    <definedName name="B6_T">[3]Preliminaries!#REF!</definedName>
    <definedName name="ba" localSheetId="2">#REF!</definedName>
    <definedName name="ba" localSheetId="0">#REF!</definedName>
    <definedName name="ba">#REF!</definedName>
    <definedName name="BB" localSheetId="2">#REF!</definedName>
    <definedName name="BB" localSheetId="0">#REF!</definedName>
    <definedName name="BB">#REF!</definedName>
    <definedName name="BC">'[6]P6144 (2)'!$E$1</definedName>
    <definedName name="BD" localSheetId="2">#REF!</definedName>
    <definedName name="BD" localSheetId="0">#REF!</definedName>
    <definedName name="BD">#REF!</definedName>
    <definedName name="BE" localSheetId="2">#REF!</definedName>
    <definedName name="BE" localSheetId="0">#REF!</definedName>
    <definedName name="BE">#REF!</definedName>
    <definedName name="BF" localSheetId="2">#REF!</definedName>
    <definedName name="BF" localSheetId="0">#REF!</definedName>
    <definedName name="BF">#REF!</definedName>
    <definedName name="BG" localSheetId="2">#REF!</definedName>
    <definedName name="BG" localSheetId="0">#REF!</definedName>
    <definedName name="BG">#REF!</definedName>
    <definedName name="BH" localSheetId="2">#REF!</definedName>
    <definedName name="BH" localSheetId="0">#REF!</definedName>
    <definedName name="BH">#REF!</definedName>
    <definedName name="BI" localSheetId="2">#REF!</definedName>
    <definedName name="BI" localSheetId="0">#REF!</definedName>
    <definedName name="BI">#REF!</definedName>
    <definedName name="Bill1">[11]BOQ1!$B$2:$G$244</definedName>
    <definedName name="BJ" localSheetId="2">#REF!</definedName>
    <definedName name="BJ" localSheetId="0">#REF!</definedName>
    <definedName name="BJ">#REF!</definedName>
    <definedName name="borabt" localSheetId="2">#REF!</definedName>
    <definedName name="borabt" localSheetId="0">#REF!</definedName>
    <definedName name="borabt">#REF!</definedName>
    <definedName name="borlen1" localSheetId="2">#REF!</definedName>
    <definedName name="borlen1" localSheetId="0">#REF!</definedName>
    <definedName name="borlen1">#REF!</definedName>
    <definedName name="borlen2" localSheetId="2">#REF!</definedName>
    <definedName name="borlen2" localSheetId="0">#REF!</definedName>
    <definedName name="borlen2">#REF!</definedName>
    <definedName name="borlen3" localSheetId="2">#REF!</definedName>
    <definedName name="borlen3" localSheetId="0">#REF!</definedName>
    <definedName name="borlen3">#REF!</definedName>
    <definedName name="Boxvol" localSheetId="2">#REF!</definedName>
    <definedName name="Boxvol" localSheetId="0">#REF!</definedName>
    <definedName name="Boxvol">#REF!</definedName>
    <definedName name="BRange" localSheetId="2">#REF!</definedName>
    <definedName name="BRange" localSheetId="0">#REF!</definedName>
    <definedName name="BRange">#REF!</definedName>
    <definedName name="Brgname" localSheetId="2">#REF!</definedName>
    <definedName name="Brgname" localSheetId="0">#REF!</definedName>
    <definedName name="Brgname">#REF!</definedName>
    <definedName name="Brname" localSheetId="2">#REF!</definedName>
    <definedName name="Brname" localSheetId="0">#REF!</definedName>
    <definedName name="Brname">#REF!</definedName>
    <definedName name="C_">#N/A</definedName>
    <definedName name="cascrente">'[12]#REF'!$N$5</definedName>
    <definedName name="CATG" localSheetId="2">'[7]P6144 (2)'!#REF!</definedName>
    <definedName name="CATG" localSheetId="0">'[7]P6144 (2)'!#REF!</definedName>
    <definedName name="CATG">'[7]P6144 (2)'!#REF!</definedName>
    <definedName name="ccb" localSheetId="2">'[13]S-CURVE'!#REF!</definedName>
    <definedName name="ccb" localSheetId="0">'[13]S-CURVE'!#REF!</definedName>
    <definedName name="ccb">'[13]S-CURVE'!#REF!</definedName>
    <definedName name="ccb_c_p_a" localSheetId="2">'[13]S-CURVE'!#REF!</definedName>
    <definedName name="ccb_c_p_a" localSheetId="0">'[13]S-CURVE'!#REF!</definedName>
    <definedName name="ccb_c_p_a">'[13]S-CURVE'!#REF!</definedName>
    <definedName name="ccb_c_p_pl" localSheetId="2">'[13]S-CURVE'!#REF!</definedName>
    <definedName name="ccb_c_p_pl" localSheetId="0">'[13]S-CURVE'!#REF!</definedName>
    <definedName name="ccb_c_p_pl">'[13]S-CURVE'!#REF!</definedName>
    <definedName name="ccb_c_wt_a" localSheetId="2">'[13]S-CURVE'!#REF!</definedName>
    <definedName name="ccb_c_wt_a" localSheetId="0">'[13]S-CURVE'!#REF!</definedName>
    <definedName name="ccb_c_wt_a">'[13]S-CURVE'!#REF!</definedName>
    <definedName name="ccb_cum" localSheetId="2">'[13]S-CURVE'!#REF!</definedName>
    <definedName name="ccb_cum" localSheetId="0">'[13]S-CURVE'!#REF!</definedName>
    <definedName name="ccb_cum">'[13]S-CURVE'!#REF!</definedName>
    <definedName name="cellper" localSheetId="2">#REF!</definedName>
    <definedName name="cellper" localSheetId="0">#REF!</definedName>
    <definedName name="cellper">#REF!</definedName>
    <definedName name="circu1" localSheetId="2">#REF!</definedName>
    <definedName name="circu1" localSheetId="0">#REF!</definedName>
    <definedName name="circu1">#REF!</definedName>
    <definedName name="circu2" localSheetId="2">#REF!</definedName>
    <definedName name="circu2" localSheetId="0">#REF!</definedName>
    <definedName name="circu2">#REF!</definedName>
    <definedName name="class1" localSheetId="2">'[14]DTS Register'!#REF!</definedName>
    <definedName name="class1" localSheetId="0">'[14]DTS Register'!#REF!</definedName>
    <definedName name="class1">'[14]DTS Register'!#REF!</definedName>
    <definedName name="class2" localSheetId="2">'[14]DTS Register'!#REF!</definedName>
    <definedName name="class2" localSheetId="0">'[14]DTS Register'!#REF!</definedName>
    <definedName name="class2">'[14]DTS Register'!#REF!</definedName>
    <definedName name="class3" localSheetId="2">'[14]DTS Register'!#REF!</definedName>
    <definedName name="class3" localSheetId="0">'[14]DTS Register'!#REF!</definedName>
    <definedName name="class3">'[14]DTS Register'!#REF!</definedName>
    <definedName name="clength" localSheetId="2">#REF!</definedName>
    <definedName name="clength" localSheetId="0">#REF!</definedName>
    <definedName name="clength">#REF!</definedName>
    <definedName name="Clientno">[15]DISTRIBUTION!$O$3</definedName>
    <definedName name="cn">[16]Cover!$A$31</definedName>
    <definedName name="cocnlen1" localSheetId="2">#REF!</definedName>
    <definedName name="cocnlen1" localSheetId="0">#REF!</definedName>
    <definedName name="cocnlen1">#REF!</definedName>
    <definedName name="cofth">[4]Intro!$L$134</definedName>
    <definedName name="compiercircu" localSheetId="2">#REF!</definedName>
    <definedName name="compiercircu" localSheetId="0">#REF!</definedName>
    <definedName name="compiercircu">#REF!</definedName>
    <definedName name="compierstri" localSheetId="2">#REF!</definedName>
    <definedName name="compierstri" localSheetId="0">#REF!</definedName>
    <definedName name="compierstri">#REF!</definedName>
    <definedName name="compiersufare" localSheetId="2">#REF!</definedName>
    <definedName name="compiersufare" localSheetId="0">#REF!</definedName>
    <definedName name="compiersufare">#REF!</definedName>
    <definedName name="compiertopare" localSheetId="2">#REF!</definedName>
    <definedName name="compiertopare" localSheetId="0">#REF!</definedName>
    <definedName name="compiertopare">#REF!</definedName>
    <definedName name="compiervol" localSheetId="2">#REF!</definedName>
    <definedName name="compiervol" localSheetId="0">#REF!</definedName>
    <definedName name="compiervol">#REF!</definedName>
    <definedName name="con" localSheetId="2">[16]Cover!#REF!</definedName>
    <definedName name="con" localSheetId="0">[16]Cover!#REF!</definedName>
    <definedName name="con">[16]Cover!#REF!</definedName>
    <definedName name="conc2" localSheetId="2">#REF!</definedName>
    <definedName name="conc2" localSheetId="0">#REF!</definedName>
    <definedName name="conc2">#REF!</definedName>
    <definedName name="concabt" localSheetId="2">#REF!</definedName>
    <definedName name="concabt" localSheetId="0">#REF!</definedName>
    <definedName name="concabt">#REF!</definedName>
    <definedName name="conclen3" localSheetId="2">#REF!</definedName>
    <definedName name="conclen3" localSheetId="0">#REF!</definedName>
    <definedName name="conclen3">#REF!</definedName>
    <definedName name="Condition">'[9]Validation List'!$J$3:$J$7</definedName>
    <definedName name="COUNT" localSheetId="2">[3]Preliminaries!#REF!</definedName>
    <definedName name="COUNT" localSheetId="0">[3]Preliminaries!#REF!</definedName>
    <definedName name="COUNT">[3]Preliminaries!#REF!</definedName>
    <definedName name="cpdpvol" localSheetId="2">#REF!</definedName>
    <definedName name="cpdpvol" localSheetId="0">#REF!</definedName>
    <definedName name="cpdpvol">#REF!</definedName>
    <definedName name="cpierends" localSheetId="2">#REF!</definedName>
    <definedName name="cpierends" localSheetId="0">#REF!</definedName>
    <definedName name="cpierends">#REF!</definedName>
    <definedName name="CREW" localSheetId="2">'[7]P6144 (2)'!#REF!</definedName>
    <definedName name="CREW" localSheetId="0">'[7]P6144 (2)'!#REF!</definedName>
    <definedName name="CREW">'[7]P6144 (2)'!#REF!</definedName>
    <definedName name="CUTOFF">[15]PMS!$N$6</definedName>
    <definedName name="D" localSheetId="2">#REF!</definedName>
    <definedName name="D" localSheetId="0">#REF!</definedName>
    <definedName name="D">#REF!</definedName>
    <definedName name="dasd" localSheetId="2">#REF!</definedName>
    <definedName name="dasd" localSheetId="0">#REF!</definedName>
    <definedName name="dasd">#REF!</definedName>
    <definedName name="_xlnm.Database">'[17]K SUMMARY '!$A$15:$A$23</definedName>
    <definedName name="DAYS">[15]DISTRIBUTION!$AS$5:$AZ$5</definedName>
    <definedName name="DAYSDATA">[15]DISTRIBUTION!$AS$5:$AZ$6</definedName>
    <definedName name="dd" hidden="1">{"form-D1",#N/A,FALSE,"FORM-D1";"form-D1_amt",#N/A,FALSE,"FORM-D1"}</definedName>
    <definedName name="DDD" localSheetId="2">#REF!</definedName>
    <definedName name="DDD" localSheetId="0">#REF!</definedName>
    <definedName name="DDD">#REF!</definedName>
    <definedName name="Delay">[15]DISTRIBUTION!$O$5</definedName>
    <definedName name="DEM" localSheetId="2">#REF!</definedName>
    <definedName name="DEM" localSheetId="0">#REF!</definedName>
    <definedName name="DEM">#REF!</definedName>
    <definedName name="Depth" localSheetId="2">#REF!</definedName>
    <definedName name="Depth" localSheetId="0">#REF!</definedName>
    <definedName name="Depth">#REF!</definedName>
    <definedName name="Description">'[9]Validation List'!$E$3:$E$223</definedName>
    <definedName name="df" localSheetId="2">#REF!</definedName>
    <definedName name="df" localSheetId="0">#REF!</definedName>
    <definedName name="df">#REF!</definedName>
    <definedName name="dfasfsdfg" localSheetId="2">[3]Preliminaries!#REF!</definedName>
    <definedName name="dfasfsdfg" localSheetId="0">[3]Preliminaries!#REF!</definedName>
    <definedName name="dfasfsdfg">[3]Preliminaries!#REF!</definedName>
    <definedName name="Dff" localSheetId="2">#REF!</definedName>
    <definedName name="Dff" localSheetId="0">#REF!</definedName>
    <definedName name="Dff">#REF!</definedName>
    <definedName name="DIA" localSheetId="2">'[18]P1841 (5)'!#REF!</definedName>
    <definedName name="DIA" localSheetId="0">'[18]P1841 (5)'!#REF!</definedName>
    <definedName name="DIA">'[18]P1841 (5)'!#REF!</definedName>
    <definedName name="DIPipes" localSheetId="2">#REF!</definedName>
    <definedName name="DIPipes" localSheetId="0">#REF!</definedName>
    <definedName name="DIPipes">#REF!</definedName>
    <definedName name="DIpipes1">'[19]Supply of Pipes '!$A$1:$AG$338</definedName>
    <definedName name="Dismantling" localSheetId="2">#REF!</definedName>
    <definedName name="Dismantling" localSheetId="0">#REF!</definedName>
    <definedName name="Dismantling">#REF!</definedName>
    <definedName name="Distribute">IF([15]DISTRIBUTION!A$11&gt;=[15]DISTRIBUTION!$P1,IF(AND([15]DISTRIBUTION!XFD$11&lt;=[15]DISTRIBUTION!$Q1,[15]DISTRIBUTION!A$11&lt;=[15]DISTRIBUTION!$Q1),([15]DISTRIBUTION!$O1/(IF([15]DISTRIBUTION!$P1="",0,([15]DISTRIBUTION!$Q1-[15]DISTRIBUTION!$P1)*[15]DISTRIBUTION!A$9+[15]DISTRIBUTION!A$8))*(([15]DISTRIBUTION!A$11-[15]DISTRIBUTION!$P1)*[15]DISTRIBUTION!A$9+[15]DISTRIBUTION!A$8))-SUM([15]DISTRIBUTION!$AA1:XFD1),([15]DISTRIBUTION!$O1-SUM([15]DISTRIBUTION!$AA1:XFD1))),0)</definedName>
    <definedName name="E" localSheetId="2">#REF!</definedName>
    <definedName name="E" localSheetId="0">#REF!</definedName>
    <definedName name="E">#REF!</definedName>
    <definedName name="Ebc" localSheetId="2">#REF!</definedName>
    <definedName name="Ebc" localSheetId="0">#REF!</definedName>
    <definedName name="Ebc">#REF!</definedName>
    <definedName name="EF">'[6]P6144 (2)'!$D$1</definedName>
    <definedName name="EFA" localSheetId="2">[20]P10180!#REF!</definedName>
    <definedName name="EFA" localSheetId="0">[20]P10180!#REF!</definedName>
    <definedName name="EFA">[20]P10180!#REF!</definedName>
    <definedName name="ELA" localSheetId="2">#REF!</definedName>
    <definedName name="ELA" localSheetId="0">#REF!</definedName>
    <definedName name="ELA">#REF!</definedName>
    <definedName name="ELE" localSheetId="2">#REF!</definedName>
    <definedName name="ELE" localSheetId="0">#REF!</definedName>
    <definedName name="ELE">#REF!</definedName>
    <definedName name="Electro" localSheetId="2">#REF!</definedName>
    <definedName name="Electro" localSheetId="0">#REF!</definedName>
    <definedName name="Electro">#REF!</definedName>
    <definedName name="EqpCrew1">[21]EqpMonth!$A$72:$Y$99</definedName>
    <definedName name="EqpCrew2">[21]EqpMonth!$A$104:$Y$131</definedName>
    <definedName name="EqpCrew3">[21]EqpMonth!$A$136:$Y$163</definedName>
    <definedName name="EqpGenerl">[21]EqpMonth!$A$40:$Y$67</definedName>
    <definedName name="EqpOutfall">[21]EqpMonth!$A$168:$Y$197</definedName>
    <definedName name="EqPrint">[21]EqpMonth!$A$40:$Y$67,[21]EqpMonth!$A$72:$Y$99,[21]EqpMonth!$A$104:$Y$131,[21]EqpMonth!$A$136:$Y$163,[21]EqpMonth!$A$168:$Y$197</definedName>
    <definedName name="EqTotal">[21]EqpMonth!$A$1:$Y$35</definedName>
    <definedName name="ES">'[6]P6144 (2)'!$C$1</definedName>
    <definedName name="ESA" localSheetId="2">[20]P10180!#REF!</definedName>
    <definedName name="ESA" localSheetId="0">[20]P10180!#REF!</definedName>
    <definedName name="ESA">[20]P10180!#REF!</definedName>
    <definedName name="Euro" localSheetId="2">#REF!</definedName>
    <definedName name="Euro" localSheetId="0">#REF!</definedName>
    <definedName name="Euro">#REF!</definedName>
    <definedName name="F" localSheetId="2">#REF!</definedName>
    <definedName name="F" localSheetId="0">#REF!</definedName>
    <definedName name="F">#REF!</definedName>
    <definedName name="ff" localSheetId="2">#REF!</definedName>
    <definedName name="ff" localSheetId="0">#REF!</definedName>
    <definedName name="ff">#REF!</definedName>
    <definedName name="FILEN" localSheetId="2">[3]Preliminaries!#REF!</definedName>
    <definedName name="FILEN" localSheetId="0">[3]Preliminaries!#REF!</definedName>
    <definedName name="FILEN">[3]Preliminaries!#REF!</definedName>
    <definedName name="Final">'[22]Bill -1'!$A$46:$F$2995</definedName>
    <definedName name="FORM" localSheetId="2">#REF!</definedName>
    <definedName name="FORM" localSheetId="0">#REF!</definedName>
    <definedName name="FORM">#REF!</definedName>
    <definedName name="Four" localSheetId="2">'[23]NOC Register '!#REF!</definedName>
    <definedName name="Four" localSheetId="0">'[23]NOC Register '!#REF!</definedName>
    <definedName name="Four">'[23]NOC Register '!#REF!</definedName>
    <definedName name="From">'[9]Validation List'!$N$3:$N$45</definedName>
    <definedName name="fullTl" localSheetId="2">#REF!</definedName>
    <definedName name="fullTl" localSheetId="0">#REF!</definedName>
    <definedName name="fullTl">#REF!</definedName>
    <definedName name="g_c_p_a" localSheetId="2">'[13]S-CURVE'!#REF!</definedName>
    <definedName name="g_c_p_a" localSheetId="0">'[13]S-CURVE'!#REF!</definedName>
    <definedName name="g_c_p_a">'[13]S-CURVE'!#REF!</definedName>
    <definedName name="g_c_p_pl" localSheetId="2">'[13]S-CURVE'!#REF!</definedName>
    <definedName name="g_c_p_pl" localSheetId="0">'[13]S-CURVE'!#REF!</definedName>
    <definedName name="g_c_p_pl">'[13]S-CURVE'!#REF!</definedName>
    <definedName name="g_c_wt_a" localSheetId="2">'[13]S-CURVE'!#REF!</definedName>
    <definedName name="g_c_wt_a" localSheetId="0">'[13]S-CURVE'!#REF!</definedName>
    <definedName name="g_c_wt_a">'[13]S-CURVE'!#REF!</definedName>
    <definedName name="gen_cum" localSheetId="2">'[13]S-CURVE'!#REF!</definedName>
    <definedName name="gen_cum" localSheetId="0">'[13]S-CURVE'!#REF!</definedName>
    <definedName name="gen_cum">'[13]S-CURVE'!#REF!</definedName>
    <definedName name="general" localSheetId="2">'[13]S-CURVE'!#REF!</definedName>
    <definedName name="general" localSheetId="0">'[13]S-CURVE'!#REF!</definedName>
    <definedName name="general">'[13]S-CURVE'!#REF!</definedName>
    <definedName name="GLevel" localSheetId="2">#REF!</definedName>
    <definedName name="GLevel" localSheetId="0">#REF!</definedName>
    <definedName name="GLevel">#REF!</definedName>
    <definedName name="grconc">[4]Intro!$L$157</definedName>
    <definedName name="HDPE" localSheetId="2">#REF!</definedName>
    <definedName name="HDPE" localSheetId="0">#REF!</definedName>
    <definedName name="HDPE">#REF!</definedName>
    <definedName name="Health">'[23]NOC Register '!$E$3:$E$8</definedName>
    <definedName name="htwing" localSheetId="2">#REF!</definedName>
    <definedName name="htwing" localSheetId="0">#REF!</definedName>
    <definedName name="htwing">#REF!</definedName>
    <definedName name="idpvol" localSheetId="2">#REF!</definedName>
    <definedName name="idpvol" localSheetId="0">#REF!</definedName>
    <definedName name="idpvol">#REF!</definedName>
    <definedName name="imported" localSheetId="2">#REF!</definedName>
    <definedName name="imported" localSheetId="0">#REF!</definedName>
    <definedName name="imported">#REF!</definedName>
    <definedName name="Installation" localSheetId="2">#REF!</definedName>
    <definedName name="Installation" localSheetId="0">#REF!</definedName>
    <definedName name="Installation">#REF!</definedName>
    <definedName name="INTERVAL">[15]DISTRIBUTION!$P$3</definedName>
    <definedName name="Issue_date" localSheetId="2">#REF!</definedName>
    <definedName name="Issue_date" localSheetId="0">#REF!</definedName>
    <definedName name="Issue_date">#REF!</definedName>
    <definedName name="Item_nb.">'[9]Validation List'!$A$3:$A$302</definedName>
    <definedName name="Joint">'[9]Validation List'!$L$3:$L$4</definedName>
    <definedName name="k" hidden="1">{"form-D1",#N/A,FALSE,"FORM-D1";"form-D1_amt",#N/A,FALSE,"FORM-D1"}</definedName>
    <definedName name="KIND" localSheetId="2">#REF!</definedName>
    <definedName name="KIND" localSheetId="0">#REF!</definedName>
    <definedName name="KIND">#REF!</definedName>
    <definedName name="KPIOZetc" localSheetId="2">#REF!</definedName>
    <definedName name="KPIOZetc" localSheetId="0">#REF!</definedName>
    <definedName name="KPIOZetc">#REF!</definedName>
    <definedName name="KPIZSS11D0145" localSheetId="2">#REF!</definedName>
    <definedName name="KPIZSS11D0145" localSheetId="0">#REF!</definedName>
    <definedName name="KPIZSS11D0145">#REF!</definedName>
    <definedName name="Kurs" localSheetId="2">#REF!</definedName>
    <definedName name="Kurs" localSheetId="0">#REF!</definedName>
    <definedName name="Kurs">#REF!</definedName>
    <definedName name="LAC">[24]S2groupcode!$G$2</definedName>
    <definedName name="LACS">[25]PLAN_FEB97!$A$2</definedName>
    <definedName name="Lcant" localSheetId="2">#REF!</definedName>
    <definedName name="Lcant" localSheetId="0">#REF!</definedName>
    <definedName name="Lcant">#REF!</definedName>
    <definedName name="LCrew1">[21]Labour!$K$230:$AE$279</definedName>
    <definedName name="LCrew2">[21]Labour!$K$282:$AE$331</definedName>
    <definedName name="LCrew3">[21]Labour!$K$334:$AE$383</definedName>
    <definedName name="Length">'[9]Validation List'!$G$3:$G$19</definedName>
    <definedName name="ler" localSheetId="2">'[13]S-CURVE'!#REF!</definedName>
    <definedName name="ler" localSheetId="0">'[13]S-CURVE'!#REF!</definedName>
    <definedName name="ler">'[13]S-CURVE'!#REF!</definedName>
    <definedName name="ler_c_p_a" localSheetId="2">'[13]S-CURVE'!#REF!</definedName>
    <definedName name="ler_c_p_a" localSheetId="0">'[13]S-CURVE'!#REF!</definedName>
    <definedName name="ler_c_p_a">'[13]S-CURVE'!#REF!</definedName>
    <definedName name="ler_c_p_p" localSheetId="2">'[13]S-CURVE'!#REF!</definedName>
    <definedName name="ler_c_p_p" localSheetId="0">'[13]S-CURVE'!#REF!</definedName>
    <definedName name="ler_c_p_p">'[13]S-CURVE'!#REF!</definedName>
    <definedName name="ler_c_wt_a" localSheetId="2">'[13]S-CURVE'!#REF!</definedName>
    <definedName name="ler_c_wt_a" localSheetId="0">'[13]S-CURVE'!#REF!</definedName>
    <definedName name="ler_c_wt_a">'[13]S-CURVE'!#REF!</definedName>
    <definedName name="ler_cum" localSheetId="2">'[13]S-CURVE'!#REF!</definedName>
    <definedName name="ler_cum" localSheetId="0">'[13]S-CURVE'!#REF!</definedName>
    <definedName name="ler_cum">'[13]S-CURVE'!#REF!</definedName>
    <definedName name="Lf" localSheetId="2">#REF!</definedName>
    <definedName name="Lf" localSheetId="0">#REF!</definedName>
    <definedName name="Lf">#REF!</definedName>
    <definedName name="LGeneral">[21]Labour!$K$178:$AE$227</definedName>
    <definedName name="ll" localSheetId="2">#REF!</definedName>
    <definedName name="ll" localSheetId="0">#REF!</definedName>
    <definedName name="ll">#REF!</definedName>
    <definedName name="LOADING">[15]DISTRIBUTION!$AN$6:$AQ$6</definedName>
    <definedName name="LOCA">[11]P3257!$E$1</definedName>
    <definedName name="Location">'[9]Validation List'!$D$3:$D$27</definedName>
    <definedName name="LOutFall">[21]Labour!$K$70:$AE$173</definedName>
    <definedName name="m" localSheetId="2">'[20]P10180 (2)'!#REF!</definedName>
    <definedName name="m" localSheetId="0">'[20]P10180 (2)'!#REF!</definedName>
    <definedName name="m">'[20]P10180 (2)'!#REF!</definedName>
    <definedName name="MANDETAIL">[15]DISTRIBUTION!$AB$376:$DC$385</definedName>
    <definedName name="mat" localSheetId="2">#REF!</definedName>
    <definedName name="mat" localSheetId="0">#REF!</definedName>
    <definedName name="mat">#REF!</definedName>
    <definedName name="material" localSheetId="2">#REF!</definedName>
    <definedName name="material" localSheetId="0">#REF!</definedName>
    <definedName name="material">#REF!</definedName>
    <definedName name="n" localSheetId="2">#REF!</definedName>
    <definedName name="n" localSheetId="0">#REF!</definedName>
    <definedName name="n">#REF!</definedName>
    <definedName name="Name">[12]Index!$C$2</definedName>
    <definedName name="Nasa">[26]Data!$A$8:$AP$71</definedName>
    <definedName name="Nasa1">[26]Data!$A$8:$BK$71</definedName>
    <definedName name="ncompier" localSheetId="2">#REF!</definedName>
    <definedName name="ncompier" localSheetId="0">#REF!</definedName>
    <definedName name="ncompier">#REF!</definedName>
    <definedName name="nolanes" localSheetId="2">#REF!</definedName>
    <definedName name="nolanes" localSheetId="0">#REF!</definedName>
    <definedName name="nolanes">#REF!</definedName>
    <definedName name="NP">'[9]Validation List'!$K$3:$K$4</definedName>
    <definedName name="Npiers" localSheetId="2">#REF!</definedName>
    <definedName name="Npiers" localSheetId="0">#REF!</definedName>
    <definedName name="Npiers">#REF!</definedName>
    <definedName name="npile2" localSheetId="2">#REF!</definedName>
    <definedName name="npile2" localSheetId="0">#REF!</definedName>
    <definedName name="npile2">#REF!</definedName>
    <definedName name="npile3" localSheetId="2">#REF!</definedName>
    <definedName name="npile3" localSheetId="0">#REF!</definedName>
    <definedName name="npile3">#REF!</definedName>
    <definedName name="NRange">'[27]WT-DIST'!$N$9:$FN$41</definedName>
    <definedName name="Nspans" localSheetId="2">#REF!</definedName>
    <definedName name="Nspans" localSheetId="0">#REF!</definedName>
    <definedName name="Nspans">#REF!</definedName>
    <definedName name="Nwebs" localSheetId="2">#REF!</definedName>
    <definedName name="Nwebs" localSheetId="0">#REF!</definedName>
    <definedName name="Nwebs">#REF!</definedName>
    <definedName name="OD" localSheetId="2">'[7]P6144 (2)'!#REF!</definedName>
    <definedName name="OD" localSheetId="0">'[7]P6144 (2)'!#REF!</definedName>
    <definedName name="OD">'[7]P6144 (2)'!#REF!</definedName>
    <definedName name="oiui" hidden="1">{"form-D1",#N/A,FALSE,"FORM-D1";"form-D1_amt",#N/A,FALSE,"FORM-D1"}</definedName>
    <definedName name="overall">[15]DISTRIBUTION!$D$1:$DO$316</definedName>
    <definedName name="p" hidden="1">{"form-D1",#N/A,FALSE,"FORM-D1";"form-D1_amt",#N/A,FALSE,"FORM-D1"}</definedName>
    <definedName name="Page_12_of_51" localSheetId="2">[28]Item!#REF!</definedName>
    <definedName name="Page_12_of_51" localSheetId="0">[28]Item!#REF!</definedName>
    <definedName name="Page_12_of_51">[28]Item!#REF!</definedName>
    <definedName name="Page_13_of_51" localSheetId="2">[28]Item!#REF!</definedName>
    <definedName name="Page_13_of_51" localSheetId="0">[28]Item!#REF!</definedName>
    <definedName name="Page_13_of_51">[28]Item!#REF!</definedName>
    <definedName name="Page_14_of_51" localSheetId="2">[28]Item!#REF!</definedName>
    <definedName name="Page_14_of_51" localSheetId="0">[28]Item!#REF!</definedName>
    <definedName name="Page_14_of_51">[28]Item!#REF!</definedName>
    <definedName name="Page_18_of_51" localSheetId="2">[28]Item!#REF!</definedName>
    <definedName name="Page_18_of_51" localSheetId="0">[28]Item!#REF!</definedName>
    <definedName name="Page_18_of_51">[28]Item!#REF!</definedName>
    <definedName name="Page_27_of_51" localSheetId="2">[28]Item!#REF!</definedName>
    <definedName name="Page_27_of_51" localSheetId="0">[28]Item!#REF!</definedName>
    <definedName name="Page_27_of_51">[28]Item!#REF!</definedName>
    <definedName name="Page_51_of_51" localSheetId="2">[28]Item!#REF!</definedName>
    <definedName name="Page_51_of_51" localSheetId="0">[28]Item!#REF!</definedName>
    <definedName name="Page_51_of_51">[28]Item!#REF!</definedName>
    <definedName name="Page_8_of_51" localSheetId="2">[28]Item!#REF!</definedName>
    <definedName name="Page_8_of_51" localSheetId="0">[28]Item!#REF!</definedName>
    <definedName name="Page_8_of_51">[28]Item!#REF!</definedName>
    <definedName name="Page_9_of_51" localSheetId="2">[28]Item!#REF!</definedName>
    <definedName name="Page_9_of_51" localSheetId="0">[28]Item!#REF!</definedName>
    <definedName name="Page_9_of_51">[28]Item!#REF!</definedName>
    <definedName name="PCT">'[8]P1841 (4)'!$N$1</definedName>
    <definedName name="pdvol" localSheetId="2">#REF!</definedName>
    <definedName name="pdvol" localSheetId="0">#REF!</definedName>
    <definedName name="pdvol">#REF!</definedName>
    <definedName name="PEAKDATA">[15]DISTRIBUTION!$AC$11:$DB$11</definedName>
    <definedName name="perbox" localSheetId="2">#REF!</definedName>
    <definedName name="perbox" localSheetId="0">#REF!</definedName>
    <definedName name="perbox">#REF!</definedName>
    <definedName name="periimported" localSheetId="2">#REF!</definedName>
    <definedName name="periimported" localSheetId="0">#REF!</definedName>
    <definedName name="periimported">#REF!</definedName>
    <definedName name="PGLabt" localSheetId="2">#REF!</definedName>
    <definedName name="PGLabt" localSheetId="0">#REF!</definedName>
    <definedName name="PGLabt">#REF!</definedName>
    <definedName name="pier2" localSheetId="2">#REF!</definedName>
    <definedName name="pier2" localSheetId="0">#REF!</definedName>
    <definedName name="pier2">#REF!</definedName>
    <definedName name="pierpiles" localSheetId="2">#REF!</definedName>
    <definedName name="pierpiles" localSheetId="0">#REF!</definedName>
    <definedName name="pierpiles">#REF!</definedName>
    <definedName name="piervol1" localSheetId="2">#REF!</definedName>
    <definedName name="piervol1" localSheetId="0">#REF!</definedName>
    <definedName name="piervol1">#REF!</definedName>
    <definedName name="piervol2" localSheetId="2">#REF!</definedName>
    <definedName name="piervol2" localSheetId="0">#REF!</definedName>
    <definedName name="piervol2">#REF!</definedName>
    <definedName name="piledia1" localSheetId="2">#REF!</definedName>
    <definedName name="piledia1" localSheetId="0">#REF!</definedName>
    <definedName name="piledia1">#REF!</definedName>
    <definedName name="piledia2" localSheetId="2">#REF!</definedName>
    <definedName name="piledia2" localSheetId="0">#REF!</definedName>
    <definedName name="piledia2">#REF!</definedName>
    <definedName name="piledia3" localSheetId="2">#REF!</definedName>
    <definedName name="piledia3" localSheetId="0">#REF!</definedName>
    <definedName name="piledia3">#REF!</definedName>
    <definedName name="Piletipele" localSheetId="2">#REF!</definedName>
    <definedName name="Piletipele" localSheetId="0">#REF!</definedName>
    <definedName name="Piletipele">#REF!</definedName>
    <definedName name="Pipe_Loop_Designation">'[9]Validation List'!$M$3:$M$29</definedName>
    <definedName name="PMSDATA">[15]DISTRIBUTION!$D$12:$S$316</definedName>
    <definedName name="pr">[16]Cover!$A$29</definedName>
    <definedName name="Prange" localSheetId="2">#REF!</definedName>
    <definedName name="Prange" localSheetId="0">#REF!</definedName>
    <definedName name="Prange">#REF!</definedName>
    <definedName name="PrinLabour">[21]Labour!$K$1:$AG$40,[21]Labour!$K$42:$AG$60</definedName>
    <definedName name="_xlnm.Print_Area" localSheetId="2">'DASH BOARD'!$A$1:$AT$53</definedName>
    <definedName name="_xlnm.Print_Area" localSheetId="0">'DASH BOARD - Opt 1'!$A$1:$AT$52</definedName>
    <definedName name="_xlnm.Print_Area" localSheetId="1">'DASH BOARD- Option 2'!$A$1:$AT$52</definedName>
    <definedName name="_xlnm.Print_Area">#REF!</definedName>
    <definedName name="print_title">[29]Cul_detail!$A$2:$IV$5</definedName>
    <definedName name="_xlnm.Print_Titles">#REF!</definedName>
    <definedName name="print1">[30]shutpaste!$A$1:$CA$55</definedName>
    <definedName name="print2">[30]shutpaste!$CB$1:$EO$55</definedName>
    <definedName name="PROJ_END">[15]DISTRIBUTION!$P$8</definedName>
    <definedName name="PROJ_START">[15]DISTRIBUTION!$AA$11</definedName>
    <definedName name="Proname" localSheetId="2">#REF!</definedName>
    <definedName name="Proname" localSheetId="0">#REF!</definedName>
    <definedName name="Proname">#REF!</definedName>
    <definedName name="Q" localSheetId="2">#REF!</definedName>
    <definedName name="Q" localSheetId="0">#REF!</definedName>
    <definedName name="Q">#REF!</definedName>
    <definedName name="QAC">[7]P6144!$C$1</definedName>
    <definedName name="QTY_UPLIFT" localSheetId="2">[3]Preliminaries!#REF!</definedName>
    <definedName name="QTY_UPLIFT" localSheetId="0">[3]Preliminaries!#REF!</definedName>
    <definedName name="QTY_UPLIFT">[3]Preliminaries!#REF!</definedName>
    <definedName name="qw" localSheetId="2">#REF!</definedName>
    <definedName name="qw" localSheetId="0">#REF!</definedName>
    <definedName name="qw">#REF!</definedName>
    <definedName name="RATE" localSheetId="2">#REF!</definedName>
    <definedName name="RATE" localSheetId="0">#REF!</definedName>
    <definedName name="RATE">#REF!</definedName>
    <definedName name="RATE1" localSheetId="2">#REF!</definedName>
    <definedName name="RATE1" localSheetId="0">#REF!</definedName>
    <definedName name="RATE1">#REF!</definedName>
    <definedName name="RAW" localSheetId="2" hidden="1">#REF!</definedName>
    <definedName name="RAW" localSheetId="0" hidden="1">#REF!</definedName>
    <definedName name="RAW" hidden="1">#REF!</definedName>
    <definedName name="RCP">'[8]P1841 (3)'!$I$1</definedName>
    <definedName name="Ref" localSheetId="2">'[31]Shop Drawing'!#REF!</definedName>
    <definedName name="Ref" localSheetId="0">'[31]Shop Drawing'!#REF!</definedName>
    <definedName name="Ref">'[31]Shop Drawing'!#REF!</definedName>
    <definedName name="ReportNo">[15]DISTRIBUTION!$AA$7</definedName>
    <definedName name="RES">[6]P6144!$E$1</definedName>
    <definedName name="RID" localSheetId="2">'[6]P6144 (2)'!#REF!</definedName>
    <definedName name="RID" localSheetId="0">'[6]P6144 (2)'!#REF!</definedName>
    <definedName name="RID">'[6]P6144 (2)'!#REF!</definedName>
    <definedName name="rounded" localSheetId="2">#REF!</definedName>
    <definedName name="rounded" localSheetId="0">#REF!</definedName>
    <definedName name="rounded">#REF!</definedName>
    <definedName name="Rrange" localSheetId="2">#REF!</definedName>
    <definedName name="Rrange" localSheetId="0">#REF!</definedName>
    <definedName name="Rrange">#REF!</definedName>
    <definedName name="RUT" localSheetId="2">[20]P10180!#REF!</definedName>
    <definedName name="RUT" localSheetId="0">[20]P10180!#REF!</definedName>
    <definedName name="RUT">[20]P10180!#REF!</definedName>
    <definedName name="S" localSheetId="2">#REF!</definedName>
    <definedName name="S" localSheetId="0">#REF!</definedName>
    <definedName name="S">#REF!</definedName>
    <definedName name="sa" hidden="1">{"form-D1",#N/A,FALSE,"FORM-D1";"form-D1_amt",#N/A,FALSE,"FORM-D1"}</definedName>
    <definedName name="sarea1" localSheetId="2">#REF!</definedName>
    <definedName name="sarea1" localSheetId="0">#REF!</definedName>
    <definedName name="sarea1">#REF!</definedName>
    <definedName name="sfdsfsdf" localSheetId="2">#REF!</definedName>
    <definedName name="sfdsfsdf" localSheetId="0">#REF!</definedName>
    <definedName name="sfdsfsdf">#REF!</definedName>
    <definedName name="SHI" localSheetId="2">#REF!</definedName>
    <definedName name="SHI" localSheetId="0">#REF!</definedName>
    <definedName name="SHI">#REF!</definedName>
    <definedName name="sidewalk" localSheetId="2">#REF!</definedName>
    <definedName name="sidewalk" localSheetId="0">#REF!</definedName>
    <definedName name="sidewalk">#REF!</definedName>
    <definedName name="SITE" localSheetId="2">#REF!</definedName>
    <definedName name="SITE" localSheetId="0">#REF!</definedName>
    <definedName name="SITE">#REF!</definedName>
    <definedName name="size" localSheetId="2">#REF!</definedName>
    <definedName name="size" localSheetId="0">#REF!</definedName>
    <definedName name="size">#REF!</definedName>
    <definedName name="Skew" localSheetId="2">#REF!</definedName>
    <definedName name="Skew" localSheetId="0">#REF!</definedName>
    <definedName name="Skew">#REF!</definedName>
    <definedName name="slab_p" hidden="1">{"form-D1",#N/A,FALSE,"FORM-D1";"form-D1_amt",#N/A,FALSE,"FORM-D1"}</definedName>
    <definedName name="SM">[32]suweit!$G$14,[32]suweit!$G$15,[32]suweit!$G$18,[32]suweit!$G$24,[32]suweit!$G$30,[32]suweit!$G$35,[32]suweit!$G$38,[32]suweit!$G$44,[32]suweit!$G$48,[32]suweit!$G$56</definedName>
    <definedName name="SN" localSheetId="2">'[7]P6144 (2)'!#REF!</definedName>
    <definedName name="SN" localSheetId="0">'[7]P6144 (2)'!#REF!</definedName>
    <definedName name="SN">'[7]P6144 (2)'!#REF!</definedName>
    <definedName name="soffitl" localSheetId="2">#REF!</definedName>
    <definedName name="soffitl" localSheetId="0">#REF!</definedName>
    <definedName name="soffitl">#REF!</definedName>
    <definedName name="SOU" localSheetId="2">#REF!</definedName>
    <definedName name="SOU" localSheetId="0">#REF!</definedName>
    <definedName name="SOU">#REF!</definedName>
    <definedName name="Srange">[15]PMS!$AD$9:$DF$341</definedName>
    <definedName name="ss">'[33]UNP-NCW '!$F$17</definedName>
    <definedName name="stri1" localSheetId="2">#REF!</definedName>
    <definedName name="stri1" localSheetId="0">#REF!</definedName>
    <definedName name="stri1">#REF!</definedName>
    <definedName name="stri2" localSheetId="2">#REF!</definedName>
    <definedName name="stri2" localSheetId="0">#REF!</definedName>
    <definedName name="stri2">#REF!</definedName>
    <definedName name="SUBIFC" localSheetId="2">'[14]DTS Register'!#REF!</definedName>
    <definedName name="SUBIFC" localSheetId="0">'[14]DTS Register'!#REF!</definedName>
    <definedName name="SUBIFC">'[14]DTS Register'!#REF!</definedName>
    <definedName name="surarea2" localSheetId="2">#REF!</definedName>
    <definedName name="surarea2" localSheetId="0">#REF!</definedName>
    <definedName name="surarea2">#REF!</definedName>
    <definedName name="tabtdp" localSheetId="2">#REF!</definedName>
    <definedName name="tabtdp" localSheetId="0">#REF!</definedName>
    <definedName name="tabtdp">#REF!</definedName>
    <definedName name="TASK" localSheetId="2">#REF!</definedName>
    <definedName name="TASK" localSheetId="0">#REF!</definedName>
    <definedName name="TASK">#REF!</definedName>
    <definedName name="tbarri" localSheetId="2">#REF!</definedName>
    <definedName name="tbarri" localSheetId="0">#REF!</definedName>
    <definedName name="tbarri">#REF!</definedName>
    <definedName name="Tbc" localSheetId="2">#REF!</definedName>
    <definedName name="Tbc" localSheetId="0">#REF!</definedName>
    <definedName name="Tbc">#REF!</definedName>
    <definedName name="tcant" localSheetId="2">#REF!</definedName>
    <definedName name="tcant" localSheetId="0">#REF!</definedName>
    <definedName name="tcant">#REF!</definedName>
    <definedName name="tcpdp" localSheetId="2">#REF!</definedName>
    <definedName name="tcpdp" localSheetId="0">#REF!</definedName>
    <definedName name="tcpdp">#REF!</definedName>
    <definedName name="TF" localSheetId="2">#REF!</definedName>
    <definedName name="TF" localSheetId="0">#REF!</definedName>
    <definedName name="TF">#REF!</definedName>
    <definedName name="thikwing" localSheetId="2">#REF!</definedName>
    <definedName name="thikwing" localSheetId="0">#REF!</definedName>
    <definedName name="thikwing">#REF!</definedName>
    <definedName name="Three" localSheetId="2">'[23]NOC Register '!#REF!</definedName>
    <definedName name="Three" localSheetId="0">'[23]NOC Register '!#REF!</definedName>
    <definedName name="Three">'[23]NOC Register '!#REF!</definedName>
    <definedName name="TITLE">[7]P6144!$B$1</definedName>
    <definedName name="Tl" localSheetId="2">#REF!</definedName>
    <definedName name="Tl" localSheetId="0">#REF!</definedName>
    <definedName name="Tl">#REF!</definedName>
    <definedName name="toparea1" localSheetId="2">#REF!</definedName>
    <definedName name="toparea1" localSheetId="0">#REF!</definedName>
    <definedName name="toparea1">#REF!</definedName>
    <definedName name="tot_c_p_a">'[13]WTPLN_Rev A'!$B$47:$BA$47</definedName>
    <definedName name="tot_c_p_p" localSheetId="2">'[13]S-CURVE'!#REF!</definedName>
    <definedName name="tot_c_p_p" localSheetId="0">'[13]S-CURVE'!#REF!</definedName>
    <definedName name="tot_c_p_p">'[13]S-CURVE'!#REF!</definedName>
    <definedName name="tot_c_wt_a" localSheetId="2">'[13]S-CURVE'!#REF!</definedName>
    <definedName name="tot_c_wt_a" localSheetId="0">'[13]S-CURVE'!#REF!</definedName>
    <definedName name="tot_c_wt_a">'[13]S-CURVE'!#REF!</definedName>
    <definedName name="tot_cum" localSheetId="2">'[13]S-CURVE'!#REF!</definedName>
    <definedName name="tot_cum" localSheetId="0">'[13]S-CURVE'!#REF!</definedName>
    <definedName name="tot_cum">'[13]S-CURVE'!#REF!</definedName>
    <definedName name="TOT_P_R">'[13]WTPLN_Rev A'!$B$48:$BA$48</definedName>
    <definedName name="TOT_P_R2">'[13]WTPLN_Rev A'!$B$49:$BA$49</definedName>
    <definedName name="Total">[21]Labour!$K$4:$AE$59</definedName>
    <definedName name="Trans">[34]Transport!$A$1:$S$551</definedName>
    <definedName name="tsidewlk" localSheetId="2">#REF!</definedName>
    <definedName name="tsidewlk" localSheetId="0">#REF!</definedName>
    <definedName name="tsidewlk">#REF!</definedName>
    <definedName name="TTL_PIP_LN" localSheetId="2">[3]Preliminaries!#REF!</definedName>
    <definedName name="TTL_PIP_LN" localSheetId="0">[3]Preliminaries!#REF!</definedName>
    <definedName name="TTL_PIP_LN">[3]Preliminaries!#REF!</definedName>
    <definedName name="TYPE" localSheetId="2">'[7]P6144 (2)'!#REF!</definedName>
    <definedName name="TYPE" localSheetId="0">'[7]P6144 (2)'!#REF!</definedName>
    <definedName name="TYPE">'[7]P6144 (2)'!#REF!</definedName>
    <definedName name="Unit">'[9]Validation List'!$I$3:$I$8</definedName>
    <definedName name="update">'[8]184u'!$A$1:$H$123</definedName>
    <definedName name="UPDNO">[15]PMS!$AC$344</definedName>
    <definedName name="uppipeabt" localSheetId="2">#REF!</definedName>
    <definedName name="uppipeabt" localSheetId="0">#REF!</definedName>
    <definedName name="uppipeabt">#REF!</definedName>
    <definedName name="uppipebox" localSheetId="2">#REF!</definedName>
    <definedName name="uppipebox" localSheetId="0">#REF!</definedName>
    <definedName name="uppipebox">#REF!</definedName>
    <definedName name="uug" localSheetId="2">#REF!</definedName>
    <definedName name="uug" localSheetId="0">#REF!</definedName>
    <definedName name="uug">#REF!</definedName>
    <definedName name="v">#N/A</definedName>
    <definedName name="Valve_UnitI" localSheetId="2">#REF!</definedName>
    <definedName name="Valve_UnitI" localSheetId="0">#REF!</definedName>
    <definedName name="Valve_UnitI">#REF!</definedName>
    <definedName name="Valves" localSheetId="2">#REF!</definedName>
    <definedName name="Valves" localSheetId="0">#REF!</definedName>
    <definedName name="Valves">#REF!</definedName>
    <definedName name="verpile" localSheetId="2">#REF!</definedName>
    <definedName name="verpile" localSheetId="0">#REF!</definedName>
    <definedName name="verpile">#REF!</definedName>
    <definedName name="volww" localSheetId="2">#REF!</definedName>
    <definedName name="volww" localSheetId="0">#REF!</definedName>
    <definedName name="volww">#REF!</definedName>
    <definedName name="WA_PLAN" localSheetId="2">'[15]S-CURVE'!#REF!</definedName>
    <definedName name="WA_PLAN" localSheetId="0">'[15]S-CURVE'!#REF!</definedName>
    <definedName name="WA_PLAN">'[15]S-CURVE'!#REF!</definedName>
    <definedName name="weeks" localSheetId="2">'[13]S-CURVE'!#REF!</definedName>
    <definedName name="weeks" localSheetId="0">'[13]S-CURVE'!#REF!</definedName>
    <definedName name="weeks">'[13]S-CURVE'!#REF!</definedName>
    <definedName name="WEIGHT">"{=SUM(IF(DISTRIBUTION!$D$12:$D$216=PMS!$C9,DISTRIBUTION!$N$12:$N$216,""""))}"</definedName>
    <definedName name="widabt" localSheetId="2">#REF!</definedName>
    <definedName name="widabt" localSheetId="0">#REF!</definedName>
    <definedName name="widabt">#REF!</definedName>
    <definedName name="Width" localSheetId="2">#REF!</definedName>
    <definedName name="Width" localSheetId="0">#REF!</definedName>
    <definedName name="Width">#REF!</definedName>
    <definedName name="widwing" localSheetId="2">#REF!</definedName>
    <definedName name="widwing" localSheetId="0">#REF!</definedName>
    <definedName name="widwing">#REF!</definedName>
    <definedName name="WORKINGDAY">[15]DISTRIBUTION!$U$400:$U$1800</definedName>
    <definedName name="wrn.budget." hidden="1">{"form-D1",#N/A,FALSE,"FORM-D1";"form-D1_amt",#N/A,FALSE,"FORM-D1"}</definedName>
    <definedName name="ws" localSheetId="2">#REF!</definedName>
    <definedName name="ws" localSheetId="0">#REF!</definedName>
    <definedName name="ws">#REF!</definedName>
    <definedName name="xxxxxxx" localSheetId="2" hidden="1">#REF!</definedName>
    <definedName name="xxxxxxx" localSheetId="0" hidden="1">#REF!</definedName>
    <definedName name="xxxxxxx" hidden="1">#REF!</definedName>
    <definedName name="전" localSheetId="2">#REF!</definedName>
    <definedName name="전" localSheetId="0">#REF!</definedName>
    <definedName name="전">#REF!</definedName>
    <definedName name="주택사업본부" localSheetId="2">#REF!</definedName>
    <definedName name="주택사업본부" localSheetId="0">#REF!</definedName>
    <definedName name="주택사업본부">#REF!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C54" i="3" l="1"/>
  <c r="D46" i="3"/>
  <c r="C50" i="3"/>
  <c r="C46" i="3"/>
  <c r="D62" i="3"/>
  <c r="D58" i="3"/>
  <c r="AB52" i="5" l="1"/>
  <c r="Z52" i="5"/>
  <c r="Y52" i="5"/>
  <c r="G52" i="5"/>
  <c r="F52" i="5"/>
  <c r="E52" i="5"/>
  <c r="D52" i="5"/>
  <c r="U44" i="5"/>
  <c r="U45" i="5" s="1"/>
  <c r="U46" i="5" s="1"/>
  <c r="U47" i="5" s="1"/>
  <c r="U48" i="5" s="1"/>
  <c r="U49" i="5" s="1"/>
  <c r="U50" i="5" s="1"/>
  <c r="U51" i="5" s="1"/>
  <c r="I44" i="5"/>
  <c r="I45" i="5" s="1"/>
  <c r="I46" i="5" s="1"/>
  <c r="I47" i="5" s="1"/>
  <c r="I48" i="5" s="1"/>
  <c r="I49" i="5" s="1"/>
  <c r="I50" i="5" s="1"/>
  <c r="I51" i="5" s="1"/>
  <c r="A44" i="5"/>
  <c r="A45" i="5" s="1"/>
  <c r="A46" i="5" s="1"/>
  <c r="A47" i="5" s="1"/>
  <c r="A48" i="5" s="1"/>
  <c r="A49" i="5" s="1"/>
  <c r="A50" i="5" s="1"/>
  <c r="A51" i="5" s="1"/>
  <c r="AK21" i="5"/>
  <c r="AK22" i="5" s="1"/>
  <c r="Y21" i="5"/>
  <c r="Y22" i="5" s="1"/>
  <c r="AK15" i="5"/>
  <c r="AK16" i="5" s="1"/>
  <c r="AK17" i="5" s="1"/>
  <c r="AK18" i="5" s="1"/>
  <c r="Y15" i="5"/>
  <c r="Y16" i="5" s="1"/>
  <c r="Y17" i="5" s="1"/>
  <c r="Y18" i="5" s="1"/>
  <c r="M15" i="5"/>
  <c r="M16" i="5" s="1"/>
  <c r="M17" i="5" s="1"/>
  <c r="M18" i="5" s="1"/>
  <c r="M19" i="5" s="1"/>
  <c r="M20" i="5" s="1"/>
  <c r="M21" i="5" s="1"/>
  <c r="M22" i="5" s="1"/>
  <c r="A15" i="5"/>
  <c r="A16" i="5" s="1"/>
  <c r="A17" i="5" s="1"/>
  <c r="A18" i="5" s="1"/>
  <c r="A19" i="5" s="1"/>
  <c r="A20" i="5" s="1"/>
  <c r="A21" i="5" s="1"/>
  <c r="A22" i="5" s="1"/>
  <c r="AB19" i="4" l="1"/>
  <c r="Z19" i="4"/>
  <c r="Y19" i="4"/>
  <c r="G19" i="4"/>
  <c r="F19" i="4"/>
  <c r="E19" i="4"/>
  <c r="D19" i="4"/>
  <c r="U11" i="4"/>
  <c r="U12" i="4" s="1"/>
  <c r="U13" i="4" s="1"/>
  <c r="U14" i="4" s="1"/>
  <c r="U15" i="4" s="1"/>
  <c r="U16" i="4" s="1"/>
  <c r="U17" i="4" s="1"/>
  <c r="U18" i="4" s="1"/>
  <c r="I11" i="4"/>
  <c r="I12" i="4" s="1"/>
  <c r="I13" i="4" s="1"/>
  <c r="I14" i="4" s="1"/>
  <c r="I15" i="4" s="1"/>
  <c r="I16" i="4" s="1"/>
  <c r="I17" i="4" s="1"/>
  <c r="I18" i="4" s="1"/>
  <c r="A11" i="4"/>
  <c r="A12" i="4" s="1"/>
  <c r="A13" i="4" s="1"/>
  <c r="A14" i="4" s="1"/>
  <c r="A15" i="4" s="1"/>
  <c r="A16" i="4" s="1"/>
  <c r="A17" i="4" s="1"/>
  <c r="A18" i="4" s="1"/>
  <c r="AK48" i="4"/>
  <c r="AK49" i="4" s="1"/>
  <c r="Y48" i="4"/>
  <c r="Y49" i="4" s="1"/>
  <c r="AK42" i="4"/>
  <c r="AK43" i="4" s="1"/>
  <c r="AK44" i="4" s="1"/>
  <c r="AK45" i="4" s="1"/>
  <c r="Y42" i="4"/>
  <c r="Y43" i="4" s="1"/>
  <c r="Y44" i="4" s="1"/>
  <c r="Y45" i="4" s="1"/>
  <c r="M42" i="4"/>
  <c r="M43" i="4" s="1"/>
  <c r="M44" i="4" s="1"/>
  <c r="M45" i="4" s="1"/>
  <c r="M46" i="4" s="1"/>
  <c r="M47" i="4" s="1"/>
  <c r="M48" i="4" s="1"/>
  <c r="M49" i="4" s="1"/>
  <c r="A42" i="4"/>
  <c r="A43" i="4" s="1"/>
  <c r="A44" i="4" s="1"/>
  <c r="A45" i="4" s="1"/>
  <c r="A46" i="4" s="1"/>
  <c r="A47" i="4" s="1"/>
  <c r="A48" i="4" s="1"/>
  <c r="A49" i="4" s="1"/>
  <c r="AB36" i="2"/>
  <c r="Z36" i="2"/>
  <c r="C57" i="3"/>
  <c r="C58" i="3" s="1"/>
  <c r="C56" i="3"/>
  <c r="A45" i="3"/>
  <c r="D37" i="3"/>
  <c r="D36" i="3" s="1"/>
  <c r="D38" i="3" s="1"/>
  <c r="E37" i="3"/>
  <c r="E39" i="3" s="1"/>
  <c r="F37" i="3"/>
  <c r="G37" i="3"/>
  <c r="G39" i="3" s="1"/>
  <c r="H37" i="3"/>
  <c r="I37" i="3"/>
  <c r="I39" i="3" s="1"/>
  <c r="C39" i="3"/>
  <c r="C38" i="3"/>
  <c r="A37" i="3"/>
  <c r="A38" i="3" s="1"/>
  <c r="A39" i="3" s="1"/>
  <c r="A40" i="3" s="1"/>
  <c r="A41" i="3" s="1"/>
  <c r="I31" i="3"/>
  <c r="H31" i="3"/>
  <c r="G31" i="3"/>
  <c r="F31" i="3"/>
  <c r="E31" i="3"/>
  <c r="D31" i="3"/>
  <c r="C31" i="3"/>
  <c r="C30" i="3"/>
  <c r="A29" i="3"/>
  <c r="A30" i="3" s="1"/>
  <c r="A31" i="3" s="1"/>
  <c r="A32" i="3" s="1"/>
  <c r="A33" i="3" s="1"/>
  <c r="A21" i="3"/>
  <c r="A22" i="3" s="1"/>
  <c r="A23" i="3" s="1"/>
  <c r="A24" i="3" s="1"/>
  <c r="A25" i="3" s="1"/>
  <c r="P23" i="3"/>
  <c r="J23" i="3"/>
  <c r="I23" i="3"/>
  <c r="I22" i="3"/>
  <c r="C15" i="3"/>
  <c r="P15" i="3"/>
  <c r="D14" i="3"/>
  <c r="E14" i="3"/>
  <c r="F14" i="3"/>
  <c r="G14" i="3"/>
  <c r="H14" i="3"/>
  <c r="I14" i="3"/>
  <c r="J14" i="3"/>
  <c r="K14" i="3"/>
  <c r="L14" i="3"/>
  <c r="M14" i="3"/>
  <c r="N14" i="3"/>
  <c r="O14" i="3"/>
  <c r="P14" i="3"/>
  <c r="C14" i="3"/>
  <c r="E28" i="3"/>
  <c r="E30" i="3" s="1"/>
  <c r="F28" i="3"/>
  <c r="F30" i="3" s="1"/>
  <c r="G28" i="3"/>
  <c r="G30" i="3" s="1"/>
  <c r="H28" i="3"/>
  <c r="H30" i="3" s="1"/>
  <c r="I28" i="3"/>
  <c r="I30" i="3" s="1"/>
  <c r="D28" i="3"/>
  <c r="D30" i="3" s="1"/>
  <c r="J20" i="3"/>
  <c r="J22" i="3" s="1"/>
  <c r="Y36" i="2"/>
  <c r="U28" i="2"/>
  <c r="U29" i="2" s="1"/>
  <c r="U30" i="2" s="1"/>
  <c r="U31" i="2" s="1"/>
  <c r="U32" i="2" s="1"/>
  <c r="U33" i="2" s="1"/>
  <c r="U34" i="2" s="1"/>
  <c r="U35" i="2" s="1"/>
  <c r="A46" i="3" l="1"/>
  <c r="A48" i="3" s="1"/>
  <c r="A49" i="3" s="1"/>
  <c r="A50" i="3" s="1"/>
  <c r="A52" i="3" s="1"/>
  <c r="A53" i="3" s="1"/>
  <c r="A54" i="3" s="1"/>
  <c r="A56" i="3" s="1"/>
  <c r="A57" i="3" s="1"/>
  <c r="H36" i="3"/>
  <c r="H38" i="3" s="1"/>
  <c r="F36" i="3"/>
  <c r="F38" i="3" s="1"/>
  <c r="G36" i="3"/>
  <c r="G38" i="3" s="1"/>
  <c r="I36" i="3"/>
  <c r="I38" i="3" s="1"/>
  <c r="E36" i="3"/>
  <c r="E38" i="3" s="1"/>
  <c r="D39" i="3"/>
  <c r="H39" i="3"/>
  <c r="F39" i="3"/>
  <c r="G36" i="2"/>
  <c r="A58" i="3" l="1"/>
  <c r="A60" i="3" s="1"/>
  <c r="A61" i="3" s="1"/>
  <c r="A62" i="3" s="1"/>
  <c r="C60" i="3"/>
  <c r="C61" i="3"/>
  <c r="C62" i="3" s="1"/>
  <c r="F40" i="3"/>
  <c r="G33" i="3"/>
  <c r="G49" i="3" s="1"/>
  <c r="G50" i="3" s="1"/>
  <c r="F32" i="3"/>
  <c r="F48" i="3" s="1"/>
  <c r="D40" i="3"/>
  <c r="F33" i="3"/>
  <c r="F49" i="3" s="1"/>
  <c r="F50" i="3" s="1"/>
  <c r="E32" i="3"/>
  <c r="E48" i="3" s="1"/>
  <c r="H33" i="3"/>
  <c r="H49" i="3" s="1"/>
  <c r="H50" i="3" s="1"/>
  <c r="C40" i="3"/>
  <c r="E33" i="3"/>
  <c r="E49" i="3" s="1"/>
  <c r="E50" i="3" s="1"/>
  <c r="D32" i="3"/>
  <c r="D48" i="3" s="1"/>
  <c r="C33" i="3"/>
  <c r="D33" i="3"/>
  <c r="D49" i="3" s="1"/>
  <c r="D50" i="3" s="1"/>
  <c r="C32" i="3"/>
  <c r="H40" i="3"/>
  <c r="I32" i="3"/>
  <c r="I48" i="3" s="1"/>
  <c r="I52" i="3" s="1"/>
  <c r="C41" i="3"/>
  <c r="I33" i="3"/>
  <c r="I49" i="3" s="1"/>
  <c r="H32" i="3"/>
  <c r="H48" i="3" s="1"/>
  <c r="G32" i="3"/>
  <c r="G48" i="3" s="1"/>
  <c r="E40" i="3"/>
  <c r="G40" i="3"/>
  <c r="I40" i="3"/>
  <c r="I25" i="3"/>
  <c r="I24" i="3"/>
  <c r="E16" i="3"/>
  <c r="F44" i="3" s="1"/>
  <c r="M16" i="3"/>
  <c r="N44" i="3" s="1"/>
  <c r="P25" i="3"/>
  <c r="C17" i="3"/>
  <c r="F16" i="3"/>
  <c r="G44" i="3" s="1"/>
  <c r="N16" i="3"/>
  <c r="O44" i="3" s="1"/>
  <c r="P16" i="3"/>
  <c r="G16" i="3"/>
  <c r="H44" i="3" s="1"/>
  <c r="O16" i="3"/>
  <c r="P44" i="3" s="1"/>
  <c r="H16" i="3"/>
  <c r="I44" i="3" s="1"/>
  <c r="I16" i="3"/>
  <c r="J44" i="3" s="1"/>
  <c r="C16" i="3"/>
  <c r="K16" i="3"/>
  <c r="L44" i="3" s="1"/>
  <c r="J25" i="3"/>
  <c r="J24" i="3"/>
  <c r="D16" i="3"/>
  <c r="E44" i="3" s="1"/>
  <c r="J16" i="3"/>
  <c r="K44" i="3" s="1"/>
  <c r="P17" i="3"/>
  <c r="L16" i="3"/>
  <c r="M44" i="3" s="1"/>
  <c r="I53" i="3" l="1"/>
  <c r="I54" i="3" s="1"/>
  <c r="I50" i="3"/>
  <c r="I57" i="3"/>
  <c r="I58" i="3" s="1"/>
  <c r="H53" i="3"/>
  <c r="H54" i="3" s="1"/>
  <c r="F56" i="3"/>
  <c r="F60" i="3" s="1"/>
  <c r="E52" i="3"/>
  <c r="H56" i="3"/>
  <c r="G52" i="3"/>
  <c r="G56" i="3"/>
  <c r="I60" i="3" s="1"/>
  <c r="F52" i="3"/>
  <c r="E57" i="3"/>
  <c r="D53" i="3"/>
  <c r="D54" i="3" s="1"/>
  <c r="I56" i="3"/>
  <c r="H52" i="3"/>
  <c r="E56" i="3"/>
  <c r="E60" i="3" s="1"/>
  <c r="D52" i="3"/>
  <c r="H57" i="3"/>
  <c r="H58" i="3" s="1"/>
  <c r="G53" i="3"/>
  <c r="G54" i="3" s="1"/>
  <c r="G57" i="3"/>
  <c r="G58" i="3" s="1"/>
  <c r="F53" i="3"/>
  <c r="F54" i="3" s="1"/>
  <c r="F57" i="3"/>
  <c r="F58" i="3" s="1"/>
  <c r="E53" i="3"/>
  <c r="E54" i="3" s="1"/>
  <c r="D41" i="3"/>
  <c r="E41" i="3" s="1"/>
  <c r="F41" i="3" s="1"/>
  <c r="G41" i="3" s="1"/>
  <c r="H41" i="3" s="1"/>
  <c r="I41" i="3" s="1"/>
  <c r="K21" i="3"/>
  <c r="E61" i="3" l="1"/>
  <c r="E62" i="3" s="1"/>
  <c r="E58" i="3"/>
  <c r="K23" i="3"/>
  <c r="K25" i="3"/>
  <c r="L21" i="3"/>
  <c r="K20" i="3"/>
  <c r="F61" i="3" l="1"/>
  <c r="F62" i="3" s="1"/>
  <c r="K22" i="3"/>
  <c r="K24" i="3"/>
  <c r="L23" i="3"/>
  <c r="L25" i="3"/>
  <c r="M21" i="3"/>
  <c r="L20" i="3"/>
  <c r="D13" i="3"/>
  <c r="G61" i="3" l="1"/>
  <c r="G62" i="3" s="1"/>
  <c r="E13" i="3"/>
  <c r="D15" i="3"/>
  <c r="D17" i="3"/>
  <c r="E45" i="3" s="1"/>
  <c r="E46" i="3" s="1"/>
  <c r="L22" i="3"/>
  <c r="L24" i="3"/>
  <c r="M23" i="3"/>
  <c r="M25" i="3"/>
  <c r="N21" i="3"/>
  <c r="M20" i="3"/>
  <c r="E36" i="2"/>
  <c r="F36" i="2"/>
  <c r="D36" i="2"/>
  <c r="I28" i="2"/>
  <c r="I29" i="2" s="1"/>
  <c r="I30" i="2" s="1"/>
  <c r="I31" i="2" s="1"/>
  <c r="I32" i="2" s="1"/>
  <c r="I33" i="2" s="1"/>
  <c r="I34" i="2" s="1"/>
  <c r="I35" i="2" s="1"/>
  <c r="A28" i="2"/>
  <c r="A29" i="2" s="1"/>
  <c r="A30" i="2" s="1"/>
  <c r="A31" i="2" s="1"/>
  <c r="A32" i="2" s="1"/>
  <c r="A33" i="2" s="1"/>
  <c r="A34" i="2" s="1"/>
  <c r="A35" i="2" s="1"/>
  <c r="H61" i="3" l="1"/>
  <c r="H62" i="3" s="1"/>
  <c r="M22" i="3"/>
  <c r="M24" i="3"/>
  <c r="F13" i="3"/>
  <c r="E15" i="3"/>
  <c r="E17" i="3"/>
  <c r="F45" i="3" s="1"/>
  <c r="F46" i="3" s="1"/>
  <c r="N20" i="3"/>
  <c r="N23" i="3"/>
  <c r="N25" i="3"/>
  <c r="AK15" i="2"/>
  <c r="AK16" i="2" s="1"/>
  <c r="AK17" i="2" s="1"/>
  <c r="AK18" i="2" s="1"/>
  <c r="AK21" i="2" s="1"/>
  <c r="AK22" i="2" s="1"/>
  <c r="Y15" i="2"/>
  <c r="Y16" i="2" s="1"/>
  <c r="Y17" i="2" s="1"/>
  <c r="Y18" i="2" s="1"/>
  <c r="Y21" i="2" s="1"/>
  <c r="Y22" i="2" s="1"/>
  <c r="M15" i="2"/>
  <c r="M16" i="2" s="1"/>
  <c r="M17" i="2" s="1"/>
  <c r="M18" i="2" s="1"/>
  <c r="M19" i="2" s="1"/>
  <c r="M20" i="2" s="1"/>
  <c r="M21" i="2" s="1"/>
  <c r="M22" i="2" s="1"/>
  <c r="A15" i="2"/>
  <c r="A16" i="2" s="1"/>
  <c r="A17" i="2" s="1"/>
  <c r="A18" i="2" s="1"/>
  <c r="A19" i="2" s="1"/>
  <c r="A20" i="2" s="1"/>
  <c r="A21" i="2" s="1"/>
  <c r="A22" i="2" s="1"/>
  <c r="I61" i="3" l="1"/>
  <c r="I62" i="3" s="1"/>
  <c r="N22" i="3"/>
  <c r="N24" i="3"/>
  <c r="G13" i="3"/>
  <c r="F15" i="3"/>
  <c r="F17" i="3"/>
  <c r="G45" i="3" s="1"/>
  <c r="G46" i="3" s="1"/>
  <c r="H13" i="3" l="1"/>
  <c r="G15" i="3"/>
  <c r="G17" i="3"/>
  <c r="H45" i="3" s="1"/>
  <c r="H46" i="3" s="1"/>
  <c r="I13" i="3" l="1"/>
  <c r="H15" i="3"/>
  <c r="H17" i="3"/>
  <c r="I45" i="3" s="1"/>
  <c r="I46" i="3" s="1"/>
  <c r="J13" i="3" l="1"/>
  <c r="I15" i="3"/>
  <c r="I17" i="3"/>
  <c r="J45" i="3" s="1"/>
  <c r="J46" i="3" s="1"/>
  <c r="K13" i="3" l="1"/>
  <c r="J15" i="3"/>
  <c r="J17" i="3"/>
  <c r="K45" i="3" s="1"/>
  <c r="K46" i="3" s="1"/>
  <c r="L13" i="3" l="1"/>
  <c r="K15" i="3"/>
  <c r="K17" i="3"/>
  <c r="L45" i="3" s="1"/>
  <c r="L46" i="3" s="1"/>
  <c r="M13" i="3" l="1"/>
  <c r="L15" i="3"/>
  <c r="L17" i="3"/>
  <c r="M45" i="3" s="1"/>
  <c r="M46" i="3" s="1"/>
  <c r="N13" i="3" l="1"/>
  <c r="M15" i="3"/>
  <c r="M17" i="3"/>
  <c r="N45" i="3" s="1"/>
  <c r="N46" i="3" s="1"/>
  <c r="O13" i="3" l="1"/>
  <c r="N15" i="3"/>
  <c r="N17" i="3"/>
  <c r="O45" i="3" s="1"/>
  <c r="O46" i="3" s="1"/>
  <c r="O21" i="3" l="1"/>
  <c r="O15" i="3"/>
  <c r="O17" i="3"/>
  <c r="P45" i="3" s="1"/>
  <c r="P46" i="3" s="1"/>
  <c r="O23" i="3" l="1"/>
  <c r="O25" i="3"/>
  <c r="P20" i="3"/>
  <c r="O20" i="3"/>
  <c r="O22" i="3" l="1"/>
  <c r="O24" i="3"/>
  <c r="P22" i="3"/>
  <c r="P24" i="3"/>
</calcChain>
</file>

<file path=xl/sharedStrings.xml><?xml version="1.0" encoding="utf-8"?>
<sst xmlns="http://schemas.openxmlformats.org/spreadsheetml/2006/main" count="528" uniqueCount="182">
  <si>
    <t>Actual</t>
  </si>
  <si>
    <t>Total</t>
  </si>
  <si>
    <t>Variance</t>
  </si>
  <si>
    <t xml:space="preserve">Sl. No. </t>
  </si>
  <si>
    <t xml:space="preserve">Description </t>
  </si>
  <si>
    <t>Areas of Concern</t>
  </si>
  <si>
    <t xml:space="preserve">Project Man-Hours Summary </t>
  </si>
  <si>
    <t xml:space="preserve">Discipline </t>
  </si>
  <si>
    <t xml:space="preserve">Process </t>
  </si>
  <si>
    <t xml:space="preserve">Safety </t>
  </si>
  <si>
    <t xml:space="preserve">Mechanical </t>
  </si>
  <si>
    <t xml:space="preserve">Piping </t>
  </si>
  <si>
    <t>Pipeline</t>
  </si>
  <si>
    <t xml:space="preserve">Electrical </t>
  </si>
  <si>
    <t xml:space="preserve">Instrumentation </t>
  </si>
  <si>
    <t xml:space="preserve">Civil / Strucutural </t>
  </si>
  <si>
    <t>Overall Total</t>
  </si>
  <si>
    <t>Spent</t>
  </si>
  <si>
    <t>Balance</t>
  </si>
  <si>
    <t xml:space="preserve">Project Progress Summary </t>
  </si>
  <si>
    <t>Project Management</t>
  </si>
  <si>
    <t>General</t>
  </si>
  <si>
    <t>Current Week</t>
  </si>
  <si>
    <t>Plan</t>
  </si>
  <si>
    <t>Base Plan</t>
  </si>
  <si>
    <t>%</t>
  </si>
  <si>
    <t>Mhrs</t>
  </si>
  <si>
    <t>USD $</t>
  </si>
  <si>
    <t>Months</t>
  </si>
  <si>
    <t xml:space="preserve">Total Invoice Raised: </t>
  </si>
  <si>
    <t xml:space="preserve">Base Plan Progress </t>
  </si>
  <si>
    <t xml:space="preserve">Forecast Progress </t>
  </si>
  <si>
    <t xml:space="preserve">Actual Progress </t>
  </si>
  <si>
    <t>Nos</t>
  </si>
  <si>
    <t xml:space="preserve">Rejected by Client </t>
  </si>
  <si>
    <t>Documents Issued</t>
  </si>
  <si>
    <t xml:space="preserve">Cumulative </t>
  </si>
  <si>
    <t>SR. NO.</t>
  </si>
  <si>
    <t>DESCRIPTION</t>
  </si>
  <si>
    <t xml:space="preserve">MONTH - 0 </t>
  </si>
  <si>
    <t>MONTH - 1</t>
  </si>
  <si>
    <t>MONTH - 2</t>
  </si>
  <si>
    <t>MONTH - 3</t>
  </si>
  <si>
    <t>MONTH - 4</t>
  </si>
  <si>
    <t>MONTH - 5</t>
  </si>
  <si>
    <t>MONTH - 6</t>
  </si>
  <si>
    <t>MONTH - 7</t>
  </si>
  <si>
    <t>MONTH - 8</t>
  </si>
  <si>
    <t>MONTH - 9</t>
  </si>
  <si>
    <t>MONTH - 10</t>
  </si>
  <si>
    <t>MONTH - 11</t>
  </si>
  <si>
    <t>MONTH - 12</t>
  </si>
  <si>
    <t>MONTH - 13</t>
  </si>
  <si>
    <t>MONTHS</t>
  </si>
  <si>
    <t>M-0</t>
  </si>
  <si>
    <t>M-1</t>
  </si>
  <si>
    <t>M-2</t>
  </si>
  <si>
    <t>M-3</t>
  </si>
  <si>
    <t>M-4</t>
  </si>
  <si>
    <t>M-5</t>
  </si>
  <si>
    <t>M-6</t>
  </si>
  <si>
    <t>M-7</t>
  </si>
  <si>
    <t>M-8</t>
  </si>
  <si>
    <t>M-9</t>
  </si>
  <si>
    <t>M-10</t>
  </si>
  <si>
    <t>M-11</t>
  </si>
  <si>
    <t>M-12</t>
  </si>
  <si>
    <t>M-13</t>
  </si>
  <si>
    <t>PROGRESS " S " CURVE   ( TYPICAL )</t>
  </si>
  <si>
    <t>Identified Risks</t>
  </si>
  <si>
    <t>Risks Mitigation Steps</t>
  </si>
  <si>
    <t>MoC Raised</t>
  </si>
  <si>
    <t xml:space="preserve">MoC Agreed with Cost &amp; Schedule Extn </t>
  </si>
  <si>
    <t xml:space="preserve">Document Count Wise Status </t>
  </si>
  <si>
    <t xml:space="preserve">Actual </t>
  </si>
  <si>
    <t xml:space="preserve">Week No. </t>
  </si>
  <si>
    <t xml:space="preserve">Status Date. </t>
  </si>
  <si>
    <t>----PROJECT TITLE----</t>
  </si>
  <si>
    <t xml:space="preserve">Total Man-hours : </t>
  </si>
  <si>
    <t xml:space="preserve">Total Spent Hours: </t>
  </si>
  <si>
    <t>Remaining Hours</t>
  </si>
  <si>
    <t xml:space="preserve">Total Cost </t>
  </si>
  <si>
    <t xml:space="preserve">Total Invoice Received </t>
  </si>
  <si>
    <t>Total Milestones</t>
  </si>
  <si>
    <t>Achived Milestones</t>
  </si>
  <si>
    <t>Remaining Milestones</t>
  </si>
  <si>
    <t>Contract Start Date</t>
  </si>
  <si>
    <t xml:space="preserve">Contract Duration </t>
  </si>
  <si>
    <t xml:space="preserve">Duration Spent </t>
  </si>
  <si>
    <t>WEEKLY PROJECT REPORTING DASH BOARD</t>
  </si>
  <si>
    <t>Approved by Client</t>
  </si>
  <si>
    <t>Key Highlights - Current Period</t>
  </si>
  <si>
    <t>1120000XXXX</t>
  </si>
  <si>
    <t>Ramboll PM</t>
  </si>
  <si>
    <t>Contract Type</t>
  </si>
  <si>
    <t>Project Level</t>
  </si>
  <si>
    <t>Payment Terms</t>
  </si>
  <si>
    <t xml:space="preserve">Days </t>
  </si>
  <si>
    <t>% FORECAST PROGRESS CUMULATIVE</t>
  </si>
  <si>
    <t>USD</t>
  </si>
  <si>
    <t>ETC Hours</t>
  </si>
  <si>
    <t>Date</t>
  </si>
  <si>
    <t>% BASE PLAN PROGRESS /  MONTHLY</t>
  </si>
  <si>
    <t xml:space="preserve">Var % (Act% - Plan%) </t>
  </si>
  <si>
    <t>ETC</t>
  </si>
  <si>
    <t xml:space="preserve">Total Invoice Overdue </t>
  </si>
  <si>
    <t xml:space="preserve">ETC </t>
  </si>
  <si>
    <t xml:space="preserve">Overdue with client </t>
  </si>
  <si>
    <t>Notes :</t>
  </si>
  <si>
    <t>Planned Milestones</t>
  </si>
  <si>
    <t>% FORECAST PROGRESS /  MONTHLY</t>
  </si>
  <si>
    <t xml:space="preserve">Months </t>
  </si>
  <si>
    <t>Total Man-hours</t>
  </si>
  <si>
    <t xml:space="preserve">BASE PLAN COST / MONTHLY </t>
  </si>
  <si>
    <t>BASE PLAN HOURS/  MONTHLY</t>
  </si>
  <si>
    <t>FORECAST HOURS/  MONTHLY</t>
  </si>
  <si>
    <t xml:space="preserve">FORECAST COST / MONTHLY </t>
  </si>
  <si>
    <t>% EARNED PROGRESS /  MONTHLY</t>
  </si>
  <si>
    <t>% EARNED PROGRESS CUMULATIVE</t>
  </si>
  <si>
    <t>EARNEDHOURS/  MONTHLY</t>
  </si>
  <si>
    <t xml:space="preserve">EARNEDCOST / MONTHLY </t>
  </si>
  <si>
    <t>% SPENT /  MONTHLY</t>
  </si>
  <si>
    <t>% SPENT CUMULATIVE</t>
  </si>
  <si>
    <t>SPENT HOURS/  MONTHLY</t>
  </si>
  <si>
    <t xml:space="preserve">SPENT COST / MONTHLY </t>
  </si>
  <si>
    <t>PLAN VALUES     ( SAMPLE PROJECT )</t>
  </si>
  <si>
    <t>FORECAST VALUES  ( SAMPLE PROJECT )</t>
  </si>
  <si>
    <t>EARNED VALUES  ( SAMPLE PROJECT )</t>
  </si>
  <si>
    <t>SPENT VALUES  ( SAMPLE PROJECT )</t>
  </si>
  <si>
    <t>INVOICE VALUES  ( SAMPLE PROJECT )</t>
  </si>
  <si>
    <t>INVOICE TO BE RECEIVD AMT /  MONTHLY</t>
  </si>
  <si>
    <t>INVOICE RECEIVED AMT /  MONTHLY</t>
  </si>
  <si>
    <t xml:space="preserve">% BASE PLAN PROGRESS OVERALL </t>
  </si>
  <si>
    <t xml:space="preserve">BASE PLAN HOURS OVERALL </t>
  </si>
  <si>
    <t xml:space="preserve">BASE PLAN COST OVERALL </t>
  </si>
  <si>
    <t xml:space="preserve">FORECAST HOURS OVERALL </t>
  </si>
  <si>
    <t xml:space="preserve">FORECAST PLAN COST OVERALL </t>
  </si>
  <si>
    <t xml:space="preserve">EARNEDHOURS OVERALL </t>
  </si>
  <si>
    <t xml:space="preserve">EARNEDPLAN COST OVERALL </t>
  </si>
  <si>
    <t xml:space="preserve">SPENT HOURS OVERALL </t>
  </si>
  <si>
    <t xml:space="preserve">SPENT COST OVERALL </t>
  </si>
  <si>
    <t xml:space="preserve">INVOICE TO BE RECEIVD AMT OVERALL </t>
  </si>
  <si>
    <t xml:space="preserve">INVOICE RECEIVD AMT OVERALL </t>
  </si>
  <si>
    <t xml:space="preserve">Invoice Issue </t>
  </si>
  <si>
    <t xml:space="preserve">Monthly - Progressive </t>
  </si>
  <si>
    <t xml:space="preserve">Invoice Days </t>
  </si>
  <si>
    <t>INVOICE ISSUED AMT /  MONTHLY</t>
  </si>
  <si>
    <t xml:space="preserve">INVOICE ISSUED AMT OVERALL  </t>
  </si>
  <si>
    <t xml:space="preserve">Total Project Duration </t>
  </si>
  <si>
    <t>INVOICE / CASH FLOW " S " CURVE  ( TYPICAL )</t>
  </si>
  <si>
    <t>Initial Documents Total</t>
  </si>
  <si>
    <t>Current Total Documents</t>
  </si>
  <si>
    <t>SPENT % &amp; EARNED % ( TYPICAL )</t>
  </si>
  <si>
    <t>XYZ</t>
  </si>
  <si>
    <t>A/B/C/D</t>
  </si>
  <si>
    <t>Project. ID</t>
  </si>
  <si>
    <t xml:space="preserve">Market </t>
  </si>
  <si>
    <t>Oil &amp; Gas</t>
  </si>
  <si>
    <t xml:space="preserve">Lead PBU </t>
  </si>
  <si>
    <t xml:space="preserve">Abu Dhabi </t>
  </si>
  <si>
    <t>Fix / Rem</t>
  </si>
  <si>
    <t>USD / AED / QAR</t>
  </si>
  <si>
    <t>Contract Currency</t>
  </si>
  <si>
    <t>30 Days</t>
  </si>
  <si>
    <t>CASH FLOW PROJECTION AS PER BASE PLAN /  MONTHLY</t>
  </si>
  <si>
    <t xml:space="preserve">CASH FLOW PROJECTION AS PER BASE PLAN OVERALL </t>
  </si>
  <si>
    <t>INVOICE TO BE RAISED AMT AS PER EARNED % /  MONTHLY</t>
  </si>
  <si>
    <t xml:space="preserve">INVOICE TO BE RAISED AMT AS PER EARNED % OVERALL  </t>
  </si>
  <si>
    <t>Var</t>
  </si>
  <si>
    <t>INVOICE TO BE RECEIVD %</t>
  </si>
  <si>
    <t>INVOICE RECEIVD AMT %</t>
  </si>
  <si>
    <t>CASH FLOW PROJECTION IN %</t>
  </si>
  <si>
    <t>INVOICE TO BE RAISED IN %</t>
  </si>
  <si>
    <t>INVOICE ISSUED IN %</t>
  </si>
  <si>
    <t xml:space="preserve">Notes : </t>
  </si>
  <si>
    <t>Initial Doc's Total</t>
  </si>
  <si>
    <t>Current Doc's
Total</t>
  </si>
  <si>
    <t xml:space="preserve">INVOICE / CASH FLOW PROJECTION " S " CURVE  </t>
  </si>
  <si>
    <t>A/B/C/D/E</t>
  </si>
  <si>
    <t xml:space="preserve">PROGRESS " S " CURVE </t>
  </si>
  <si>
    <t xml:space="preserve">COST SPENT % (in MHRS) vs INVOICE EARNED % </t>
  </si>
  <si>
    <t>Cash Flow Projection - Prepared based on Base Plan %; Invoice Raised - Prepared based on Actual Progress Earned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</si>
</sst>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0.0%"/>
    <numFmt numFmtId="166" formatCode="[$-409]d\-mmm\-yy;@"/>
  </numFmts>
  <fonts count="21"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b/>
      <sz val="36"/>
      <color rgb="FF0000FF"/>
      <name val="Arial"/>
      <family val="2"/>
    </font>
    <font>
      <sz val="10"/>
      <name val="Arial"/>
      <family val="2"/>
    </font>
    <font>
      <b/>
      <sz val="14"/>
      <name val="Arial"/>
      <family val="2"/>
    </font>
    <font>
      <b/>
      <sz val="20"/>
      <color theme="0"/>
      <name val="Arial"/>
      <family val="2"/>
    </font>
    <font>
      <sz val="11"/>
      <name val="Arial"/>
      <family val="2"/>
    </font>
    <font>
      <sz val="12"/>
      <name val="Arial"/>
      <family val="2"/>
    </font>
    <font>
      <sz val="14"/>
      <name val="Arial"/>
      <family val="2"/>
    </font>
    <font>
      <b/>
      <sz val="20"/>
      <name val="Arial"/>
      <family val="2"/>
    </font>
    <font>
      <b/>
      <sz val="16"/>
      <color theme="0"/>
      <name val="Arial"/>
      <family val="2"/>
    </font>
    <font>
      <b/>
      <sz val="10"/>
      <name val="Arial"/>
      <family val="2"/>
    </font>
    <font>
      <sz val="11"/>
      <color theme="1"/>
      <name val="Arial"/>
      <family val="2"/>
    </font>
    <font>
      <sz val="9"/>
      <name val="Verdana"/>
      <family val="2"/>
    </font>
    <font>
      <b/>
      <sz val="20"/>
      <color rgb="FF0000FF"/>
      <name val="Arial"/>
      <family val="2"/>
    </font>
    <font>
      <b/>
      <sz val="18"/>
      <color rgb="FF0000FF"/>
      <name val="Calibri"/>
      <family val="2"/>
      <scheme val="minor"/>
    </font>
    <font>
      <sz val="16"/>
      <color rgb="FFFF0000"/>
      <name val="Arial"/>
      <family val="2"/>
    </font>
    <font>
      <b/>
      <sz val="11"/>
      <name val="Arial"/>
      <family val="2"/>
    </font>
    <font>
      <b/>
      <sz val="12"/>
      <name val="Calibri"/>
      <family val="2"/>
      <scheme val="minor"/>
    </font>
  </fonts>
  <fills count="15">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FFFF00"/>
        <bgColor indexed="64"/>
      </patternFill>
    </fill>
    <fill>
      <patternFill patternType="solid">
        <fgColor theme="4"/>
        <bgColor indexed="64"/>
      </patternFill>
    </fill>
    <fill>
      <patternFill patternType="solid">
        <fgColor rgb="FF7030A0"/>
        <bgColor indexed="64"/>
      </patternFill>
    </fill>
    <fill>
      <patternFill patternType="solid">
        <fgColor theme="9" tint="-0.249977111117893"/>
        <bgColor indexed="64"/>
      </patternFill>
    </fill>
    <fill>
      <patternFill patternType="solid">
        <fgColor rgb="FF0070C0"/>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rgb="FFCC99FF"/>
        <bgColor indexed="64"/>
      </patternFill>
    </fill>
    <fill>
      <patternFill patternType="solid">
        <fgColor rgb="FFFFFF99"/>
        <bgColor indexed="64"/>
      </patternFill>
    </fill>
  </fills>
  <borders count="7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hair">
        <color indexed="64"/>
      </top>
      <bottom style="hair">
        <color indexed="64"/>
      </bottom>
      <diagonal/>
    </border>
    <border>
      <left style="thin">
        <color indexed="64"/>
      </left>
      <right/>
      <top/>
      <bottom/>
      <diagonal/>
    </border>
    <border>
      <left/>
      <right style="thin">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style="thin">
        <color auto="1"/>
      </left>
      <right/>
      <top style="thin">
        <color auto="1"/>
      </top>
      <bottom/>
      <diagonal/>
    </border>
    <border>
      <left/>
      <right style="medium">
        <color auto="1"/>
      </right>
      <top style="thin">
        <color auto="1"/>
      </top>
      <bottom/>
      <diagonal/>
    </border>
    <border>
      <left style="thin">
        <color indexed="64"/>
      </left>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thin">
        <color indexed="64"/>
      </bottom>
      <diagonal/>
    </border>
    <border>
      <left/>
      <right style="thin">
        <color indexed="64"/>
      </right>
      <top style="medium">
        <color auto="1"/>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medium">
        <color indexed="64"/>
      </left>
      <right/>
      <top/>
      <bottom style="medium">
        <color indexed="64"/>
      </bottom>
      <diagonal/>
    </border>
    <border>
      <left style="thin">
        <color indexed="64"/>
      </left>
      <right style="thin">
        <color indexed="64"/>
      </right>
      <top/>
      <bottom/>
      <diagonal/>
    </border>
    <border>
      <left style="thin">
        <color indexed="64"/>
      </left>
      <right/>
      <top/>
      <bottom style="medium">
        <color indexed="64"/>
      </bottom>
      <diagonal/>
    </border>
  </borders>
  <cellStyleXfs count="9">
    <xf numFmtId="0" fontId="0" fillId="0" borderId="0"/>
    <xf numFmtId="9" fontId="3" fillId="0" borderId="0" applyFont="0" applyFill="0" applyBorder="0" applyAlignment="0" applyProtection="0"/>
    <xf numFmtId="0" fontId="3" fillId="0" borderId="0"/>
    <xf numFmtId="164" fontId="3" fillId="0" borderId="0" applyFont="0" applyFill="0" applyBorder="0" applyAlignment="0" applyProtection="0"/>
    <xf numFmtId="0" fontId="2" fillId="0" borderId="0"/>
    <xf numFmtId="9" fontId="5" fillId="0" borderId="0" applyFont="0" applyFill="0" applyBorder="0" applyAlignment="0" applyProtection="0"/>
    <xf numFmtId="9" fontId="2" fillId="0" borderId="0" applyFont="0" applyFill="0" applyBorder="0" applyAlignment="0" applyProtection="0"/>
    <xf numFmtId="0" fontId="1" fillId="0" borderId="0"/>
    <xf numFmtId="0" fontId="15" fillId="0" borderId="0"/>
  </cellStyleXfs>
  <cellXfs count="330">
    <xf numFmtId="0" fontId="0" fillId="0" borderId="0" xfId="0"/>
    <xf numFmtId="0" fontId="10" fillId="0" borderId="9" xfId="0" applyFont="1" applyBorder="1"/>
    <xf numFmtId="0" fontId="0" fillId="0" borderId="45" xfId="0" applyBorder="1" applyAlignment="1">
      <alignment horizontal="center" vertical="center"/>
    </xf>
    <xf numFmtId="0" fontId="0" fillId="0" borderId="40" xfId="0" applyBorder="1" applyAlignment="1">
      <alignment horizontal="center" vertical="center"/>
    </xf>
    <xf numFmtId="0" fontId="0" fillId="0" borderId="18" xfId="0" applyBorder="1" applyAlignment="1">
      <alignment horizontal="center" vertical="center"/>
    </xf>
    <xf numFmtId="0" fontId="9" fillId="0" borderId="9" xfId="0" applyFont="1" applyBorder="1" applyAlignment="1">
      <alignment horizontal="center" vertical="center"/>
    </xf>
    <xf numFmtId="0" fontId="0" fillId="0" borderId="50" xfId="0" applyBorder="1" applyAlignment="1">
      <alignment horizontal="center" vertical="center"/>
    </xf>
    <xf numFmtId="0" fontId="13" fillId="5" borderId="9" xfId="0" applyFont="1" applyFill="1" applyBorder="1" applyAlignment="1">
      <alignment horizontal="center" vertical="center"/>
    </xf>
    <xf numFmtId="0" fontId="8" fillId="0" borderId="9" xfId="0" applyFont="1" applyBorder="1" applyAlignment="1">
      <alignment horizontal="center" vertical="center"/>
    </xf>
    <xf numFmtId="9" fontId="0" fillId="0" borderId="45" xfId="0" applyNumberFormat="1" applyBorder="1" applyAlignment="1">
      <alignment horizontal="center" vertical="center"/>
    </xf>
    <xf numFmtId="9" fontId="0" fillId="0" borderId="40" xfId="0" applyNumberFormat="1" applyBorder="1" applyAlignment="1">
      <alignment horizontal="center" vertical="center"/>
    </xf>
    <xf numFmtId="9" fontId="13" fillId="5" borderId="9" xfId="0" applyNumberFormat="1" applyFont="1" applyFill="1" applyBorder="1" applyAlignment="1">
      <alignment horizontal="center" vertical="center"/>
    </xf>
    <xf numFmtId="0" fontId="8" fillId="0" borderId="16" xfId="0" applyFont="1" applyBorder="1" applyAlignment="1">
      <alignment vertical="center"/>
    </xf>
    <xf numFmtId="0" fontId="8" fillId="0" borderId="17" xfId="0" applyFont="1" applyBorder="1" applyAlignment="1">
      <alignment vertical="center"/>
    </xf>
    <xf numFmtId="0" fontId="10" fillId="0" borderId="17" xfId="0" applyFont="1" applyBorder="1" applyAlignment="1">
      <alignment horizontal="left" vertical="center"/>
    </xf>
    <xf numFmtId="0" fontId="0" fillId="0" borderId="0" xfId="0" applyBorder="1" applyAlignment="1">
      <alignment horizontal="center"/>
    </xf>
    <xf numFmtId="1" fontId="0" fillId="0" borderId="11" xfId="0" applyNumberFormat="1" applyBorder="1" applyAlignment="1">
      <alignment vertical="center"/>
    </xf>
    <xf numFmtId="1" fontId="0" fillId="0" borderId="48" xfId="0" applyNumberFormat="1" applyBorder="1" applyAlignment="1">
      <alignment vertical="center"/>
    </xf>
    <xf numFmtId="1" fontId="0" fillId="0" borderId="45" xfId="0" applyNumberFormat="1" applyBorder="1" applyAlignment="1">
      <alignment vertical="center"/>
    </xf>
    <xf numFmtId="1" fontId="0" fillId="0" borderId="40" xfId="0" applyNumberFormat="1" applyBorder="1" applyAlignment="1">
      <alignment vertical="center"/>
    </xf>
    <xf numFmtId="0" fontId="0" fillId="0" borderId="39" xfId="0" applyBorder="1" applyAlignment="1">
      <alignment horizontal="center" vertical="center"/>
    </xf>
    <xf numFmtId="0" fontId="16" fillId="2" borderId="52" xfId="2" applyFont="1" applyFill="1" applyBorder="1" applyAlignment="1">
      <alignment vertical="center" wrapText="1"/>
    </xf>
    <xf numFmtId="0" fontId="16" fillId="2" borderId="31" xfId="2" applyFont="1" applyFill="1" applyBorder="1" applyAlignment="1">
      <alignment vertical="center" wrapText="1"/>
    </xf>
    <xf numFmtId="0" fontId="10" fillId="0" borderId="16" xfId="0" applyFont="1" applyBorder="1" applyAlignment="1">
      <alignment vertical="center"/>
    </xf>
    <xf numFmtId="0" fontId="10" fillId="0" borderId="17" xfId="0" applyFont="1" applyBorder="1" applyAlignment="1">
      <alignment horizontal="center" vertical="center"/>
    </xf>
    <xf numFmtId="0" fontId="10" fillId="0" borderId="17" xfId="0" applyFont="1" applyBorder="1" applyAlignment="1">
      <alignment horizontal="center"/>
    </xf>
    <xf numFmtId="0" fontId="0" fillId="0" borderId="9" xfId="0" applyBorder="1" applyAlignment="1"/>
    <xf numFmtId="0" fontId="0" fillId="0" borderId="57" xfId="0" applyBorder="1" applyAlignment="1">
      <alignment horizontal="center" vertical="center"/>
    </xf>
    <xf numFmtId="0" fontId="0" fillId="0" borderId="58" xfId="0" applyBorder="1" applyAlignment="1">
      <alignment horizontal="center" vertical="center"/>
    </xf>
    <xf numFmtId="0" fontId="0" fillId="0" borderId="4" xfId="0" applyBorder="1"/>
    <xf numFmtId="0" fontId="0" fillId="0" borderId="0" xfId="0" applyBorder="1"/>
    <xf numFmtId="0" fontId="0" fillId="0" borderId="6" xfId="0" applyBorder="1"/>
    <xf numFmtId="0" fontId="0" fillId="0" borderId="0" xfId="0" applyBorder="1" applyAlignment="1"/>
    <xf numFmtId="0" fontId="10" fillId="0" borderId="59" xfId="0" applyFont="1" applyBorder="1"/>
    <xf numFmtId="0" fontId="0" fillId="0" borderId="62" xfId="0" applyBorder="1" applyAlignment="1">
      <alignment horizontal="center" vertical="center"/>
    </xf>
    <xf numFmtId="0" fontId="6" fillId="0" borderId="0" xfId="0" applyFont="1" applyBorder="1" applyAlignment="1">
      <alignment vertical="top"/>
    </xf>
    <xf numFmtId="0" fontId="6" fillId="0" borderId="0" xfId="0" applyFont="1" applyBorder="1" applyAlignment="1"/>
    <xf numFmtId="0" fontId="0" fillId="0" borderId="5" xfId="0" applyBorder="1"/>
    <xf numFmtId="0" fontId="0" fillId="0" borderId="7" xfId="0" applyBorder="1"/>
    <xf numFmtId="0" fontId="10" fillId="0" borderId="16" xfId="0" applyFont="1" applyBorder="1" applyAlignment="1">
      <alignment horizontal="left" vertical="center"/>
    </xf>
    <xf numFmtId="0" fontId="10" fillId="0" borderId="9" xfId="0" applyFont="1" applyBorder="1" applyAlignment="1">
      <alignment horizontal="left" vertical="center"/>
    </xf>
    <xf numFmtId="0" fontId="0" fillId="0" borderId="0" xfId="0" applyAlignment="1">
      <alignment horizontal="center" vertical="center"/>
    </xf>
    <xf numFmtId="9" fontId="10" fillId="0" borderId="15" xfId="1" applyFont="1" applyBorder="1" applyAlignment="1">
      <alignment vertical="center"/>
    </xf>
    <xf numFmtId="0" fontId="5" fillId="0" borderId="0" xfId="0" applyFont="1"/>
    <xf numFmtId="0" fontId="18" fillId="0" borderId="0" xfId="0" applyFont="1"/>
    <xf numFmtId="0" fontId="8" fillId="0" borderId="9" xfId="0" applyFont="1" applyBorder="1" applyAlignment="1">
      <alignment horizontal="center" vertical="center"/>
    </xf>
    <xf numFmtId="0" fontId="10" fillId="0" borderId="9" xfId="0" applyFont="1" applyBorder="1" applyAlignment="1">
      <alignment horizontal="left" vertical="center"/>
    </xf>
    <xf numFmtId="0" fontId="10" fillId="0" borderId="16" xfId="0" applyFont="1" applyBorder="1" applyAlignment="1">
      <alignment horizontal="left" vertical="center"/>
    </xf>
    <xf numFmtId="0" fontId="10" fillId="0" borderId="17" xfId="0" applyFont="1" applyBorder="1" applyAlignment="1">
      <alignment horizontal="left" vertical="center"/>
    </xf>
    <xf numFmtId="0" fontId="8" fillId="0" borderId="17" xfId="0" applyFont="1" applyBorder="1" applyAlignment="1">
      <alignment horizontal="center" vertical="center"/>
    </xf>
    <xf numFmtId="0" fontId="0" fillId="0" borderId="0" xfId="0" applyBorder="1" applyAlignment="1">
      <alignment horizontal="center"/>
    </xf>
    <xf numFmtId="0" fontId="10" fillId="0" borderId="16" xfId="0" applyFont="1" applyBorder="1" applyAlignment="1">
      <alignment horizontal="left" vertical="center"/>
    </xf>
    <xf numFmtId="0" fontId="10" fillId="0" borderId="9" xfId="0" applyFont="1" applyBorder="1" applyAlignment="1">
      <alignment horizontal="left" vertical="center"/>
    </xf>
    <xf numFmtId="0" fontId="0" fillId="0" borderId="0" xfId="0" applyBorder="1" applyAlignment="1">
      <alignment horizontal="center"/>
    </xf>
    <xf numFmtId="0" fontId="8" fillId="0" borderId="17" xfId="0" applyFont="1" applyBorder="1" applyAlignment="1">
      <alignment horizontal="center" vertical="center"/>
    </xf>
    <xf numFmtId="0" fontId="8" fillId="0" borderId="9" xfId="0" applyFont="1" applyBorder="1" applyAlignment="1">
      <alignment horizontal="center" vertical="center"/>
    </xf>
    <xf numFmtId="0" fontId="10" fillId="0" borderId="67" xfId="0" applyFont="1" applyBorder="1" applyAlignment="1">
      <alignment horizontal="left" vertical="center"/>
    </xf>
    <xf numFmtId="1" fontId="13" fillId="5" borderId="9" xfId="0" applyNumberFormat="1" applyFont="1" applyFill="1" applyBorder="1" applyAlignment="1">
      <alignment horizontal="center" vertical="center"/>
    </xf>
    <xf numFmtId="1" fontId="13" fillId="5" borderId="16" xfId="0" applyNumberFormat="1" applyFont="1" applyFill="1" applyBorder="1" applyAlignment="1">
      <alignment horizontal="center" vertical="center"/>
    </xf>
    <xf numFmtId="0" fontId="13" fillId="5" borderId="9" xfId="0" applyFont="1" applyFill="1" applyBorder="1"/>
    <xf numFmtId="0" fontId="13" fillId="5" borderId="9" xfId="0" applyFont="1" applyFill="1" applyBorder="1" applyAlignment="1">
      <alignment horizontal="right"/>
    </xf>
    <xf numFmtId="0" fontId="0" fillId="11" borderId="45" xfId="0" applyFill="1" applyBorder="1" applyAlignment="1">
      <alignment horizontal="center" vertical="center"/>
    </xf>
    <xf numFmtId="0" fontId="14" fillId="11" borderId="45" xfId="7" applyFont="1" applyFill="1" applyBorder="1" applyAlignment="1">
      <alignment horizontal="left" vertical="center"/>
    </xf>
    <xf numFmtId="165" fontId="8" fillId="11" borderId="45" xfId="8" applyNumberFormat="1" applyFont="1" applyFill="1" applyBorder="1" applyAlignment="1">
      <alignment horizontal="center" vertical="center" wrapText="1"/>
    </xf>
    <xf numFmtId="0" fontId="0" fillId="11" borderId="40" xfId="0" applyFill="1" applyBorder="1" applyAlignment="1">
      <alignment horizontal="center" vertical="center"/>
    </xf>
    <xf numFmtId="0" fontId="14" fillId="11" borderId="40" xfId="7" applyFont="1" applyFill="1" applyBorder="1" applyAlignment="1">
      <alignment horizontal="left" vertical="center"/>
    </xf>
    <xf numFmtId="165" fontId="8" fillId="11" borderId="40" xfId="8" applyNumberFormat="1" applyFont="1" applyFill="1" applyBorder="1" applyAlignment="1">
      <alignment horizontal="center" vertical="center" wrapText="1"/>
    </xf>
    <xf numFmtId="1" fontId="8" fillId="11" borderId="40" xfId="8" applyNumberFormat="1" applyFont="1" applyFill="1" applyBorder="1" applyAlignment="1">
      <alignment horizontal="center" vertical="center" wrapText="1"/>
    </xf>
    <xf numFmtId="0" fontId="0" fillId="11" borderId="18" xfId="0" applyFill="1" applyBorder="1" applyAlignment="1">
      <alignment horizontal="center" vertical="center"/>
    </xf>
    <xf numFmtId="0" fontId="14" fillId="11" borderId="18" xfId="7" applyFont="1" applyFill="1" applyBorder="1" applyAlignment="1">
      <alignment horizontal="left" vertical="center"/>
    </xf>
    <xf numFmtId="1" fontId="8" fillId="11" borderId="18" xfId="8" applyNumberFormat="1" applyFont="1" applyFill="1" applyBorder="1" applyAlignment="1">
      <alignment horizontal="center" vertical="center" wrapText="1"/>
    </xf>
    <xf numFmtId="0" fontId="0" fillId="10" borderId="45" xfId="0" applyFill="1" applyBorder="1" applyAlignment="1">
      <alignment horizontal="center" vertical="center"/>
    </xf>
    <xf numFmtId="0" fontId="14" fillId="10" borderId="45" xfId="7" applyFont="1" applyFill="1" applyBorder="1" applyAlignment="1">
      <alignment horizontal="left" vertical="center"/>
    </xf>
    <xf numFmtId="165" fontId="8" fillId="10" borderId="45" xfId="8" applyNumberFormat="1" applyFont="1" applyFill="1" applyBorder="1" applyAlignment="1">
      <alignment horizontal="center" vertical="center" wrapText="1"/>
    </xf>
    <xf numFmtId="0" fontId="0" fillId="10" borderId="40" xfId="0" applyFill="1" applyBorder="1" applyAlignment="1">
      <alignment horizontal="center" vertical="center"/>
    </xf>
    <xf numFmtId="0" fontId="14" fillId="10" borderId="40" xfId="7" applyFont="1" applyFill="1" applyBorder="1" applyAlignment="1">
      <alignment horizontal="left" vertical="center"/>
    </xf>
    <xf numFmtId="165" fontId="8" fillId="10" borderId="40" xfId="8" applyNumberFormat="1" applyFont="1" applyFill="1" applyBorder="1" applyAlignment="1">
      <alignment horizontal="center" vertical="center" wrapText="1"/>
    </xf>
    <xf numFmtId="1" fontId="8" fillId="10" borderId="40" xfId="8" applyNumberFormat="1" applyFont="1" applyFill="1" applyBorder="1" applyAlignment="1">
      <alignment horizontal="center" vertical="center" wrapText="1"/>
    </xf>
    <xf numFmtId="0" fontId="0" fillId="10" borderId="18" xfId="0" applyFill="1" applyBorder="1" applyAlignment="1">
      <alignment horizontal="center" vertical="center"/>
    </xf>
    <xf numFmtId="0" fontId="14" fillId="10" borderId="18" xfId="7" applyFont="1" applyFill="1" applyBorder="1" applyAlignment="1">
      <alignment horizontal="left" vertical="center"/>
    </xf>
    <xf numFmtId="1" fontId="8" fillId="10" borderId="18" xfId="8" applyNumberFormat="1" applyFont="1" applyFill="1" applyBorder="1" applyAlignment="1">
      <alignment horizontal="center" vertical="center" wrapText="1"/>
    </xf>
    <xf numFmtId="0" fontId="0" fillId="12" borderId="45" xfId="0" applyFill="1" applyBorder="1" applyAlignment="1">
      <alignment horizontal="center" vertical="center"/>
    </xf>
    <xf numFmtId="0" fontId="14" fillId="12" borderId="45" xfId="7" applyFont="1" applyFill="1" applyBorder="1" applyAlignment="1">
      <alignment horizontal="left" vertical="center"/>
    </xf>
    <xf numFmtId="165" fontId="8" fillId="12" borderId="45" xfId="8" applyNumberFormat="1" applyFont="1" applyFill="1" applyBorder="1" applyAlignment="1">
      <alignment horizontal="center" vertical="center" wrapText="1"/>
    </xf>
    <xf numFmtId="0" fontId="0" fillId="12" borderId="40" xfId="0" applyFill="1" applyBorder="1" applyAlignment="1">
      <alignment horizontal="center" vertical="center"/>
    </xf>
    <xf numFmtId="0" fontId="14" fillId="12" borderId="40" xfId="7" applyFont="1" applyFill="1" applyBorder="1" applyAlignment="1">
      <alignment horizontal="left" vertical="center"/>
    </xf>
    <xf numFmtId="165" fontId="8" fillId="12" borderId="40" xfId="8" applyNumberFormat="1" applyFont="1" applyFill="1" applyBorder="1" applyAlignment="1">
      <alignment horizontal="center" vertical="center" wrapText="1"/>
    </xf>
    <xf numFmtId="1" fontId="8" fillId="12" borderId="40" xfId="8" applyNumberFormat="1" applyFont="1" applyFill="1" applyBorder="1" applyAlignment="1">
      <alignment horizontal="center" vertical="center" wrapText="1"/>
    </xf>
    <xf numFmtId="0" fontId="0" fillId="12" borderId="18" xfId="0" applyFill="1" applyBorder="1" applyAlignment="1">
      <alignment horizontal="center" vertical="center"/>
    </xf>
    <xf numFmtId="0" fontId="14" fillId="12" borderId="18" xfId="7" applyFont="1" applyFill="1" applyBorder="1" applyAlignment="1">
      <alignment horizontal="left" vertical="center"/>
    </xf>
    <xf numFmtId="1" fontId="8" fillId="12" borderId="18" xfId="8" applyNumberFormat="1" applyFont="1" applyFill="1" applyBorder="1" applyAlignment="1">
      <alignment horizontal="center" vertical="center" wrapText="1"/>
    </xf>
    <xf numFmtId="0" fontId="0" fillId="13" borderId="45" xfId="0" applyFill="1" applyBorder="1" applyAlignment="1">
      <alignment horizontal="center" vertical="center"/>
    </xf>
    <xf numFmtId="0" fontId="14" fillId="13" borderId="45" xfId="7" applyFont="1" applyFill="1" applyBorder="1" applyAlignment="1">
      <alignment horizontal="left" vertical="center"/>
    </xf>
    <xf numFmtId="165" fontId="8" fillId="13" borderId="45" xfId="8" applyNumberFormat="1" applyFont="1" applyFill="1" applyBorder="1" applyAlignment="1">
      <alignment horizontal="center" vertical="center" wrapText="1"/>
    </xf>
    <xf numFmtId="0" fontId="0" fillId="13" borderId="40" xfId="0" applyFill="1" applyBorder="1" applyAlignment="1">
      <alignment horizontal="center" vertical="center"/>
    </xf>
    <xf numFmtId="0" fontId="14" fillId="13" borderId="40" xfId="7" applyFont="1" applyFill="1" applyBorder="1" applyAlignment="1">
      <alignment horizontal="left" vertical="center"/>
    </xf>
    <xf numFmtId="165" fontId="8" fillId="13" borderId="40" xfId="8" applyNumberFormat="1" applyFont="1" applyFill="1" applyBorder="1" applyAlignment="1">
      <alignment horizontal="center" vertical="center" wrapText="1"/>
    </xf>
    <xf numFmtId="1" fontId="8" fillId="13" borderId="40" xfId="8" applyNumberFormat="1" applyFont="1" applyFill="1" applyBorder="1" applyAlignment="1">
      <alignment horizontal="center" vertical="center" wrapText="1"/>
    </xf>
    <xf numFmtId="0" fontId="0" fillId="13" borderId="18" xfId="0" applyFill="1" applyBorder="1" applyAlignment="1">
      <alignment horizontal="center" vertical="center"/>
    </xf>
    <xf numFmtId="0" fontId="14" fillId="13" borderId="18" xfId="7" applyFont="1" applyFill="1" applyBorder="1" applyAlignment="1">
      <alignment horizontal="left" vertical="center"/>
    </xf>
    <xf numFmtId="1" fontId="8" fillId="13" borderId="18" xfId="8" applyNumberFormat="1" applyFont="1" applyFill="1" applyBorder="1" applyAlignment="1">
      <alignment horizontal="center" vertical="center" wrapText="1"/>
    </xf>
    <xf numFmtId="0" fontId="0" fillId="14" borderId="45" xfId="0" applyFill="1" applyBorder="1" applyAlignment="1">
      <alignment horizontal="center" vertical="center"/>
    </xf>
    <xf numFmtId="0" fontId="14" fillId="14" borderId="45" xfId="7" applyFont="1" applyFill="1" applyBorder="1" applyAlignment="1">
      <alignment horizontal="left" vertical="center"/>
    </xf>
    <xf numFmtId="0" fontId="0" fillId="14" borderId="40" xfId="0" applyFill="1" applyBorder="1" applyAlignment="1">
      <alignment horizontal="center" vertical="center"/>
    </xf>
    <xf numFmtId="0" fontId="14" fillId="14" borderId="40" xfId="7" applyFont="1" applyFill="1" applyBorder="1" applyAlignment="1">
      <alignment horizontal="left" vertical="center"/>
    </xf>
    <xf numFmtId="165" fontId="8" fillId="14" borderId="40" xfId="8" applyNumberFormat="1" applyFont="1" applyFill="1" applyBorder="1" applyAlignment="1">
      <alignment horizontal="center" vertical="center" wrapText="1"/>
    </xf>
    <xf numFmtId="1" fontId="8" fillId="14" borderId="40" xfId="8" applyNumberFormat="1" applyFont="1" applyFill="1" applyBorder="1" applyAlignment="1">
      <alignment horizontal="center" vertical="center" wrapText="1"/>
    </xf>
    <xf numFmtId="0" fontId="0" fillId="14" borderId="18" xfId="0" applyFill="1" applyBorder="1" applyAlignment="1">
      <alignment horizontal="center" vertical="center"/>
    </xf>
    <xf numFmtId="0" fontId="14" fillId="14" borderId="18" xfId="7" applyFont="1" applyFill="1" applyBorder="1" applyAlignment="1">
      <alignment horizontal="left" vertical="center"/>
    </xf>
    <xf numFmtId="1" fontId="8" fillId="14" borderId="18" xfId="8" applyNumberFormat="1" applyFont="1" applyFill="1" applyBorder="1" applyAlignment="1">
      <alignment horizontal="center" vertical="center" wrapText="1"/>
    </xf>
    <xf numFmtId="1" fontId="8" fillId="14" borderId="45" xfId="8" applyNumberFormat="1" applyFont="1" applyFill="1" applyBorder="1" applyAlignment="1">
      <alignment horizontal="center" vertical="center" wrapText="1"/>
    </xf>
    <xf numFmtId="1" fontId="0" fillId="0" borderId="18" xfId="0" applyNumberFormat="1" applyBorder="1" applyAlignment="1">
      <alignment vertical="center"/>
    </xf>
    <xf numFmtId="9" fontId="10" fillId="0" borderId="17" xfId="1" applyFont="1" applyBorder="1" applyAlignment="1">
      <alignment vertical="center"/>
    </xf>
    <xf numFmtId="0" fontId="5" fillId="0" borderId="0" xfId="0" applyFont="1" applyBorder="1"/>
    <xf numFmtId="0" fontId="10" fillId="0" borderId="67" xfId="0" applyFont="1" applyBorder="1" applyAlignment="1">
      <alignment horizontal="center" vertical="center"/>
    </xf>
    <xf numFmtId="0" fontId="16" fillId="2" borderId="33" xfId="2" applyFont="1" applyFill="1" applyBorder="1" applyAlignment="1">
      <alignment vertical="center" wrapText="1"/>
    </xf>
    <xf numFmtId="0" fontId="0" fillId="0" borderId="12" xfId="0" applyBorder="1"/>
    <xf numFmtId="0" fontId="0" fillId="0" borderId="13" xfId="0" applyBorder="1"/>
    <xf numFmtId="9" fontId="10" fillId="0" borderId="17" xfId="1" applyFont="1" applyBorder="1" applyAlignment="1">
      <alignment horizontal="center" vertical="center"/>
    </xf>
    <xf numFmtId="0" fontId="6" fillId="0" borderId="12" xfId="0" applyFont="1" applyBorder="1" applyAlignment="1">
      <alignment vertical="top"/>
    </xf>
    <xf numFmtId="0" fontId="8" fillId="0" borderId="12" xfId="0" applyFont="1" applyBorder="1"/>
    <xf numFmtId="0" fontId="8" fillId="0" borderId="10" xfId="0" applyFont="1" applyBorder="1" applyAlignment="1">
      <alignment horizontal="left" vertical="center"/>
    </xf>
    <xf numFmtId="0" fontId="18" fillId="0" borderId="23" xfId="0" applyFont="1" applyBorder="1"/>
    <xf numFmtId="0" fontId="0" fillId="0" borderId="23" xfId="0" applyBorder="1"/>
    <xf numFmtId="0" fontId="0" fillId="0" borderId="24" xfId="0" applyBorder="1"/>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68" xfId="0" applyBorder="1" applyAlignment="1">
      <alignment horizontal="center"/>
    </xf>
    <xf numFmtId="0" fontId="0" fillId="0" borderId="5" xfId="0" applyBorder="1" applyAlignment="1">
      <alignment horizontal="center"/>
    </xf>
    <xf numFmtId="0" fontId="0" fillId="0" borderId="7" xfId="0" applyBorder="1" applyAlignment="1">
      <alignment horizontal="center"/>
    </xf>
    <xf numFmtId="0" fontId="4" fillId="2" borderId="35" xfId="2" applyFont="1" applyFill="1" applyBorder="1" applyAlignment="1">
      <alignment horizontal="center" vertical="center" wrapText="1"/>
    </xf>
    <xf numFmtId="0" fontId="4" fillId="2" borderId="52" xfId="2" applyFont="1" applyFill="1" applyBorder="1" applyAlignment="1">
      <alignment horizontal="center" vertical="center" wrapText="1"/>
    </xf>
    <xf numFmtId="0" fontId="16" fillId="2" borderId="37" xfId="2" applyFont="1" applyFill="1" applyBorder="1" applyAlignment="1">
      <alignment horizontal="left" vertical="center" wrapText="1"/>
    </xf>
    <xf numFmtId="0" fontId="16" fillId="2" borderId="52" xfId="2" applyFont="1" applyFill="1" applyBorder="1" applyAlignment="1">
      <alignment horizontal="left" vertical="center" wrapText="1"/>
    </xf>
    <xf numFmtId="0" fontId="16" fillId="2" borderId="52" xfId="2" applyFont="1" applyFill="1" applyBorder="1" applyAlignment="1">
      <alignment horizontal="center" vertical="center" wrapText="1"/>
    </xf>
    <xf numFmtId="0" fontId="16" fillId="2" borderId="38" xfId="2" applyFont="1" applyFill="1" applyBorder="1" applyAlignment="1">
      <alignment horizontal="center" vertical="center" wrapText="1"/>
    </xf>
    <xf numFmtId="0" fontId="0" fillId="0" borderId="36" xfId="0" applyBorder="1" applyAlignment="1">
      <alignment horizontal="center"/>
    </xf>
    <xf numFmtId="0" fontId="0" fillId="0" borderId="51" xfId="0" applyBorder="1" applyAlignment="1">
      <alignment horizontal="center"/>
    </xf>
    <xf numFmtId="0" fontId="0" fillId="0" borderId="53" xfId="0" applyBorder="1" applyAlignment="1">
      <alignment horizontal="center"/>
    </xf>
    <xf numFmtId="0" fontId="0" fillId="0" borderId="43" xfId="0" applyBorder="1" applyAlignment="1">
      <alignment horizontal="center"/>
    </xf>
    <xf numFmtId="0" fontId="0" fillId="0" borderId="54" xfId="0" applyBorder="1" applyAlignment="1">
      <alignment horizontal="center"/>
    </xf>
    <xf numFmtId="0" fontId="0" fillId="0" borderId="55" xfId="0" applyBorder="1" applyAlignment="1">
      <alignment horizontal="center"/>
    </xf>
    <xf numFmtId="0" fontId="4" fillId="2" borderId="30" xfId="2" quotePrefix="1" applyFont="1" applyFill="1" applyBorder="1" applyAlignment="1">
      <alignment horizontal="center" vertical="center" wrapText="1"/>
    </xf>
    <xf numFmtId="0" fontId="4" fillId="2" borderId="31" xfId="2" quotePrefix="1" applyFont="1" applyFill="1" applyBorder="1" applyAlignment="1">
      <alignment horizontal="center" vertical="center" wrapText="1"/>
    </xf>
    <xf numFmtId="0" fontId="16" fillId="2" borderId="42" xfId="2" applyFont="1" applyFill="1" applyBorder="1" applyAlignment="1">
      <alignment horizontal="left" vertical="center" wrapText="1"/>
    </xf>
    <xf numFmtId="0" fontId="16" fillId="2" borderId="31" xfId="2" applyFont="1" applyFill="1" applyBorder="1" applyAlignment="1">
      <alignment horizontal="left" vertical="center" wrapText="1"/>
    </xf>
    <xf numFmtId="166" fontId="17" fillId="0" borderId="31" xfId="7" applyNumberFormat="1" applyFont="1" applyBorder="1" applyAlignment="1">
      <alignment horizontal="center" vertical="center"/>
    </xf>
    <xf numFmtId="166" fontId="17" fillId="0" borderId="32" xfId="7" applyNumberFormat="1" applyFont="1" applyBorder="1" applyAlignment="1">
      <alignment horizontal="center" vertical="center"/>
    </xf>
    <xf numFmtId="0" fontId="10" fillId="0" borderId="16" xfId="0" applyFont="1" applyBorder="1" applyAlignment="1">
      <alignment horizontal="center" vertical="center"/>
    </xf>
    <xf numFmtId="0" fontId="10" fillId="0" borderId="33" xfId="0" applyFont="1" applyBorder="1" applyAlignment="1">
      <alignment horizontal="center" vertical="center"/>
    </xf>
    <xf numFmtId="0" fontId="0" fillId="0" borderId="16" xfId="0" applyBorder="1" applyAlignment="1">
      <alignment horizontal="center"/>
    </xf>
    <xf numFmtId="0" fontId="0" fillId="0" borderId="33" xfId="0" applyBorder="1" applyAlignment="1">
      <alignment horizontal="center"/>
    </xf>
    <xf numFmtId="0" fontId="8" fillId="0" borderId="9" xfId="0" applyFont="1" applyBorder="1" applyAlignment="1">
      <alignment horizontal="center" vertical="center"/>
    </xf>
    <xf numFmtId="0" fontId="13" fillId="0" borderId="9" xfId="0" applyFont="1" applyBorder="1" applyAlignment="1">
      <alignment horizontal="center" vertical="center"/>
    </xf>
    <xf numFmtId="0" fontId="10" fillId="0" borderId="9" xfId="0" applyFont="1" applyBorder="1" applyAlignment="1">
      <alignment horizontal="left" vertical="center"/>
    </xf>
    <xf numFmtId="0" fontId="10" fillId="0" borderId="16" xfId="0" applyFont="1" applyBorder="1" applyAlignment="1">
      <alignment horizontal="left" vertical="center"/>
    </xf>
    <xf numFmtId="0" fontId="10" fillId="0" borderId="65" xfId="0" applyFont="1" applyBorder="1" applyAlignment="1">
      <alignment horizontal="center" vertical="center"/>
    </xf>
    <xf numFmtId="0" fontId="10" fillId="0" borderId="66" xfId="0" applyFont="1" applyBorder="1" applyAlignment="1">
      <alignment horizontal="center" vertical="center"/>
    </xf>
    <xf numFmtId="0" fontId="8" fillId="0" borderId="9" xfId="0" applyFont="1" applyBorder="1" applyAlignment="1">
      <alignment horizontal="left" vertical="center"/>
    </xf>
    <xf numFmtId="0" fontId="19" fillId="0" borderId="16" xfId="0" applyFont="1" applyBorder="1" applyAlignment="1">
      <alignment horizontal="center" vertical="center"/>
    </xf>
    <xf numFmtId="0" fontId="19" fillId="0" borderId="33" xfId="0" applyFont="1" applyBorder="1" applyAlignment="1">
      <alignment horizontal="center" vertical="center"/>
    </xf>
    <xf numFmtId="0" fontId="19" fillId="0" borderId="17" xfId="0" applyFont="1" applyBorder="1" applyAlignment="1">
      <alignment horizontal="center" vertical="center"/>
    </xf>
    <xf numFmtId="0" fontId="8" fillId="0" borderId="16" xfId="0" applyFont="1" applyBorder="1" applyAlignment="1">
      <alignment horizontal="center" vertical="center"/>
    </xf>
    <xf numFmtId="0" fontId="8" fillId="0" borderId="33" xfId="0" applyFont="1" applyBorder="1" applyAlignment="1">
      <alignment horizontal="center" vertical="center"/>
    </xf>
    <xf numFmtId="0" fontId="8" fillId="0" borderId="17" xfId="0" applyFont="1" applyBorder="1" applyAlignment="1">
      <alignment horizontal="center" vertical="center"/>
    </xf>
    <xf numFmtId="0" fontId="10" fillId="0" borderId="16" xfId="0" applyFont="1" applyBorder="1" applyAlignment="1">
      <alignment horizontal="center"/>
    </xf>
    <xf numFmtId="0" fontId="10" fillId="0" borderId="33" xfId="0" applyFont="1" applyBorder="1" applyAlignment="1">
      <alignment horizontal="center"/>
    </xf>
    <xf numFmtId="0" fontId="10" fillId="0" borderId="33" xfId="0" applyFont="1" applyBorder="1" applyAlignment="1">
      <alignment horizontal="left" vertical="center"/>
    </xf>
    <xf numFmtId="0" fontId="0" fillId="0" borderId="33" xfId="0" applyBorder="1" applyAlignment="1">
      <alignment horizontal="left" vertical="center"/>
    </xf>
    <xf numFmtId="0" fontId="7" fillId="7" borderId="19" xfId="2" applyFont="1" applyFill="1" applyBorder="1" applyAlignment="1">
      <alignment horizontal="center" vertical="center" wrapText="1"/>
    </xf>
    <xf numFmtId="0" fontId="7" fillId="7" borderId="26" xfId="2" applyFont="1" applyFill="1" applyBorder="1" applyAlignment="1">
      <alignment horizontal="center" vertical="center" wrapText="1"/>
    </xf>
    <xf numFmtId="0" fontId="7" fillId="7" borderId="20" xfId="2" applyFont="1" applyFill="1" applyBorder="1" applyAlignment="1">
      <alignment horizontal="center" vertical="center" wrapText="1"/>
    </xf>
    <xf numFmtId="0" fontId="10" fillId="0" borderId="9" xfId="0" applyFont="1" applyBorder="1" applyAlignment="1">
      <alignment horizontal="center"/>
    </xf>
    <xf numFmtId="0" fontId="10" fillId="0" borderId="29" xfId="0" applyFont="1" applyBorder="1" applyAlignment="1">
      <alignment horizontal="center"/>
    </xf>
    <xf numFmtId="0" fontId="0" fillId="0" borderId="40" xfId="0" applyBorder="1" applyAlignment="1">
      <alignment horizontal="center"/>
    </xf>
    <xf numFmtId="0" fontId="0" fillId="0" borderId="22" xfId="0" applyBorder="1" applyAlignment="1">
      <alignment horizontal="center"/>
    </xf>
    <xf numFmtId="0" fontId="0" fillId="0" borderId="45" xfId="0" applyBorder="1" applyAlignment="1">
      <alignment horizontal="center"/>
    </xf>
    <xf numFmtId="0" fontId="0" fillId="0" borderId="60" xfId="0" applyBorder="1" applyAlignment="1">
      <alignment horizontal="center"/>
    </xf>
    <xf numFmtId="0" fontId="0" fillId="0" borderId="18" xfId="0" applyBorder="1" applyAlignment="1">
      <alignment horizontal="center"/>
    </xf>
    <xf numFmtId="0" fontId="0" fillId="0" borderId="28" xfId="0" applyBorder="1" applyAlignment="1">
      <alignment horizontal="center"/>
    </xf>
    <xf numFmtId="0" fontId="0" fillId="0" borderId="0" xfId="0" applyBorder="1" applyAlignment="1">
      <alignment horizontal="center"/>
    </xf>
    <xf numFmtId="0" fontId="12" fillId="8" borderId="64" xfId="0" applyFont="1" applyFill="1" applyBorder="1" applyAlignment="1">
      <alignment horizontal="center" vertical="center"/>
    </xf>
    <xf numFmtId="0" fontId="12" fillId="8" borderId="23" xfId="0" applyFont="1" applyFill="1" applyBorder="1" applyAlignment="1">
      <alignment horizontal="center" vertical="center"/>
    </xf>
    <xf numFmtId="0" fontId="12" fillId="7" borderId="16" xfId="0" applyFont="1" applyFill="1" applyBorder="1" applyAlignment="1">
      <alignment horizontal="center" vertical="center"/>
    </xf>
    <xf numFmtId="0" fontId="12" fillId="7" borderId="33" xfId="0" applyFont="1" applyFill="1" applyBorder="1" applyAlignment="1">
      <alignment horizontal="center" vertical="center"/>
    </xf>
    <xf numFmtId="0" fontId="12" fillId="7" borderId="17" xfId="0" applyFont="1" applyFill="1" applyBorder="1" applyAlignment="1">
      <alignment horizontal="center" vertical="center"/>
    </xf>
    <xf numFmtId="0" fontId="12" fillId="9" borderId="19" xfId="0" applyFont="1" applyFill="1" applyBorder="1" applyAlignment="1">
      <alignment horizontal="center" vertical="center"/>
    </xf>
    <xf numFmtId="0" fontId="12" fillId="9" borderId="26" xfId="0" applyFont="1" applyFill="1" applyBorder="1" applyAlignment="1">
      <alignment horizontal="center" vertical="center"/>
    </xf>
    <xf numFmtId="0" fontId="12" fillId="9" borderId="27" xfId="0" applyFont="1" applyFill="1" applyBorder="1" applyAlignment="1">
      <alignment horizontal="center" vertical="center"/>
    </xf>
    <xf numFmtId="0" fontId="0" fillId="0" borderId="39" xfId="0" applyBorder="1" applyAlignment="1">
      <alignment horizontal="center"/>
    </xf>
    <xf numFmtId="0" fontId="0" fillId="0" borderId="61" xfId="0" applyBorder="1" applyAlignment="1">
      <alignment horizontal="center"/>
    </xf>
    <xf numFmtId="0" fontId="5" fillId="0" borderId="40" xfId="0" applyFont="1" applyBorder="1" applyAlignment="1">
      <alignment horizontal="center"/>
    </xf>
    <xf numFmtId="0" fontId="5" fillId="0" borderId="22" xfId="0" applyFont="1" applyBorder="1" applyAlignment="1">
      <alignment horizontal="center"/>
    </xf>
    <xf numFmtId="0" fontId="11" fillId="4" borderId="16" xfId="2" applyFont="1" applyFill="1" applyBorder="1" applyAlignment="1">
      <alignment horizontal="center" vertical="center" wrapText="1"/>
    </xf>
    <xf numFmtId="0" fontId="7" fillId="4" borderId="33" xfId="2" applyFont="1" applyFill="1" applyBorder="1" applyAlignment="1">
      <alignment horizontal="center" vertical="center" wrapText="1"/>
    </xf>
    <xf numFmtId="0" fontId="7" fillId="4" borderId="17" xfId="2" applyFont="1" applyFill="1" applyBorder="1" applyAlignment="1">
      <alignment horizontal="center" vertical="center" wrapText="1"/>
    </xf>
    <xf numFmtId="0" fontId="7" fillId="7" borderId="16" xfId="2" applyFont="1" applyFill="1" applyBorder="1" applyAlignment="1">
      <alignment horizontal="center" vertical="center" wrapText="1"/>
    </xf>
    <xf numFmtId="0" fontId="7" fillId="7" borderId="33" xfId="2" applyFont="1" applyFill="1" applyBorder="1" applyAlignment="1">
      <alignment horizontal="center" vertical="center" wrapText="1"/>
    </xf>
    <xf numFmtId="0" fontId="7" fillId="7" borderId="15" xfId="2" applyFont="1" applyFill="1" applyBorder="1" applyAlignment="1">
      <alignment horizontal="center" vertical="center" wrapText="1"/>
    </xf>
    <xf numFmtId="0" fontId="9" fillId="0" borderId="63" xfId="0" applyFont="1" applyBorder="1" applyAlignment="1">
      <alignment horizontal="center" vertical="center"/>
    </xf>
    <xf numFmtId="0" fontId="9" fillId="0" borderId="56" xfId="0" applyFont="1" applyBorder="1" applyAlignment="1">
      <alignment horizontal="center" vertical="center"/>
    </xf>
    <xf numFmtId="0" fontId="9" fillId="0" borderId="19" xfId="0" applyFont="1" applyFill="1" applyBorder="1" applyAlignment="1">
      <alignment horizontal="center" vertical="center"/>
    </xf>
    <xf numFmtId="0" fontId="9" fillId="0" borderId="27" xfId="0" applyFont="1" applyFill="1" applyBorder="1" applyAlignment="1">
      <alignment horizontal="center" vertical="center"/>
    </xf>
    <xf numFmtId="0" fontId="9" fillId="0" borderId="10" xfId="0" applyFont="1" applyFill="1" applyBorder="1" applyAlignment="1">
      <alignment horizontal="center" vertical="center"/>
    </xf>
    <xf numFmtId="0" fontId="9" fillId="0" borderId="24" xfId="0" applyFont="1" applyFill="1" applyBorder="1" applyAlignment="1">
      <alignment horizontal="center" vertical="center"/>
    </xf>
    <xf numFmtId="0" fontId="9" fillId="0" borderId="34" xfId="0" applyFont="1" applyBorder="1" applyAlignment="1">
      <alignment horizontal="center" vertical="center"/>
    </xf>
    <xf numFmtId="0" fontId="9" fillId="0" borderId="44" xfId="0" applyFont="1" applyBorder="1" applyAlignment="1">
      <alignment horizontal="center" vertical="center"/>
    </xf>
    <xf numFmtId="0" fontId="7" fillId="6" borderId="25" xfId="2" applyFont="1" applyFill="1" applyBorder="1" applyAlignment="1">
      <alignment horizontal="center" vertical="center" wrapText="1"/>
    </xf>
    <xf numFmtId="0" fontId="7" fillId="6" borderId="26" xfId="2" applyFont="1" applyFill="1" applyBorder="1" applyAlignment="1">
      <alignment horizontal="center" vertical="center" wrapText="1"/>
    </xf>
    <xf numFmtId="0" fontId="7" fillId="6" borderId="27" xfId="2" applyFont="1" applyFill="1" applyBorder="1" applyAlignment="1">
      <alignment horizontal="center" vertical="center" wrapText="1"/>
    </xf>
    <xf numFmtId="0" fontId="11" fillId="3" borderId="19" xfId="2" applyFont="1" applyFill="1" applyBorder="1" applyAlignment="1">
      <alignment horizontal="center" vertical="center" wrapText="1"/>
    </xf>
    <xf numFmtId="0" fontId="11" fillId="3" borderId="26" xfId="2" applyFont="1" applyFill="1" applyBorder="1" applyAlignment="1">
      <alignment horizontal="center" vertical="center" wrapText="1"/>
    </xf>
    <xf numFmtId="0" fontId="11" fillId="3" borderId="27" xfId="2" applyFont="1" applyFill="1" applyBorder="1" applyAlignment="1">
      <alignment horizontal="center" vertical="center" wrapText="1"/>
    </xf>
    <xf numFmtId="0" fontId="11" fillId="4" borderId="19" xfId="2" applyFont="1" applyFill="1" applyBorder="1" applyAlignment="1">
      <alignment horizontal="center" vertical="center" wrapText="1"/>
    </xf>
    <xf numFmtId="0" fontId="7" fillId="4" borderId="26" xfId="2" applyFont="1" applyFill="1" applyBorder="1" applyAlignment="1">
      <alignment horizontal="center" vertical="center" wrapText="1"/>
    </xf>
    <xf numFmtId="0" fontId="7" fillId="4" borderId="27" xfId="2" applyFont="1" applyFill="1" applyBorder="1" applyAlignment="1">
      <alignment horizontal="center" vertical="center" wrapText="1"/>
    </xf>
    <xf numFmtId="0" fontId="9" fillId="0" borderId="12"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13" xfId="0" applyFont="1" applyBorder="1" applyAlignment="1">
      <alignment horizontal="center" vertical="center" wrapText="1"/>
    </xf>
    <xf numFmtId="0" fontId="9" fillId="0" borderId="24" xfId="0" applyFont="1" applyBorder="1" applyAlignment="1">
      <alignment horizontal="center" vertical="center" wrapText="1"/>
    </xf>
    <xf numFmtId="0" fontId="9" fillId="0" borderId="10" xfId="0" applyFont="1" applyBorder="1" applyAlignment="1">
      <alignment horizontal="center" vertical="center"/>
    </xf>
    <xf numFmtId="0" fontId="9" fillId="0" borderId="23" xfId="0" applyFont="1" applyBorder="1" applyAlignment="1">
      <alignment horizontal="center" vertical="center"/>
    </xf>
    <xf numFmtId="0" fontId="9" fillId="0" borderId="24" xfId="0" applyFont="1" applyBorder="1" applyAlignment="1">
      <alignment horizontal="center" vertical="center"/>
    </xf>
    <xf numFmtId="0" fontId="5" fillId="0" borderId="45" xfId="0" applyFont="1" applyFill="1" applyBorder="1" applyAlignment="1">
      <alignment horizontal="left" vertical="center"/>
    </xf>
    <xf numFmtId="0" fontId="0" fillId="0" borderId="45" xfId="0" applyFill="1" applyBorder="1" applyAlignment="1">
      <alignment horizontal="left" vertical="center"/>
    </xf>
    <xf numFmtId="0" fontId="5" fillId="0" borderId="46" xfId="0" applyFont="1" applyFill="1" applyBorder="1" applyAlignment="1">
      <alignment horizontal="left" vertical="center"/>
    </xf>
    <xf numFmtId="0" fontId="5" fillId="0" borderId="47" xfId="0" applyFont="1" applyFill="1" applyBorder="1" applyAlignment="1">
      <alignment horizontal="left" vertical="center"/>
    </xf>
    <xf numFmtId="0" fontId="5" fillId="0" borderId="48" xfId="0" applyFont="1" applyFill="1" applyBorder="1" applyAlignment="1">
      <alignment horizontal="left" vertical="center"/>
    </xf>
    <xf numFmtId="9" fontId="0" fillId="0" borderId="46" xfId="0" applyNumberFormat="1" applyBorder="1" applyAlignment="1">
      <alignment horizontal="center" vertical="center"/>
    </xf>
    <xf numFmtId="9" fontId="0" fillId="0" borderId="48" xfId="0" applyNumberFormat="1" applyBorder="1" applyAlignment="1">
      <alignment horizontal="center" vertical="center"/>
    </xf>
    <xf numFmtId="0" fontId="9" fillId="0" borderId="26" xfId="0" applyFont="1" applyFill="1" applyBorder="1" applyAlignment="1">
      <alignment horizontal="center" vertical="center"/>
    </xf>
    <xf numFmtId="0" fontId="9" fillId="0" borderId="23" xfId="0" applyFont="1" applyFill="1" applyBorder="1" applyAlignment="1">
      <alignment horizontal="center" vertical="center"/>
    </xf>
    <xf numFmtId="0" fontId="9" fillId="0" borderId="16" xfId="0" applyFont="1" applyBorder="1" applyAlignment="1">
      <alignment horizontal="center" vertical="center"/>
    </xf>
    <xf numFmtId="0" fontId="9" fillId="0" borderId="33" xfId="0" applyFont="1" applyBorder="1" applyAlignment="1">
      <alignment horizontal="center" vertical="center"/>
    </xf>
    <xf numFmtId="0" fontId="9" fillId="0" borderId="17" xfId="0" applyFont="1" applyBorder="1" applyAlignment="1">
      <alignment horizontal="center" vertical="center"/>
    </xf>
    <xf numFmtId="0" fontId="9" fillId="0" borderId="69" xfId="0" applyFont="1" applyBorder="1" applyAlignment="1">
      <alignment horizontal="center" vertical="center"/>
    </xf>
    <xf numFmtId="0" fontId="9" fillId="0" borderId="12" xfId="0" applyFont="1" applyFill="1" applyBorder="1" applyAlignment="1">
      <alignment horizontal="center" vertical="center"/>
    </xf>
    <xf numFmtId="0" fontId="9" fillId="0" borderId="0" xfId="0" applyFont="1" applyFill="1" applyBorder="1" applyAlignment="1">
      <alignment horizontal="center" vertical="center"/>
    </xf>
    <xf numFmtId="0" fontId="9" fillId="0" borderId="13" xfId="0" applyFont="1" applyFill="1" applyBorder="1" applyAlignment="1">
      <alignment horizontal="center" vertical="center"/>
    </xf>
    <xf numFmtId="0" fontId="5" fillId="0" borderId="40" xfId="0" applyFont="1" applyFill="1" applyBorder="1" applyAlignment="1">
      <alignment horizontal="left" vertical="center"/>
    </xf>
    <xf numFmtId="0" fontId="0" fillId="0" borderId="40" xfId="0" applyFill="1" applyBorder="1" applyAlignment="1">
      <alignment horizontal="left" vertical="center"/>
    </xf>
    <xf numFmtId="0" fontId="5" fillId="0" borderId="21" xfId="0" applyFont="1" applyFill="1" applyBorder="1" applyAlignment="1">
      <alignment horizontal="left" vertical="center"/>
    </xf>
    <xf numFmtId="0" fontId="5" fillId="0" borderId="8" xfId="0" applyFont="1" applyFill="1" applyBorder="1" applyAlignment="1">
      <alignment horizontal="left" vertical="center"/>
    </xf>
    <xf numFmtId="0" fontId="5" fillId="0" borderId="11" xfId="0" applyFont="1" applyFill="1" applyBorder="1" applyAlignment="1">
      <alignment horizontal="left" vertical="center"/>
    </xf>
    <xf numFmtId="9" fontId="0" fillId="0" borderId="21" xfId="0" applyNumberFormat="1" applyBorder="1" applyAlignment="1">
      <alignment horizontal="center" vertical="center"/>
    </xf>
    <xf numFmtId="9" fontId="0" fillId="0" borderId="11" xfId="0" applyNumberFormat="1" applyBorder="1" applyAlignment="1">
      <alignment horizontal="center" vertical="center"/>
    </xf>
    <xf numFmtId="1" fontId="0" fillId="0" borderId="21" xfId="0" applyNumberFormat="1" applyBorder="1" applyAlignment="1">
      <alignment horizontal="center" vertical="center"/>
    </xf>
    <xf numFmtId="1" fontId="0" fillId="0" borderId="11" xfId="0" applyNumberFormat="1" applyBorder="1" applyAlignment="1">
      <alignment horizontal="center" vertical="center"/>
    </xf>
    <xf numFmtId="1" fontId="0" fillId="0" borderId="46" xfId="0" applyNumberFormat="1" applyBorder="1" applyAlignment="1">
      <alignment horizontal="center" vertical="center"/>
    </xf>
    <xf numFmtId="1" fontId="0" fillId="0" borderId="48" xfId="0" applyNumberFormat="1" applyBorder="1" applyAlignment="1">
      <alignment horizontal="center" vertical="center"/>
    </xf>
    <xf numFmtId="0" fontId="13" fillId="0" borderId="16" xfId="0" applyFont="1" applyBorder="1" applyAlignment="1">
      <alignment horizontal="center" vertical="center"/>
    </xf>
    <xf numFmtId="0" fontId="13" fillId="0" borderId="33" xfId="0" applyFont="1" applyBorder="1" applyAlignment="1">
      <alignment horizontal="center" vertical="center"/>
    </xf>
    <xf numFmtId="0" fontId="13" fillId="0" borderId="17" xfId="0" applyFont="1" applyBorder="1" applyAlignment="1">
      <alignment horizontal="center" vertical="center"/>
    </xf>
    <xf numFmtId="0" fontId="5" fillId="0" borderId="16" xfId="0" applyFont="1" applyBorder="1" applyAlignment="1">
      <alignment horizontal="center" vertical="center"/>
    </xf>
    <xf numFmtId="0" fontId="5" fillId="0" borderId="33" xfId="0" applyFont="1" applyBorder="1" applyAlignment="1">
      <alignment horizontal="center" vertical="center"/>
    </xf>
    <xf numFmtId="0" fontId="5" fillId="0" borderId="17" xfId="0" applyFont="1" applyBorder="1" applyAlignment="1">
      <alignment horizontal="center" vertical="center"/>
    </xf>
    <xf numFmtId="0" fontId="13" fillId="5" borderId="14" xfId="0" applyFont="1" applyFill="1" applyBorder="1" applyAlignment="1">
      <alignment horizontal="center" vertical="center"/>
    </xf>
    <xf numFmtId="0" fontId="13" fillId="5" borderId="33" xfId="0" applyFont="1" applyFill="1" applyBorder="1" applyAlignment="1">
      <alignment horizontal="center" vertical="center"/>
    </xf>
    <xf numFmtId="0" fontId="13" fillId="5" borderId="17" xfId="0" applyFont="1" applyFill="1" applyBorder="1" applyAlignment="1">
      <alignment horizontal="center" vertical="center"/>
    </xf>
    <xf numFmtId="0" fontId="13" fillId="5" borderId="16" xfId="0" applyFont="1" applyFill="1" applyBorder="1" applyAlignment="1">
      <alignment horizontal="center" vertical="center"/>
    </xf>
    <xf numFmtId="9" fontId="13" fillId="5" borderId="16" xfId="0" applyNumberFormat="1" applyFont="1" applyFill="1" applyBorder="1" applyAlignment="1">
      <alignment horizontal="center" vertical="center"/>
    </xf>
    <xf numFmtId="9" fontId="13" fillId="5" borderId="17" xfId="0" applyNumberFormat="1" applyFont="1" applyFill="1" applyBorder="1" applyAlignment="1">
      <alignment horizontal="center" vertical="center"/>
    </xf>
    <xf numFmtId="1" fontId="13" fillId="5" borderId="16" xfId="0" applyNumberFormat="1" applyFont="1" applyFill="1" applyBorder="1" applyAlignment="1">
      <alignment horizontal="center" vertical="center"/>
    </xf>
    <xf numFmtId="1" fontId="13" fillId="5" borderId="17" xfId="0" applyNumberFormat="1" applyFont="1" applyFill="1" applyBorder="1" applyAlignment="1">
      <alignment horizontal="center" vertical="center"/>
    </xf>
    <xf numFmtId="9" fontId="0" fillId="0" borderId="41" xfId="0" applyNumberFormat="1" applyBorder="1" applyAlignment="1">
      <alignment horizontal="center" vertical="center"/>
    </xf>
    <xf numFmtId="9" fontId="0" fillId="0" borderId="49" xfId="0" applyNumberFormat="1" applyBorder="1" applyAlignment="1">
      <alignment horizontal="center" vertical="center"/>
    </xf>
    <xf numFmtId="0" fontId="10" fillId="0" borderId="59" xfId="0" applyFont="1" applyBorder="1" applyAlignment="1">
      <alignment horizontal="left" vertical="center"/>
    </xf>
    <xf numFmtId="0" fontId="8" fillId="0" borderId="65" xfId="0" applyFont="1" applyBorder="1" applyAlignment="1">
      <alignment horizontal="center" vertical="center"/>
    </xf>
    <xf numFmtId="0" fontId="8" fillId="0" borderId="66" xfId="0" applyFont="1" applyBorder="1" applyAlignment="1">
      <alignment horizontal="center" vertical="center"/>
    </xf>
    <xf numFmtId="0" fontId="13" fillId="0" borderId="66" xfId="0" applyFont="1" applyBorder="1" applyAlignment="1">
      <alignment horizontal="center" vertical="center"/>
    </xf>
    <xf numFmtId="0" fontId="13" fillId="0" borderId="67" xfId="0" applyFont="1" applyBorder="1" applyAlignment="1">
      <alignment horizontal="center" vertical="center"/>
    </xf>
    <xf numFmtId="0" fontId="0" fillId="0" borderId="19" xfId="0" applyBorder="1" applyAlignment="1">
      <alignment horizontal="center"/>
    </xf>
    <xf numFmtId="0" fontId="0" fillId="0" borderId="26" xfId="0" applyBorder="1" applyAlignment="1">
      <alignment horizontal="center"/>
    </xf>
    <xf numFmtId="0" fontId="0" fillId="0" borderId="20" xfId="0" applyBorder="1" applyAlignment="1">
      <alignment horizontal="center"/>
    </xf>
    <xf numFmtId="0" fontId="0" fillId="0" borderId="70" xfId="0" applyBorder="1" applyAlignment="1">
      <alignment horizontal="center"/>
    </xf>
    <xf numFmtId="0" fontId="4" fillId="2" borderId="14" xfId="2" applyFont="1" applyFill="1" applyBorder="1" applyAlignment="1">
      <alignment horizontal="center" vertical="center" wrapText="1"/>
    </xf>
    <xf numFmtId="0" fontId="4" fillId="2" borderId="33" xfId="2" applyFont="1" applyFill="1" applyBorder="1" applyAlignment="1">
      <alignment horizontal="center" vertical="center" wrapText="1"/>
    </xf>
    <xf numFmtId="0" fontId="16" fillId="2" borderId="16" xfId="2" applyFont="1" applyFill="1" applyBorder="1" applyAlignment="1">
      <alignment horizontal="left" vertical="center" wrapText="1"/>
    </xf>
    <xf numFmtId="0" fontId="16" fillId="2" borderId="33" xfId="2" applyFont="1" applyFill="1" applyBorder="1" applyAlignment="1">
      <alignment horizontal="left" vertical="center" wrapText="1"/>
    </xf>
    <xf numFmtId="0" fontId="16" fillId="2" borderId="33" xfId="2" applyFont="1" applyFill="1" applyBorder="1" applyAlignment="1">
      <alignment horizontal="center" vertical="center" wrapText="1"/>
    </xf>
    <xf numFmtId="0" fontId="16" fillId="2" borderId="15" xfId="2" applyFont="1" applyFill="1" applyBorder="1" applyAlignment="1">
      <alignment horizontal="center" vertical="center" wrapText="1"/>
    </xf>
    <xf numFmtId="0" fontId="0" fillId="0" borderId="17" xfId="0" applyBorder="1" applyAlignment="1">
      <alignment horizontal="center"/>
    </xf>
    <xf numFmtId="0" fontId="0" fillId="0" borderId="9" xfId="0" applyBorder="1" applyAlignment="1">
      <alignment horizontal="center"/>
    </xf>
    <xf numFmtId="0" fontId="6" fillId="0" borderId="65" xfId="0" applyFont="1" applyBorder="1" applyAlignment="1">
      <alignment horizontal="center" vertical="center"/>
    </xf>
    <xf numFmtId="0" fontId="6" fillId="0" borderId="66" xfId="0" applyFont="1" applyBorder="1" applyAlignment="1">
      <alignment horizontal="center" vertical="center"/>
    </xf>
    <xf numFmtId="0" fontId="6" fillId="0" borderId="16" xfId="0" applyFont="1" applyBorder="1" applyAlignment="1">
      <alignment horizontal="center"/>
    </xf>
    <xf numFmtId="0" fontId="6" fillId="0" borderId="33" xfId="0" applyFont="1" applyBorder="1" applyAlignment="1">
      <alignment horizontal="center"/>
    </xf>
    <xf numFmtId="0" fontId="6" fillId="0" borderId="10" xfId="0" applyFont="1" applyBorder="1" applyAlignment="1">
      <alignment horizontal="center"/>
    </xf>
    <xf numFmtId="0" fontId="6" fillId="0" borderId="23" xfId="0" applyFont="1" applyBorder="1" applyAlignment="1">
      <alignment horizontal="center"/>
    </xf>
    <xf numFmtId="0" fontId="5" fillId="0" borderId="65" xfId="0" applyFont="1" applyBorder="1" applyAlignment="1">
      <alignment horizontal="center" vertical="center"/>
    </xf>
    <xf numFmtId="0" fontId="5" fillId="0" borderId="66" xfId="0" applyFont="1" applyBorder="1" applyAlignment="1">
      <alignment horizontal="center" vertical="center"/>
    </xf>
    <xf numFmtId="0" fontId="6" fillId="0" borderId="16" xfId="0" applyFont="1" applyBorder="1" applyAlignment="1">
      <alignment horizontal="center" vertical="center"/>
    </xf>
    <xf numFmtId="0" fontId="6" fillId="0" borderId="33" xfId="0" applyFont="1" applyBorder="1" applyAlignment="1">
      <alignment horizontal="center" vertical="center"/>
    </xf>
    <xf numFmtId="166" fontId="20" fillId="0" borderId="16" xfId="7" applyNumberFormat="1" applyFont="1" applyBorder="1" applyAlignment="1">
      <alignment horizontal="center" vertical="center"/>
    </xf>
    <xf numFmtId="166" fontId="20" fillId="0" borderId="33" xfId="7" applyNumberFormat="1" applyFont="1" applyBorder="1" applyAlignment="1">
      <alignment horizontal="center" vertical="center"/>
    </xf>
    <xf numFmtId="0" fontId="8" fillId="0" borderId="65" xfId="0" applyFont="1" applyBorder="1" applyAlignment="1">
      <alignment horizontal="left" vertical="center"/>
    </xf>
    <xf numFmtId="0" fontId="8" fillId="0" borderId="66" xfId="0" applyFont="1" applyBorder="1" applyAlignment="1">
      <alignment horizontal="left" vertical="center"/>
    </xf>
    <xf numFmtId="0" fontId="19" fillId="0" borderId="66" xfId="0" applyFont="1" applyBorder="1" applyAlignment="1">
      <alignment horizontal="center" vertical="center"/>
    </xf>
    <xf numFmtId="0" fontId="19" fillId="0" borderId="67" xfId="0" applyFont="1" applyBorder="1" applyAlignment="1">
      <alignment horizontal="center" vertical="center"/>
    </xf>
    <xf numFmtId="0" fontId="7" fillId="6" borderId="19" xfId="2" applyFont="1" applyFill="1" applyBorder="1" applyAlignment="1">
      <alignment horizontal="center" vertical="center" wrapText="1"/>
    </xf>
    <xf numFmtId="0" fontId="7" fillId="7" borderId="27" xfId="2" applyFont="1" applyFill="1" applyBorder="1" applyAlignment="1">
      <alignment horizontal="center" vertical="center" wrapText="1"/>
    </xf>
    <xf numFmtId="0" fontId="7" fillId="7" borderId="17" xfId="2" applyFont="1" applyFill="1" applyBorder="1" applyAlignment="1">
      <alignment horizontal="center" vertical="center" wrapText="1"/>
    </xf>
    <xf numFmtId="0" fontId="12" fillId="8" borderId="10" xfId="0" applyFont="1" applyFill="1" applyBorder="1" applyAlignment="1">
      <alignment horizontal="center" vertical="center"/>
    </xf>
    <xf numFmtId="0" fontId="12" fillId="9" borderId="16" xfId="0" applyFont="1" applyFill="1" applyBorder="1" applyAlignment="1">
      <alignment horizontal="center" vertical="center"/>
    </xf>
    <xf numFmtId="0" fontId="12" fillId="9" borderId="33" xfId="0" applyFont="1" applyFill="1" applyBorder="1" applyAlignment="1">
      <alignment horizontal="center" vertical="center"/>
    </xf>
    <xf numFmtId="0" fontId="12" fillId="9" borderId="17" xfId="0" applyFont="1" applyFill="1" applyBorder="1" applyAlignment="1">
      <alignment horizontal="center" vertical="center"/>
    </xf>
    <xf numFmtId="165" fontId="8" fillId="13" borderId="33" xfId="8" applyNumberFormat="1" applyFont="1" applyFill="1" applyBorder="1" applyAlignment="1">
      <alignment horizontal="center" vertical="center" wrapText="1"/>
    </xf>
    <xf numFmtId="165" fontId="8" fillId="13" borderId="17" xfId="8" applyNumberFormat="1" applyFont="1" applyFill="1" applyBorder="1" applyAlignment="1">
      <alignment horizontal="center" vertical="center" wrapText="1"/>
    </xf>
    <xf numFmtId="0" fontId="14" fillId="0" borderId="26" xfId="7" applyFont="1" applyBorder="1" applyAlignment="1">
      <alignment horizontal="center" vertical="center"/>
    </xf>
    <xf numFmtId="0" fontId="14" fillId="0" borderId="27" xfId="7" applyFont="1" applyBorder="1" applyAlignment="1">
      <alignment horizontal="center" vertical="center"/>
    </xf>
    <xf numFmtId="165" fontId="8" fillId="14" borderId="33" xfId="8" applyNumberFormat="1" applyFont="1" applyFill="1" applyBorder="1" applyAlignment="1">
      <alignment horizontal="center" vertical="center" wrapText="1"/>
    </xf>
    <xf numFmtId="165" fontId="8" fillId="14" borderId="17" xfId="8" applyNumberFormat="1" applyFont="1" applyFill="1" applyBorder="1" applyAlignment="1">
      <alignment horizontal="center" vertical="center" wrapText="1"/>
    </xf>
    <xf numFmtId="0" fontId="13" fillId="11" borderId="16" xfId="0" applyFont="1" applyFill="1" applyBorder="1" applyAlignment="1">
      <alignment horizontal="left" vertical="center"/>
    </xf>
    <xf numFmtId="0" fontId="13" fillId="11" borderId="17" xfId="0" applyFont="1" applyFill="1" applyBorder="1" applyAlignment="1">
      <alignment horizontal="left" vertical="center"/>
    </xf>
    <xf numFmtId="0" fontId="13" fillId="10" borderId="16" xfId="0" applyFont="1" applyFill="1" applyBorder="1" applyAlignment="1">
      <alignment horizontal="left" vertical="center"/>
    </xf>
    <xf numFmtId="0" fontId="13" fillId="10" borderId="17" xfId="0" applyFont="1" applyFill="1" applyBorder="1" applyAlignment="1">
      <alignment horizontal="left" vertical="center"/>
    </xf>
    <xf numFmtId="0" fontId="13" fillId="12" borderId="16" xfId="0" applyFont="1" applyFill="1" applyBorder="1" applyAlignment="1">
      <alignment horizontal="left" vertical="center"/>
    </xf>
    <xf numFmtId="0" fontId="13" fillId="12" borderId="33" xfId="0" applyFont="1" applyFill="1" applyBorder="1" applyAlignment="1">
      <alignment horizontal="left" vertical="center"/>
    </xf>
    <xf numFmtId="0" fontId="13" fillId="13" borderId="16" xfId="0" applyFont="1" applyFill="1" applyBorder="1" applyAlignment="1">
      <alignment horizontal="left" vertical="center"/>
    </xf>
    <xf numFmtId="0" fontId="13" fillId="13" borderId="33" xfId="0" applyFont="1" applyFill="1" applyBorder="1" applyAlignment="1">
      <alignment horizontal="left" vertical="center"/>
    </xf>
    <xf numFmtId="0" fontId="13" fillId="14" borderId="16" xfId="0" applyFont="1" applyFill="1" applyBorder="1" applyAlignment="1">
      <alignment horizontal="left" vertical="center"/>
    </xf>
    <xf numFmtId="0" fontId="13" fillId="14" borderId="33" xfId="0" applyFont="1" applyFill="1" applyBorder="1" applyAlignment="1">
      <alignment horizontal="left" vertical="center"/>
    </xf>
    <xf numFmtId="0" fontId="14" fillId="0" borderId="0" xfId="7" applyFont="1" applyBorder="1" applyAlignment="1">
      <alignment horizontal="center" vertical="center"/>
    </xf>
    <xf numFmtId="165" fontId="8" fillId="10" borderId="16" xfId="8" applyNumberFormat="1" applyFont="1" applyFill="1" applyBorder="1" applyAlignment="1">
      <alignment horizontal="center" vertical="center" wrapText="1"/>
    </xf>
    <xf numFmtId="165" fontId="8" fillId="10" borderId="33" xfId="8" applyNumberFormat="1" applyFont="1" applyFill="1" applyBorder="1" applyAlignment="1">
      <alignment horizontal="center" vertical="center" wrapText="1"/>
    </xf>
    <xf numFmtId="165" fontId="8" fillId="10" borderId="17" xfId="8" applyNumberFormat="1" applyFont="1" applyFill="1" applyBorder="1" applyAlignment="1">
      <alignment horizontal="center" vertical="center" wrapText="1"/>
    </xf>
    <xf numFmtId="0" fontId="0" fillId="11" borderId="9" xfId="0" applyFill="1" applyBorder="1" applyAlignment="1">
      <alignment horizontal="center" vertical="center"/>
    </xf>
    <xf numFmtId="165" fontId="8" fillId="12" borderId="33" xfId="8" applyNumberFormat="1" applyFont="1" applyFill="1" applyBorder="1" applyAlignment="1">
      <alignment horizontal="center" vertical="center" wrapText="1"/>
    </xf>
    <xf numFmtId="165" fontId="8" fillId="12" borderId="17" xfId="8" applyNumberFormat="1" applyFont="1" applyFill="1" applyBorder="1" applyAlignment="1">
      <alignment horizontal="center" vertical="center" wrapText="1"/>
    </xf>
  </cellXfs>
  <cellStyles count="9">
    <cellStyle name="Comma 16" xfId="3" xr:uid="{B6F88152-FBCC-484E-B425-B9049B6F8C0F}"/>
    <cellStyle name="Normal" xfId="0" builtinId="0"/>
    <cellStyle name="Normal 126" xfId="4" xr:uid="{BAA0F862-CF10-4F78-8902-5EE2997305C3}"/>
    <cellStyle name="Normal 132" xfId="2" xr:uid="{2D96C758-DBF6-4ACA-8ECD-A753EB70A3DD}"/>
    <cellStyle name="Normal 3 2" xfId="8" xr:uid="{EBF41CDB-AC82-4EB9-993E-69690C6E2915}"/>
    <cellStyle name="Normal 4" xfId="7" xr:uid="{1C461C1E-D6E0-4332-8C40-12625EDA0D4F}"/>
    <cellStyle name="Percent" xfId="1" builtinId="5"/>
    <cellStyle name="Percent 11" xfId="6" xr:uid="{04256C7A-939B-4189-AD1A-6E33651A174E}"/>
    <cellStyle name="Percent 2" xfId="5" xr:uid="{9E4DB220-9F74-4688-94C9-735E7D8697C0}"/>
  </cellStyles>
  <dxfs count="0"/>
  <tableStyles count="0" defaultTableStyle="TableStyleMedium2" defaultPivotStyle="PivotStyleLight16"/>
  <colors>
    <mruColors>
      <color rgb="FF09AF48"/>
      <color rgb="FFFFFF99"/>
      <color rgb="FF00FF99"/>
      <color rgb="FFCC99FF"/>
      <color rgb="FFA1D6F3"/>
      <color rgb="FF0000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26" Type="http://schemas.openxmlformats.org/officeDocument/2006/relationships/externalLink" Target="externalLinks/externalLink22.xml"/><Relationship Id="rId39"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17.xml"/><Relationship Id="rId34" Type="http://schemas.openxmlformats.org/officeDocument/2006/relationships/externalLink" Target="externalLinks/externalLink30.xml"/><Relationship Id="rId42" Type="http://schemas.openxmlformats.org/officeDocument/2006/relationships/calcChain" Target="calcChain.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5" Type="http://schemas.openxmlformats.org/officeDocument/2006/relationships/externalLink" Target="externalLinks/externalLink21.xml"/><Relationship Id="rId33" Type="http://schemas.openxmlformats.org/officeDocument/2006/relationships/externalLink" Target="externalLinks/externalLink29.xml"/><Relationship Id="rId38" Type="http://schemas.openxmlformats.org/officeDocument/2006/relationships/externalLink" Target="externalLinks/externalLink34.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externalLink" Target="externalLinks/externalLink16.xml"/><Relationship Id="rId29" Type="http://schemas.openxmlformats.org/officeDocument/2006/relationships/externalLink" Target="externalLinks/externalLink25.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externalLink" Target="externalLinks/externalLink20.xml"/><Relationship Id="rId32" Type="http://schemas.openxmlformats.org/officeDocument/2006/relationships/externalLink" Target="externalLinks/externalLink28.xml"/><Relationship Id="rId37" Type="http://schemas.openxmlformats.org/officeDocument/2006/relationships/externalLink" Target="externalLinks/externalLink33.xml"/><Relationship Id="rId40" Type="http://schemas.openxmlformats.org/officeDocument/2006/relationships/styles" Target="styles.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externalLink" Target="externalLinks/externalLink19.xml"/><Relationship Id="rId28" Type="http://schemas.openxmlformats.org/officeDocument/2006/relationships/externalLink" Target="externalLinks/externalLink24.xml"/><Relationship Id="rId36" Type="http://schemas.openxmlformats.org/officeDocument/2006/relationships/externalLink" Target="externalLinks/externalLink32.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31" Type="http://schemas.openxmlformats.org/officeDocument/2006/relationships/externalLink" Target="externalLinks/externalLink27.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externalLink" Target="externalLinks/externalLink18.xml"/><Relationship Id="rId27" Type="http://schemas.openxmlformats.org/officeDocument/2006/relationships/externalLink" Target="externalLinks/externalLink23.xml"/><Relationship Id="rId30" Type="http://schemas.openxmlformats.org/officeDocument/2006/relationships/externalLink" Target="externalLinks/externalLink26.xml"/><Relationship Id="rId35" Type="http://schemas.openxmlformats.org/officeDocument/2006/relationships/externalLink" Target="externalLinks/externalLink3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chart>
    <c:autoTitleDeleted val="1"/>
    <c:plotArea>
      <c:layout>
        <c:manualLayout>
          <c:layoutTarget val="inner"/>
          <c:xMode val="edge"/>
          <c:yMode val="edge"/>
          <c:x val="0.11375822587393968"/>
          <c:y val="2.8382184785041405E-2"/>
          <c:w val="0.88253730964788812"/>
          <c:h val="0.82721401112259751"/>
        </c:manualLayout>
      </c:layout>
      <c:lineChart>
        <c:grouping val="standard"/>
        <c:varyColors val="0"/>
        <c:ser>
          <c:idx val="0"/>
          <c:order val="0"/>
          <c:tx>
            <c:v>CASH-IN</c:v>
          </c:tx>
          <c:marker>
            <c:symbol val="square"/>
            <c:size val="3"/>
            <c:spPr>
              <a:solidFill>
                <a:srgbClr val="0000FF"/>
              </a:solidFill>
              <a:ln w="3175" cap="rnd">
                <a:solidFill>
                  <a:srgbClr val="0000FF"/>
                </a:solidFill>
              </a:ln>
            </c:spPr>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 CUREVE DATAS'!$C$10:$P$10</c:f>
              <c:strCache>
                <c:ptCount val="14"/>
                <c:pt idx="0">
                  <c:v>M-0</c:v>
                </c:pt>
                <c:pt idx="1">
                  <c:v>M-1</c:v>
                </c:pt>
                <c:pt idx="2">
                  <c:v>M-2</c:v>
                </c:pt>
                <c:pt idx="3">
                  <c:v>M-3</c:v>
                </c:pt>
                <c:pt idx="4">
                  <c:v>M-4</c:v>
                </c:pt>
                <c:pt idx="5">
                  <c:v>M-5</c:v>
                </c:pt>
                <c:pt idx="6">
                  <c:v>M-6</c:v>
                </c:pt>
                <c:pt idx="7">
                  <c:v>M-7</c:v>
                </c:pt>
                <c:pt idx="8">
                  <c:v>M-8</c:v>
                </c:pt>
                <c:pt idx="9">
                  <c:v>M-9</c:v>
                </c:pt>
                <c:pt idx="10">
                  <c:v>M-10</c:v>
                </c:pt>
                <c:pt idx="11">
                  <c:v>M-11</c:v>
                </c:pt>
                <c:pt idx="12">
                  <c:v>M-12</c:v>
                </c:pt>
                <c:pt idx="13">
                  <c:v>M-13</c:v>
                </c:pt>
              </c:strCache>
            </c:strRef>
          </c:cat>
          <c:val>
            <c:numRef>
              <c:f>'S CUREVE DATAS'!$C$45:$P$45</c:f>
              <c:numCache>
                <c:formatCode>0</c:formatCode>
                <c:ptCount val="14"/>
                <c:pt idx="0">
                  <c:v>0</c:v>
                </c:pt>
                <c:pt idx="1">
                  <c:v>0</c:v>
                </c:pt>
                <c:pt idx="2">
                  <c:v>580</c:v>
                </c:pt>
                <c:pt idx="3">
                  <c:v>1270</c:v>
                </c:pt>
                <c:pt idx="4">
                  <c:v>2040.0000000000002</c:v>
                </c:pt>
                <c:pt idx="5">
                  <c:v>2920.0000000000005</c:v>
                </c:pt>
                <c:pt idx="6">
                  <c:v>3860</c:v>
                </c:pt>
                <c:pt idx="7">
                  <c:v>4830</c:v>
                </c:pt>
                <c:pt idx="8">
                  <c:v>5800</c:v>
                </c:pt>
                <c:pt idx="9">
                  <c:v>6759.9999999999991</c:v>
                </c:pt>
                <c:pt idx="10">
                  <c:v>7649.9999999999991</c:v>
                </c:pt>
                <c:pt idx="11">
                  <c:v>8469.9999999999982</c:v>
                </c:pt>
                <c:pt idx="12">
                  <c:v>9239.9999999999982</c:v>
                </c:pt>
                <c:pt idx="13">
                  <c:v>9999.9999999999982</c:v>
                </c:pt>
              </c:numCache>
            </c:numRef>
          </c:val>
          <c:smooth val="0"/>
          <c:extLst>
            <c:ext xmlns:c16="http://schemas.microsoft.com/office/drawing/2014/chart" uri="{C3380CC4-5D6E-409C-BE32-E72D297353CC}">
              <c16:uniqueId val="{00000000-D54B-47AB-9E20-F12A49E05A90}"/>
            </c:ext>
          </c:extLst>
        </c:ser>
        <c:ser>
          <c:idx val="1"/>
          <c:order val="1"/>
          <c:tx>
            <c:v>AMT TO COLLECT</c:v>
          </c:tx>
          <c:spPr>
            <a:ln>
              <a:solidFill>
                <a:srgbClr val="00FF99"/>
              </a:solidFill>
            </a:ln>
          </c:spPr>
          <c:marker>
            <c:spPr>
              <a:solidFill>
                <a:srgbClr val="09AF48"/>
              </a:solidFill>
              <a:ln>
                <a:solidFill>
                  <a:srgbClr val="00FF99"/>
                </a:solidFill>
              </a:ln>
            </c:spPr>
          </c:marker>
          <c:dLbls>
            <c:spPr>
              <a:noFill/>
              <a:ln>
                <a:noFill/>
              </a:ln>
              <a:effectLst/>
            </c:spPr>
            <c:dLblPos val="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 CUREVE DATAS'!$C$57:$I$57</c:f>
              <c:numCache>
                <c:formatCode>0</c:formatCode>
                <c:ptCount val="7"/>
                <c:pt idx="0">
                  <c:v>0</c:v>
                </c:pt>
                <c:pt idx="1">
                  <c:v>0</c:v>
                </c:pt>
                <c:pt idx="2">
                  <c:v>250</c:v>
                </c:pt>
                <c:pt idx="3">
                  <c:v>790</c:v>
                </c:pt>
                <c:pt idx="4">
                  <c:v>1560</c:v>
                </c:pt>
                <c:pt idx="5">
                  <c:v>2270</c:v>
                </c:pt>
                <c:pt idx="6">
                  <c:v>2720</c:v>
                </c:pt>
              </c:numCache>
            </c:numRef>
          </c:val>
          <c:smooth val="0"/>
          <c:extLst>
            <c:ext xmlns:c16="http://schemas.microsoft.com/office/drawing/2014/chart" uri="{C3380CC4-5D6E-409C-BE32-E72D297353CC}">
              <c16:uniqueId val="{00000001-D54B-47AB-9E20-F12A49E05A90}"/>
            </c:ext>
          </c:extLst>
        </c:ser>
        <c:ser>
          <c:idx val="2"/>
          <c:order val="2"/>
          <c:tx>
            <c:v>AMT RECEIVED</c:v>
          </c:tx>
          <c:spPr>
            <a:ln>
              <a:solidFill>
                <a:srgbClr val="FF0000"/>
              </a:solidFill>
            </a:ln>
          </c:spPr>
          <c:marker>
            <c:spPr>
              <a:solidFill>
                <a:srgbClr val="FF0000"/>
              </a:solidFill>
              <a:ln>
                <a:solidFill>
                  <a:srgbClr val="FF0000"/>
                </a:solidFill>
              </a:ln>
            </c:spPr>
          </c:marker>
          <c:dLbls>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 CUREVE DATAS'!$C$61:$I$61</c:f>
              <c:numCache>
                <c:formatCode>0</c:formatCode>
                <c:ptCount val="7"/>
                <c:pt idx="0">
                  <c:v>0</c:v>
                </c:pt>
                <c:pt idx="1">
                  <c:v>0</c:v>
                </c:pt>
                <c:pt idx="2">
                  <c:v>250</c:v>
                </c:pt>
                <c:pt idx="3">
                  <c:v>790</c:v>
                </c:pt>
                <c:pt idx="4">
                  <c:v>790</c:v>
                </c:pt>
                <c:pt idx="5">
                  <c:v>790</c:v>
                </c:pt>
                <c:pt idx="6">
                  <c:v>1560</c:v>
                </c:pt>
              </c:numCache>
            </c:numRef>
          </c:val>
          <c:smooth val="0"/>
          <c:extLst>
            <c:ext xmlns:c16="http://schemas.microsoft.com/office/drawing/2014/chart" uri="{C3380CC4-5D6E-409C-BE32-E72D297353CC}">
              <c16:uniqueId val="{00000002-D54B-47AB-9E20-F12A49E05A90}"/>
            </c:ext>
          </c:extLst>
        </c:ser>
        <c:dLbls>
          <c:showLegendKey val="0"/>
          <c:showVal val="0"/>
          <c:showCatName val="0"/>
          <c:showSerName val="0"/>
          <c:showPercent val="0"/>
          <c:showBubbleSize val="0"/>
        </c:dLbls>
        <c:marker val="1"/>
        <c:smooth val="0"/>
        <c:axId val="170760064"/>
        <c:axId val="170761600"/>
      </c:lineChart>
      <c:catAx>
        <c:axId val="170760064"/>
        <c:scaling>
          <c:orientation val="minMax"/>
        </c:scaling>
        <c:delete val="0"/>
        <c:axPos val="b"/>
        <c:numFmt formatCode="General" sourceLinked="0"/>
        <c:majorTickMark val="none"/>
        <c:minorTickMark val="none"/>
        <c:tickLblPos val="nextTo"/>
        <c:crossAx val="170761600"/>
        <c:crosses val="autoZero"/>
        <c:auto val="1"/>
        <c:lblAlgn val="ctr"/>
        <c:lblOffset val="100"/>
        <c:noMultiLvlLbl val="0"/>
      </c:catAx>
      <c:valAx>
        <c:axId val="170761600"/>
        <c:scaling>
          <c:orientation val="minMax"/>
          <c:max val="12000"/>
          <c:min val="-2000"/>
        </c:scaling>
        <c:delete val="0"/>
        <c:axPos val="l"/>
        <c:majorGridlines/>
        <c:title>
          <c:tx>
            <c:rich>
              <a:bodyPr/>
              <a:lstStyle/>
              <a:p>
                <a:pPr>
                  <a:defRPr/>
                </a:pPr>
                <a:r>
                  <a:rPr lang="en-GB"/>
                  <a:t>TOTAL COST </a:t>
                </a:r>
              </a:p>
            </c:rich>
          </c:tx>
          <c:layout>
            <c:manualLayout>
              <c:xMode val="edge"/>
              <c:yMode val="edge"/>
              <c:x val="6.3687250803850487E-2"/>
              <c:y val="0.24433392593172948"/>
            </c:manualLayout>
          </c:layout>
          <c:overlay val="0"/>
        </c:title>
        <c:numFmt formatCode="0" sourceLinked="1"/>
        <c:majorTickMark val="none"/>
        <c:minorTickMark val="none"/>
        <c:tickLblPos val="nextTo"/>
        <c:txPr>
          <a:bodyPr/>
          <a:lstStyle/>
          <a:p>
            <a:pPr>
              <a:defRPr sz="1200"/>
            </a:pPr>
            <a:endParaRPr lang="en-US"/>
          </a:p>
        </c:txPr>
        <c:crossAx val="170760064"/>
        <c:crosses val="autoZero"/>
        <c:crossBetween val="between"/>
        <c:minorUnit val="300"/>
      </c:valAx>
      <c:dTable>
        <c:showHorzBorder val="1"/>
        <c:showVertBorder val="1"/>
        <c:showOutline val="1"/>
        <c:showKeys val="1"/>
      </c:dTable>
      <c:spPr>
        <a:solidFill>
          <a:schemeClr val="accent5">
            <a:lumMod val="40000"/>
            <a:lumOff val="60000"/>
          </a:schemeClr>
        </a:solidFill>
        <a:ln>
          <a:solidFill>
            <a:schemeClr val="tx1"/>
          </a:solidFill>
        </a:ln>
      </c:spPr>
    </c:plotArea>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chart>
    <c:autoTitleDeleted val="1"/>
    <c:plotArea>
      <c:layout>
        <c:manualLayout>
          <c:layoutTarget val="inner"/>
          <c:xMode val="edge"/>
          <c:yMode val="edge"/>
          <c:x val="0.15206816273794144"/>
          <c:y val="2.8382184785041405E-2"/>
          <c:w val="0.84793183726205856"/>
          <c:h val="0.82721401112259751"/>
        </c:manualLayout>
      </c:layout>
      <c:lineChart>
        <c:grouping val="standard"/>
        <c:varyColors val="0"/>
        <c:ser>
          <c:idx val="2"/>
          <c:order val="0"/>
          <c:tx>
            <c:v>"Plan%"</c:v>
          </c:tx>
          <c:spPr>
            <a:ln w="9525">
              <a:solidFill>
                <a:srgbClr val="0000FF"/>
              </a:solidFill>
            </a:ln>
          </c:spPr>
          <c:marker>
            <c:spPr>
              <a:solidFill>
                <a:srgbClr val="0000FF"/>
              </a:solidFill>
              <a:ln w="9525">
                <a:solidFill>
                  <a:srgbClr val="0000FF"/>
                </a:solidFill>
              </a:ln>
            </c:spPr>
          </c:marker>
          <c:dLbls>
            <c:spPr>
              <a:noFill/>
              <a:ln>
                <a:noFill/>
              </a:ln>
              <a:effectLst/>
            </c:spPr>
            <c:txPr>
              <a:bodyPr wrap="square" lIns="38100" tIns="19050" rIns="38100" bIns="19050" anchor="ctr">
                <a:spAutoFit/>
              </a:bodyPr>
              <a:lstStyle/>
              <a:p>
                <a:pPr>
                  <a:defRPr sz="1100"/>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 CUREVE DATAS'!$C$10:$P$10</c:f>
              <c:strCache>
                <c:ptCount val="14"/>
                <c:pt idx="0">
                  <c:v>M-0</c:v>
                </c:pt>
                <c:pt idx="1">
                  <c:v>M-1</c:v>
                </c:pt>
                <c:pt idx="2">
                  <c:v>M-2</c:v>
                </c:pt>
                <c:pt idx="3">
                  <c:v>M-3</c:v>
                </c:pt>
                <c:pt idx="4">
                  <c:v>M-4</c:v>
                </c:pt>
                <c:pt idx="5">
                  <c:v>M-5</c:v>
                </c:pt>
                <c:pt idx="6">
                  <c:v>M-6</c:v>
                </c:pt>
                <c:pt idx="7">
                  <c:v>M-7</c:v>
                </c:pt>
                <c:pt idx="8">
                  <c:v>M-8</c:v>
                </c:pt>
                <c:pt idx="9">
                  <c:v>M-9</c:v>
                </c:pt>
                <c:pt idx="10">
                  <c:v>M-10</c:v>
                </c:pt>
                <c:pt idx="11">
                  <c:v>M-11</c:v>
                </c:pt>
                <c:pt idx="12">
                  <c:v>M-12</c:v>
                </c:pt>
                <c:pt idx="13">
                  <c:v>M-13</c:v>
                </c:pt>
              </c:strCache>
            </c:strRef>
          </c:cat>
          <c:val>
            <c:numRef>
              <c:f>'S CUREVE DATAS'!$C$13:$P$13</c:f>
              <c:numCache>
                <c:formatCode>0.0%</c:formatCode>
                <c:ptCount val="14"/>
                <c:pt idx="0">
                  <c:v>0</c:v>
                </c:pt>
                <c:pt idx="1">
                  <c:v>5.8000000000000003E-2</c:v>
                </c:pt>
                <c:pt idx="2">
                  <c:v>0.127</c:v>
                </c:pt>
                <c:pt idx="3">
                  <c:v>0.20400000000000001</c:v>
                </c:pt>
                <c:pt idx="4">
                  <c:v>0.29200000000000004</c:v>
                </c:pt>
                <c:pt idx="5">
                  <c:v>0.38600000000000001</c:v>
                </c:pt>
                <c:pt idx="6">
                  <c:v>0.48299999999999998</c:v>
                </c:pt>
                <c:pt idx="7">
                  <c:v>0.57999999999999996</c:v>
                </c:pt>
                <c:pt idx="8">
                  <c:v>0.67599999999999993</c:v>
                </c:pt>
                <c:pt idx="9">
                  <c:v>0.7649999999999999</c:v>
                </c:pt>
                <c:pt idx="10">
                  <c:v>0.84699999999999986</c:v>
                </c:pt>
                <c:pt idx="11">
                  <c:v>0.92399999999999982</c:v>
                </c:pt>
                <c:pt idx="12">
                  <c:v>0.99999999999999978</c:v>
                </c:pt>
                <c:pt idx="13">
                  <c:v>1</c:v>
                </c:pt>
              </c:numCache>
            </c:numRef>
          </c:val>
          <c:smooth val="0"/>
          <c:extLst>
            <c:ext xmlns:c16="http://schemas.microsoft.com/office/drawing/2014/chart" uri="{C3380CC4-5D6E-409C-BE32-E72D297353CC}">
              <c16:uniqueId val="{00000000-E2E4-4541-8979-EBC164648841}"/>
            </c:ext>
          </c:extLst>
        </c:ser>
        <c:ser>
          <c:idx val="0"/>
          <c:order val="1"/>
          <c:tx>
            <c:v>"Forecast %"</c:v>
          </c:tx>
          <c:spPr>
            <a:ln>
              <a:solidFill>
                <a:srgbClr val="0070C0"/>
              </a:solidFill>
              <a:prstDash val="sysDot"/>
            </a:ln>
          </c:spPr>
          <c:marker>
            <c:spPr>
              <a:ln>
                <a:prstDash val="sysDot"/>
              </a:ln>
            </c:spPr>
          </c:marker>
          <c:dLbls>
            <c:spPr>
              <a:noFill/>
              <a:ln>
                <a:noFill/>
              </a:ln>
              <a:effectLst/>
            </c:spPr>
            <c:txPr>
              <a:bodyPr wrap="square" lIns="38100" tIns="19050" rIns="38100" bIns="19050" anchor="ctr">
                <a:spAutoFit/>
              </a:bodyPr>
              <a:lstStyle/>
              <a:p>
                <a:pPr>
                  <a:defRPr sz="1200">
                    <a:solidFill>
                      <a:srgbClr val="0000FF"/>
                    </a:solidFill>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 CUREVE DATAS'!$C$21:$P$21</c:f>
              <c:numCache>
                <c:formatCode>0.0%</c:formatCode>
                <c:ptCount val="14"/>
                <c:pt idx="6">
                  <c:v>0.35599999999999998</c:v>
                </c:pt>
                <c:pt idx="7">
                  <c:v>0.46700000000000003</c:v>
                </c:pt>
                <c:pt idx="8">
                  <c:v>0.56500000000000006</c:v>
                </c:pt>
                <c:pt idx="9">
                  <c:v>0.68300000000000005</c:v>
                </c:pt>
                <c:pt idx="10">
                  <c:v>0.79100000000000004</c:v>
                </c:pt>
                <c:pt idx="11">
                  <c:v>0.89300000000000002</c:v>
                </c:pt>
                <c:pt idx="12">
                  <c:v>0.99999999999999978</c:v>
                </c:pt>
                <c:pt idx="13">
                  <c:v>1</c:v>
                </c:pt>
              </c:numCache>
            </c:numRef>
          </c:val>
          <c:smooth val="0"/>
          <c:extLst>
            <c:ext xmlns:c16="http://schemas.microsoft.com/office/drawing/2014/chart" uri="{C3380CC4-5D6E-409C-BE32-E72D297353CC}">
              <c16:uniqueId val="{00000001-E2E4-4541-8979-EBC164648841}"/>
            </c:ext>
          </c:extLst>
        </c:ser>
        <c:ser>
          <c:idx val="1"/>
          <c:order val="2"/>
          <c:tx>
            <c:v>"Actual"</c:v>
          </c:tx>
          <c:dLbls>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 CUREVE DATAS'!$C$29:$I$29</c:f>
              <c:numCache>
                <c:formatCode>0.0%</c:formatCode>
                <c:ptCount val="7"/>
                <c:pt idx="0">
                  <c:v>0</c:v>
                </c:pt>
                <c:pt idx="1">
                  <c:v>2.5000000000000001E-2</c:v>
                </c:pt>
                <c:pt idx="2">
                  <c:v>7.9000000000000001E-2</c:v>
                </c:pt>
                <c:pt idx="3">
                  <c:v>0.156</c:v>
                </c:pt>
                <c:pt idx="4">
                  <c:v>0.22700000000000001</c:v>
                </c:pt>
                <c:pt idx="5">
                  <c:v>0.27200000000000002</c:v>
                </c:pt>
                <c:pt idx="6">
                  <c:v>0.35599999999999998</c:v>
                </c:pt>
              </c:numCache>
            </c:numRef>
          </c:val>
          <c:smooth val="0"/>
          <c:extLst>
            <c:ext xmlns:c16="http://schemas.microsoft.com/office/drawing/2014/chart" uri="{C3380CC4-5D6E-409C-BE32-E72D297353CC}">
              <c16:uniqueId val="{00000002-E2E4-4541-8979-EBC164648841}"/>
            </c:ext>
          </c:extLst>
        </c:ser>
        <c:dLbls>
          <c:showLegendKey val="0"/>
          <c:showVal val="0"/>
          <c:showCatName val="0"/>
          <c:showSerName val="0"/>
          <c:showPercent val="0"/>
          <c:showBubbleSize val="0"/>
        </c:dLbls>
        <c:marker val="1"/>
        <c:smooth val="0"/>
        <c:axId val="170760064"/>
        <c:axId val="170761600"/>
      </c:lineChart>
      <c:catAx>
        <c:axId val="170760064"/>
        <c:scaling>
          <c:orientation val="minMax"/>
        </c:scaling>
        <c:delete val="0"/>
        <c:axPos val="b"/>
        <c:numFmt formatCode="General" sourceLinked="0"/>
        <c:majorTickMark val="none"/>
        <c:minorTickMark val="none"/>
        <c:tickLblPos val="nextTo"/>
        <c:crossAx val="170761600"/>
        <c:crosses val="autoZero"/>
        <c:auto val="1"/>
        <c:lblAlgn val="ctr"/>
        <c:lblOffset val="100"/>
        <c:noMultiLvlLbl val="0"/>
      </c:catAx>
      <c:valAx>
        <c:axId val="170761600"/>
        <c:scaling>
          <c:orientation val="minMax"/>
          <c:max val="1.1000000000000001"/>
          <c:min val="0"/>
        </c:scaling>
        <c:delete val="0"/>
        <c:axPos val="l"/>
        <c:majorGridlines/>
        <c:title>
          <c:tx>
            <c:rich>
              <a:bodyPr/>
              <a:lstStyle/>
              <a:p>
                <a:pPr>
                  <a:defRPr/>
                </a:pPr>
                <a:r>
                  <a:rPr lang="en-GB"/>
                  <a:t>% CUMULATIVE PROGRESS </a:t>
                </a:r>
              </a:p>
            </c:rich>
          </c:tx>
          <c:layout>
            <c:manualLayout>
              <c:xMode val="edge"/>
              <c:yMode val="edge"/>
              <c:x val="1.2364028915625174E-2"/>
              <c:y val="0.1336830993951843"/>
            </c:manualLayout>
          </c:layout>
          <c:overlay val="0"/>
        </c:title>
        <c:numFmt formatCode="0.0%" sourceLinked="1"/>
        <c:majorTickMark val="none"/>
        <c:minorTickMark val="none"/>
        <c:tickLblPos val="nextTo"/>
        <c:crossAx val="170760064"/>
        <c:crosses val="autoZero"/>
        <c:crossBetween val="between"/>
      </c:valAx>
      <c:dTable>
        <c:showHorzBorder val="1"/>
        <c:showVertBorder val="1"/>
        <c:showOutline val="1"/>
        <c:showKeys val="1"/>
      </c:dTable>
      <c:spPr>
        <a:solidFill>
          <a:schemeClr val="accent4">
            <a:lumMod val="20000"/>
            <a:lumOff val="80000"/>
          </a:schemeClr>
        </a:solidFill>
        <a:ln>
          <a:solidFill>
            <a:schemeClr val="tx1"/>
          </a:solidFill>
        </a:ln>
      </c:spPr>
    </c:plotArea>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chart>
    <c:autoTitleDeleted val="1"/>
    <c:plotArea>
      <c:layout>
        <c:manualLayout>
          <c:layoutTarget val="inner"/>
          <c:xMode val="edge"/>
          <c:yMode val="edge"/>
          <c:x val="0.11375822587393968"/>
          <c:y val="2.8382184785041405E-2"/>
          <c:w val="0.88253730964788812"/>
          <c:h val="0.82721401112259751"/>
        </c:manualLayout>
      </c:layout>
      <c:lineChart>
        <c:grouping val="standard"/>
        <c:varyColors val="0"/>
        <c:ser>
          <c:idx val="0"/>
          <c:order val="0"/>
          <c:tx>
            <c:v>"SPENT %"</c:v>
          </c:tx>
          <c:marker>
            <c:symbol val="square"/>
            <c:size val="3"/>
            <c:spPr>
              <a:solidFill>
                <a:srgbClr val="0000FF"/>
              </a:solidFill>
              <a:ln w="3175" cap="rnd">
                <a:solidFill>
                  <a:srgbClr val="0000FF"/>
                </a:solidFill>
              </a:ln>
            </c:spPr>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 CUREVE DATAS'!$C$10:$P$10</c:f>
              <c:strCache>
                <c:ptCount val="14"/>
                <c:pt idx="0">
                  <c:v>M-0</c:v>
                </c:pt>
                <c:pt idx="1">
                  <c:v>M-1</c:v>
                </c:pt>
                <c:pt idx="2">
                  <c:v>M-2</c:v>
                </c:pt>
                <c:pt idx="3">
                  <c:v>M-3</c:v>
                </c:pt>
                <c:pt idx="4">
                  <c:v>M-4</c:v>
                </c:pt>
                <c:pt idx="5">
                  <c:v>M-5</c:v>
                </c:pt>
                <c:pt idx="6">
                  <c:v>M-6</c:v>
                </c:pt>
                <c:pt idx="7">
                  <c:v>M-7</c:v>
                </c:pt>
                <c:pt idx="8">
                  <c:v>M-8</c:v>
                </c:pt>
                <c:pt idx="9">
                  <c:v>M-9</c:v>
                </c:pt>
                <c:pt idx="10">
                  <c:v>M-10</c:v>
                </c:pt>
                <c:pt idx="11">
                  <c:v>M-11</c:v>
                </c:pt>
                <c:pt idx="12">
                  <c:v>M-12</c:v>
                </c:pt>
                <c:pt idx="13">
                  <c:v>M-13</c:v>
                </c:pt>
              </c:strCache>
            </c:strRef>
          </c:cat>
          <c:val>
            <c:numRef>
              <c:f>'S CUREVE DATAS'!$C$37:$P$37</c:f>
              <c:numCache>
                <c:formatCode>0.0%</c:formatCode>
                <c:ptCount val="14"/>
                <c:pt idx="0">
                  <c:v>0</c:v>
                </c:pt>
                <c:pt idx="1">
                  <c:v>7.1000000000000008E-2</c:v>
                </c:pt>
                <c:pt idx="2">
                  <c:v>0.125</c:v>
                </c:pt>
                <c:pt idx="3">
                  <c:v>0.20200000000000001</c:v>
                </c:pt>
                <c:pt idx="4">
                  <c:v>0.26900000000000002</c:v>
                </c:pt>
                <c:pt idx="5">
                  <c:v>0.314</c:v>
                </c:pt>
                <c:pt idx="6">
                  <c:v>0.39799999999999996</c:v>
                </c:pt>
              </c:numCache>
            </c:numRef>
          </c:val>
          <c:smooth val="0"/>
          <c:extLst>
            <c:ext xmlns:c16="http://schemas.microsoft.com/office/drawing/2014/chart" uri="{C3380CC4-5D6E-409C-BE32-E72D297353CC}">
              <c16:uniqueId val="{00000000-ED32-4DF9-91FB-6F6858248E4E}"/>
            </c:ext>
          </c:extLst>
        </c:ser>
        <c:ser>
          <c:idx val="2"/>
          <c:order val="1"/>
          <c:tx>
            <c:v>EARNED %</c:v>
          </c:tx>
          <c:spPr>
            <a:ln>
              <a:solidFill>
                <a:srgbClr val="FF0000"/>
              </a:solidFill>
            </a:ln>
          </c:spPr>
          <c:marker>
            <c:spPr>
              <a:solidFill>
                <a:srgbClr val="FF0000"/>
              </a:solidFill>
              <a:ln>
                <a:solidFill>
                  <a:srgbClr val="FF0000"/>
                </a:solidFill>
              </a:ln>
            </c:spPr>
          </c:marker>
          <c:dLbls>
            <c:spPr>
              <a:noFill/>
              <a:ln>
                <a:noFill/>
              </a:ln>
              <a:effectLst/>
            </c:spPr>
            <c:dLblPos val="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 CUREVE DATAS'!$C$29:$I$29</c:f>
              <c:numCache>
                <c:formatCode>0.0%</c:formatCode>
                <c:ptCount val="7"/>
                <c:pt idx="0">
                  <c:v>0</c:v>
                </c:pt>
                <c:pt idx="1">
                  <c:v>2.5000000000000001E-2</c:v>
                </c:pt>
                <c:pt idx="2">
                  <c:v>7.9000000000000001E-2</c:v>
                </c:pt>
                <c:pt idx="3">
                  <c:v>0.156</c:v>
                </c:pt>
                <c:pt idx="4">
                  <c:v>0.22700000000000001</c:v>
                </c:pt>
                <c:pt idx="5">
                  <c:v>0.27200000000000002</c:v>
                </c:pt>
                <c:pt idx="6">
                  <c:v>0.35599999999999998</c:v>
                </c:pt>
              </c:numCache>
            </c:numRef>
          </c:val>
          <c:smooth val="0"/>
          <c:extLst>
            <c:ext xmlns:c16="http://schemas.microsoft.com/office/drawing/2014/chart" uri="{C3380CC4-5D6E-409C-BE32-E72D297353CC}">
              <c16:uniqueId val="{00000001-ED32-4DF9-91FB-6F6858248E4E}"/>
            </c:ext>
          </c:extLst>
        </c:ser>
        <c:dLbls>
          <c:showLegendKey val="0"/>
          <c:showVal val="0"/>
          <c:showCatName val="0"/>
          <c:showSerName val="0"/>
          <c:showPercent val="0"/>
          <c:showBubbleSize val="0"/>
        </c:dLbls>
        <c:marker val="1"/>
        <c:smooth val="0"/>
        <c:axId val="170760064"/>
        <c:axId val="170761600"/>
      </c:lineChart>
      <c:catAx>
        <c:axId val="170760064"/>
        <c:scaling>
          <c:orientation val="minMax"/>
        </c:scaling>
        <c:delete val="0"/>
        <c:axPos val="b"/>
        <c:numFmt formatCode="General" sourceLinked="0"/>
        <c:majorTickMark val="none"/>
        <c:minorTickMark val="none"/>
        <c:tickLblPos val="nextTo"/>
        <c:crossAx val="170761600"/>
        <c:crosses val="autoZero"/>
        <c:auto val="1"/>
        <c:lblAlgn val="ctr"/>
        <c:lblOffset val="100"/>
        <c:noMultiLvlLbl val="0"/>
      </c:catAx>
      <c:valAx>
        <c:axId val="170761600"/>
        <c:scaling>
          <c:orientation val="minMax"/>
          <c:max val="1"/>
          <c:min val="0"/>
        </c:scaling>
        <c:delete val="0"/>
        <c:axPos val="l"/>
        <c:majorGridlines/>
        <c:title>
          <c:tx>
            <c:rich>
              <a:bodyPr/>
              <a:lstStyle/>
              <a:p>
                <a:pPr>
                  <a:defRPr/>
                </a:pPr>
                <a:r>
                  <a:rPr lang="en-GB"/>
                  <a:t>% CUMULATIVE PROGRESS </a:t>
                </a:r>
              </a:p>
            </c:rich>
          </c:tx>
          <c:layout>
            <c:manualLayout>
              <c:xMode val="edge"/>
              <c:yMode val="edge"/>
              <c:x val="1.9252370320536789E-2"/>
              <c:y val="0.38700116186560468"/>
            </c:manualLayout>
          </c:layout>
          <c:overlay val="0"/>
        </c:title>
        <c:numFmt formatCode="0.0%" sourceLinked="1"/>
        <c:majorTickMark val="none"/>
        <c:minorTickMark val="none"/>
        <c:tickLblPos val="nextTo"/>
        <c:txPr>
          <a:bodyPr/>
          <a:lstStyle/>
          <a:p>
            <a:pPr>
              <a:defRPr sz="1200"/>
            </a:pPr>
            <a:endParaRPr lang="en-US"/>
          </a:p>
        </c:txPr>
        <c:crossAx val="170760064"/>
        <c:crosses val="autoZero"/>
        <c:crossBetween val="between"/>
        <c:majorUnit val="0.2"/>
      </c:valAx>
      <c:dTable>
        <c:showHorzBorder val="1"/>
        <c:showVertBorder val="1"/>
        <c:showOutline val="1"/>
        <c:showKeys val="1"/>
      </c:dTable>
      <c:spPr>
        <a:solidFill>
          <a:schemeClr val="accent6">
            <a:lumMod val="20000"/>
            <a:lumOff val="80000"/>
          </a:schemeClr>
        </a:solidFill>
        <a:ln>
          <a:solidFill>
            <a:schemeClr val="tx1"/>
          </a:solidFill>
        </a:ln>
      </c:spPr>
    </c:plotArea>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chart>
    <c:autoTitleDeleted val="1"/>
    <c:plotArea>
      <c:layout>
        <c:manualLayout>
          <c:layoutTarget val="inner"/>
          <c:xMode val="edge"/>
          <c:yMode val="edge"/>
          <c:x val="0.11375822587393968"/>
          <c:y val="2.8382184785041405E-2"/>
          <c:w val="0.88253730964788812"/>
          <c:h val="0.82721401112259751"/>
        </c:manualLayout>
      </c:layout>
      <c:lineChart>
        <c:grouping val="standard"/>
        <c:varyColors val="0"/>
        <c:ser>
          <c:idx val="0"/>
          <c:order val="0"/>
          <c:tx>
            <c:v>CASH-IN</c:v>
          </c:tx>
          <c:marker>
            <c:symbol val="square"/>
            <c:size val="3"/>
            <c:spPr>
              <a:solidFill>
                <a:srgbClr val="0000FF"/>
              </a:solidFill>
              <a:ln w="3175" cap="rnd">
                <a:solidFill>
                  <a:srgbClr val="0000FF"/>
                </a:solidFill>
              </a:ln>
            </c:spPr>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 CUREVE DATAS'!$C$10:$P$10</c:f>
              <c:strCache>
                <c:ptCount val="14"/>
                <c:pt idx="0">
                  <c:v>M-0</c:v>
                </c:pt>
                <c:pt idx="1">
                  <c:v>M-1</c:v>
                </c:pt>
                <c:pt idx="2">
                  <c:v>M-2</c:v>
                </c:pt>
                <c:pt idx="3">
                  <c:v>M-3</c:v>
                </c:pt>
                <c:pt idx="4">
                  <c:v>M-4</c:v>
                </c:pt>
                <c:pt idx="5">
                  <c:v>M-5</c:v>
                </c:pt>
                <c:pt idx="6">
                  <c:v>M-6</c:v>
                </c:pt>
                <c:pt idx="7">
                  <c:v>M-7</c:v>
                </c:pt>
                <c:pt idx="8">
                  <c:v>M-8</c:v>
                </c:pt>
                <c:pt idx="9">
                  <c:v>M-9</c:v>
                </c:pt>
                <c:pt idx="10">
                  <c:v>M-10</c:v>
                </c:pt>
                <c:pt idx="11">
                  <c:v>M-11</c:v>
                </c:pt>
                <c:pt idx="12">
                  <c:v>M-12</c:v>
                </c:pt>
                <c:pt idx="13">
                  <c:v>M-13</c:v>
                </c:pt>
              </c:strCache>
            </c:strRef>
          </c:cat>
          <c:val>
            <c:numRef>
              <c:f>'S CUREVE DATAS'!$C$45:$P$45</c:f>
              <c:numCache>
                <c:formatCode>0</c:formatCode>
                <c:ptCount val="14"/>
                <c:pt idx="0">
                  <c:v>0</c:v>
                </c:pt>
                <c:pt idx="1">
                  <c:v>0</c:v>
                </c:pt>
                <c:pt idx="2">
                  <c:v>580</c:v>
                </c:pt>
                <c:pt idx="3">
                  <c:v>1270</c:v>
                </c:pt>
                <c:pt idx="4">
                  <c:v>2040.0000000000002</c:v>
                </c:pt>
                <c:pt idx="5">
                  <c:v>2920.0000000000005</c:v>
                </c:pt>
                <c:pt idx="6">
                  <c:v>3860</c:v>
                </c:pt>
                <c:pt idx="7">
                  <c:v>4830</c:v>
                </c:pt>
                <c:pt idx="8">
                  <c:v>5800</c:v>
                </c:pt>
                <c:pt idx="9">
                  <c:v>6759.9999999999991</c:v>
                </c:pt>
                <c:pt idx="10">
                  <c:v>7649.9999999999991</c:v>
                </c:pt>
                <c:pt idx="11">
                  <c:v>8469.9999999999982</c:v>
                </c:pt>
                <c:pt idx="12">
                  <c:v>9239.9999999999982</c:v>
                </c:pt>
                <c:pt idx="13">
                  <c:v>9999.9999999999982</c:v>
                </c:pt>
              </c:numCache>
            </c:numRef>
          </c:val>
          <c:smooth val="0"/>
          <c:extLst>
            <c:ext xmlns:c16="http://schemas.microsoft.com/office/drawing/2014/chart" uri="{C3380CC4-5D6E-409C-BE32-E72D297353CC}">
              <c16:uniqueId val="{00000000-8914-4CE7-9E4F-B202A51881E2}"/>
            </c:ext>
          </c:extLst>
        </c:ser>
        <c:ser>
          <c:idx val="1"/>
          <c:order val="1"/>
          <c:tx>
            <c:v>AMT TO COLLECT</c:v>
          </c:tx>
          <c:spPr>
            <a:ln>
              <a:solidFill>
                <a:srgbClr val="00FF99"/>
              </a:solidFill>
            </a:ln>
          </c:spPr>
          <c:marker>
            <c:spPr>
              <a:solidFill>
                <a:srgbClr val="09AF48"/>
              </a:solidFill>
              <a:ln>
                <a:solidFill>
                  <a:srgbClr val="00FF99"/>
                </a:solidFill>
              </a:ln>
            </c:spPr>
          </c:marker>
          <c:dLbls>
            <c:spPr>
              <a:noFill/>
              <a:ln>
                <a:noFill/>
              </a:ln>
              <a:effectLst/>
            </c:spPr>
            <c:dLblPos val="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 CUREVE DATAS'!$C$57:$I$57</c:f>
              <c:numCache>
                <c:formatCode>0</c:formatCode>
                <c:ptCount val="7"/>
                <c:pt idx="0">
                  <c:v>0</c:v>
                </c:pt>
                <c:pt idx="1">
                  <c:v>0</c:v>
                </c:pt>
                <c:pt idx="2">
                  <c:v>250</c:v>
                </c:pt>
                <c:pt idx="3">
                  <c:v>790</c:v>
                </c:pt>
                <c:pt idx="4">
                  <c:v>1560</c:v>
                </c:pt>
                <c:pt idx="5">
                  <c:v>2270</c:v>
                </c:pt>
                <c:pt idx="6">
                  <c:v>2720</c:v>
                </c:pt>
              </c:numCache>
            </c:numRef>
          </c:val>
          <c:smooth val="0"/>
          <c:extLst>
            <c:ext xmlns:c16="http://schemas.microsoft.com/office/drawing/2014/chart" uri="{C3380CC4-5D6E-409C-BE32-E72D297353CC}">
              <c16:uniqueId val="{00000001-8914-4CE7-9E4F-B202A51881E2}"/>
            </c:ext>
          </c:extLst>
        </c:ser>
        <c:ser>
          <c:idx val="2"/>
          <c:order val="2"/>
          <c:tx>
            <c:v>AMT RECEIVED</c:v>
          </c:tx>
          <c:spPr>
            <a:ln>
              <a:solidFill>
                <a:srgbClr val="FF0000"/>
              </a:solidFill>
            </a:ln>
          </c:spPr>
          <c:marker>
            <c:spPr>
              <a:solidFill>
                <a:srgbClr val="FF0000"/>
              </a:solidFill>
              <a:ln>
                <a:solidFill>
                  <a:srgbClr val="FF0000"/>
                </a:solidFill>
              </a:ln>
            </c:spPr>
          </c:marker>
          <c:dLbls>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 CUREVE DATAS'!$C$61:$I$61</c:f>
              <c:numCache>
                <c:formatCode>0</c:formatCode>
                <c:ptCount val="7"/>
                <c:pt idx="0">
                  <c:v>0</c:v>
                </c:pt>
                <c:pt idx="1">
                  <c:v>0</c:v>
                </c:pt>
                <c:pt idx="2">
                  <c:v>250</c:v>
                </c:pt>
                <c:pt idx="3">
                  <c:v>790</c:v>
                </c:pt>
                <c:pt idx="4">
                  <c:v>790</c:v>
                </c:pt>
                <c:pt idx="5">
                  <c:v>790</c:v>
                </c:pt>
                <c:pt idx="6">
                  <c:v>1560</c:v>
                </c:pt>
              </c:numCache>
            </c:numRef>
          </c:val>
          <c:smooth val="0"/>
          <c:extLst>
            <c:ext xmlns:c16="http://schemas.microsoft.com/office/drawing/2014/chart" uri="{C3380CC4-5D6E-409C-BE32-E72D297353CC}">
              <c16:uniqueId val="{00000002-8914-4CE7-9E4F-B202A51881E2}"/>
            </c:ext>
          </c:extLst>
        </c:ser>
        <c:dLbls>
          <c:showLegendKey val="0"/>
          <c:showVal val="0"/>
          <c:showCatName val="0"/>
          <c:showSerName val="0"/>
          <c:showPercent val="0"/>
          <c:showBubbleSize val="0"/>
        </c:dLbls>
        <c:marker val="1"/>
        <c:smooth val="0"/>
        <c:axId val="170760064"/>
        <c:axId val="170761600"/>
      </c:lineChart>
      <c:catAx>
        <c:axId val="170760064"/>
        <c:scaling>
          <c:orientation val="minMax"/>
        </c:scaling>
        <c:delete val="0"/>
        <c:axPos val="b"/>
        <c:numFmt formatCode="General" sourceLinked="0"/>
        <c:majorTickMark val="none"/>
        <c:minorTickMark val="none"/>
        <c:tickLblPos val="nextTo"/>
        <c:crossAx val="170761600"/>
        <c:crosses val="autoZero"/>
        <c:auto val="1"/>
        <c:lblAlgn val="ctr"/>
        <c:lblOffset val="100"/>
        <c:noMultiLvlLbl val="0"/>
      </c:catAx>
      <c:valAx>
        <c:axId val="170761600"/>
        <c:scaling>
          <c:orientation val="minMax"/>
          <c:max val="12000"/>
          <c:min val="-2000"/>
        </c:scaling>
        <c:delete val="0"/>
        <c:axPos val="l"/>
        <c:majorGridlines/>
        <c:title>
          <c:tx>
            <c:rich>
              <a:bodyPr/>
              <a:lstStyle/>
              <a:p>
                <a:pPr>
                  <a:defRPr/>
                </a:pPr>
                <a:r>
                  <a:rPr lang="en-GB"/>
                  <a:t>TOTAL COST </a:t>
                </a:r>
              </a:p>
            </c:rich>
          </c:tx>
          <c:layout>
            <c:manualLayout>
              <c:xMode val="edge"/>
              <c:yMode val="edge"/>
              <c:x val="6.3687250803850487E-2"/>
              <c:y val="0.24433392593172948"/>
            </c:manualLayout>
          </c:layout>
          <c:overlay val="0"/>
        </c:title>
        <c:numFmt formatCode="0" sourceLinked="1"/>
        <c:majorTickMark val="none"/>
        <c:minorTickMark val="none"/>
        <c:tickLblPos val="nextTo"/>
        <c:txPr>
          <a:bodyPr/>
          <a:lstStyle/>
          <a:p>
            <a:pPr>
              <a:defRPr sz="1200"/>
            </a:pPr>
            <a:endParaRPr lang="en-US"/>
          </a:p>
        </c:txPr>
        <c:crossAx val="170760064"/>
        <c:crosses val="autoZero"/>
        <c:crossBetween val="between"/>
        <c:minorUnit val="300"/>
      </c:valAx>
      <c:dTable>
        <c:showHorzBorder val="1"/>
        <c:showVertBorder val="1"/>
        <c:showOutline val="1"/>
        <c:showKeys val="1"/>
      </c:dTable>
      <c:spPr>
        <a:solidFill>
          <a:schemeClr val="accent5">
            <a:lumMod val="40000"/>
            <a:lumOff val="60000"/>
          </a:schemeClr>
        </a:solidFill>
        <a:ln>
          <a:solidFill>
            <a:schemeClr val="tx1"/>
          </a:solidFill>
        </a:ln>
      </c:spPr>
    </c:plotArea>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chart>
    <c:autoTitleDeleted val="1"/>
    <c:plotArea>
      <c:layout>
        <c:manualLayout>
          <c:layoutTarget val="inner"/>
          <c:xMode val="edge"/>
          <c:yMode val="edge"/>
          <c:x val="0.15206816273794144"/>
          <c:y val="2.8382184785041405E-2"/>
          <c:w val="0.84793183726205856"/>
          <c:h val="0.82721401112259751"/>
        </c:manualLayout>
      </c:layout>
      <c:lineChart>
        <c:grouping val="standard"/>
        <c:varyColors val="0"/>
        <c:ser>
          <c:idx val="2"/>
          <c:order val="0"/>
          <c:tx>
            <c:v>"Plan%"</c:v>
          </c:tx>
          <c:spPr>
            <a:ln w="9525">
              <a:solidFill>
                <a:srgbClr val="0000FF"/>
              </a:solidFill>
            </a:ln>
          </c:spPr>
          <c:marker>
            <c:spPr>
              <a:solidFill>
                <a:srgbClr val="0000FF"/>
              </a:solidFill>
              <a:ln w="9525">
                <a:solidFill>
                  <a:srgbClr val="0000FF"/>
                </a:solidFill>
              </a:ln>
            </c:spPr>
          </c:marker>
          <c:dLbls>
            <c:spPr>
              <a:noFill/>
              <a:ln>
                <a:noFill/>
              </a:ln>
              <a:effectLst/>
            </c:spPr>
            <c:txPr>
              <a:bodyPr wrap="square" lIns="38100" tIns="19050" rIns="38100" bIns="19050" anchor="ctr">
                <a:spAutoFit/>
              </a:bodyPr>
              <a:lstStyle/>
              <a:p>
                <a:pPr>
                  <a:defRPr sz="1100"/>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 CUREVE DATAS'!$C$10:$P$10</c:f>
              <c:strCache>
                <c:ptCount val="14"/>
                <c:pt idx="0">
                  <c:v>M-0</c:v>
                </c:pt>
                <c:pt idx="1">
                  <c:v>M-1</c:v>
                </c:pt>
                <c:pt idx="2">
                  <c:v>M-2</c:v>
                </c:pt>
                <c:pt idx="3">
                  <c:v>M-3</c:v>
                </c:pt>
                <c:pt idx="4">
                  <c:v>M-4</c:v>
                </c:pt>
                <c:pt idx="5">
                  <c:v>M-5</c:v>
                </c:pt>
                <c:pt idx="6">
                  <c:v>M-6</c:v>
                </c:pt>
                <c:pt idx="7">
                  <c:v>M-7</c:v>
                </c:pt>
                <c:pt idx="8">
                  <c:v>M-8</c:v>
                </c:pt>
                <c:pt idx="9">
                  <c:v>M-9</c:v>
                </c:pt>
                <c:pt idx="10">
                  <c:v>M-10</c:v>
                </c:pt>
                <c:pt idx="11">
                  <c:v>M-11</c:v>
                </c:pt>
                <c:pt idx="12">
                  <c:v>M-12</c:v>
                </c:pt>
                <c:pt idx="13">
                  <c:v>M-13</c:v>
                </c:pt>
              </c:strCache>
            </c:strRef>
          </c:cat>
          <c:val>
            <c:numRef>
              <c:f>'S CUREVE DATAS'!$C$13:$P$13</c:f>
              <c:numCache>
                <c:formatCode>0.0%</c:formatCode>
                <c:ptCount val="14"/>
                <c:pt idx="0">
                  <c:v>0</c:v>
                </c:pt>
                <c:pt idx="1">
                  <c:v>5.8000000000000003E-2</c:v>
                </c:pt>
                <c:pt idx="2">
                  <c:v>0.127</c:v>
                </c:pt>
                <c:pt idx="3">
                  <c:v>0.20400000000000001</c:v>
                </c:pt>
                <c:pt idx="4">
                  <c:v>0.29200000000000004</c:v>
                </c:pt>
                <c:pt idx="5">
                  <c:v>0.38600000000000001</c:v>
                </c:pt>
                <c:pt idx="6">
                  <c:v>0.48299999999999998</c:v>
                </c:pt>
                <c:pt idx="7">
                  <c:v>0.57999999999999996</c:v>
                </c:pt>
                <c:pt idx="8">
                  <c:v>0.67599999999999993</c:v>
                </c:pt>
                <c:pt idx="9">
                  <c:v>0.7649999999999999</c:v>
                </c:pt>
                <c:pt idx="10">
                  <c:v>0.84699999999999986</c:v>
                </c:pt>
                <c:pt idx="11">
                  <c:v>0.92399999999999982</c:v>
                </c:pt>
                <c:pt idx="12">
                  <c:v>0.99999999999999978</c:v>
                </c:pt>
                <c:pt idx="13">
                  <c:v>1</c:v>
                </c:pt>
              </c:numCache>
            </c:numRef>
          </c:val>
          <c:smooth val="0"/>
          <c:extLst>
            <c:ext xmlns:c16="http://schemas.microsoft.com/office/drawing/2014/chart" uri="{C3380CC4-5D6E-409C-BE32-E72D297353CC}">
              <c16:uniqueId val="{00000002-A084-4FF3-BE35-54F57DBF13BC}"/>
            </c:ext>
          </c:extLst>
        </c:ser>
        <c:ser>
          <c:idx val="0"/>
          <c:order val="1"/>
          <c:tx>
            <c:v>"Forecast %"</c:v>
          </c:tx>
          <c:spPr>
            <a:ln>
              <a:solidFill>
                <a:srgbClr val="0070C0"/>
              </a:solidFill>
              <a:prstDash val="sysDot"/>
            </a:ln>
          </c:spPr>
          <c:marker>
            <c:spPr>
              <a:ln>
                <a:prstDash val="sysDot"/>
              </a:ln>
            </c:spPr>
          </c:marker>
          <c:dLbls>
            <c:spPr>
              <a:noFill/>
              <a:ln>
                <a:noFill/>
              </a:ln>
              <a:effectLst/>
            </c:spPr>
            <c:txPr>
              <a:bodyPr wrap="square" lIns="38100" tIns="19050" rIns="38100" bIns="19050" anchor="ctr">
                <a:spAutoFit/>
              </a:bodyPr>
              <a:lstStyle/>
              <a:p>
                <a:pPr>
                  <a:defRPr sz="1200">
                    <a:solidFill>
                      <a:srgbClr val="0000FF"/>
                    </a:solidFill>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 CUREVE DATAS'!$C$21:$P$21</c:f>
              <c:numCache>
                <c:formatCode>0.0%</c:formatCode>
                <c:ptCount val="14"/>
                <c:pt idx="6">
                  <c:v>0.35599999999999998</c:v>
                </c:pt>
                <c:pt idx="7">
                  <c:v>0.46700000000000003</c:v>
                </c:pt>
                <c:pt idx="8">
                  <c:v>0.56500000000000006</c:v>
                </c:pt>
                <c:pt idx="9">
                  <c:v>0.68300000000000005</c:v>
                </c:pt>
                <c:pt idx="10">
                  <c:v>0.79100000000000004</c:v>
                </c:pt>
                <c:pt idx="11">
                  <c:v>0.89300000000000002</c:v>
                </c:pt>
                <c:pt idx="12">
                  <c:v>0.99999999999999978</c:v>
                </c:pt>
                <c:pt idx="13">
                  <c:v>1</c:v>
                </c:pt>
              </c:numCache>
            </c:numRef>
          </c:val>
          <c:smooth val="0"/>
          <c:extLst>
            <c:ext xmlns:c16="http://schemas.microsoft.com/office/drawing/2014/chart" uri="{C3380CC4-5D6E-409C-BE32-E72D297353CC}">
              <c16:uniqueId val="{00000000-7A3A-4543-9472-D7C40B5646B7}"/>
            </c:ext>
          </c:extLst>
        </c:ser>
        <c:ser>
          <c:idx val="1"/>
          <c:order val="2"/>
          <c:tx>
            <c:v>"Actual"</c:v>
          </c:tx>
          <c:dLbls>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 CUREVE DATAS'!$C$29:$I$29</c:f>
              <c:numCache>
                <c:formatCode>0.0%</c:formatCode>
                <c:ptCount val="7"/>
                <c:pt idx="0">
                  <c:v>0</c:v>
                </c:pt>
                <c:pt idx="1">
                  <c:v>2.5000000000000001E-2</c:v>
                </c:pt>
                <c:pt idx="2">
                  <c:v>7.9000000000000001E-2</c:v>
                </c:pt>
                <c:pt idx="3">
                  <c:v>0.156</c:v>
                </c:pt>
                <c:pt idx="4">
                  <c:v>0.22700000000000001</c:v>
                </c:pt>
                <c:pt idx="5">
                  <c:v>0.27200000000000002</c:v>
                </c:pt>
                <c:pt idx="6">
                  <c:v>0.35599999999999998</c:v>
                </c:pt>
              </c:numCache>
            </c:numRef>
          </c:val>
          <c:smooth val="0"/>
          <c:extLst>
            <c:ext xmlns:c16="http://schemas.microsoft.com/office/drawing/2014/chart" uri="{C3380CC4-5D6E-409C-BE32-E72D297353CC}">
              <c16:uniqueId val="{00000001-7A3A-4543-9472-D7C40B5646B7}"/>
            </c:ext>
          </c:extLst>
        </c:ser>
        <c:dLbls>
          <c:showLegendKey val="0"/>
          <c:showVal val="0"/>
          <c:showCatName val="0"/>
          <c:showSerName val="0"/>
          <c:showPercent val="0"/>
          <c:showBubbleSize val="0"/>
        </c:dLbls>
        <c:marker val="1"/>
        <c:smooth val="0"/>
        <c:axId val="170760064"/>
        <c:axId val="170761600"/>
      </c:lineChart>
      <c:catAx>
        <c:axId val="170760064"/>
        <c:scaling>
          <c:orientation val="minMax"/>
        </c:scaling>
        <c:delete val="0"/>
        <c:axPos val="b"/>
        <c:numFmt formatCode="General" sourceLinked="0"/>
        <c:majorTickMark val="none"/>
        <c:minorTickMark val="none"/>
        <c:tickLblPos val="nextTo"/>
        <c:crossAx val="170761600"/>
        <c:crosses val="autoZero"/>
        <c:auto val="1"/>
        <c:lblAlgn val="ctr"/>
        <c:lblOffset val="100"/>
        <c:noMultiLvlLbl val="0"/>
      </c:catAx>
      <c:valAx>
        <c:axId val="170761600"/>
        <c:scaling>
          <c:orientation val="minMax"/>
          <c:max val="1.1000000000000001"/>
          <c:min val="0"/>
        </c:scaling>
        <c:delete val="0"/>
        <c:axPos val="l"/>
        <c:majorGridlines/>
        <c:title>
          <c:tx>
            <c:rich>
              <a:bodyPr/>
              <a:lstStyle/>
              <a:p>
                <a:pPr>
                  <a:defRPr/>
                </a:pPr>
                <a:r>
                  <a:rPr lang="en-GB"/>
                  <a:t>% CUMULATIVE PROGRESS </a:t>
                </a:r>
              </a:p>
            </c:rich>
          </c:tx>
          <c:layout>
            <c:manualLayout>
              <c:xMode val="edge"/>
              <c:yMode val="edge"/>
              <c:x val="1.2364028915625174E-2"/>
              <c:y val="0.1336830993951843"/>
            </c:manualLayout>
          </c:layout>
          <c:overlay val="0"/>
        </c:title>
        <c:numFmt formatCode="0.0%" sourceLinked="1"/>
        <c:majorTickMark val="none"/>
        <c:minorTickMark val="none"/>
        <c:tickLblPos val="nextTo"/>
        <c:crossAx val="170760064"/>
        <c:crosses val="autoZero"/>
        <c:crossBetween val="between"/>
      </c:valAx>
      <c:dTable>
        <c:showHorzBorder val="1"/>
        <c:showVertBorder val="1"/>
        <c:showOutline val="1"/>
        <c:showKeys val="1"/>
      </c:dTable>
      <c:spPr>
        <a:solidFill>
          <a:schemeClr val="accent4">
            <a:lumMod val="20000"/>
            <a:lumOff val="80000"/>
          </a:schemeClr>
        </a:solidFill>
        <a:ln>
          <a:solidFill>
            <a:schemeClr val="tx1"/>
          </a:solidFill>
        </a:ln>
      </c:spPr>
    </c:plotArea>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chart>
    <c:autoTitleDeleted val="1"/>
    <c:plotArea>
      <c:layout>
        <c:manualLayout>
          <c:layoutTarget val="inner"/>
          <c:xMode val="edge"/>
          <c:yMode val="edge"/>
          <c:x val="0.11375822587393968"/>
          <c:y val="2.8382184785041405E-2"/>
          <c:w val="0.88253730964788812"/>
          <c:h val="0.82721401112259751"/>
        </c:manualLayout>
      </c:layout>
      <c:lineChart>
        <c:grouping val="standard"/>
        <c:varyColors val="0"/>
        <c:ser>
          <c:idx val="0"/>
          <c:order val="0"/>
          <c:tx>
            <c:v>"SPENT %"</c:v>
          </c:tx>
          <c:marker>
            <c:symbol val="square"/>
            <c:size val="3"/>
            <c:spPr>
              <a:solidFill>
                <a:srgbClr val="0000FF"/>
              </a:solidFill>
              <a:ln w="3175" cap="rnd">
                <a:solidFill>
                  <a:srgbClr val="0000FF"/>
                </a:solidFill>
              </a:ln>
            </c:spPr>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 CUREVE DATAS'!$C$10:$P$10</c:f>
              <c:strCache>
                <c:ptCount val="14"/>
                <c:pt idx="0">
                  <c:v>M-0</c:v>
                </c:pt>
                <c:pt idx="1">
                  <c:v>M-1</c:v>
                </c:pt>
                <c:pt idx="2">
                  <c:v>M-2</c:v>
                </c:pt>
                <c:pt idx="3">
                  <c:v>M-3</c:v>
                </c:pt>
                <c:pt idx="4">
                  <c:v>M-4</c:v>
                </c:pt>
                <c:pt idx="5">
                  <c:v>M-5</c:v>
                </c:pt>
                <c:pt idx="6">
                  <c:v>M-6</c:v>
                </c:pt>
                <c:pt idx="7">
                  <c:v>M-7</c:v>
                </c:pt>
                <c:pt idx="8">
                  <c:v>M-8</c:v>
                </c:pt>
                <c:pt idx="9">
                  <c:v>M-9</c:v>
                </c:pt>
                <c:pt idx="10">
                  <c:v>M-10</c:v>
                </c:pt>
                <c:pt idx="11">
                  <c:v>M-11</c:v>
                </c:pt>
                <c:pt idx="12">
                  <c:v>M-12</c:v>
                </c:pt>
                <c:pt idx="13">
                  <c:v>M-13</c:v>
                </c:pt>
              </c:strCache>
            </c:strRef>
          </c:cat>
          <c:val>
            <c:numRef>
              <c:f>'S CUREVE DATAS'!$C$37:$P$37</c:f>
              <c:numCache>
                <c:formatCode>0.0%</c:formatCode>
                <c:ptCount val="14"/>
                <c:pt idx="0">
                  <c:v>0</c:v>
                </c:pt>
                <c:pt idx="1">
                  <c:v>7.1000000000000008E-2</c:v>
                </c:pt>
                <c:pt idx="2">
                  <c:v>0.125</c:v>
                </c:pt>
                <c:pt idx="3">
                  <c:v>0.20200000000000001</c:v>
                </c:pt>
                <c:pt idx="4">
                  <c:v>0.26900000000000002</c:v>
                </c:pt>
                <c:pt idx="5">
                  <c:v>0.314</c:v>
                </c:pt>
                <c:pt idx="6">
                  <c:v>0.39799999999999996</c:v>
                </c:pt>
              </c:numCache>
            </c:numRef>
          </c:val>
          <c:smooth val="0"/>
          <c:extLst>
            <c:ext xmlns:c16="http://schemas.microsoft.com/office/drawing/2014/chart" uri="{C3380CC4-5D6E-409C-BE32-E72D297353CC}">
              <c16:uniqueId val="{00000000-98B8-44B6-B4FF-ADA9D32E00CC}"/>
            </c:ext>
          </c:extLst>
        </c:ser>
        <c:ser>
          <c:idx val="2"/>
          <c:order val="1"/>
          <c:tx>
            <c:v>EARNED %</c:v>
          </c:tx>
          <c:spPr>
            <a:ln>
              <a:solidFill>
                <a:srgbClr val="FF0000"/>
              </a:solidFill>
            </a:ln>
          </c:spPr>
          <c:marker>
            <c:spPr>
              <a:solidFill>
                <a:srgbClr val="FF0000"/>
              </a:solidFill>
              <a:ln>
                <a:solidFill>
                  <a:srgbClr val="FF0000"/>
                </a:solidFill>
              </a:ln>
            </c:spPr>
          </c:marker>
          <c:dLbls>
            <c:spPr>
              <a:noFill/>
              <a:ln>
                <a:noFill/>
              </a:ln>
              <a:effectLst/>
            </c:spPr>
            <c:dLblPos val="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 CUREVE DATAS'!$C$29:$I$29</c:f>
              <c:numCache>
                <c:formatCode>0.0%</c:formatCode>
                <c:ptCount val="7"/>
                <c:pt idx="0">
                  <c:v>0</c:v>
                </c:pt>
                <c:pt idx="1">
                  <c:v>2.5000000000000001E-2</c:v>
                </c:pt>
                <c:pt idx="2">
                  <c:v>7.9000000000000001E-2</c:v>
                </c:pt>
                <c:pt idx="3">
                  <c:v>0.156</c:v>
                </c:pt>
                <c:pt idx="4">
                  <c:v>0.22700000000000001</c:v>
                </c:pt>
                <c:pt idx="5">
                  <c:v>0.27200000000000002</c:v>
                </c:pt>
                <c:pt idx="6">
                  <c:v>0.35599999999999998</c:v>
                </c:pt>
              </c:numCache>
            </c:numRef>
          </c:val>
          <c:smooth val="0"/>
          <c:extLst>
            <c:ext xmlns:c16="http://schemas.microsoft.com/office/drawing/2014/chart" uri="{C3380CC4-5D6E-409C-BE32-E72D297353CC}">
              <c16:uniqueId val="{00000002-98B8-44B6-B4FF-ADA9D32E00CC}"/>
            </c:ext>
          </c:extLst>
        </c:ser>
        <c:dLbls>
          <c:showLegendKey val="0"/>
          <c:showVal val="0"/>
          <c:showCatName val="0"/>
          <c:showSerName val="0"/>
          <c:showPercent val="0"/>
          <c:showBubbleSize val="0"/>
        </c:dLbls>
        <c:marker val="1"/>
        <c:smooth val="0"/>
        <c:axId val="170760064"/>
        <c:axId val="170761600"/>
      </c:lineChart>
      <c:catAx>
        <c:axId val="170760064"/>
        <c:scaling>
          <c:orientation val="minMax"/>
        </c:scaling>
        <c:delete val="0"/>
        <c:axPos val="b"/>
        <c:numFmt formatCode="General" sourceLinked="0"/>
        <c:majorTickMark val="none"/>
        <c:minorTickMark val="none"/>
        <c:tickLblPos val="nextTo"/>
        <c:crossAx val="170761600"/>
        <c:crosses val="autoZero"/>
        <c:auto val="1"/>
        <c:lblAlgn val="ctr"/>
        <c:lblOffset val="100"/>
        <c:noMultiLvlLbl val="0"/>
      </c:catAx>
      <c:valAx>
        <c:axId val="170761600"/>
        <c:scaling>
          <c:orientation val="minMax"/>
          <c:max val="1"/>
          <c:min val="0"/>
        </c:scaling>
        <c:delete val="0"/>
        <c:axPos val="l"/>
        <c:majorGridlines/>
        <c:title>
          <c:tx>
            <c:rich>
              <a:bodyPr/>
              <a:lstStyle/>
              <a:p>
                <a:pPr>
                  <a:defRPr/>
                </a:pPr>
                <a:r>
                  <a:rPr lang="en-GB"/>
                  <a:t>% CUMULATIVE PROGRESS </a:t>
                </a:r>
              </a:p>
            </c:rich>
          </c:tx>
          <c:layout>
            <c:manualLayout>
              <c:xMode val="edge"/>
              <c:yMode val="edge"/>
              <c:x val="1.9252370320536789E-2"/>
              <c:y val="0.38700116186560468"/>
            </c:manualLayout>
          </c:layout>
          <c:overlay val="0"/>
        </c:title>
        <c:numFmt formatCode="0.0%" sourceLinked="1"/>
        <c:majorTickMark val="none"/>
        <c:minorTickMark val="none"/>
        <c:tickLblPos val="nextTo"/>
        <c:txPr>
          <a:bodyPr/>
          <a:lstStyle/>
          <a:p>
            <a:pPr>
              <a:defRPr sz="1200"/>
            </a:pPr>
            <a:endParaRPr lang="en-US"/>
          </a:p>
        </c:txPr>
        <c:crossAx val="170760064"/>
        <c:crosses val="autoZero"/>
        <c:crossBetween val="between"/>
        <c:majorUnit val="0.2"/>
      </c:valAx>
      <c:dTable>
        <c:showHorzBorder val="1"/>
        <c:showVertBorder val="1"/>
        <c:showOutline val="1"/>
        <c:showKeys val="1"/>
      </c:dTable>
      <c:spPr>
        <a:solidFill>
          <a:schemeClr val="accent6">
            <a:lumMod val="20000"/>
            <a:lumOff val="80000"/>
          </a:schemeClr>
        </a:solidFill>
        <a:ln>
          <a:solidFill>
            <a:schemeClr val="tx1"/>
          </a:solidFill>
        </a:ln>
      </c:spPr>
    </c:plotArea>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chart>
    <c:autoTitleDeleted val="1"/>
    <c:plotArea>
      <c:layout>
        <c:manualLayout>
          <c:layoutTarget val="inner"/>
          <c:xMode val="edge"/>
          <c:yMode val="edge"/>
          <c:x val="0.11375822587393968"/>
          <c:y val="2.8382184785041405E-2"/>
          <c:w val="0.88253730964788812"/>
          <c:h val="0.82721401112259751"/>
        </c:manualLayout>
      </c:layout>
      <c:lineChart>
        <c:grouping val="standard"/>
        <c:varyColors val="0"/>
        <c:ser>
          <c:idx val="0"/>
          <c:order val="0"/>
          <c:tx>
            <c:v>C.F. PROJECTION</c:v>
          </c:tx>
          <c:marker>
            <c:symbol val="square"/>
            <c:size val="3"/>
            <c:spPr>
              <a:solidFill>
                <a:srgbClr val="0000FF"/>
              </a:solidFill>
              <a:ln w="3175" cap="rnd">
                <a:solidFill>
                  <a:srgbClr val="0000FF"/>
                </a:solidFill>
              </a:ln>
            </c:spPr>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 CUREVE DATAS'!$C$10:$P$10</c:f>
              <c:strCache>
                <c:ptCount val="14"/>
                <c:pt idx="0">
                  <c:v>M-0</c:v>
                </c:pt>
                <c:pt idx="1">
                  <c:v>M-1</c:v>
                </c:pt>
                <c:pt idx="2">
                  <c:v>M-2</c:v>
                </c:pt>
                <c:pt idx="3">
                  <c:v>M-3</c:v>
                </c:pt>
                <c:pt idx="4">
                  <c:v>M-4</c:v>
                </c:pt>
                <c:pt idx="5">
                  <c:v>M-5</c:v>
                </c:pt>
                <c:pt idx="6">
                  <c:v>M-6</c:v>
                </c:pt>
                <c:pt idx="7">
                  <c:v>M-7</c:v>
                </c:pt>
                <c:pt idx="8">
                  <c:v>M-8</c:v>
                </c:pt>
                <c:pt idx="9">
                  <c:v>M-9</c:v>
                </c:pt>
                <c:pt idx="10">
                  <c:v>M-10</c:v>
                </c:pt>
                <c:pt idx="11">
                  <c:v>M-11</c:v>
                </c:pt>
                <c:pt idx="12">
                  <c:v>M-12</c:v>
                </c:pt>
                <c:pt idx="13">
                  <c:v>M-13</c:v>
                </c:pt>
              </c:strCache>
            </c:strRef>
          </c:cat>
          <c:val>
            <c:numRef>
              <c:f>'S CUREVE DATAS'!$C$45:$P$45</c:f>
              <c:numCache>
                <c:formatCode>0</c:formatCode>
                <c:ptCount val="14"/>
                <c:pt idx="0">
                  <c:v>0</c:v>
                </c:pt>
                <c:pt idx="1">
                  <c:v>0</c:v>
                </c:pt>
                <c:pt idx="2">
                  <c:v>580</c:v>
                </c:pt>
                <c:pt idx="3">
                  <c:v>1270</c:v>
                </c:pt>
                <c:pt idx="4">
                  <c:v>2040.0000000000002</c:v>
                </c:pt>
                <c:pt idx="5">
                  <c:v>2920.0000000000005</c:v>
                </c:pt>
                <c:pt idx="6">
                  <c:v>3860</c:v>
                </c:pt>
                <c:pt idx="7">
                  <c:v>4830</c:v>
                </c:pt>
                <c:pt idx="8">
                  <c:v>5800</c:v>
                </c:pt>
                <c:pt idx="9">
                  <c:v>6759.9999999999991</c:v>
                </c:pt>
                <c:pt idx="10">
                  <c:v>7649.9999999999991</c:v>
                </c:pt>
                <c:pt idx="11">
                  <c:v>8469.9999999999982</c:v>
                </c:pt>
                <c:pt idx="12">
                  <c:v>9239.9999999999982</c:v>
                </c:pt>
                <c:pt idx="13">
                  <c:v>9999.9999999999982</c:v>
                </c:pt>
              </c:numCache>
            </c:numRef>
          </c:val>
          <c:smooth val="0"/>
          <c:extLst>
            <c:ext xmlns:c16="http://schemas.microsoft.com/office/drawing/2014/chart" uri="{C3380CC4-5D6E-409C-BE32-E72D297353CC}">
              <c16:uniqueId val="{00000000-27CD-4BB2-AAF1-82267417350A}"/>
            </c:ext>
          </c:extLst>
        </c:ser>
        <c:ser>
          <c:idx val="1"/>
          <c:order val="1"/>
          <c:tx>
            <c:v>INV.RAISED</c:v>
          </c:tx>
          <c:spPr>
            <a:ln>
              <a:solidFill>
                <a:srgbClr val="09AF48"/>
              </a:solidFill>
            </a:ln>
          </c:spPr>
          <c:marker>
            <c:spPr>
              <a:solidFill>
                <a:srgbClr val="09AF48"/>
              </a:solidFill>
              <a:ln>
                <a:solidFill>
                  <a:srgbClr val="09AF48"/>
                </a:solidFill>
              </a:ln>
            </c:spPr>
          </c:marke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 CUREVE DATAS'!$C$49:$I$49</c:f>
              <c:numCache>
                <c:formatCode>0</c:formatCode>
                <c:ptCount val="7"/>
                <c:pt idx="0">
                  <c:v>0</c:v>
                </c:pt>
                <c:pt idx="1">
                  <c:v>250</c:v>
                </c:pt>
                <c:pt idx="2">
                  <c:v>790</c:v>
                </c:pt>
                <c:pt idx="3">
                  <c:v>1560</c:v>
                </c:pt>
                <c:pt idx="4">
                  <c:v>2270</c:v>
                </c:pt>
                <c:pt idx="5">
                  <c:v>2720</c:v>
                </c:pt>
                <c:pt idx="6">
                  <c:v>3560</c:v>
                </c:pt>
              </c:numCache>
            </c:numRef>
          </c:val>
          <c:smooth val="0"/>
          <c:extLst>
            <c:ext xmlns:c16="http://schemas.microsoft.com/office/drawing/2014/chart" uri="{C3380CC4-5D6E-409C-BE32-E72D297353CC}">
              <c16:uniqueId val="{00000001-27CD-4BB2-AAF1-82267417350A}"/>
            </c:ext>
          </c:extLst>
        </c:ser>
        <c:ser>
          <c:idx val="2"/>
          <c:order val="2"/>
          <c:tx>
            <c:v>INV.RECEIVED</c:v>
          </c:tx>
          <c:spPr>
            <a:ln>
              <a:solidFill>
                <a:srgbClr val="FF0000"/>
              </a:solidFill>
            </a:ln>
          </c:spPr>
          <c:marker>
            <c:spPr>
              <a:solidFill>
                <a:srgbClr val="FF0000"/>
              </a:solidFill>
              <a:ln>
                <a:solidFill>
                  <a:srgbClr val="FF0000"/>
                </a:solidFill>
              </a:ln>
            </c:spPr>
          </c:marker>
          <c:dLbls>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 CUREVE DATAS'!$C$61:$I$61</c:f>
              <c:numCache>
                <c:formatCode>0</c:formatCode>
                <c:ptCount val="7"/>
                <c:pt idx="0">
                  <c:v>0</c:v>
                </c:pt>
                <c:pt idx="1">
                  <c:v>0</c:v>
                </c:pt>
                <c:pt idx="2">
                  <c:v>250</c:v>
                </c:pt>
                <c:pt idx="3">
                  <c:v>790</c:v>
                </c:pt>
                <c:pt idx="4">
                  <c:v>790</c:v>
                </c:pt>
                <c:pt idx="5">
                  <c:v>790</c:v>
                </c:pt>
                <c:pt idx="6">
                  <c:v>1560</c:v>
                </c:pt>
              </c:numCache>
            </c:numRef>
          </c:val>
          <c:smooth val="0"/>
          <c:extLst>
            <c:ext xmlns:c16="http://schemas.microsoft.com/office/drawing/2014/chart" uri="{C3380CC4-5D6E-409C-BE32-E72D297353CC}">
              <c16:uniqueId val="{00000002-27CD-4BB2-AAF1-82267417350A}"/>
            </c:ext>
          </c:extLst>
        </c:ser>
        <c:dLbls>
          <c:showLegendKey val="0"/>
          <c:showVal val="0"/>
          <c:showCatName val="0"/>
          <c:showSerName val="0"/>
          <c:showPercent val="0"/>
          <c:showBubbleSize val="0"/>
        </c:dLbls>
        <c:marker val="1"/>
        <c:smooth val="0"/>
        <c:axId val="170760064"/>
        <c:axId val="170761600"/>
      </c:lineChart>
      <c:catAx>
        <c:axId val="170760064"/>
        <c:scaling>
          <c:orientation val="minMax"/>
        </c:scaling>
        <c:delete val="0"/>
        <c:axPos val="b"/>
        <c:numFmt formatCode="General" sourceLinked="0"/>
        <c:majorTickMark val="none"/>
        <c:minorTickMark val="none"/>
        <c:tickLblPos val="nextTo"/>
        <c:crossAx val="170761600"/>
        <c:crosses val="autoZero"/>
        <c:auto val="1"/>
        <c:lblAlgn val="ctr"/>
        <c:lblOffset val="100"/>
        <c:noMultiLvlLbl val="0"/>
      </c:catAx>
      <c:valAx>
        <c:axId val="170761600"/>
        <c:scaling>
          <c:orientation val="minMax"/>
          <c:max val="12000"/>
          <c:min val="-2000"/>
        </c:scaling>
        <c:delete val="0"/>
        <c:axPos val="l"/>
        <c:majorGridlines/>
        <c:title>
          <c:tx>
            <c:rich>
              <a:bodyPr/>
              <a:lstStyle/>
              <a:p>
                <a:pPr>
                  <a:defRPr/>
                </a:pPr>
                <a:r>
                  <a:rPr lang="en-GB"/>
                  <a:t>TOTAL COST </a:t>
                </a:r>
              </a:p>
            </c:rich>
          </c:tx>
          <c:layout>
            <c:manualLayout>
              <c:xMode val="edge"/>
              <c:yMode val="edge"/>
              <c:x val="6.3687250803850487E-2"/>
              <c:y val="0.24433392593172948"/>
            </c:manualLayout>
          </c:layout>
          <c:overlay val="0"/>
        </c:title>
        <c:numFmt formatCode="0" sourceLinked="1"/>
        <c:majorTickMark val="none"/>
        <c:minorTickMark val="none"/>
        <c:tickLblPos val="nextTo"/>
        <c:txPr>
          <a:bodyPr/>
          <a:lstStyle/>
          <a:p>
            <a:pPr>
              <a:defRPr sz="1200"/>
            </a:pPr>
            <a:endParaRPr lang="en-US"/>
          </a:p>
        </c:txPr>
        <c:crossAx val="170760064"/>
        <c:crosses val="autoZero"/>
        <c:crossBetween val="between"/>
        <c:minorUnit val="300"/>
      </c:valAx>
      <c:dTable>
        <c:showHorzBorder val="1"/>
        <c:showVertBorder val="1"/>
        <c:showOutline val="1"/>
        <c:showKeys val="1"/>
      </c:dTable>
      <c:spPr>
        <a:solidFill>
          <a:schemeClr val="accent5">
            <a:lumMod val="40000"/>
            <a:lumOff val="60000"/>
          </a:schemeClr>
        </a:solidFill>
        <a:ln>
          <a:solidFill>
            <a:schemeClr val="tx1"/>
          </a:solidFill>
        </a:ln>
      </c:spPr>
    </c:plotArea>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chart>
    <c:autoTitleDeleted val="1"/>
    <c:plotArea>
      <c:layout>
        <c:manualLayout>
          <c:layoutTarget val="inner"/>
          <c:xMode val="edge"/>
          <c:yMode val="edge"/>
          <c:x val="0.15206816273794144"/>
          <c:y val="2.8382184785041405E-2"/>
          <c:w val="0.84793183726205856"/>
          <c:h val="0.82721401112259751"/>
        </c:manualLayout>
      </c:layout>
      <c:lineChart>
        <c:grouping val="standard"/>
        <c:varyColors val="0"/>
        <c:ser>
          <c:idx val="2"/>
          <c:order val="0"/>
          <c:tx>
            <c:v>"Plan%"</c:v>
          </c:tx>
          <c:spPr>
            <a:ln w="9525">
              <a:solidFill>
                <a:srgbClr val="0000FF"/>
              </a:solidFill>
            </a:ln>
          </c:spPr>
          <c:marker>
            <c:spPr>
              <a:solidFill>
                <a:srgbClr val="0000FF"/>
              </a:solidFill>
              <a:ln w="9525">
                <a:solidFill>
                  <a:srgbClr val="0000FF"/>
                </a:solidFill>
              </a:ln>
            </c:spPr>
          </c:marker>
          <c:dLbls>
            <c:spPr>
              <a:noFill/>
              <a:ln>
                <a:noFill/>
              </a:ln>
              <a:effectLst/>
            </c:spPr>
            <c:txPr>
              <a:bodyPr wrap="square" lIns="38100" tIns="19050" rIns="38100" bIns="19050" anchor="ctr">
                <a:spAutoFit/>
              </a:bodyPr>
              <a:lstStyle/>
              <a:p>
                <a:pPr>
                  <a:defRPr sz="1100"/>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 CUREVE DATAS'!$C$10:$P$10</c:f>
              <c:strCache>
                <c:ptCount val="14"/>
                <c:pt idx="0">
                  <c:v>M-0</c:v>
                </c:pt>
                <c:pt idx="1">
                  <c:v>M-1</c:v>
                </c:pt>
                <c:pt idx="2">
                  <c:v>M-2</c:v>
                </c:pt>
                <c:pt idx="3">
                  <c:v>M-3</c:v>
                </c:pt>
                <c:pt idx="4">
                  <c:v>M-4</c:v>
                </c:pt>
                <c:pt idx="5">
                  <c:v>M-5</c:v>
                </c:pt>
                <c:pt idx="6">
                  <c:v>M-6</c:v>
                </c:pt>
                <c:pt idx="7">
                  <c:v>M-7</c:v>
                </c:pt>
                <c:pt idx="8">
                  <c:v>M-8</c:v>
                </c:pt>
                <c:pt idx="9">
                  <c:v>M-9</c:v>
                </c:pt>
                <c:pt idx="10">
                  <c:v>M-10</c:v>
                </c:pt>
                <c:pt idx="11">
                  <c:v>M-11</c:v>
                </c:pt>
                <c:pt idx="12">
                  <c:v>M-12</c:v>
                </c:pt>
                <c:pt idx="13">
                  <c:v>M-13</c:v>
                </c:pt>
              </c:strCache>
            </c:strRef>
          </c:cat>
          <c:val>
            <c:numRef>
              <c:f>'S CUREVE DATAS'!$C$13:$P$13</c:f>
              <c:numCache>
                <c:formatCode>0.0%</c:formatCode>
                <c:ptCount val="14"/>
                <c:pt idx="0">
                  <c:v>0</c:v>
                </c:pt>
                <c:pt idx="1">
                  <c:v>5.8000000000000003E-2</c:v>
                </c:pt>
                <c:pt idx="2">
                  <c:v>0.127</c:v>
                </c:pt>
                <c:pt idx="3">
                  <c:v>0.20400000000000001</c:v>
                </c:pt>
                <c:pt idx="4">
                  <c:v>0.29200000000000004</c:v>
                </c:pt>
                <c:pt idx="5">
                  <c:v>0.38600000000000001</c:v>
                </c:pt>
                <c:pt idx="6">
                  <c:v>0.48299999999999998</c:v>
                </c:pt>
                <c:pt idx="7">
                  <c:v>0.57999999999999996</c:v>
                </c:pt>
                <c:pt idx="8">
                  <c:v>0.67599999999999993</c:v>
                </c:pt>
                <c:pt idx="9">
                  <c:v>0.7649999999999999</c:v>
                </c:pt>
                <c:pt idx="10">
                  <c:v>0.84699999999999986</c:v>
                </c:pt>
                <c:pt idx="11">
                  <c:v>0.92399999999999982</c:v>
                </c:pt>
                <c:pt idx="12">
                  <c:v>0.99999999999999978</c:v>
                </c:pt>
                <c:pt idx="13">
                  <c:v>1</c:v>
                </c:pt>
              </c:numCache>
            </c:numRef>
          </c:val>
          <c:smooth val="0"/>
          <c:extLst>
            <c:ext xmlns:c16="http://schemas.microsoft.com/office/drawing/2014/chart" uri="{C3380CC4-5D6E-409C-BE32-E72D297353CC}">
              <c16:uniqueId val="{00000000-6CC7-4A00-A85F-8A0D30E4C950}"/>
            </c:ext>
          </c:extLst>
        </c:ser>
        <c:ser>
          <c:idx val="0"/>
          <c:order val="1"/>
          <c:tx>
            <c:v>"Forecast %"</c:v>
          </c:tx>
          <c:spPr>
            <a:ln>
              <a:solidFill>
                <a:srgbClr val="0070C0"/>
              </a:solidFill>
              <a:prstDash val="sysDot"/>
            </a:ln>
          </c:spPr>
          <c:marker>
            <c:spPr>
              <a:ln>
                <a:prstDash val="sysDot"/>
              </a:ln>
            </c:spPr>
          </c:marker>
          <c:val>
            <c:numRef>
              <c:f>'S CUREVE DATAS'!$C$21:$P$21</c:f>
              <c:numCache>
                <c:formatCode>0.0%</c:formatCode>
                <c:ptCount val="14"/>
                <c:pt idx="6">
                  <c:v>0.35599999999999998</c:v>
                </c:pt>
                <c:pt idx="7">
                  <c:v>0.46700000000000003</c:v>
                </c:pt>
                <c:pt idx="8">
                  <c:v>0.56500000000000006</c:v>
                </c:pt>
                <c:pt idx="9">
                  <c:v>0.68300000000000005</c:v>
                </c:pt>
                <c:pt idx="10">
                  <c:v>0.79100000000000004</c:v>
                </c:pt>
                <c:pt idx="11">
                  <c:v>0.89300000000000002</c:v>
                </c:pt>
                <c:pt idx="12">
                  <c:v>0.99999999999999978</c:v>
                </c:pt>
                <c:pt idx="13">
                  <c:v>1</c:v>
                </c:pt>
              </c:numCache>
            </c:numRef>
          </c:val>
          <c:smooth val="0"/>
          <c:extLst>
            <c:ext xmlns:c16="http://schemas.microsoft.com/office/drawing/2014/chart" uri="{C3380CC4-5D6E-409C-BE32-E72D297353CC}">
              <c16:uniqueId val="{00000001-6CC7-4A00-A85F-8A0D30E4C950}"/>
            </c:ext>
          </c:extLst>
        </c:ser>
        <c:ser>
          <c:idx val="1"/>
          <c:order val="2"/>
          <c:tx>
            <c:v>"Actual"</c:v>
          </c:tx>
          <c:spPr>
            <a:ln>
              <a:solidFill>
                <a:srgbClr val="FF0000"/>
              </a:solidFill>
            </a:ln>
          </c:spPr>
          <c:marker>
            <c:spPr>
              <a:solidFill>
                <a:srgbClr val="FF0000"/>
              </a:solidFill>
              <a:ln>
                <a:solidFill>
                  <a:srgbClr val="FF0000"/>
                </a:solidFill>
              </a:ln>
            </c:spPr>
          </c:marker>
          <c:dLbls>
            <c:dLbl>
              <c:idx val="6"/>
              <c:layout>
                <c:manualLayout>
                  <c:x val="-3.7099890787936185E-2"/>
                  <c:y val="6.91899199160372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320-45CB-A6F3-43A808E1F777}"/>
                </c:ext>
              </c:extLst>
            </c:dLbl>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 CUREVE DATAS'!$C$29:$I$29</c:f>
              <c:numCache>
                <c:formatCode>0.0%</c:formatCode>
                <c:ptCount val="7"/>
                <c:pt idx="0">
                  <c:v>0</c:v>
                </c:pt>
                <c:pt idx="1">
                  <c:v>2.5000000000000001E-2</c:v>
                </c:pt>
                <c:pt idx="2">
                  <c:v>7.9000000000000001E-2</c:v>
                </c:pt>
                <c:pt idx="3">
                  <c:v>0.156</c:v>
                </c:pt>
                <c:pt idx="4">
                  <c:v>0.22700000000000001</c:v>
                </c:pt>
                <c:pt idx="5">
                  <c:v>0.27200000000000002</c:v>
                </c:pt>
                <c:pt idx="6">
                  <c:v>0.35599999999999998</c:v>
                </c:pt>
              </c:numCache>
            </c:numRef>
          </c:val>
          <c:smooth val="0"/>
          <c:extLst>
            <c:ext xmlns:c16="http://schemas.microsoft.com/office/drawing/2014/chart" uri="{C3380CC4-5D6E-409C-BE32-E72D297353CC}">
              <c16:uniqueId val="{00000002-6CC7-4A00-A85F-8A0D30E4C950}"/>
            </c:ext>
          </c:extLst>
        </c:ser>
        <c:dLbls>
          <c:showLegendKey val="0"/>
          <c:showVal val="0"/>
          <c:showCatName val="0"/>
          <c:showSerName val="0"/>
          <c:showPercent val="0"/>
          <c:showBubbleSize val="0"/>
        </c:dLbls>
        <c:marker val="1"/>
        <c:smooth val="0"/>
        <c:axId val="170760064"/>
        <c:axId val="170761600"/>
      </c:lineChart>
      <c:catAx>
        <c:axId val="170760064"/>
        <c:scaling>
          <c:orientation val="minMax"/>
        </c:scaling>
        <c:delete val="0"/>
        <c:axPos val="b"/>
        <c:numFmt formatCode="General" sourceLinked="0"/>
        <c:majorTickMark val="none"/>
        <c:minorTickMark val="none"/>
        <c:tickLblPos val="nextTo"/>
        <c:crossAx val="170761600"/>
        <c:crosses val="autoZero"/>
        <c:auto val="1"/>
        <c:lblAlgn val="ctr"/>
        <c:lblOffset val="100"/>
        <c:noMultiLvlLbl val="0"/>
      </c:catAx>
      <c:valAx>
        <c:axId val="170761600"/>
        <c:scaling>
          <c:orientation val="minMax"/>
          <c:max val="1.1000000000000001"/>
          <c:min val="-0.2"/>
        </c:scaling>
        <c:delete val="0"/>
        <c:axPos val="l"/>
        <c:majorGridlines/>
        <c:title>
          <c:tx>
            <c:rich>
              <a:bodyPr/>
              <a:lstStyle/>
              <a:p>
                <a:pPr>
                  <a:defRPr/>
                </a:pPr>
                <a:r>
                  <a:rPr lang="en-GB"/>
                  <a:t>% CUMULATIVE PROGRESS </a:t>
                </a:r>
              </a:p>
            </c:rich>
          </c:tx>
          <c:layout>
            <c:manualLayout>
              <c:xMode val="edge"/>
              <c:yMode val="edge"/>
              <c:x val="5.8789246252378684E-2"/>
              <c:y val="0.16941010130448764"/>
            </c:manualLayout>
          </c:layout>
          <c:overlay val="0"/>
        </c:title>
        <c:numFmt formatCode="0.0%" sourceLinked="1"/>
        <c:majorTickMark val="none"/>
        <c:minorTickMark val="none"/>
        <c:tickLblPos val="nextTo"/>
        <c:crossAx val="170760064"/>
        <c:crosses val="autoZero"/>
        <c:crossBetween val="between"/>
      </c:valAx>
      <c:dTable>
        <c:showHorzBorder val="1"/>
        <c:showVertBorder val="1"/>
        <c:showOutline val="1"/>
        <c:showKeys val="1"/>
      </c:dTable>
      <c:spPr>
        <a:solidFill>
          <a:schemeClr val="accent4">
            <a:lumMod val="20000"/>
            <a:lumOff val="80000"/>
          </a:schemeClr>
        </a:solidFill>
        <a:ln>
          <a:solidFill>
            <a:schemeClr val="tx1"/>
          </a:solidFill>
        </a:ln>
      </c:spPr>
    </c:plotArea>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chart>
    <c:autoTitleDeleted val="1"/>
    <c:plotArea>
      <c:layout>
        <c:manualLayout>
          <c:layoutTarget val="inner"/>
          <c:xMode val="edge"/>
          <c:yMode val="edge"/>
          <c:x val="0.11375822587393968"/>
          <c:y val="2.8382184785041405E-2"/>
          <c:w val="0.88253730964788812"/>
          <c:h val="0.82721401112259751"/>
        </c:manualLayout>
      </c:layout>
      <c:lineChart>
        <c:grouping val="standard"/>
        <c:varyColors val="0"/>
        <c:ser>
          <c:idx val="0"/>
          <c:order val="0"/>
          <c:tx>
            <c:v>COST SPENT %</c:v>
          </c:tx>
          <c:marker>
            <c:symbol val="square"/>
            <c:size val="3"/>
            <c:spPr>
              <a:solidFill>
                <a:srgbClr val="0000FF"/>
              </a:solidFill>
              <a:ln w="3175" cap="rnd">
                <a:solidFill>
                  <a:srgbClr val="0000FF"/>
                </a:solidFill>
              </a:ln>
            </c:spPr>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 CUREVE DATAS'!$C$10:$P$10</c:f>
              <c:strCache>
                <c:ptCount val="14"/>
                <c:pt idx="0">
                  <c:v>M-0</c:v>
                </c:pt>
                <c:pt idx="1">
                  <c:v>M-1</c:v>
                </c:pt>
                <c:pt idx="2">
                  <c:v>M-2</c:v>
                </c:pt>
                <c:pt idx="3">
                  <c:v>M-3</c:v>
                </c:pt>
                <c:pt idx="4">
                  <c:v>M-4</c:v>
                </c:pt>
                <c:pt idx="5">
                  <c:v>M-5</c:v>
                </c:pt>
                <c:pt idx="6">
                  <c:v>M-6</c:v>
                </c:pt>
                <c:pt idx="7">
                  <c:v>M-7</c:v>
                </c:pt>
                <c:pt idx="8">
                  <c:v>M-8</c:v>
                </c:pt>
                <c:pt idx="9">
                  <c:v>M-9</c:v>
                </c:pt>
                <c:pt idx="10">
                  <c:v>M-10</c:v>
                </c:pt>
                <c:pt idx="11">
                  <c:v>M-11</c:v>
                </c:pt>
                <c:pt idx="12">
                  <c:v>M-12</c:v>
                </c:pt>
                <c:pt idx="13">
                  <c:v>M-13</c:v>
                </c:pt>
              </c:strCache>
            </c:strRef>
          </c:cat>
          <c:val>
            <c:numRef>
              <c:f>'S CUREVE DATAS'!$C$37:$P$37</c:f>
              <c:numCache>
                <c:formatCode>0.0%</c:formatCode>
                <c:ptCount val="14"/>
                <c:pt idx="0">
                  <c:v>0</c:v>
                </c:pt>
                <c:pt idx="1">
                  <c:v>7.1000000000000008E-2</c:v>
                </c:pt>
                <c:pt idx="2">
                  <c:v>0.125</c:v>
                </c:pt>
                <c:pt idx="3">
                  <c:v>0.20200000000000001</c:v>
                </c:pt>
                <c:pt idx="4">
                  <c:v>0.26900000000000002</c:v>
                </c:pt>
                <c:pt idx="5">
                  <c:v>0.314</c:v>
                </c:pt>
                <c:pt idx="6">
                  <c:v>0.39799999999999996</c:v>
                </c:pt>
              </c:numCache>
            </c:numRef>
          </c:val>
          <c:smooth val="0"/>
          <c:extLst>
            <c:ext xmlns:c16="http://schemas.microsoft.com/office/drawing/2014/chart" uri="{C3380CC4-5D6E-409C-BE32-E72D297353CC}">
              <c16:uniqueId val="{00000000-E8EC-4EFB-8718-7D6B32D6F73C}"/>
            </c:ext>
          </c:extLst>
        </c:ser>
        <c:ser>
          <c:idx val="2"/>
          <c:order val="1"/>
          <c:tx>
            <c:v>INVOICE EARN %</c:v>
          </c:tx>
          <c:spPr>
            <a:ln>
              <a:solidFill>
                <a:srgbClr val="FF0000"/>
              </a:solidFill>
            </a:ln>
          </c:spPr>
          <c:marker>
            <c:spPr>
              <a:solidFill>
                <a:srgbClr val="FF0000"/>
              </a:solidFill>
              <a:ln>
                <a:solidFill>
                  <a:srgbClr val="FF0000"/>
                </a:solidFill>
              </a:ln>
            </c:spPr>
          </c:marker>
          <c:dLbls>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 CUREVE DATAS'!$C$62:$I$62</c:f>
              <c:numCache>
                <c:formatCode>0.0%</c:formatCode>
                <c:ptCount val="7"/>
                <c:pt idx="0">
                  <c:v>0</c:v>
                </c:pt>
                <c:pt idx="1">
                  <c:v>0</c:v>
                </c:pt>
                <c:pt idx="2">
                  <c:v>2.5000000000000001E-2</c:v>
                </c:pt>
                <c:pt idx="3">
                  <c:v>7.9000000000000001E-2</c:v>
                </c:pt>
                <c:pt idx="4">
                  <c:v>7.9000000000000001E-2</c:v>
                </c:pt>
                <c:pt idx="5">
                  <c:v>7.9000000000000001E-2</c:v>
                </c:pt>
                <c:pt idx="6">
                  <c:v>0.156</c:v>
                </c:pt>
              </c:numCache>
            </c:numRef>
          </c:val>
          <c:smooth val="0"/>
          <c:extLst>
            <c:ext xmlns:c16="http://schemas.microsoft.com/office/drawing/2014/chart" uri="{C3380CC4-5D6E-409C-BE32-E72D297353CC}">
              <c16:uniqueId val="{00000001-E8EC-4EFB-8718-7D6B32D6F73C}"/>
            </c:ext>
          </c:extLst>
        </c:ser>
        <c:dLbls>
          <c:showLegendKey val="0"/>
          <c:showVal val="0"/>
          <c:showCatName val="0"/>
          <c:showSerName val="0"/>
          <c:showPercent val="0"/>
          <c:showBubbleSize val="0"/>
        </c:dLbls>
        <c:marker val="1"/>
        <c:smooth val="0"/>
        <c:axId val="170760064"/>
        <c:axId val="170761600"/>
      </c:lineChart>
      <c:catAx>
        <c:axId val="170760064"/>
        <c:scaling>
          <c:orientation val="minMax"/>
        </c:scaling>
        <c:delete val="0"/>
        <c:axPos val="b"/>
        <c:numFmt formatCode="General" sourceLinked="0"/>
        <c:majorTickMark val="none"/>
        <c:minorTickMark val="none"/>
        <c:tickLblPos val="nextTo"/>
        <c:crossAx val="170761600"/>
        <c:crosses val="autoZero"/>
        <c:auto val="1"/>
        <c:lblAlgn val="ctr"/>
        <c:lblOffset val="100"/>
        <c:noMultiLvlLbl val="0"/>
      </c:catAx>
      <c:valAx>
        <c:axId val="170761600"/>
        <c:scaling>
          <c:orientation val="minMax"/>
          <c:max val="1"/>
          <c:min val="-0.2"/>
        </c:scaling>
        <c:delete val="0"/>
        <c:axPos val="l"/>
        <c:majorGridlines/>
        <c:title>
          <c:tx>
            <c:rich>
              <a:bodyPr/>
              <a:lstStyle/>
              <a:p>
                <a:pPr>
                  <a:defRPr/>
                </a:pPr>
                <a:r>
                  <a:rPr lang="en-GB"/>
                  <a:t>% COST</a:t>
                </a:r>
                <a:r>
                  <a:rPr lang="en-GB" baseline="0"/>
                  <a:t> </a:t>
                </a:r>
                <a:r>
                  <a:rPr lang="en-GB"/>
                  <a:t>SPENT, INV.EARN</a:t>
                </a:r>
              </a:p>
            </c:rich>
          </c:tx>
          <c:layout>
            <c:manualLayout>
              <c:xMode val="edge"/>
              <c:yMode val="edge"/>
              <c:x val="7.7655198270692088E-2"/>
              <c:y val="0.28376480639632956"/>
            </c:manualLayout>
          </c:layout>
          <c:overlay val="0"/>
        </c:title>
        <c:numFmt formatCode="0.0%" sourceLinked="1"/>
        <c:majorTickMark val="none"/>
        <c:minorTickMark val="none"/>
        <c:tickLblPos val="nextTo"/>
        <c:txPr>
          <a:bodyPr/>
          <a:lstStyle/>
          <a:p>
            <a:pPr>
              <a:defRPr sz="1200"/>
            </a:pPr>
            <a:endParaRPr lang="en-US"/>
          </a:p>
        </c:txPr>
        <c:crossAx val="170760064"/>
        <c:crosses val="autoZero"/>
        <c:crossBetween val="between"/>
        <c:majorUnit val="0.2"/>
      </c:valAx>
      <c:dTable>
        <c:showHorzBorder val="1"/>
        <c:showVertBorder val="1"/>
        <c:showOutline val="1"/>
        <c:showKeys val="1"/>
      </c:dTable>
      <c:spPr>
        <a:solidFill>
          <a:schemeClr val="accent6">
            <a:lumMod val="20000"/>
            <a:lumOff val="80000"/>
          </a:schemeClr>
        </a:solidFill>
        <a:ln>
          <a:solidFill>
            <a:schemeClr val="tx1"/>
          </a:solidFill>
        </a:ln>
      </c:spPr>
    </c:plotArea>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orientation="portrait"/>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38</xdr:col>
      <xdr:colOff>415637</xdr:colOff>
      <xdr:row>1</xdr:row>
      <xdr:rowOff>196272</xdr:rowOff>
    </xdr:from>
    <xdr:to>
      <xdr:col>45</xdr:col>
      <xdr:colOff>334818</xdr:colOff>
      <xdr:row>2</xdr:row>
      <xdr:rowOff>427182</xdr:rowOff>
    </xdr:to>
    <xdr:sp macro="" textlink="">
      <xdr:nvSpPr>
        <xdr:cNvPr id="2" name="Rectangle: Beveled 1">
          <a:extLst>
            <a:ext uri="{FF2B5EF4-FFF2-40B4-BE49-F238E27FC236}">
              <a16:creationId xmlns:a16="http://schemas.microsoft.com/office/drawing/2014/main" id="{CB18C27C-3969-4D52-9582-1809C34FC416}"/>
            </a:ext>
          </a:extLst>
        </xdr:cNvPr>
        <xdr:cNvSpPr/>
      </xdr:nvSpPr>
      <xdr:spPr>
        <a:xfrm>
          <a:off x="20212397" y="371532"/>
          <a:ext cx="3645361" cy="802410"/>
        </a:xfrm>
        <a:prstGeom prst="bevel">
          <a:avLst/>
        </a:prstGeom>
        <a:solidFill>
          <a:schemeClr val="accent3">
            <a:lumMod val="40000"/>
            <a:lumOff val="60000"/>
          </a:schemeClr>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GB" sz="4000" b="1" cap="none" spc="0">
              <a:ln w="12700">
                <a:solidFill>
                  <a:schemeClr val="tx2">
                    <a:lumMod val="75000"/>
                  </a:schemeClr>
                </a:solidFill>
                <a:prstDash val="solid"/>
              </a:ln>
              <a:solidFill>
                <a:srgbClr val="FF0000"/>
              </a:solidFill>
              <a:effectLst>
                <a:outerShdw dist="38100" dir="2640000" algn="bl" rotWithShape="0">
                  <a:schemeClr val="tx2">
                    <a:lumMod val="75000"/>
                  </a:schemeClr>
                </a:outerShdw>
              </a:effectLst>
            </a:rPr>
            <a:t>CLIENT LOGO </a:t>
          </a:r>
        </a:p>
        <a:p>
          <a:pPr algn="l"/>
          <a:endParaRPr lang="en-GB"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14</xdr:col>
      <xdr:colOff>228600</xdr:colOff>
      <xdr:row>20</xdr:row>
      <xdr:rowOff>19629</xdr:rowOff>
    </xdr:from>
    <xdr:to>
      <xdr:col>30</xdr:col>
      <xdr:colOff>514350</xdr:colOff>
      <xdr:row>32</xdr:row>
      <xdr:rowOff>152400</xdr:rowOff>
    </xdr:to>
    <xdr:graphicFrame macro="">
      <xdr:nvGraphicFramePr>
        <xdr:cNvPr id="3" name="Chart 2">
          <a:extLst>
            <a:ext uri="{FF2B5EF4-FFF2-40B4-BE49-F238E27FC236}">
              <a16:creationId xmlns:a16="http://schemas.microsoft.com/office/drawing/2014/main" id="{0914BAAD-4E29-4DBB-A0F2-FD8FF144BC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38101</xdr:colOff>
      <xdr:row>20</xdr:row>
      <xdr:rowOff>19051</xdr:rowOff>
    </xdr:from>
    <xdr:to>
      <xdr:col>14</xdr:col>
      <xdr:colOff>76200</xdr:colOff>
      <xdr:row>32</xdr:row>
      <xdr:rowOff>190501</xdr:rowOff>
    </xdr:to>
    <xdr:graphicFrame macro="">
      <xdr:nvGraphicFramePr>
        <xdr:cNvPr id="4" name="Chart 3">
          <a:extLst>
            <a:ext uri="{FF2B5EF4-FFF2-40B4-BE49-F238E27FC236}">
              <a16:creationId xmlns:a16="http://schemas.microsoft.com/office/drawing/2014/main" id="{1714D77A-12C8-464C-A93A-26B2049780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60034</xdr:colOff>
      <xdr:row>1</xdr:row>
      <xdr:rowOff>99868</xdr:rowOff>
    </xdr:from>
    <xdr:to>
      <xdr:col>5</xdr:col>
      <xdr:colOff>473362</xdr:colOff>
      <xdr:row>2</xdr:row>
      <xdr:rowOff>526383</xdr:rowOff>
    </xdr:to>
    <xdr:pic>
      <xdr:nvPicPr>
        <xdr:cNvPr id="5" name="Picture 4">
          <a:extLst>
            <a:ext uri="{FF2B5EF4-FFF2-40B4-BE49-F238E27FC236}">
              <a16:creationId xmlns:a16="http://schemas.microsoft.com/office/drawing/2014/main" id="{B890FBCD-868E-418E-B271-D571222C9A61}"/>
            </a:ext>
          </a:extLst>
        </xdr:cNvPr>
        <xdr:cNvPicPr>
          <a:picLocks noChangeAspect="1"/>
        </xdr:cNvPicPr>
      </xdr:nvPicPr>
      <xdr:blipFill>
        <a:blip xmlns:r="http://schemas.openxmlformats.org/officeDocument/2006/relationships" r:embed="rId3"/>
        <a:stretch>
          <a:fillRect/>
        </a:stretch>
      </xdr:blipFill>
      <xdr:spPr>
        <a:xfrm>
          <a:off x="669634" y="275128"/>
          <a:ext cx="3110808" cy="998015"/>
        </a:xfrm>
        <a:prstGeom prst="rect">
          <a:avLst/>
        </a:prstGeom>
      </xdr:spPr>
    </xdr:pic>
    <xdr:clientData/>
  </xdr:twoCellAnchor>
  <xdr:twoCellAnchor>
    <xdr:from>
      <xdr:col>31</xdr:col>
      <xdr:colOff>96982</xdr:colOff>
      <xdr:row>20</xdr:row>
      <xdr:rowOff>13854</xdr:rowOff>
    </xdr:from>
    <xdr:to>
      <xdr:col>45</xdr:col>
      <xdr:colOff>457200</xdr:colOff>
      <xdr:row>32</xdr:row>
      <xdr:rowOff>146625</xdr:rowOff>
    </xdr:to>
    <xdr:graphicFrame macro="">
      <xdr:nvGraphicFramePr>
        <xdr:cNvPr id="6" name="Chart 5">
          <a:extLst>
            <a:ext uri="{FF2B5EF4-FFF2-40B4-BE49-F238E27FC236}">
              <a16:creationId xmlns:a16="http://schemas.microsoft.com/office/drawing/2014/main" id="{067B30D0-7232-435B-BB34-22AEDBBEF2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38</xdr:col>
      <xdr:colOff>415637</xdr:colOff>
      <xdr:row>1</xdr:row>
      <xdr:rowOff>196272</xdr:rowOff>
    </xdr:from>
    <xdr:to>
      <xdr:col>45</xdr:col>
      <xdr:colOff>334818</xdr:colOff>
      <xdr:row>2</xdr:row>
      <xdr:rowOff>427182</xdr:rowOff>
    </xdr:to>
    <xdr:sp macro="" textlink="">
      <xdr:nvSpPr>
        <xdr:cNvPr id="2" name="Rectangle: Beveled 1">
          <a:extLst>
            <a:ext uri="{FF2B5EF4-FFF2-40B4-BE49-F238E27FC236}">
              <a16:creationId xmlns:a16="http://schemas.microsoft.com/office/drawing/2014/main" id="{FAEA87B8-B4E6-46D4-93C2-B3B369C2F263}"/>
            </a:ext>
          </a:extLst>
        </xdr:cNvPr>
        <xdr:cNvSpPr/>
      </xdr:nvSpPr>
      <xdr:spPr>
        <a:xfrm>
          <a:off x="19477182" y="357908"/>
          <a:ext cx="3590636" cy="808183"/>
        </a:xfrm>
        <a:prstGeom prst="bevel">
          <a:avLst/>
        </a:prstGeom>
        <a:solidFill>
          <a:schemeClr val="accent3">
            <a:lumMod val="40000"/>
            <a:lumOff val="60000"/>
          </a:schemeClr>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GB" sz="4000" b="1" cap="none" spc="0">
              <a:ln w="12700">
                <a:solidFill>
                  <a:schemeClr val="tx2">
                    <a:lumMod val="75000"/>
                  </a:schemeClr>
                </a:solidFill>
                <a:prstDash val="solid"/>
              </a:ln>
              <a:solidFill>
                <a:srgbClr val="FF0000"/>
              </a:solidFill>
              <a:effectLst>
                <a:outerShdw dist="38100" dir="2640000" algn="bl" rotWithShape="0">
                  <a:schemeClr val="tx2">
                    <a:lumMod val="75000"/>
                  </a:schemeClr>
                </a:outerShdw>
              </a:effectLst>
            </a:rPr>
            <a:t>CLIENT LOGO </a:t>
          </a:r>
        </a:p>
        <a:p>
          <a:pPr algn="l"/>
          <a:endParaRPr lang="en-GB"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14</xdr:col>
      <xdr:colOff>228600</xdr:colOff>
      <xdr:row>37</xdr:row>
      <xdr:rowOff>19629</xdr:rowOff>
    </xdr:from>
    <xdr:to>
      <xdr:col>30</xdr:col>
      <xdr:colOff>514350</xdr:colOff>
      <xdr:row>49</xdr:row>
      <xdr:rowOff>152400</xdr:rowOff>
    </xdr:to>
    <xdr:graphicFrame macro="">
      <xdr:nvGraphicFramePr>
        <xdr:cNvPr id="6" name="Chart 5">
          <a:extLst>
            <a:ext uri="{FF2B5EF4-FFF2-40B4-BE49-F238E27FC236}">
              <a16:creationId xmlns:a16="http://schemas.microsoft.com/office/drawing/2014/main" id="{53B89C3B-8E34-4ED0-8BEB-A6CEB56C7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38101</xdr:colOff>
      <xdr:row>37</xdr:row>
      <xdr:rowOff>19051</xdr:rowOff>
    </xdr:from>
    <xdr:to>
      <xdr:col>14</xdr:col>
      <xdr:colOff>76200</xdr:colOff>
      <xdr:row>49</xdr:row>
      <xdr:rowOff>190501</xdr:rowOff>
    </xdr:to>
    <xdr:graphicFrame macro="">
      <xdr:nvGraphicFramePr>
        <xdr:cNvPr id="5" name="Chart 4">
          <a:extLst>
            <a:ext uri="{FF2B5EF4-FFF2-40B4-BE49-F238E27FC236}">
              <a16:creationId xmlns:a16="http://schemas.microsoft.com/office/drawing/2014/main" id="{92C0EA9B-BA07-488F-8982-68E4DE0297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60034</xdr:colOff>
      <xdr:row>1</xdr:row>
      <xdr:rowOff>99868</xdr:rowOff>
    </xdr:from>
    <xdr:to>
      <xdr:col>5</xdr:col>
      <xdr:colOff>473362</xdr:colOff>
      <xdr:row>2</xdr:row>
      <xdr:rowOff>526383</xdr:rowOff>
    </xdr:to>
    <xdr:pic>
      <xdr:nvPicPr>
        <xdr:cNvPr id="3" name="Picture 2">
          <a:extLst>
            <a:ext uri="{FF2B5EF4-FFF2-40B4-BE49-F238E27FC236}">
              <a16:creationId xmlns:a16="http://schemas.microsoft.com/office/drawing/2014/main" id="{10D081E3-E4E4-4EF5-8613-BF6010350AFB}"/>
            </a:ext>
          </a:extLst>
        </xdr:cNvPr>
        <xdr:cNvPicPr>
          <a:picLocks noChangeAspect="1"/>
        </xdr:cNvPicPr>
      </xdr:nvPicPr>
      <xdr:blipFill>
        <a:blip xmlns:r="http://schemas.openxmlformats.org/officeDocument/2006/relationships" r:embed="rId3"/>
        <a:stretch>
          <a:fillRect/>
        </a:stretch>
      </xdr:blipFill>
      <xdr:spPr>
        <a:xfrm>
          <a:off x="669634" y="271318"/>
          <a:ext cx="3099378" cy="998015"/>
        </a:xfrm>
        <a:prstGeom prst="rect">
          <a:avLst/>
        </a:prstGeom>
      </xdr:spPr>
    </xdr:pic>
    <xdr:clientData/>
  </xdr:twoCellAnchor>
  <xdr:twoCellAnchor>
    <xdr:from>
      <xdr:col>31</xdr:col>
      <xdr:colOff>96982</xdr:colOff>
      <xdr:row>37</xdr:row>
      <xdr:rowOff>13854</xdr:rowOff>
    </xdr:from>
    <xdr:to>
      <xdr:col>45</xdr:col>
      <xdr:colOff>457200</xdr:colOff>
      <xdr:row>49</xdr:row>
      <xdr:rowOff>146625</xdr:rowOff>
    </xdr:to>
    <xdr:graphicFrame macro="">
      <xdr:nvGraphicFramePr>
        <xdr:cNvPr id="7" name="Chart 6">
          <a:extLst>
            <a:ext uri="{FF2B5EF4-FFF2-40B4-BE49-F238E27FC236}">
              <a16:creationId xmlns:a16="http://schemas.microsoft.com/office/drawing/2014/main" id="{6E60E1D7-74BF-4F8F-9DE6-23D3719FCB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38</xdr:col>
      <xdr:colOff>415637</xdr:colOff>
      <xdr:row>1</xdr:row>
      <xdr:rowOff>196272</xdr:rowOff>
    </xdr:from>
    <xdr:to>
      <xdr:col>45</xdr:col>
      <xdr:colOff>334818</xdr:colOff>
      <xdr:row>2</xdr:row>
      <xdr:rowOff>427182</xdr:rowOff>
    </xdr:to>
    <xdr:sp macro="" textlink="">
      <xdr:nvSpPr>
        <xdr:cNvPr id="2" name="Rectangle: Beveled 1">
          <a:extLst>
            <a:ext uri="{FF2B5EF4-FFF2-40B4-BE49-F238E27FC236}">
              <a16:creationId xmlns:a16="http://schemas.microsoft.com/office/drawing/2014/main" id="{A3E90019-EFE5-45C2-B709-446501EB2DA2}"/>
            </a:ext>
          </a:extLst>
        </xdr:cNvPr>
        <xdr:cNvSpPr/>
      </xdr:nvSpPr>
      <xdr:spPr>
        <a:xfrm>
          <a:off x="20212397" y="371532"/>
          <a:ext cx="3645361" cy="802410"/>
        </a:xfrm>
        <a:prstGeom prst="bevel">
          <a:avLst/>
        </a:prstGeom>
        <a:solidFill>
          <a:schemeClr val="accent3">
            <a:lumMod val="40000"/>
            <a:lumOff val="60000"/>
          </a:schemeClr>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GB" sz="4000" b="1" cap="none" spc="0">
              <a:ln w="12700">
                <a:solidFill>
                  <a:schemeClr val="tx2">
                    <a:lumMod val="75000"/>
                  </a:schemeClr>
                </a:solidFill>
                <a:prstDash val="solid"/>
              </a:ln>
              <a:solidFill>
                <a:srgbClr val="FF0000"/>
              </a:solidFill>
              <a:effectLst>
                <a:outerShdw dist="38100" dir="2640000" algn="bl" rotWithShape="0">
                  <a:schemeClr val="tx2">
                    <a:lumMod val="75000"/>
                  </a:schemeClr>
                </a:outerShdw>
              </a:effectLst>
            </a:rPr>
            <a:t>CLIENT LOGO </a:t>
          </a:r>
        </a:p>
        <a:p>
          <a:pPr algn="l"/>
          <a:endParaRPr lang="en-GB"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14</xdr:col>
      <xdr:colOff>228600</xdr:colOff>
      <xdr:row>24</xdr:row>
      <xdr:rowOff>19629</xdr:rowOff>
    </xdr:from>
    <xdr:to>
      <xdr:col>30</xdr:col>
      <xdr:colOff>514350</xdr:colOff>
      <xdr:row>36</xdr:row>
      <xdr:rowOff>228600</xdr:rowOff>
    </xdr:to>
    <xdr:graphicFrame macro="">
      <xdr:nvGraphicFramePr>
        <xdr:cNvPr id="3" name="Chart 2">
          <a:extLst>
            <a:ext uri="{FF2B5EF4-FFF2-40B4-BE49-F238E27FC236}">
              <a16:creationId xmlns:a16="http://schemas.microsoft.com/office/drawing/2014/main" id="{1316DD42-A66A-41D2-A791-DDAABCA191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38101</xdr:colOff>
      <xdr:row>24</xdr:row>
      <xdr:rowOff>19050</xdr:rowOff>
    </xdr:from>
    <xdr:to>
      <xdr:col>14</xdr:col>
      <xdr:colOff>76200</xdr:colOff>
      <xdr:row>36</xdr:row>
      <xdr:rowOff>243839</xdr:rowOff>
    </xdr:to>
    <xdr:graphicFrame macro="">
      <xdr:nvGraphicFramePr>
        <xdr:cNvPr id="4" name="Chart 3">
          <a:extLst>
            <a:ext uri="{FF2B5EF4-FFF2-40B4-BE49-F238E27FC236}">
              <a16:creationId xmlns:a16="http://schemas.microsoft.com/office/drawing/2014/main" id="{630C0528-3E86-403B-87D8-6C990693D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96982</xdr:colOff>
      <xdr:row>24</xdr:row>
      <xdr:rowOff>13854</xdr:rowOff>
    </xdr:from>
    <xdr:to>
      <xdr:col>45</xdr:col>
      <xdr:colOff>457200</xdr:colOff>
      <xdr:row>36</xdr:row>
      <xdr:rowOff>251460</xdr:rowOff>
    </xdr:to>
    <xdr:graphicFrame macro="">
      <xdr:nvGraphicFramePr>
        <xdr:cNvPr id="6" name="Chart 5">
          <a:extLst>
            <a:ext uri="{FF2B5EF4-FFF2-40B4-BE49-F238E27FC236}">
              <a16:creationId xmlns:a16="http://schemas.microsoft.com/office/drawing/2014/main" id="{8735B25A-602C-4D1A-992A-85DEF70B86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R%20-%20Reports/AR%20-%202013/Debtors%20statement%20of%20accounts-%20Master%20201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Users\NAEEM%20PLANNING\Desktop\NAEEM\WORK%20DONE\MT%20-%205%20Payment%20No.2\MT%20-%205%20-%20Payment%20-%202\MT-%205%20Payment-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NAEEM%20PLANNING\Desktop\NAEEM\N%20100%20NEIMA\PAYMENT\PAYMENT\MT%20-%205%20Payment%20No.2\MT%20-%205%20-%20Payment%20-%202\MT-%205%20Payment-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W:\RAGHAV\TENDERS\MIRFA%20TENDER\FINAL%20TENDER%20-%20MIRFA%20SUBMISSION%20-%2001.07.12\QUANTITY%20LOADING%20&amp;%20HISTOGRAMS\Ces-del-pc-193\D\%23rajib\modfly\TRANS\500\DETAI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S-142-1/Documents%20and%20Settings/&#1581;&#1587;&#1575;&#1606;/My%20Documents/ADSS418/Pipes%20Old%20File%20finish%20on%2003_12_21.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Resources%20%20%206144-Rev%202.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Resources%20%20%206144.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1841-Resource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Z:\RajiR\C056\Q%20S\Request%20Control(C056).xl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509-7-BQ-R1.xl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Resources%20-%203257-Rev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W:\RAGHAV\TENDERS\MIRFA%20TENDER\FINAL%20TENDER%20-%20MIRFA%20SUBMISSION%20-%2001.07.12\QUANTITY%20LOADING%20&amp;%20HISTOGRAMS\Discarded%20links.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PLAN_RA.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REPORTS\REPORTS\2.0%20Weekly%20Report\Weekly%20Report%23\Weekly%20Report%20-30-May-18.xlsb"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Asab-petrolst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sers/unnikrishnan.v/Desktop/Atif/Al%20Qaffay/Planning/D-8252%20VO-3%20PROGRAM%20AND%20PROGRESS%20RELATED%20DATA/Monthly%20Progress%20Report%20-%20D-8252%20VO-03.xlsx"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Estimation%205406-OnShore.xls"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Labour%20and%20Equipment.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Estimation-G2012%20-R2.xl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10180%20P3win.xl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manpower.xls"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Final%20Estimation%204108%20(version%202)%20(version%20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D:\REPORTS\REPORTS\3.0%20Monthly%20Report\MPR03-MAR2018\Weekly%20HSE%20Dash%20Board.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W:\RAGHAV\TENDERS\MIRFA%20TENDER\FINAL%20TENDER%20-%20MIRFA%20SUBMISSION%20-%2001.07.12\QUANTITY%20LOADING%20&amp;%20HISTOGRAMS\130.2.2.75\c\Annual%20BUDGET%202003-04\BUDGETFORMS%202003-2004.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W:\R\KGT\YR98-99\DPR_9697\PLAN169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NASA\2Payment%2010-7\Main%20Data.xls"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SCURVE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Users\NAEEM%20PLANNING\Desktop\NAEEM\Users\Suhail%20Ahmad\AppData\Local\Microsoft\Windows\Temporary%20Internet%20Files\Content.Outlook\IIERQ77A\Documents%20and%20Settings\Al%20Geemi\Desktop\COPRY\My%20Documents\AL%20ALHIAH.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W:\RAGHAV\TENDERS\MIRFA%20TENDER\FINAL%20TENDER%20-%20MIRFA%20SUBMISSION%20-%2001.07.12\QUANTITY%20LOADING%20&amp;%20HISTOGRAMS\Planning1\INBOX\1-Planning\Reports\Engineer\MPR\2004\1Jitendra\Reports\Structures\StrStatusq.xl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ADNOC7.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Z:\Abu%20Dhabi\ADWEA\C057(Mina)\Planning%20Reports\Drawing-%20Material%20SSR.xls"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c223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W:\RAGHAV\TENDERS\MIRFA%20TENDER\FINAL%20TENDER%20-%20MIRFA%20SUBMISSION%20-%2001.07.12\QUANTITY%20LOADING%20&amp;%20HISTOGRAMS\130.2.2.75\c\1Jitendra\WB\strplnf.xls"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Estimation-1042-Fina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Summary-Old"/>
      <sheetName val="Index sheet"/>
      <sheetName val="ABJ-ICAD-D0109"/>
      <sheetName val="P&amp;L-ABJ-ICAD-D0109"/>
      <sheetName val="BAM-ALAIN-D0162"/>
      <sheetName val="MW Rertng-D0163"/>
      <sheetName val="MW 22KV-D0164"/>
      <sheetName val="ALMCOUSC-D0167"/>
      <sheetName val="BAYNONAWTR-D0142"/>
      <sheetName val="P&amp;L-BAYNONAWTR-D0142"/>
      <sheetName val="BMC-01-D0086"/>
      <sheetName val="P&amp;L-BMC-01-D0086"/>
      <sheetName val="CNE069-09-D0105"/>
      <sheetName val="P&amp;L-CNE069-09-D0105"/>
      <sheetName val="D0626-D0031"/>
      <sheetName val="P&amp;L-D0626-D0031"/>
      <sheetName val="D-10262-D0108"/>
      <sheetName val="P&amp;L-D-10262-D0108"/>
      <sheetName val="D-10587-D0156"/>
      <sheetName val="D-12067-D0110"/>
      <sheetName val="P&amp;L-D-12067-D0110"/>
      <sheetName val="D4785-D0006"/>
      <sheetName val="P&amp;L-D4785-D0006"/>
      <sheetName val="P&amp;L-D6143-D0044"/>
      <sheetName val="D6143-D0044"/>
      <sheetName val="D6742-D0046"/>
      <sheetName val="P&amp;L-D6742-D0046"/>
      <sheetName val="D-8252-D0128"/>
      <sheetName val="P&amp;L-D8252-D0128"/>
      <sheetName val="D8935-D0073"/>
      <sheetName val="DU0631-D0048"/>
      <sheetName val="P&amp;L-DU0631-D0048"/>
      <sheetName val="DU0631-C-D0060"/>
      <sheetName val="P&amp;L-DU0631-C-D0060"/>
      <sheetName val="DU0727-A-D0074"/>
      <sheetName val="P&amp;L-DU0727-A-D0074"/>
      <sheetName val="GASCO-WATR-JGC-D0129"/>
      <sheetName val="P&amp;L-GASCO-WATR-D0129"/>
      <sheetName val="GASCO-WATR-HYUN-D0133"/>
      <sheetName val="P&amp;L-Habshan-5-D0107"/>
      <sheetName val="ICAD02-D0037"/>
      <sheetName val="IR133TIGER-D0137"/>
      <sheetName val="P&amp;L-IR133TIGER-D0137"/>
      <sheetName val="P&amp;L-KPI257-3PL-D0143"/>
      <sheetName val="P&amp;L-KPI257PWS-D0144"/>
      <sheetName val="P&amp;L-KPIZ257CIV-D0141"/>
      <sheetName val="P&amp;L-KPIZ257WMS-D0136"/>
      <sheetName val="M40B-D0059"/>
      <sheetName val="P&amp;L-M40B-D0059"/>
      <sheetName val="MISMAK01-D0065"/>
      <sheetName val="MANAZEL01-1815"/>
      <sheetName val="P&amp;L-MANAZEL01-1815"/>
      <sheetName val="N-11691-D0157"/>
      <sheetName val="N6740-Alsowa-D0104"/>
      <sheetName val="O-1692-Ghayathi-D0094"/>
      <sheetName val="P&amp;L-O-1692-Ghayathi-D0094"/>
      <sheetName val="P041-Ghantoot-D0102"/>
      <sheetName val="P&amp;L-P041-Ghantoot-D0102"/>
      <sheetName val="SALAM-D0041"/>
      <sheetName val="P&amp;L-SALAM-D0041"/>
      <sheetName val="SHADING-D0039"/>
      <sheetName val="P&amp;L-SHADING-D0039"/>
      <sheetName val="Steel-D0036"/>
      <sheetName val="Steel02-D0083 &amp; D0098"/>
      <sheetName val="Steel02B-D0097"/>
      <sheetName val="TDIC-P052-D0090"/>
      <sheetName val="SIDEM-AW-D0081"/>
      <sheetName val="U0523-WATR-D0082"/>
      <sheetName val="P&amp;L-U0523-WATR-D0082"/>
      <sheetName val="WMC-110-D0096"/>
      <sheetName val="P&amp;L-WMC-110-D0096"/>
      <sheetName val="YAS-IKEA01-D0111"/>
      <sheetName val="P&amp;L-YAS-IKEA01-D0111"/>
      <sheetName val="YAS-PUMP01-D0053"/>
      <sheetName val="P&amp;L-YAS-PUMP01-D0053"/>
      <sheetName val="YAS-Tank01-D0069"/>
      <sheetName val="P&amp;L-YAS-Tank01-D0069"/>
      <sheetName val="Fibrex-ANC JV"/>
      <sheetName val="AD01-Muror-D0085"/>
      <sheetName val="B2B-AD04-D0075"/>
      <sheetName val="AD04-BMW-D0084"/>
      <sheetName val="B2B-AD04-D0075&amp;D0084"/>
      <sheetName val="AD05-DIWAN-D0120"/>
      <sheetName val="AJ01-D0010"/>
      <sheetName val="P&amp;L-AJ01-D0010"/>
      <sheetName val="ENVAC-01-D0077"/>
      <sheetName val="P&amp;L-ENVAC-01-D0077"/>
      <sheetName val="F10M-Dana-D0103"/>
      <sheetName val="P&amp;L-F10M-Dana-D0103"/>
      <sheetName val="F10M-RAHA-D0134"/>
      <sheetName val="P&amp;L-F10M-RAHA-D0134"/>
      <sheetName val="GHANT-RAHA-D0153"/>
      <sheetName val="LIWA-10C-D0152"/>
      <sheetName val="Elec-Misc"/>
      <sheetName val="P&amp;L-D11486-D0121"/>
      <sheetName val="FUTTAIM01-D0115"/>
      <sheetName val="P&amp;L-ICAD02-D0037"/>
      <sheetName val="D-11486-D0121"/>
      <sheetName val="EL1558-D0035"/>
      <sheetName val="RAHA01-D0011"/>
      <sheetName val="P&amp;L-RAHA01-D0011"/>
      <sheetName val="RAHA02-D0012"/>
      <sheetName val="P&amp;L-RAHA02-D0012"/>
      <sheetName val="Sheet1"/>
      <sheetName val="Sheet3"/>
      <sheetName val="YAS-TSE-D0127"/>
      <sheetName val="SWSS-FJAD-D0168"/>
      <sheetName val="P&amp;L-YAS-TSE-D0127"/>
      <sheetName val="D7977A-D0117"/>
      <sheetName val="P&amp;L-D7977A-D0117"/>
      <sheetName val="P&amp;L-KPIZ-D0118"/>
      <sheetName val="P&amp;L-KPIZ-WATER-D0122"/>
      <sheetName val="KPIZ-208"/>
      <sheetName val="P&amp;L-KPIZ-ELECT-D0131"/>
      <sheetName val="ABB-BANIYAS-D0130"/>
      <sheetName val="P&amp;L-ABB-BANIYAS-D0130"/>
      <sheetName val="T005-GES-D0126"/>
      <sheetName val="P&amp;L-T005-GES-D0126"/>
      <sheetName val="TDIC BEACH-D0124"/>
      <sheetName val="P&amp;L-TDIC BEACH-D0124"/>
      <sheetName val="P&amp;L-STP-02-D0116"/>
      <sheetName val="ZENER-588-D0113"/>
      <sheetName val="N6043-Al Sowa-D0106"/>
      <sheetName val="ABB-Munera-D0101"/>
      <sheetName val="P&amp;L-ABB-Munera-D0101"/>
      <sheetName val="DMS-SIEMENS-D0099"/>
      <sheetName val="DMS-SIEMENS02-D0119"/>
      <sheetName val="ABB-117-D0135"/>
      <sheetName val="P&amp;L-ABB-117-D0135"/>
      <sheetName val="STC-BLDG-D0091"/>
      <sheetName val="STC-D0087"/>
      <sheetName val="STC-VO-D0125"/>
      <sheetName val="STC-011-D0079"/>
      <sheetName val="YAS OAND M-D0148"/>
      <sheetName val="P&amp;L-YAS OAND M-D0148"/>
      <sheetName val="U0523-DC-D0095"/>
      <sheetName val="T004-D0112"/>
      <sheetName val="P&amp;L-U0523-DC-D0095"/>
      <sheetName val="RAHA03-D0049"/>
      <sheetName val="RAHA03-Additional"/>
      <sheetName val="P&amp;L-RAHA03-D0049"/>
      <sheetName val="YAS-SEW01-D0052"/>
      <sheetName val="U0826-ACD-D0093"/>
      <sheetName val="NMDC01-D0089"/>
      <sheetName val="D-11486-D0089 "/>
      <sheetName val="P&amp;L-D-11486-D0089"/>
      <sheetName val="STC-21-D0088"/>
      <sheetName val="CROWN-AD05-D0078"/>
      <sheetName val="SNC-RAHA02-D0066"/>
      <sheetName val="P&amp;L-SNC-RAHA02-D0066"/>
      <sheetName val="T008-D0064"/>
      <sheetName val="RAHA-RB01-D0063"/>
      <sheetName val="P&amp;L-RAHA-RB01-D0063"/>
      <sheetName val="Hyundai-01-D0061"/>
      <sheetName val="P&amp;L-Hyundai-01-D0061"/>
      <sheetName val="U0523-D0076"/>
      <sheetName val="P&amp;L-Steel02B-D0097"/>
      <sheetName val="P&amp;L-N6740-Alsowa-D0104"/>
      <sheetName val="D-11423E-D0114"/>
      <sheetName val="P&amp;L-KPIZ-SS-11-D0145"/>
      <sheetName val="P&amp;L-KPIZ-257-E-D0146"/>
      <sheetName val="P&amp;L-KPI257SS11-D0147"/>
      <sheetName val="ABB-RAHA-D0139"/>
      <sheetName val="REMCOM-D0149"/>
      <sheetName val="E0001-D0151"/>
      <sheetName val="P041"/>
      <sheetName val="Steel"/>
      <sheetName val="T005-D0056"/>
      <sheetName val="Cash Position"/>
      <sheetName val="Habshan-5-D0107"/>
      <sheetName val="STP-02-D0116"/>
      <sheetName val="KPIZ-SS-11-D0145"/>
      <sheetName val="KPIZ-D0118"/>
      <sheetName val="Sheet5"/>
      <sheetName val="KPIZ-WATER-D0122"/>
      <sheetName val="KPIZ-ELECT-D0131"/>
      <sheetName val="KPIZ-WATER-VO-D0150"/>
      <sheetName val="HLG"/>
      <sheetName val="KPIZ257WMS-D0136"/>
      <sheetName val="KPIZ257CIV-D0141"/>
      <sheetName val="KPIZ-257-E-D0146"/>
      <sheetName val="KPI257SS11-D0147"/>
      <sheetName val="KPI257-3PL-D0143"/>
      <sheetName val="KPI257PWS-D0144"/>
      <sheetName val="HLG-2"/>
      <sheetName val="HLG-2 (2)"/>
      <sheetName val="Sheet2"/>
      <sheetName val="Kharafi -For Mr. Sami"/>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ertificate"/>
      <sheetName val="SUMMARY"/>
      <sheetName val="Preliminaries"/>
      <sheetName val="Services"/>
      <sheetName val="Storm water"/>
      <sheetName val="Dayworks"/>
      <sheetName val="Maintenance"/>
      <sheetName val="Maintenance.."/>
      <sheetName val="Landscaping"/>
      <sheetName val="Provisional sum"/>
      <sheetName val="Material on site"/>
      <sheetName val="Protection to Service Ducts"/>
      <sheetName val="Protection slab"/>
      <sheetName val="Etisalat Cable "/>
      <sheetName val="Raise. Lower ex.Etisalat.CH"/>
      <sheetName val="Re location of ex.Electric Cabl"/>
      <sheetName val="LV &amp; HV Cable cover Tiles"/>
      <sheetName val="New Warning Tape"/>
      <sheetName val="ProvSum"/>
      <sheetName val="DAYWORK"/>
      <sheetName val="GULLY(TESTED)"/>
      <sheetName val="GULLY(UNTESTED)"/>
      <sheetName val="GULLY REINSTATEment"/>
      <sheetName val="NDRC(TESTED) "/>
      <sheetName val="NDRC(UNTESTED) "/>
      <sheetName val="225mm uPVC(TESTED) "/>
      <sheetName val="225mm uPVC(UNTESTED)  "/>
      <sheetName val="280mm uPVC(TESTED)"/>
      <sheetName val="280mm uPVC(UNTESTED)"/>
      <sheetName val="315mm uPVC(TESTED)"/>
      <sheetName val="315mm uPVC(UNTESTED)"/>
      <sheetName val="400mm GRP(TESTED)"/>
      <sheetName val="400mm GRP(UNTESTED)"/>
      <sheetName val="500mm GRP(TESTED)"/>
      <sheetName val="500mm GRP(UNTESTED) "/>
      <sheetName val="600mm RC(TESTED)"/>
      <sheetName val="600mm RC(UNTESTED) "/>
      <sheetName val="700mm RC(Tested)"/>
      <sheetName val="700mm RC(UNTESTED)"/>
      <sheetName val="800mmRC(TESTED)"/>
      <sheetName val="800mm RC(UNTESTED)"/>
      <sheetName val="900mm RC(TESTED)"/>
      <sheetName val="900mm RC(UNTESTED)"/>
      <sheetName val="1200mm (TESTED)"/>
      <sheetName val="1200mm(UNTESTED)"/>
      <sheetName val="1300mm (TESTED)"/>
      <sheetName val="1300mm(UNTESTED)"/>
      <sheetName val="1400mm RC(TESTED)"/>
      <sheetName val="1400mm RC(UNTESTED) "/>
      <sheetName val="1000x1000mm CH(.TESTED)"/>
      <sheetName val="1000x1000mm CH(UNTESTED)"/>
      <sheetName val="1500x1500mm(TESTED)"/>
      <sheetName val="1500x1500mm(UNTESTED)"/>
      <sheetName val="2000x2000mm MH(TESTED)1200"/>
      <sheetName val="2000x2000mm MH(UNTESTE)1200 "/>
      <sheetName val="2000x2000mm MH(TESTED)1300"/>
      <sheetName val="2000x2000mm MH(UNTESTE)1300"/>
      <sheetName val="2000x2000mm MH(TESTED)1400"/>
      <sheetName val="2000x2000mm MH(UNTESTE)1400 "/>
      <sheetName val="Con.r-of waterdrainasoka(Tested"/>
      <sheetName val="Const.of New MH TESTED"/>
      <sheetName val="Const.of New MH UNTESTED"/>
      <sheetName val="IRRIGATION MATERIALS"/>
      <sheetName val="IRRIGATION MATERIALS.2"/>
      <sheetName val="IRRIGATION MATERIALS.3"/>
      <sheetName val="ASPHALT REINSTATEMENT-GULLY"/>
      <sheetName val="REINSTATMENT TILE TESTED "/>
      <sheetName val="REINSTATMENT ASPHA TESTED "/>
      <sheetName val="GULLY Landscaping"/>
      <sheetName val="LANDSCAPING TESTED"/>
      <sheetName val="Reinstatement of trees &amp;bushes"/>
      <sheetName val="Reinstatement of palm trees"/>
      <sheetName val="Pipe crossing of ex.walls"/>
      <sheetName val="Pipe crossing of ex.walls "/>
      <sheetName val="REINSTATMENT KERB"/>
      <sheetName val="Connection to ExMH"/>
      <sheetName val="OUTFALLS"/>
      <sheetName val="Remove and Clean ex.Gully"/>
      <sheetName val="Remo.&amp;Dispo.ex.gully Remove C.F"/>
      <sheetName val="Remo.&amp;Dispo.ex.gully Pipe Conne"/>
      <sheetName val="Dimolish of Ex.Sokaway"/>
      <sheetName val="Rise.Lower.Re-Loca.Ex.Irrig.Lin"/>
      <sheetName val="Reinsta.of ex.Lighting Poles"/>
      <sheetName val="RE - Erection ofTraffic Signs"/>
      <sheetName val="Reinsta.ex.chain link fence"/>
      <sheetName val="mh.ch future portes pipe any de"/>
      <sheetName val="Protection Bund"/>
      <sheetName val="Abandonment Demolition"/>
    </sheetNames>
    <sheetDataSet>
      <sheetData sheetId="0"/>
      <sheetData sheetId="1"/>
      <sheetData sheetId="2">
        <row r="69">
          <cell r="K69">
            <v>10000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ertificate"/>
      <sheetName val="SUMMARY"/>
      <sheetName val="Preliminaries"/>
      <sheetName val="Services"/>
      <sheetName val="Storm water"/>
      <sheetName val="Dayworks"/>
      <sheetName val="Maintenance"/>
      <sheetName val="Maintenance.."/>
      <sheetName val="Landscaping"/>
      <sheetName val="Provisional sum"/>
      <sheetName val="Material on site"/>
      <sheetName val="Protection to Service Ducts"/>
      <sheetName val="Protection slab"/>
      <sheetName val="Etisalat Cable "/>
      <sheetName val="Raise. Lower ex.Etisalat.CH"/>
      <sheetName val="Re location of ex.Electric Cabl"/>
      <sheetName val="LV &amp; HV Cable cover Tiles"/>
      <sheetName val="New Warning Tape"/>
      <sheetName val="ProvSum"/>
      <sheetName val="DAYWORK"/>
      <sheetName val="GULLY(TESTED)"/>
      <sheetName val="GULLY(UNTESTED)"/>
      <sheetName val="GULLY REINSTATEment"/>
      <sheetName val="NDRC(TESTED) "/>
      <sheetName val="NDRC(UNTESTED) "/>
      <sheetName val="225mm uPVC(TESTED) "/>
      <sheetName val="225mm uPVC(UNTESTED)  "/>
      <sheetName val="280mm uPVC(TESTED)"/>
      <sheetName val="280mm uPVC(UNTESTED)"/>
      <sheetName val="315mm uPVC(TESTED)"/>
      <sheetName val="315mm uPVC(UNTESTED)"/>
      <sheetName val="400mm GRP(TESTED)"/>
      <sheetName val="400mm GRP(UNTESTED)"/>
      <sheetName val="500mm GRP(TESTED)"/>
      <sheetName val="500mm GRP(UNTESTED) "/>
      <sheetName val="600mm RC(TESTED)"/>
      <sheetName val="600mm RC(UNTESTED) "/>
      <sheetName val="700mm RC(Tested)"/>
      <sheetName val="700mm RC(UNTESTED)"/>
      <sheetName val="800mmRC(TESTED)"/>
      <sheetName val="800mm RC(UNTESTED)"/>
      <sheetName val="900mm RC(TESTED)"/>
      <sheetName val="900mm RC(UNTESTED)"/>
      <sheetName val="1200mm (TESTED)"/>
      <sheetName val="1200mm(UNTESTED)"/>
      <sheetName val="1300mm (TESTED)"/>
      <sheetName val="1300mm(UNTESTED)"/>
      <sheetName val="1400mm RC(TESTED)"/>
      <sheetName val="1400mm RC(UNTESTED) "/>
      <sheetName val="1000x1000mm CH(.TESTED)"/>
      <sheetName val="1000x1000mm CH(UNTESTED)"/>
      <sheetName val="1500x1500mm(TESTED)"/>
      <sheetName val="1500x1500mm(UNTESTED)"/>
      <sheetName val="2000x2000mm MH(TESTED)1200"/>
      <sheetName val="2000x2000mm MH(UNTESTE)1200 "/>
      <sheetName val="2000x2000mm MH(TESTED)1300"/>
      <sheetName val="2000x2000mm MH(UNTESTE)1300"/>
      <sheetName val="2000x2000mm MH(TESTED)1400"/>
      <sheetName val="2000x2000mm MH(UNTESTE)1400 "/>
      <sheetName val="Con.r-of waterdrainasoka(Tested"/>
      <sheetName val="Const.of New MH TESTED"/>
      <sheetName val="Const.of New MH UNTESTED"/>
      <sheetName val="IRRIGATION MATERIALS"/>
      <sheetName val="IRRIGATION MATERIALS.2"/>
      <sheetName val="IRRIGATION MATERIALS.3"/>
      <sheetName val="ASPHALT REINSTATEMENT-GULLY"/>
      <sheetName val="REINSTATMENT TILE TESTED "/>
      <sheetName val="REINSTATMENT ASPHA TESTED "/>
      <sheetName val="GULLY Landscaping"/>
      <sheetName val="LANDSCAPING TESTED"/>
      <sheetName val="Reinstatement of trees &amp;bushes"/>
      <sheetName val="Reinstatement of palm trees"/>
      <sheetName val="Pipe crossing of ex.walls"/>
      <sheetName val="Pipe crossing of ex.walls "/>
      <sheetName val="REINSTATMENT KERB"/>
      <sheetName val="Connection to ExMH"/>
      <sheetName val="OUTFALLS"/>
      <sheetName val="Remove and Clean ex.Gully"/>
      <sheetName val="Remo.&amp;Dispo.ex.gully Remove C.F"/>
      <sheetName val="Remo.&amp;Dispo.ex.gully Pipe Conne"/>
      <sheetName val="Dimolish of Ex.Sokaway"/>
      <sheetName val="Rise.Lower.Re-Loca.Ex.Irrig.Lin"/>
      <sheetName val="Reinsta.of ex.Lighting Poles"/>
      <sheetName val="RE - Erection ofTraffic Signs"/>
      <sheetName val="Reinsta.ex.chain link fence"/>
      <sheetName val="mh.ch future portes pipe any de"/>
      <sheetName val="Protection Bund"/>
      <sheetName val="Abandonment Demolition"/>
    </sheetNames>
    <sheetDataSet>
      <sheetData sheetId="0"/>
      <sheetData sheetId="1"/>
      <sheetData sheetId="2">
        <row r="69">
          <cell r="K69">
            <v>10000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ewer uPVC"/>
      <sheetName val="Summary Sewer GRP"/>
      <sheetName val="Summary Storm GRP"/>
      <sheetName val="Summary Storm RC"/>
      <sheetName val="uPVC Pipes"/>
      <sheetName val="GRP Pipes"/>
      <sheetName val="RC Pipes"/>
    </sheetNames>
    <sheetDataSet>
      <sheetData sheetId="0" refreshError="1"/>
      <sheetData sheetId="1" refreshError="1"/>
      <sheetData sheetId="2" refreshError="1"/>
      <sheetData sheetId="3" refreshError="1"/>
      <sheetData sheetId="4"/>
      <sheetData sheetId="5"/>
      <sheetData sheetId="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2)"/>
      <sheetName val="Sheet3"/>
      <sheetName val="P6144 (4)"/>
      <sheetName val="P6144 (3)"/>
      <sheetName val="Salam"/>
      <sheetName val="04-07"/>
      <sheetName val="05-07"/>
      <sheetName val="06-07"/>
      <sheetName val="07-07"/>
      <sheetName val="08-07"/>
      <sheetName val="09-07 "/>
      <sheetName val="10-07"/>
      <sheetName val="11-07 "/>
      <sheetName val="12-07 "/>
      <sheetName val="01-08"/>
      <sheetName val="02-08"/>
      <sheetName val="03-08"/>
      <sheetName val="04-08 "/>
      <sheetName val="05-08"/>
      <sheetName val="06-08"/>
      <sheetName val="07-08"/>
      <sheetName val="08-08 "/>
      <sheetName val="09-08 "/>
      <sheetName val="10-08 "/>
      <sheetName val="11-08"/>
      <sheetName val="12-08"/>
      <sheetName val="01-09"/>
      <sheetName val="02-09"/>
      <sheetName val="03-09"/>
      <sheetName val="04-09"/>
      <sheetName val="05-09"/>
      <sheetName val="06-09"/>
      <sheetName val="06-09 (2)"/>
      <sheetName val="ADDC-10-07"/>
      <sheetName val="S- Curve "/>
      <sheetName val="Sheet2"/>
      <sheetName val="days Calculations"/>
      <sheetName val="P6144 (6)"/>
      <sheetName val="days Calculations-Supply"/>
      <sheetName val="P6144 (2)"/>
      <sheetName val="P6144"/>
      <sheetName val="Res"/>
      <sheetName val="Sheet1"/>
      <sheetName val="Index"/>
      <sheetName val="BOQ 1"/>
      <sheetName val="BOQ 1 Sum"/>
      <sheetName val="BOQ 2"/>
      <sheetName val="BOQ 2 Sum"/>
      <sheetName val="BOQ 3 "/>
      <sheetName val="BOQ 3 Sum "/>
      <sheetName val="BOQ 4 "/>
      <sheetName val="BOQ 5 "/>
      <sheetName val="BOQ 5 Sum"/>
      <sheetName val="Sum"/>
      <sheetName val="07-09 "/>
      <sheetName val="08-09 "/>
      <sheetName val="09-0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row r="1">
          <cell r="C1" t="str">
            <v xml:space="preserve">    ES      </v>
          </cell>
          <cell r="D1" t="str">
            <v xml:space="preserve">    EF      </v>
          </cell>
          <cell r="E1" t="str">
            <v xml:space="preserve">     BC       </v>
          </cell>
        </row>
      </sheetData>
      <sheetData sheetId="40" refreshError="1">
        <row r="1">
          <cell r="D1" t="str">
            <v xml:space="preserve">    ACC      </v>
          </cell>
          <cell r="E1" t="str">
            <v>RES</v>
          </cell>
        </row>
      </sheetData>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refreshError="1"/>
      <sheetData sheetId="5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6144 (3)"/>
      <sheetName val="S- Curve "/>
      <sheetName val="Salam"/>
      <sheetName val="04-07"/>
      <sheetName val="05-07"/>
      <sheetName val="06-07"/>
      <sheetName val="07-07"/>
      <sheetName val="08-07"/>
      <sheetName val="09-07 "/>
      <sheetName val="10-07"/>
      <sheetName val="11-07 "/>
      <sheetName val="12-07 "/>
      <sheetName val="01-08"/>
      <sheetName val="02-08"/>
      <sheetName val="03-08"/>
      <sheetName val="04-08 "/>
      <sheetName val="05-08"/>
      <sheetName val="06-08"/>
      <sheetName val="ADDC-10-07"/>
      <sheetName val="Sheet2"/>
      <sheetName val="days Calculations"/>
      <sheetName val="P6144 (2)"/>
      <sheetName val="P6144"/>
      <sheetName val="Res"/>
      <sheetName val="Sheet1"/>
      <sheetName val="Index"/>
      <sheetName val="BOQ 1"/>
      <sheetName val="BOQ 1 Sum"/>
      <sheetName val="BOQ 2"/>
      <sheetName val="BOQ 2 Sum"/>
      <sheetName val="BOQ 3 "/>
      <sheetName val="BOQ 3 Sum "/>
      <sheetName val="BOQ 4 "/>
      <sheetName val="BOQ 5 "/>
      <sheetName val="BOQ 5 Sum"/>
      <sheetName val="Sum"/>
      <sheetName val="days Calculations -Installation"/>
      <sheetName val="Res Installation "/>
      <sheetName val="P6144 -Install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row r="1">
          <cell r="A1" t="str">
            <v xml:space="preserve">   ACT     </v>
          </cell>
          <cell r="B1" t="str">
            <v xml:space="preserve">                     TITLE                       </v>
          </cell>
          <cell r="C1" t="str">
            <v xml:space="preserve">     QAC      </v>
          </cell>
        </row>
      </sheetData>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1841"/>
      <sheetName val="S Curve "/>
      <sheetName val="Resource-ID"/>
      <sheetName val="P1841 (2)"/>
      <sheetName val="P1841 (3)"/>
      <sheetName val="P1841 (4)"/>
      <sheetName val="S Curve  (2)"/>
      <sheetName val="184u"/>
      <sheetName val="11-04"/>
      <sheetName val="12-04"/>
      <sheetName val="01-05"/>
      <sheetName val="Update"/>
      <sheetName val="02-05 "/>
      <sheetName val="03-05"/>
      <sheetName val="04-05"/>
    </sheetNames>
    <sheetDataSet>
      <sheetData sheetId="0"/>
      <sheetData sheetId="1"/>
      <sheetData sheetId="2"/>
      <sheetData sheetId="3"/>
      <sheetData sheetId="4" refreshError="1">
        <row r="1">
          <cell r="I1" t="str">
            <v xml:space="preserve"> RCP  </v>
          </cell>
        </row>
      </sheetData>
      <sheetData sheetId="5" refreshError="1">
        <row r="1">
          <cell r="N1" t="str">
            <v xml:space="preserve"> PCT  </v>
          </cell>
          <cell r="O1" t="str">
            <v xml:space="preserve">    AS      </v>
          </cell>
          <cell r="P1" t="str">
            <v xml:space="preserve">    AF      </v>
          </cell>
        </row>
      </sheetData>
      <sheetData sheetId="6"/>
      <sheetData sheetId="7" refreshError="1">
        <row r="1">
          <cell r="A1" t="str">
            <v xml:space="preserve">   ACT     </v>
          </cell>
          <cell r="B1" t="str">
            <v xml:space="preserve">                     TITLE                       </v>
          </cell>
          <cell r="C1" t="str">
            <v>AS</v>
          </cell>
          <cell r="D1" t="str">
            <v xml:space="preserve"> PCT  </v>
          </cell>
        </row>
        <row r="3">
          <cell r="A3" t="str">
            <v xml:space="preserve">           </v>
          </cell>
          <cell r="B3" t="str">
            <v xml:space="preserve">                                                 </v>
          </cell>
        </row>
        <row r="5">
          <cell r="A5" t="str">
            <v xml:space="preserve">General </v>
          </cell>
        </row>
        <row r="6">
          <cell r="A6" t="str">
            <v xml:space="preserve">GEGNDAL00 </v>
          </cell>
          <cell r="B6" t="str">
            <v xml:space="preserve">Project Effective Date                           </v>
          </cell>
          <cell r="C6">
            <v>38229</v>
          </cell>
        </row>
        <row r="7">
          <cell r="A7" t="str">
            <v xml:space="preserve">GEGNDAL01 </v>
          </cell>
          <cell r="B7" t="str">
            <v xml:space="preserve">Mobilization and Site offices                    </v>
          </cell>
          <cell r="C7">
            <v>38244</v>
          </cell>
          <cell r="D7">
            <v>1</v>
          </cell>
        </row>
        <row r="8">
          <cell r="A8" t="str">
            <v xml:space="preserve">GEGNDAL250 </v>
          </cell>
          <cell r="B8" t="str">
            <v xml:space="preserve">Site Handing Over                                </v>
          </cell>
          <cell r="C8">
            <v>38243</v>
          </cell>
        </row>
        <row r="9">
          <cell r="A9" t="str">
            <v xml:space="preserve">GEGNDPL03  </v>
          </cell>
          <cell r="B9" t="str">
            <v xml:space="preserve">Receiving Approvals from TP for pipeline Routes  </v>
          </cell>
          <cell r="C9">
            <v>38237</v>
          </cell>
        </row>
        <row r="10">
          <cell r="A10" t="str">
            <v xml:space="preserve">GEGNDAL12 </v>
          </cell>
          <cell r="B10" t="str">
            <v xml:space="preserve">Carrying out the Survey work &amp; Existing Services </v>
          </cell>
          <cell r="C10">
            <v>38257</v>
          </cell>
          <cell r="D10">
            <v>0.9</v>
          </cell>
        </row>
        <row r="11">
          <cell r="A11" t="str">
            <v xml:space="preserve">GEGNDAL15 </v>
          </cell>
          <cell r="B11" t="str">
            <v xml:space="preserve">Finishing all Activities of the Project (PAC)    </v>
          </cell>
        </row>
        <row r="12">
          <cell r="A12" t="str">
            <v xml:space="preserve">GEGNDAL16  </v>
          </cell>
          <cell r="B12" t="str">
            <v xml:space="preserve">As Built Drawings                                </v>
          </cell>
        </row>
        <row r="13">
          <cell r="A13" t="str">
            <v xml:space="preserve">GEGNDAL26  </v>
          </cell>
          <cell r="B13" t="str">
            <v xml:space="preserve">Pre-inspection and Commissioning                 </v>
          </cell>
        </row>
        <row r="14">
          <cell r="A14" t="str">
            <v xml:space="preserve">SBGNDPL016 </v>
          </cell>
          <cell r="B14" t="str">
            <v xml:space="preserve">Submittal of Valve Cha. Acce &amp;Constr. Materials  </v>
          </cell>
          <cell r="C14">
            <v>38253</v>
          </cell>
          <cell r="D14">
            <v>0.9</v>
          </cell>
        </row>
        <row r="15">
          <cell r="A15" t="str">
            <v xml:space="preserve">SBGNDPL04  </v>
          </cell>
          <cell r="B15" t="str">
            <v xml:space="preserve">Submittal of Pipeline materials                  </v>
          </cell>
          <cell r="C15">
            <v>38231</v>
          </cell>
          <cell r="D15">
            <v>1</v>
          </cell>
        </row>
        <row r="16">
          <cell r="A16" t="str">
            <v xml:space="preserve">SBGNDPL05  </v>
          </cell>
          <cell r="B16" t="str">
            <v xml:space="preserve">Submittal of  Valves materials                   </v>
          </cell>
          <cell r="C16">
            <v>38231</v>
          </cell>
          <cell r="D16">
            <v>1</v>
          </cell>
        </row>
        <row r="17">
          <cell r="A17" t="str">
            <v xml:space="preserve">SBGNDPL06  </v>
          </cell>
          <cell r="B17" t="str">
            <v xml:space="preserve">Submittal of  Flow meter and Instrumentation     </v>
          </cell>
          <cell r="C17">
            <v>38281</v>
          </cell>
          <cell r="D17">
            <v>1</v>
          </cell>
        </row>
        <row r="18">
          <cell r="A18" t="str">
            <v xml:space="preserve">SBGNDPL13  </v>
          </cell>
          <cell r="B18" t="str">
            <v xml:space="preserve">Submittal of shop drawings                       </v>
          </cell>
          <cell r="C18">
            <v>38274</v>
          </cell>
          <cell r="D18">
            <v>0.4</v>
          </cell>
        </row>
        <row r="19">
          <cell r="A19" t="str">
            <v xml:space="preserve">APGNDPL08  </v>
          </cell>
          <cell r="B19" t="str">
            <v xml:space="preserve">Approval of Pipeline materials                   </v>
          </cell>
          <cell r="C19">
            <v>38293</v>
          </cell>
          <cell r="D19">
            <v>0.5</v>
          </cell>
        </row>
        <row r="20">
          <cell r="A20" t="str">
            <v xml:space="preserve">APGNDPL09  </v>
          </cell>
          <cell r="B20" t="str">
            <v xml:space="preserve">Approval of  Valves materials                    </v>
          </cell>
        </row>
        <row r="21">
          <cell r="A21" t="str">
            <v xml:space="preserve">APGNDPL10  </v>
          </cell>
          <cell r="B21" t="str">
            <v xml:space="preserve">Approval  of  Flow meter and Instrumentation     </v>
          </cell>
        </row>
        <row r="22">
          <cell r="A22" t="str">
            <v xml:space="preserve">APGNDPL11  </v>
          </cell>
          <cell r="B22" t="str">
            <v xml:space="preserve">Approval of Valve Cha. Acce &amp;Constr. Materials   </v>
          </cell>
          <cell r="C22">
            <v>38278</v>
          </cell>
          <cell r="D22">
            <v>0.7</v>
          </cell>
        </row>
        <row r="23">
          <cell r="A23" t="str">
            <v xml:space="preserve">APGNDPL14  </v>
          </cell>
          <cell r="B23" t="str">
            <v xml:space="preserve">Approval of shop drawings                        </v>
          </cell>
        </row>
        <row r="24">
          <cell r="A24" t="str">
            <v xml:space="preserve">MNGNDPL28  </v>
          </cell>
          <cell r="B24" t="str">
            <v xml:space="preserve">Manufacturing of DI Pipes DN 500 mm &amp; Less       </v>
          </cell>
          <cell r="C24">
            <v>38302</v>
          </cell>
          <cell r="D24">
            <v>0.8</v>
          </cell>
        </row>
        <row r="25">
          <cell r="A25" t="str">
            <v xml:space="preserve">MNGNDPL38  </v>
          </cell>
          <cell r="B25" t="str">
            <v xml:space="preserve">Manufacturing of DI Pipes DN 800mm               </v>
          </cell>
          <cell r="D25">
            <v>0</v>
          </cell>
        </row>
        <row r="26">
          <cell r="A26" t="str">
            <v xml:space="preserve">MNGNDPL48  </v>
          </cell>
          <cell r="B26" t="str">
            <v xml:space="preserve">Manufacturing of Valves &amp; Flow Meters            </v>
          </cell>
        </row>
        <row r="27">
          <cell r="A27" t="str">
            <v xml:space="preserve">SPGNDPL18  </v>
          </cell>
          <cell r="B27" t="str">
            <v xml:space="preserve">Supply of D.I. Pipes DN 800 mm                   </v>
          </cell>
        </row>
        <row r="28">
          <cell r="A28" t="str">
            <v xml:space="preserve">SPGNDPL19  </v>
          </cell>
          <cell r="B28" t="str">
            <v xml:space="preserve">Supply of D.I. Pipes DN 500 mm and less          </v>
          </cell>
        </row>
        <row r="29">
          <cell r="A29" t="str">
            <v xml:space="preserve">SPGNDCH22  </v>
          </cell>
          <cell r="B29" t="str">
            <v xml:space="preserve">Supply of Valve Chamb. acce. &amp; Constr Materials  </v>
          </cell>
        </row>
        <row r="30">
          <cell r="A30" t="str">
            <v xml:space="preserve">SPGNDPL28  </v>
          </cell>
          <cell r="B30" t="str">
            <v xml:space="preserve">Supply of Valves &amp; Flow Meters                   </v>
          </cell>
        </row>
        <row r="31">
          <cell r="A31" t="str">
            <v xml:space="preserve">CO3SCPL27  </v>
          </cell>
          <cell r="B31" t="str">
            <v xml:space="preserve">Trench excavation                                </v>
          </cell>
        </row>
        <row r="32">
          <cell r="A32" t="str">
            <v xml:space="preserve">CO3SCPL28  </v>
          </cell>
          <cell r="B32" t="str">
            <v xml:space="preserve">Pipe installation                                </v>
          </cell>
        </row>
        <row r="33">
          <cell r="A33" t="str">
            <v xml:space="preserve">CO3SCPL30  </v>
          </cell>
          <cell r="B33" t="str">
            <v xml:space="preserve">Backfilling of trench                            </v>
          </cell>
        </row>
        <row r="34">
          <cell r="A34" t="str">
            <v xml:space="preserve">CO3SCPL40  </v>
          </cell>
          <cell r="B34" t="str">
            <v xml:space="preserve">Testing                                          </v>
          </cell>
        </row>
        <row r="35">
          <cell r="A35" t="str">
            <v xml:space="preserve">CO3SCCH84  </v>
          </cell>
          <cell r="B35" t="str">
            <v xml:space="preserve">Excavation for Valve Chambers                    </v>
          </cell>
        </row>
        <row r="36">
          <cell r="A36" t="str">
            <v xml:space="preserve">CO3SCCH85  </v>
          </cell>
          <cell r="B36" t="str">
            <v xml:space="preserve">Blinding, Membrane and  Screed                   </v>
          </cell>
        </row>
        <row r="37">
          <cell r="A37" t="str">
            <v xml:space="preserve">CO3SCCH86  </v>
          </cell>
          <cell r="B37" t="str">
            <v xml:space="preserve">Reinforced Concrete base                         </v>
          </cell>
        </row>
        <row r="38">
          <cell r="A38" t="str">
            <v xml:space="preserve">CO3SCCH87  </v>
          </cell>
          <cell r="B38" t="str">
            <v xml:space="preserve">Fitting and Valves Installation                  </v>
          </cell>
        </row>
        <row r="39">
          <cell r="A39" t="str">
            <v xml:space="preserve">CO3SCCH88  </v>
          </cell>
          <cell r="B39" t="str">
            <v xml:space="preserve">Reinforced concrete Walls                        </v>
          </cell>
        </row>
        <row r="40">
          <cell r="A40" t="str">
            <v xml:space="preserve">CO3SCCH89  </v>
          </cell>
          <cell r="B40" t="str">
            <v xml:space="preserve">Water proofing to Walls                          </v>
          </cell>
        </row>
        <row r="41">
          <cell r="A41" t="str">
            <v xml:space="preserve">CO3SCCH90  </v>
          </cell>
          <cell r="B41" t="str">
            <v xml:space="preserve">Cover Slab , Vent Pipe, Hooks                    </v>
          </cell>
        </row>
        <row r="42">
          <cell r="A42" t="str">
            <v xml:space="preserve">CO3SCCH91  </v>
          </cell>
          <cell r="B42" t="str">
            <v xml:space="preserve">Installation of Ladders and Chamber Finishing    </v>
          </cell>
        </row>
        <row r="43">
          <cell r="A43" t="str">
            <v xml:space="preserve">CO3SCCN159 </v>
          </cell>
          <cell r="B43" t="str">
            <v xml:space="preserve">Connection to Existing Network at A Saad Village </v>
          </cell>
        </row>
        <row r="44">
          <cell r="A44" t="str">
            <v xml:space="preserve">CO53APL63  </v>
          </cell>
          <cell r="B44" t="str">
            <v xml:space="preserve">Trench excavation                                </v>
          </cell>
        </row>
        <row r="45">
          <cell r="A45" t="str">
            <v xml:space="preserve">CO53APL64  </v>
          </cell>
          <cell r="B45" t="str">
            <v xml:space="preserve">Pipe installation                                </v>
          </cell>
        </row>
        <row r="46">
          <cell r="A46" t="str">
            <v xml:space="preserve">CO53APL66  </v>
          </cell>
          <cell r="B46" t="str">
            <v xml:space="preserve">Backfilling of trench                            </v>
          </cell>
        </row>
        <row r="47">
          <cell r="A47" t="str">
            <v xml:space="preserve">CO53APL76  </v>
          </cell>
          <cell r="B47" t="str">
            <v xml:space="preserve">Testing                                          </v>
          </cell>
        </row>
        <row r="48">
          <cell r="A48" t="str">
            <v xml:space="preserve">CO53ACH124 </v>
          </cell>
          <cell r="B48" t="str">
            <v xml:space="preserve">Excavation for Valve Chambers                    </v>
          </cell>
        </row>
        <row r="49">
          <cell r="A49" t="str">
            <v xml:space="preserve">CO53ACH125 </v>
          </cell>
          <cell r="B49" t="str">
            <v xml:space="preserve">Blinding , Membrane and  Screed                  </v>
          </cell>
        </row>
        <row r="50">
          <cell r="A50" t="str">
            <v xml:space="preserve">CO53ACH126 </v>
          </cell>
          <cell r="B50" t="str">
            <v xml:space="preserve">Reinforced Concrete base                         </v>
          </cell>
        </row>
        <row r="51">
          <cell r="A51" t="str">
            <v xml:space="preserve">CO53ACH127 </v>
          </cell>
          <cell r="B51" t="str">
            <v xml:space="preserve">Fitting and Valves Installation                  </v>
          </cell>
        </row>
        <row r="52">
          <cell r="A52" t="str">
            <v xml:space="preserve">CO53ACH128 </v>
          </cell>
          <cell r="B52" t="str">
            <v xml:space="preserve">Reinforced concrete Walls                        </v>
          </cell>
        </row>
        <row r="53">
          <cell r="A53" t="str">
            <v xml:space="preserve">CO53ACH129 </v>
          </cell>
          <cell r="B53" t="str">
            <v xml:space="preserve">Water proofing to Walls                          </v>
          </cell>
        </row>
        <row r="54">
          <cell r="A54" t="str">
            <v xml:space="preserve">CO53ACH130 </v>
          </cell>
          <cell r="B54" t="str">
            <v xml:space="preserve">Cover Slab , Vent Pipe, Hooks                    </v>
          </cell>
        </row>
        <row r="55">
          <cell r="A55" t="str">
            <v xml:space="preserve">CO53ACH131 </v>
          </cell>
          <cell r="B55" t="str">
            <v xml:space="preserve">Installation of Ladders and Chamber Finishing    </v>
          </cell>
        </row>
        <row r="56">
          <cell r="A56" t="str">
            <v xml:space="preserve">CO53ACN160 </v>
          </cell>
          <cell r="B56" t="str">
            <v xml:space="preserve">Connection to  Tabreed                           </v>
          </cell>
        </row>
        <row r="57">
          <cell r="A57" t="str">
            <v xml:space="preserve">CO5TBPL38  </v>
          </cell>
          <cell r="B57" t="str">
            <v xml:space="preserve">Trench excavation                                </v>
          </cell>
        </row>
        <row r="58">
          <cell r="A58" t="str">
            <v xml:space="preserve">CO5TBPL39  </v>
          </cell>
          <cell r="B58" t="str">
            <v xml:space="preserve">Pipe installation                                </v>
          </cell>
        </row>
        <row r="59">
          <cell r="A59" t="str">
            <v xml:space="preserve">CO5TBPL41  </v>
          </cell>
          <cell r="B59" t="str">
            <v xml:space="preserve">Backfilling of trench                            </v>
          </cell>
        </row>
        <row r="60">
          <cell r="A60" t="str">
            <v xml:space="preserve">CO5TBPL51  </v>
          </cell>
          <cell r="B60" t="str">
            <v xml:space="preserve">Testing                                          </v>
          </cell>
        </row>
        <row r="61">
          <cell r="A61" t="str">
            <v xml:space="preserve">CO5TBCH94  </v>
          </cell>
          <cell r="B61" t="str">
            <v xml:space="preserve">Excavation for Valve Chambers                    </v>
          </cell>
        </row>
        <row r="62">
          <cell r="A62" t="str">
            <v xml:space="preserve">CO5TBCH95  </v>
          </cell>
          <cell r="B62" t="str">
            <v xml:space="preserve">Blinding , Membrane and  Screed                  </v>
          </cell>
        </row>
        <row r="63">
          <cell r="A63" t="str">
            <v xml:space="preserve">CO5TBCH96  </v>
          </cell>
          <cell r="B63" t="str">
            <v xml:space="preserve">Reinforced Concrete base                         </v>
          </cell>
        </row>
        <row r="64">
          <cell r="A64" t="str">
            <v xml:space="preserve">CO5TBCH97  </v>
          </cell>
          <cell r="B64" t="str">
            <v xml:space="preserve">Fitting and Valves Installation                  </v>
          </cell>
        </row>
        <row r="65">
          <cell r="A65" t="str">
            <v xml:space="preserve">CO5TBCH98  </v>
          </cell>
          <cell r="B65" t="str">
            <v xml:space="preserve">Reinforced concrete Walls                        </v>
          </cell>
        </row>
        <row r="66">
          <cell r="A66" t="str">
            <v xml:space="preserve">CO5TBCH99  </v>
          </cell>
          <cell r="B66" t="str">
            <v xml:space="preserve">Water proofing to Walls                          </v>
          </cell>
        </row>
        <row r="67">
          <cell r="A67" t="str">
            <v xml:space="preserve">CO5TBCH100 </v>
          </cell>
          <cell r="B67" t="str">
            <v xml:space="preserve">Cover Slab , Vent Pipe, Hooks                    </v>
          </cell>
        </row>
        <row r="68">
          <cell r="A68" t="str">
            <v xml:space="preserve">CO5TBCH101 </v>
          </cell>
          <cell r="B68" t="str">
            <v xml:space="preserve">Installation of Ladders and Chamber Finishing    </v>
          </cell>
        </row>
        <row r="69">
          <cell r="A69" t="str">
            <v xml:space="preserve">CO5TBCN161 </v>
          </cell>
          <cell r="B69" t="str">
            <v xml:space="preserve">Connection to Tawaisa Camp                       </v>
          </cell>
        </row>
        <row r="70">
          <cell r="A70" t="str">
            <v xml:space="preserve">COD3APL56  </v>
          </cell>
          <cell r="B70" t="str">
            <v xml:space="preserve">Trench excavation                                </v>
          </cell>
        </row>
        <row r="71">
          <cell r="A71" t="str">
            <v xml:space="preserve">COD3APL57  </v>
          </cell>
          <cell r="B71" t="str">
            <v xml:space="preserve">Pipe installation                                </v>
          </cell>
        </row>
        <row r="72">
          <cell r="A72" t="str">
            <v xml:space="preserve">COD3APL59  </v>
          </cell>
          <cell r="B72" t="str">
            <v xml:space="preserve">Backfilling of trench                            </v>
          </cell>
        </row>
        <row r="73">
          <cell r="A73" t="str">
            <v xml:space="preserve">COD3APL69  </v>
          </cell>
          <cell r="B73" t="str">
            <v xml:space="preserve">Testing                                          </v>
          </cell>
        </row>
        <row r="74">
          <cell r="A74" t="str">
            <v xml:space="preserve">COD3ACH114 </v>
          </cell>
          <cell r="B74" t="str">
            <v xml:space="preserve">Excavation for Valve Chambers                    </v>
          </cell>
        </row>
        <row r="75">
          <cell r="A75" t="str">
            <v xml:space="preserve">COD3ACH115 </v>
          </cell>
          <cell r="B75" t="str">
            <v xml:space="preserve">Blinding , Membrane and  Screed                  </v>
          </cell>
        </row>
        <row r="76">
          <cell r="A76" t="str">
            <v xml:space="preserve">COD3ACH116 </v>
          </cell>
          <cell r="B76" t="str">
            <v xml:space="preserve">Reinforced Concrete base                         </v>
          </cell>
        </row>
        <row r="77">
          <cell r="A77" t="str">
            <v xml:space="preserve">COD3ACH117 </v>
          </cell>
          <cell r="B77" t="str">
            <v xml:space="preserve">Fitting and Valves Installation                  </v>
          </cell>
        </row>
        <row r="78">
          <cell r="A78" t="str">
            <v xml:space="preserve">COD3ACH118 </v>
          </cell>
          <cell r="B78" t="str">
            <v xml:space="preserve">Reinforced concrete Walls                        </v>
          </cell>
        </row>
        <row r="79">
          <cell r="A79" t="str">
            <v xml:space="preserve">COD3ACH119 </v>
          </cell>
          <cell r="B79" t="str">
            <v xml:space="preserve">Water proofing to Walls                          </v>
          </cell>
        </row>
        <row r="80">
          <cell r="A80" t="str">
            <v xml:space="preserve">COD3ACH120 </v>
          </cell>
          <cell r="B80" t="str">
            <v xml:space="preserve">Cover Slab , Vent Pipe, Hooks                    </v>
          </cell>
        </row>
        <row r="81">
          <cell r="A81" t="str">
            <v xml:space="preserve">COD3ACH121 </v>
          </cell>
          <cell r="B81" t="str">
            <v xml:space="preserve">Installation of Ladders and Chamber Finishing    </v>
          </cell>
        </row>
        <row r="82">
          <cell r="A82" t="str">
            <v xml:space="preserve">COD3ACN158 </v>
          </cell>
          <cell r="B82" t="str">
            <v xml:space="preserve">Connection to Date Factory                       </v>
          </cell>
        </row>
        <row r="83">
          <cell r="A83" t="str">
            <v xml:space="preserve">COD3AND109 </v>
          </cell>
          <cell r="B83" t="str">
            <v xml:space="preserve">Mobilization of the NDRC Equipment               </v>
          </cell>
        </row>
        <row r="84">
          <cell r="A84" t="str">
            <v xml:space="preserve">COD3AND119 </v>
          </cell>
          <cell r="B84" t="str">
            <v xml:space="preserve">Driving the Sleeve                               </v>
          </cell>
        </row>
        <row r="85">
          <cell r="A85" t="str">
            <v xml:space="preserve">COD3AND129 </v>
          </cell>
          <cell r="B85" t="str">
            <v xml:space="preserve">Removal of NDRC Equipment                        </v>
          </cell>
        </row>
        <row r="86">
          <cell r="A86" t="str">
            <v xml:space="preserve">COD3AND139 </v>
          </cell>
          <cell r="B86" t="str">
            <v xml:space="preserve">Installation of the DN 800 mm DI Carrier Pipe    </v>
          </cell>
        </row>
        <row r="87">
          <cell r="A87" t="str">
            <v xml:space="preserve">COD3AND159 </v>
          </cell>
          <cell r="B87" t="str">
            <v xml:space="preserve">Grouting the Annular Space                       </v>
          </cell>
        </row>
        <row r="88">
          <cell r="A88" t="str">
            <v xml:space="preserve">COD3AND89  </v>
          </cell>
          <cell r="B88" t="str">
            <v xml:space="preserve">Excavation of the NDRC Pits                      </v>
          </cell>
        </row>
        <row r="89">
          <cell r="A89" t="str">
            <v xml:space="preserve">COD3AND99  </v>
          </cell>
          <cell r="B89" t="str">
            <v xml:space="preserve">Testing of the DN 800 mm Carrier Pipe            </v>
          </cell>
        </row>
        <row r="90">
          <cell r="A90" t="str">
            <v xml:space="preserve">CORMAPL77  </v>
          </cell>
          <cell r="B90" t="str">
            <v xml:space="preserve">Trench excavation                                </v>
          </cell>
        </row>
        <row r="91">
          <cell r="A91" t="str">
            <v xml:space="preserve">CORMAPL78  </v>
          </cell>
          <cell r="B91" t="str">
            <v xml:space="preserve">Pipe installation                                </v>
          </cell>
        </row>
        <row r="92">
          <cell r="A92" t="str">
            <v xml:space="preserve">CORMAPL80  </v>
          </cell>
          <cell r="B92" t="str">
            <v xml:space="preserve">Backfilling of trench                            </v>
          </cell>
        </row>
        <row r="93">
          <cell r="A93" t="str">
            <v xml:space="preserve">CORMAPL82  </v>
          </cell>
          <cell r="B93" t="str">
            <v xml:space="preserve"> Testing                                         </v>
          </cell>
        </row>
        <row r="94">
          <cell r="A94" t="str">
            <v xml:space="preserve">CORMACH144 </v>
          </cell>
          <cell r="B94" t="str">
            <v xml:space="preserve">Excavation for Valve Chambers                    </v>
          </cell>
        </row>
        <row r="95">
          <cell r="A95" t="str">
            <v xml:space="preserve">CORMACH145 </v>
          </cell>
          <cell r="B95" t="str">
            <v xml:space="preserve">Blinding , Membrane and  Screed                  </v>
          </cell>
        </row>
        <row r="96">
          <cell r="A96" t="str">
            <v xml:space="preserve">CORMACH146 </v>
          </cell>
          <cell r="B96" t="str">
            <v xml:space="preserve">Reinforced Concrete base                         </v>
          </cell>
        </row>
        <row r="97">
          <cell r="A97" t="str">
            <v xml:space="preserve">CORMACH147 </v>
          </cell>
          <cell r="B97" t="str">
            <v xml:space="preserve">Fitting and Valves Installation                  </v>
          </cell>
        </row>
        <row r="98">
          <cell r="A98" t="str">
            <v xml:space="preserve">CORMACH148 </v>
          </cell>
          <cell r="B98" t="str">
            <v xml:space="preserve">Reinforced concrete Walls                        </v>
          </cell>
        </row>
        <row r="99">
          <cell r="A99" t="str">
            <v xml:space="preserve">CORMACH149 </v>
          </cell>
          <cell r="B99" t="str">
            <v xml:space="preserve">Water proofing to Walls                          </v>
          </cell>
        </row>
        <row r="100">
          <cell r="A100" t="str">
            <v xml:space="preserve">CORMACH150 </v>
          </cell>
          <cell r="B100" t="str">
            <v xml:space="preserve">Cover Slab , Vent Pipe, Hooks                    </v>
          </cell>
        </row>
        <row r="101">
          <cell r="A101" t="str">
            <v xml:space="preserve">CORMACH151 </v>
          </cell>
          <cell r="B101" t="str">
            <v xml:space="preserve">Installation of Ladders and Chamber Finishing    </v>
          </cell>
        </row>
        <row r="102">
          <cell r="A102" t="str">
            <v xml:space="preserve">CORMARE81  </v>
          </cell>
          <cell r="B102" t="str">
            <v xml:space="preserve">Reinstatement                                    </v>
          </cell>
        </row>
        <row r="103">
          <cell r="A103" t="str">
            <v xml:space="preserve">CORME CN16 </v>
          </cell>
          <cell r="B103" t="str">
            <v xml:space="preserve">Connection to Existing DN 300 mm Inside Remah PS </v>
          </cell>
        </row>
        <row r="104">
          <cell r="A104" t="str">
            <v xml:space="preserve">CORME DE16 </v>
          </cell>
          <cell r="B104" t="str">
            <v xml:space="preserve">Demolation of the Exiting Surge Tank             </v>
          </cell>
        </row>
        <row r="105">
          <cell r="A105" t="str">
            <v xml:space="preserve">CORME EI16 </v>
          </cell>
          <cell r="B105" t="str">
            <v xml:space="preserve">Installation of GRP kiosk , Service turret,etc   </v>
          </cell>
        </row>
        <row r="106">
          <cell r="A106" t="str">
            <v xml:space="preserve">COGNDMP154 </v>
          </cell>
          <cell r="B106" t="str">
            <v xml:space="preserve">Pipeline markers                                 </v>
          </cell>
        </row>
        <row r="107">
          <cell r="A107" t="str">
            <v xml:space="preserve">COGNDMP155 </v>
          </cell>
          <cell r="B107" t="str">
            <v xml:space="preserve">Chamber marker posts                             </v>
          </cell>
        </row>
        <row r="108">
          <cell r="A108" t="str">
            <v xml:space="preserve">COGNDMP156 </v>
          </cell>
          <cell r="B108" t="str">
            <v xml:space="preserve">Valve sign posts                                 </v>
          </cell>
        </row>
        <row r="109">
          <cell r="A109" t="str">
            <v xml:space="preserve">FTGNDPL166 </v>
          </cell>
          <cell r="B109" t="str">
            <v xml:space="preserve">Final Testing                                    </v>
          </cell>
        </row>
        <row r="110">
          <cell r="A110" t="str">
            <v xml:space="preserve">FTGNDPL176 </v>
          </cell>
          <cell r="B110" t="str">
            <v xml:space="preserve">Desenfiction                                     </v>
          </cell>
        </row>
        <row r="111">
          <cell r="A111" t="str">
            <v xml:space="preserve">FTGNDPL186 </v>
          </cell>
          <cell r="B111" t="str">
            <v xml:space="preserve">Flushing                                         </v>
          </cell>
        </row>
        <row r="112">
          <cell r="A112" t="str">
            <v xml:space="preserve">FTGNDPL26  </v>
          </cell>
          <cell r="B112" t="str">
            <v xml:space="preserve">Pre-inspection and Commissioning                 </v>
          </cell>
        </row>
      </sheetData>
      <sheetData sheetId="8"/>
      <sheetData sheetId="9"/>
      <sheetData sheetId="10"/>
      <sheetData sheetId="11"/>
      <sheetData sheetId="12"/>
      <sheetData sheetId="13"/>
      <sheetData sheetId="1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quest"/>
      <sheetName val="Cash Flow"/>
      <sheetName val="Validation List"/>
    </sheetNames>
    <sheetDataSet>
      <sheetData sheetId="0"/>
      <sheetData sheetId="1"/>
      <sheetData sheetId="2">
        <row r="3">
          <cell r="A3" t="str">
            <v>1/1-1</v>
          </cell>
          <cell r="D3" t="str">
            <v>ME-2</v>
          </cell>
          <cell r="E3" t="str">
            <v>RC PULLING BOX</v>
          </cell>
          <cell r="G3">
            <v>0.15</v>
          </cell>
          <cell r="H3">
            <v>11.25</v>
          </cell>
          <cell r="I3" t="str">
            <v>Lm</v>
          </cell>
          <cell r="J3" t="str">
            <v xml:space="preserve">usable </v>
          </cell>
          <cell r="K3">
            <v>10</v>
          </cell>
          <cell r="L3" t="str">
            <v>MR</v>
          </cell>
          <cell r="M3" t="str">
            <v>A</v>
          </cell>
          <cell r="N3">
            <v>1</v>
          </cell>
        </row>
        <row r="4">
          <cell r="A4" t="str">
            <v>1/1-2</v>
          </cell>
          <cell r="D4" t="str">
            <v>ME-3</v>
          </cell>
          <cell r="E4" t="str">
            <v>10 mm dia coated reinforcement Bar</v>
          </cell>
          <cell r="G4">
            <v>0.25</v>
          </cell>
          <cell r="H4">
            <v>22.5</v>
          </cell>
          <cell r="I4" t="str">
            <v>Set</v>
          </cell>
          <cell r="J4" t="str">
            <v>non usable</v>
          </cell>
          <cell r="K4">
            <v>16</v>
          </cell>
          <cell r="L4" t="str">
            <v>-</v>
          </cell>
          <cell r="M4" t="str">
            <v>B</v>
          </cell>
          <cell r="N4">
            <v>2</v>
          </cell>
        </row>
        <row r="5">
          <cell r="A5" t="str">
            <v>1/1-3</v>
          </cell>
          <cell r="D5" t="str">
            <v>ME-4</v>
          </cell>
          <cell r="E5" t="str">
            <v>10 mm dia coated reinforcement Bar</v>
          </cell>
          <cell r="G5">
            <v>22.5</v>
          </cell>
          <cell r="H5">
            <v>45</v>
          </cell>
          <cell r="I5" t="str">
            <v>No</v>
          </cell>
          <cell r="J5">
            <v>25</v>
          </cell>
          <cell r="M5" t="str">
            <v>C</v>
          </cell>
          <cell r="N5">
            <v>3</v>
          </cell>
        </row>
        <row r="6">
          <cell r="A6" t="str">
            <v>1/1-4</v>
          </cell>
          <cell r="D6" t="str">
            <v>ME-5</v>
          </cell>
          <cell r="E6" t="str">
            <v>12 to 16 mm coated reinforcement Bar</v>
          </cell>
          <cell r="G6">
            <v>11.25</v>
          </cell>
          <cell r="H6">
            <v>90</v>
          </cell>
          <cell r="I6" t="str">
            <v>Cu.m</v>
          </cell>
          <cell r="J6" t="str">
            <v>K9</v>
          </cell>
          <cell r="M6" t="str">
            <v>D</v>
          </cell>
          <cell r="N6">
            <v>4</v>
          </cell>
        </row>
        <row r="7">
          <cell r="A7" t="str">
            <v>1/1-5</v>
          </cell>
          <cell r="D7" t="str">
            <v>ME-6</v>
          </cell>
          <cell r="E7" t="str">
            <v>12 to 16 mm coated reinforcement Bar</v>
          </cell>
          <cell r="G7" t="str">
            <v>-</v>
          </cell>
          <cell r="H7" t="str">
            <v>Cm</v>
          </cell>
          <cell r="I7" t="str">
            <v>Sq.m</v>
          </cell>
          <cell r="J7" t="str">
            <v>-</v>
          </cell>
          <cell r="M7" t="str">
            <v>E</v>
          </cell>
          <cell r="N7">
            <v>5</v>
          </cell>
        </row>
        <row r="8">
          <cell r="A8" t="str">
            <v>1/1-6</v>
          </cell>
          <cell r="D8" t="str">
            <v>ME-7</v>
          </cell>
          <cell r="E8" t="str">
            <v xml:space="preserve">A.393 coated mesh reinforcement </v>
          </cell>
          <cell r="G8">
            <v>2</v>
          </cell>
          <cell r="H8" t="str">
            <v>Ls</v>
          </cell>
          <cell r="I8" t="str">
            <v>LS</v>
          </cell>
          <cell r="M8" t="str">
            <v>F</v>
          </cell>
          <cell r="N8">
            <v>6</v>
          </cell>
        </row>
        <row r="9">
          <cell r="A9" t="str">
            <v>1/1-7</v>
          </cell>
          <cell r="D9" t="str">
            <v>ME-8</v>
          </cell>
          <cell r="E9" t="str">
            <v xml:space="preserve">A.393 coated mesh reinforcement </v>
          </cell>
          <cell r="G9">
            <v>3</v>
          </cell>
          <cell r="H9" t="str">
            <v>No</v>
          </cell>
          <cell r="M9" t="str">
            <v>G</v>
          </cell>
          <cell r="N9">
            <v>7</v>
          </cell>
        </row>
        <row r="10">
          <cell r="A10" t="str">
            <v>1/1-8</v>
          </cell>
          <cell r="D10" t="str">
            <v>ME-9</v>
          </cell>
          <cell r="E10" t="str">
            <v>ADJUST RC VALVE CHAMBERS</v>
          </cell>
          <cell r="G10">
            <v>4</v>
          </cell>
          <cell r="H10" t="str">
            <v>N/A</v>
          </cell>
          <cell r="M10" t="str">
            <v>H</v>
          </cell>
          <cell r="N10">
            <v>8</v>
          </cell>
        </row>
        <row r="11">
          <cell r="A11" t="str">
            <v>3/1-1</v>
          </cell>
          <cell r="D11" t="str">
            <v>M-32/01</v>
          </cell>
          <cell r="E11" t="str">
            <v>Aggregate Bedding</v>
          </cell>
          <cell r="G11">
            <v>5</v>
          </cell>
          <cell r="M11" t="str">
            <v>I</v>
          </cell>
          <cell r="N11">
            <v>9</v>
          </cell>
        </row>
        <row r="12">
          <cell r="A12" t="str">
            <v>3/1-2</v>
          </cell>
          <cell r="D12" t="str">
            <v>M-32/02</v>
          </cell>
          <cell r="E12" t="str">
            <v>Air compressor 200-250 cfm</v>
          </cell>
          <cell r="G12">
            <v>6</v>
          </cell>
          <cell r="M12" t="str">
            <v>J</v>
          </cell>
          <cell r="N12">
            <v>10</v>
          </cell>
        </row>
        <row r="13">
          <cell r="A13" t="str">
            <v>3/1-3</v>
          </cell>
          <cell r="D13" t="str">
            <v>M-33</v>
          </cell>
          <cell r="E13" t="str">
            <v>Air compressor 200-250 cfm</v>
          </cell>
          <cell r="G13" t="str">
            <v>-</v>
          </cell>
          <cell r="M13" t="str">
            <v>K</v>
          </cell>
          <cell r="N13">
            <v>11</v>
          </cell>
        </row>
        <row r="14">
          <cell r="A14" t="str">
            <v>3/1-4</v>
          </cell>
          <cell r="D14" t="str">
            <v>M-37</v>
          </cell>
          <cell r="E14" t="str">
            <v>Air Valve Chambers</v>
          </cell>
          <cell r="G14" t="str">
            <v>"S" Bend</v>
          </cell>
          <cell r="M14" t="str">
            <v>L</v>
          </cell>
          <cell r="N14">
            <v>12</v>
          </cell>
        </row>
        <row r="15">
          <cell r="A15" t="str">
            <v>3/1-5</v>
          </cell>
          <cell r="D15" t="str">
            <v>M-38</v>
          </cell>
          <cell r="E15" t="str">
            <v>Backfill Trial  Holes</v>
          </cell>
          <cell r="G15" t="str">
            <v>For ARV</v>
          </cell>
          <cell r="M15" t="str">
            <v>M</v>
          </cell>
          <cell r="N15">
            <v>13</v>
          </cell>
        </row>
        <row r="16">
          <cell r="A16" t="str">
            <v>3/1-6</v>
          </cell>
          <cell r="D16" t="str">
            <v>M-39</v>
          </cell>
          <cell r="E16" t="str">
            <v>Blank  Flanges</v>
          </cell>
          <cell r="G16" t="str">
            <v>For PB</v>
          </cell>
          <cell r="M16" t="str">
            <v>N</v>
          </cell>
          <cell r="N16">
            <v>14</v>
          </cell>
        </row>
        <row r="17">
          <cell r="A17" t="str">
            <v>3/1-7</v>
          </cell>
          <cell r="D17" t="str">
            <v>M-42</v>
          </cell>
          <cell r="E17" t="str">
            <v>Blank  Flanges</v>
          </cell>
          <cell r="G17" t="str">
            <v>For SB</v>
          </cell>
          <cell r="M17" t="str">
            <v>O</v>
          </cell>
          <cell r="N17">
            <v>15</v>
          </cell>
        </row>
        <row r="18">
          <cell r="A18" t="str">
            <v>3/1-8</v>
          </cell>
          <cell r="D18" t="str">
            <v>M-43</v>
          </cell>
          <cell r="E18" t="str">
            <v>Branch Valve chamber Type BR1</v>
          </cell>
          <cell r="G18" t="str">
            <v>For UGFH</v>
          </cell>
          <cell r="M18" t="str">
            <v>P</v>
          </cell>
          <cell r="N18">
            <v>16</v>
          </cell>
        </row>
        <row r="19">
          <cell r="A19" t="str">
            <v>3/1-9</v>
          </cell>
          <cell r="D19" t="str">
            <v>MW-5</v>
          </cell>
          <cell r="E19" t="str">
            <v>Branch Valve Chamber Type BR2</v>
          </cell>
          <cell r="G19" t="str">
            <v>For VC</v>
          </cell>
          <cell r="M19" t="str">
            <v>Q</v>
          </cell>
          <cell r="N19">
            <v>17</v>
          </cell>
        </row>
        <row r="20">
          <cell r="A20" t="str">
            <v>3/1-10</v>
          </cell>
          <cell r="D20" t="str">
            <v>600mm in ME</v>
          </cell>
          <cell r="E20" t="str">
            <v>Branch Valve Chamber Type BR3</v>
          </cell>
          <cell r="M20" t="str">
            <v>R</v>
          </cell>
          <cell r="N20">
            <v>18</v>
          </cell>
        </row>
        <row r="21">
          <cell r="A21" t="str">
            <v>3/2-1</v>
          </cell>
          <cell r="D21" t="str">
            <v>600mm in M</v>
          </cell>
          <cell r="E21" t="str">
            <v>BULK CONSUMER</v>
          </cell>
          <cell r="M21" t="str">
            <v>S</v>
          </cell>
          <cell r="N21">
            <v>19</v>
          </cell>
        </row>
        <row r="22">
          <cell r="A22" t="str">
            <v>3/2-2</v>
          </cell>
          <cell r="D22" t="str">
            <v>1200mm</v>
          </cell>
          <cell r="E22" t="str">
            <v>BULK EXCAVATION</v>
          </cell>
          <cell r="M22" t="str">
            <v>T</v>
          </cell>
          <cell r="N22">
            <v>20</v>
          </cell>
        </row>
        <row r="23">
          <cell r="A23" t="str">
            <v>3/2-3</v>
          </cell>
          <cell r="D23" t="str">
            <v>ADNOC</v>
          </cell>
          <cell r="E23" t="str">
            <v>Cement grouted stone pitching</v>
          </cell>
          <cell r="M23" t="str">
            <v>U</v>
          </cell>
          <cell r="N23">
            <v>21</v>
          </cell>
        </row>
        <row r="24">
          <cell r="A24" t="str">
            <v>3/2-4</v>
          </cell>
          <cell r="D24" t="str">
            <v>N-1</v>
          </cell>
          <cell r="E24" t="str">
            <v>Collars And Couplings</v>
          </cell>
          <cell r="M24" t="str">
            <v>V</v>
          </cell>
          <cell r="N24">
            <v>22</v>
          </cell>
        </row>
        <row r="25">
          <cell r="A25" t="str">
            <v>3/2-5</v>
          </cell>
          <cell r="D25" t="str">
            <v>S-1</v>
          </cell>
          <cell r="E25" t="str">
            <v>Collars And Couplings</v>
          </cell>
          <cell r="M25" t="str">
            <v>W</v>
          </cell>
          <cell r="N25">
            <v>23</v>
          </cell>
        </row>
        <row r="26">
          <cell r="A26" t="str">
            <v>3/2-6</v>
          </cell>
          <cell r="D26" t="str">
            <v>S-2</v>
          </cell>
          <cell r="E26" t="str">
            <v>Compactor (heavy)</v>
          </cell>
          <cell r="M26" t="str">
            <v>X</v>
          </cell>
          <cell r="N26">
            <v>24</v>
          </cell>
        </row>
        <row r="27">
          <cell r="A27" t="str">
            <v>3/2-7</v>
          </cell>
          <cell r="D27" t="str">
            <v>S-6</v>
          </cell>
          <cell r="E27" t="str">
            <v>Compactor (heavy)</v>
          </cell>
          <cell r="M27" t="str">
            <v>Y</v>
          </cell>
          <cell r="N27">
            <v>25</v>
          </cell>
        </row>
        <row r="28">
          <cell r="A28" t="str">
            <v>3/2-8</v>
          </cell>
          <cell r="E28" t="str">
            <v>Compactor (light)</v>
          </cell>
          <cell r="M28" t="str">
            <v>Z</v>
          </cell>
          <cell r="N28">
            <v>26</v>
          </cell>
        </row>
        <row r="29">
          <cell r="A29" t="str">
            <v>3/3-1</v>
          </cell>
          <cell r="E29" t="str">
            <v>Compactor (light)</v>
          </cell>
          <cell r="M29" t="str">
            <v>N/A</v>
          </cell>
          <cell r="N29">
            <v>27</v>
          </cell>
        </row>
        <row r="30">
          <cell r="A30" t="str">
            <v>3/3-2</v>
          </cell>
          <cell r="E30" t="str">
            <v>Concrete Class A</v>
          </cell>
          <cell r="N30">
            <v>28</v>
          </cell>
        </row>
        <row r="31">
          <cell r="A31" t="str">
            <v>3/3-3</v>
          </cell>
          <cell r="E31" t="str">
            <v>Concrete Class A</v>
          </cell>
          <cell r="N31">
            <v>29</v>
          </cell>
        </row>
        <row r="32">
          <cell r="A32" t="str">
            <v>3/3-4</v>
          </cell>
          <cell r="E32" t="str">
            <v>Concrete Class B</v>
          </cell>
          <cell r="N32">
            <v>30</v>
          </cell>
        </row>
        <row r="33">
          <cell r="A33" t="str">
            <v>3/3-5</v>
          </cell>
          <cell r="E33" t="str">
            <v>Concrete Class B</v>
          </cell>
          <cell r="N33">
            <v>31</v>
          </cell>
        </row>
        <row r="34">
          <cell r="A34" t="str">
            <v>3/3-6</v>
          </cell>
          <cell r="E34" t="str">
            <v>Concrete Class C</v>
          </cell>
          <cell r="N34">
            <v>32</v>
          </cell>
        </row>
        <row r="35">
          <cell r="A35" t="str">
            <v>3/3-7</v>
          </cell>
          <cell r="E35" t="str">
            <v>Concrete Class C</v>
          </cell>
          <cell r="N35">
            <v>33</v>
          </cell>
        </row>
        <row r="36">
          <cell r="A36" t="str">
            <v>3/3-8</v>
          </cell>
          <cell r="E36" t="str">
            <v>Concrete Mixer</v>
          </cell>
          <cell r="N36">
            <v>34</v>
          </cell>
        </row>
        <row r="37">
          <cell r="A37" t="str">
            <v>3/4-1</v>
          </cell>
          <cell r="E37" t="str">
            <v>Concrete Mixer</v>
          </cell>
          <cell r="N37">
            <v>35</v>
          </cell>
        </row>
        <row r="38">
          <cell r="A38" t="str">
            <v>3/4-2</v>
          </cell>
          <cell r="E38" t="str">
            <v>Concrete protection Slabs</v>
          </cell>
          <cell r="N38">
            <v>36</v>
          </cell>
        </row>
        <row r="39">
          <cell r="A39" t="str">
            <v>3/4-3</v>
          </cell>
          <cell r="E39" t="str">
            <v>Connection to existing pipelines</v>
          </cell>
          <cell r="N39">
            <v>37</v>
          </cell>
        </row>
        <row r="40">
          <cell r="A40" t="str">
            <v>3/4-4</v>
          </cell>
          <cell r="E40" t="str">
            <v>Control Valve Chambers</v>
          </cell>
          <cell r="N40">
            <v>38</v>
          </cell>
        </row>
        <row r="41">
          <cell r="A41" t="str">
            <v>3/4-5</v>
          </cell>
          <cell r="E41" t="str">
            <v>Conversion to Mechanically Restrained</v>
          </cell>
          <cell r="N41">
            <v>39</v>
          </cell>
        </row>
        <row r="42">
          <cell r="A42" t="str">
            <v>3/4-6</v>
          </cell>
          <cell r="E42" t="str">
            <v>Crane up to 5 Tons</v>
          </cell>
          <cell r="N42">
            <v>40</v>
          </cell>
        </row>
        <row r="43">
          <cell r="A43" t="str">
            <v>3/4-7</v>
          </cell>
          <cell r="E43" t="str">
            <v>Crane up to 5 Tons</v>
          </cell>
          <cell r="N43">
            <v>41</v>
          </cell>
        </row>
        <row r="44">
          <cell r="A44" t="str">
            <v>3/4-8</v>
          </cell>
          <cell r="E44" t="str">
            <v>Craneage and Labour</v>
          </cell>
          <cell r="N44">
            <v>42</v>
          </cell>
        </row>
        <row r="45">
          <cell r="A45" t="str">
            <v>3/4-9</v>
          </cell>
          <cell r="E45" t="str">
            <v>DEMOLISH</v>
          </cell>
          <cell r="N45" t="str">
            <v>N/A</v>
          </cell>
        </row>
        <row r="46">
          <cell r="A46" t="str">
            <v>3/5-1</v>
          </cell>
          <cell r="E46" t="str">
            <v>DEMOLISH</v>
          </cell>
        </row>
        <row r="47">
          <cell r="A47" t="str">
            <v>3/5-2</v>
          </cell>
          <cell r="E47" t="str">
            <v>Depressurise connection/Disconnection</v>
          </cell>
        </row>
        <row r="48">
          <cell r="A48" t="str">
            <v>3/5-3</v>
          </cell>
          <cell r="E48" t="str">
            <v>Dewatering Pump with Ancillaries, well points</v>
          </cell>
        </row>
        <row r="49">
          <cell r="A49" t="str">
            <v>3/5-4</v>
          </cell>
          <cell r="E49" t="str">
            <v>Dewatering Pump with Ancillaries, well points</v>
          </cell>
        </row>
        <row r="50">
          <cell r="A50" t="str">
            <v>3/5-5</v>
          </cell>
          <cell r="E50" t="str">
            <v>Dewatering Pump with suction and Discharge line</v>
          </cell>
        </row>
        <row r="51">
          <cell r="A51" t="str">
            <v>3/5-6</v>
          </cell>
          <cell r="E51" t="str">
            <v>Dewatering Pump with suction and Discharge line</v>
          </cell>
        </row>
        <row r="52">
          <cell r="A52" t="str">
            <v>3/5-7</v>
          </cell>
          <cell r="E52" t="str">
            <v>Discharge line 6"</v>
          </cell>
        </row>
        <row r="53">
          <cell r="A53" t="str">
            <v>3/5-8</v>
          </cell>
          <cell r="E53" t="str">
            <v>Discharge line 6"</v>
          </cell>
        </row>
        <row r="54">
          <cell r="A54" t="str">
            <v>3/5-9</v>
          </cell>
          <cell r="E54" t="str">
            <v>Dismantling Joints and Flanged Adaptors</v>
          </cell>
        </row>
        <row r="55">
          <cell r="A55" t="str">
            <v>3/5-10</v>
          </cell>
          <cell r="E55" t="str">
            <v>Dismantling Joints and Flanged Adaptors</v>
          </cell>
        </row>
        <row r="56">
          <cell r="A56" t="str">
            <v>3/5-11</v>
          </cell>
          <cell r="E56" t="str">
            <v>Double Connection/Disconnection</v>
          </cell>
        </row>
        <row r="57">
          <cell r="A57" t="str">
            <v>3/5-12</v>
          </cell>
          <cell r="E57" t="str">
            <v>E.O excavation for concrete fill protection</v>
          </cell>
        </row>
        <row r="58">
          <cell r="A58" t="str">
            <v>3/5-13</v>
          </cell>
          <cell r="E58" t="str">
            <v>E.O. chamber for WALLS OF INCREASED SECTION</v>
          </cell>
        </row>
        <row r="59">
          <cell r="A59" t="str">
            <v>3/5-14</v>
          </cell>
          <cell r="E59" t="str">
            <v>E.O. Nominal Excavation</v>
          </cell>
        </row>
        <row r="60">
          <cell r="A60" t="str">
            <v>3/5-15</v>
          </cell>
          <cell r="E60" t="str">
            <v>Embankment</v>
          </cell>
        </row>
        <row r="61">
          <cell r="A61" t="str">
            <v>3/6-1</v>
          </cell>
          <cell r="E61" t="str">
            <v>Equipment (Backhoe)</v>
          </cell>
        </row>
        <row r="62">
          <cell r="A62" t="str">
            <v>3/6-2</v>
          </cell>
          <cell r="E62" t="str">
            <v>Equipment (Backhoe)</v>
          </cell>
        </row>
        <row r="63">
          <cell r="A63" t="str">
            <v>3/6-3</v>
          </cell>
          <cell r="E63" t="str">
            <v>EXCAVATE</v>
          </cell>
        </row>
        <row r="64">
          <cell r="A64" t="str">
            <v>3/6-4</v>
          </cell>
          <cell r="E64" t="str">
            <v>Excavator</v>
          </cell>
        </row>
        <row r="65">
          <cell r="A65" t="str">
            <v>3/6-5</v>
          </cell>
          <cell r="E65" t="str">
            <v>Excavator</v>
          </cell>
        </row>
        <row r="66">
          <cell r="A66" t="str">
            <v>3/6-6</v>
          </cell>
          <cell r="E66" t="str">
            <v>EXHUME FITTINGS</v>
          </cell>
        </row>
        <row r="67">
          <cell r="A67" t="str">
            <v>3/6-7</v>
          </cell>
          <cell r="E67" t="str">
            <v>EXHUME PIPELINES</v>
          </cell>
        </row>
        <row r="68">
          <cell r="A68" t="str">
            <v>3/6-8</v>
          </cell>
          <cell r="E68" t="str">
            <v>Fill with cement grout annular void between pipe &amp; steel sleeve</v>
          </cell>
        </row>
        <row r="69">
          <cell r="A69" t="str">
            <v>3/6-9</v>
          </cell>
          <cell r="E69" t="str">
            <v>Filling abandoned lines with cement</v>
          </cell>
        </row>
        <row r="70">
          <cell r="A70" t="str">
            <v>3/6-10</v>
          </cell>
          <cell r="E70" t="str">
            <v>Flood lighting Equipment</v>
          </cell>
        </row>
        <row r="71">
          <cell r="A71" t="str">
            <v>3/7-1</v>
          </cell>
          <cell r="E71" t="str">
            <v>Flood lighting Equipment</v>
          </cell>
        </row>
        <row r="72">
          <cell r="A72" t="str">
            <v>3/7-2</v>
          </cell>
          <cell r="E72" t="str">
            <v>Foreman</v>
          </cell>
        </row>
        <row r="73">
          <cell r="A73" t="str">
            <v>3/7-3</v>
          </cell>
          <cell r="E73" t="str">
            <v>Foreman</v>
          </cell>
        </row>
        <row r="74">
          <cell r="A74" t="str">
            <v>3/7-4</v>
          </cell>
          <cell r="E74" t="str">
            <v>General Excavation</v>
          </cell>
        </row>
        <row r="75">
          <cell r="A75" t="str">
            <v>3/7-5</v>
          </cell>
          <cell r="E75" t="str">
            <v>Generator (Including power Tools)</v>
          </cell>
        </row>
        <row r="76">
          <cell r="A76" t="str">
            <v>3/7-6</v>
          </cell>
          <cell r="E76" t="str">
            <v>Generator (Including power Tools)</v>
          </cell>
        </row>
        <row r="77">
          <cell r="A77" t="str">
            <v>3/7-7</v>
          </cell>
          <cell r="E77" t="str">
            <v>Install  pipes</v>
          </cell>
        </row>
        <row r="78">
          <cell r="A78" t="str">
            <v>3/7-8</v>
          </cell>
          <cell r="E78" t="str">
            <v>Install Extension Spindles</v>
          </cell>
        </row>
        <row r="79">
          <cell r="A79" t="str">
            <v>3/7-9</v>
          </cell>
          <cell r="E79" t="str">
            <v>Install Extension Spindles</v>
          </cell>
        </row>
        <row r="80">
          <cell r="A80" t="str">
            <v>3/7-10</v>
          </cell>
          <cell r="E80" t="str">
            <v>Install Gate valves in concrete stop valve box</v>
          </cell>
        </row>
        <row r="81">
          <cell r="A81" t="str">
            <v>3/7-11</v>
          </cell>
          <cell r="E81" t="str">
            <v>Install Gate valves in concrete stop valve box</v>
          </cell>
        </row>
        <row r="82">
          <cell r="A82" t="str">
            <v>3/8-1</v>
          </cell>
          <cell r="E82" t="str">
            <v>Install Mechnically Restrained pipelines</v>
          </cell>
        </row>
        <row r="83">
          <cell r="A83" t="str">
            <v>3/8-2</v>
          </cell>
          <cell r="E83" t="str">
            <v>Install Monitoring point Accessories</v>
          </cell>
        </row>
        <row r="84">
          <cell r="A84" t="str">
            <v>3/8-3</v>
          </cell>
          <cell r="E84" t="str">
            <v>Install Monitoring point Accessories</v>
          </cell>
        </row>
        <row r="85">
          <cell r="A85" t="str">
            <v>3/9-1</v>
          </cell>
          <cell r="E85" t="str">
            <v>Install Pillar Type Fire Hydrant</v>
          </cell>
        </row>
        <row r="86">
          <cell r="A86" t="str">
            <v>3/9-2</v>
          </cell>
          <cell r="E86" t="str">
            <v>Install Pillar Type Fire Hydrant</v>
          </cell>
        </row>
        <row r="87">
          <cell r="A87" t="str">
            <v>3/9-3</v>
          </cell>
          <cell r="E87" t="str">
            <v>Install polyethene pipes</v>
          </cell>
        </row>
        <row r="88">
          <cell r="A88" t="str">
            <v>3/9-4</v>
          </cell>
          <cell r="E88" t="str">
            <v>Install polyethene pipes</v>
          </cell>
        </row>
        <row r="89">
          <cell r="A89" t="str">
            <v>3/9-5</v>
          </cell>
          <cell r="E89" t="str">
            <v>Install service saddle and Ferrules</v>
          </cell>
        </row>
        <row r="90">
          <cell r="A90" t="str">
            <v>3/10-1</v>
          </cell>
          <cell r="E90" t="str">
            <v>Install service saddle and Ferrules</v>
          </cell>
        </row>
        <row r="91">
          <cell r="A91" t="str">
            <v>3/10-2</v>
          </cell>
          <cell r="E91" t="str">
            <v>Install Traffic posts at Fire hydrant location</v>
          </cell>
        </row>
        <row r="92">
          <cell r="A92" t="str">
            <v>3/10-3</v>
          </cell>
          <cell r="E92" t="str">
            <v>Install under ground Fire Hydrant</v>
          </cell>
        </row>
        <row r="93">
          <cell r="A93" t="str">
            <v>3/10-4</v>
          </cell>
          <cell r="E93" t="str">
            <v>Install under ground Fire Hydrant</v>
          </cell>
        </row>
        <row r="94">
          <cell r="A94" t="str">
            <v>3/11-1</v>
          </cell>
          <cell r="E94" t="str">
            <v>Install UPVC ducting and Blue marker Tape</v>
          </cell>
        </row>
        <row r="95">
          <cell r="A95" t="str">
            <v>3/11-2</v>
          </cell>
          <cell r="E95" t="str">
            <v>Install UPVC ducting and Blue marker Tape</v>
          </cell>
        </row>
        <row r="96">
          <cell r="A96" t="str">
            <v>3/11-3</v>
          </cell>
          <cell r="E96" t="str">
            <v>Install Water meters</v>
          </cell>
        </row>
        <row r="97">
          <cell r="A97" t="str">
            <v>3/12-1</v>
          </cell>
          <cell r="E97" t="str">
            <v>Install Water meters</v>
          </cell>
        </row>
        <row r="98">
          <cell r="A98" t="str">
            <v>3/12-2</v>
          </cell>
          <cell r="E98" t="str">
            <v>Install water meters, locable gate valves</v>
          </cell>
        </row>
        <row r="99">
          <cell r="A99" t="str">
            <v>3/12-3</v>
          </cell>
          <cell r="E99" t="str">
            <v>Install water meters, locable gate valves</v>
          </cell>
        </row>
        <row r="100">
          <cell r="A100" t="str">
            <v>3/13-1</v>
          </cell>
          <cell r="E100" t="str">
            <v>Installation double flanged control valve</v>
          </cell>
        </row>
        <row r="101">
          <cell r="A101" t="str">
            <v>3/13-2</v>
          </cell>
          <cell r="E101" t="str">
            <v>Installation double flanged control valve</v>
          </cell>
        </row>
        <row r="102">
          <cell r="A102" t="str">
            <v>3/13-3</v>
          </cell>
          <cell r="E102" t="str">
            <v>Installation of Air Valves</v>
          </cell>
        </row>
        <row r="103">
          <cell r="A103" t="str">
            <v>3/13-4</v>
          </cell>
          <cell r="E103" t="str">
            <v>Installation of Air Valves</v>
          </cell>
        </row>
        <row r="104">
          <cell r="A104" t="str">
            <v>3/13-5</v>
          </cell>
          <cell r="E104" t="str">
            <v>Installation of Bends-Double Flanged</v>
          </cell>
        </row>
        <row r="105">
          <cell r="A105" t="str">
            <v>3/14-1</v>
          </cell>
          <cell r="E105" t="str">
            <v>Installation of Bends-Double Flanged</v>
          </cell>
        </row>
        <row r="106">
          <cell r="A106" t="str">
            <v>3/14-2</v>
          </cell>
          <cell r="E106" t="str">
            <v>Installation of Bends-double socketed</v>
          </cell>
        </row>
        <row r="107">
          <cell r="A107" t="str">
            <v>3/14-3</v>
          </cell>
          <cell r="E107" t="str">
            <v>Installation of Bends-double socketed</v>
          </cell>
        </row>
        <row r="108">
          <cell r="A108" t="str">
            <v>3/14-4</v>
          </cell>
          <cell r="E108" t="str">
            <v>Installation of Butterfly Valves</v>
          </cell>
        </row>
        <row r="109">
          <cell r="A109" t="str">
            <v>3/14-5</v>
          </cell>
          <cell r="E109" t="str">
            <v>Installation of Butterfly Valves</v>
          </cell>
        </row>
        <row r="110">
          <cell r="A110" t="str">
            <v>3/14-6</v>
          </cell>
          <cell r="E110" t="str">
            <v>Installation of Flanged Reducer Reducing Flange</v>
          </cell>
        </row>
        <row r="111">
          <cell r="A111" t="str">
            <v>3/15-1</v>
          </cell>
          <cell r="E111" t="str">
            <v>Installation of Flanged Reducer Reducing Flange</v>
          </cell>
        </row>
        <row r="112">
          <cell r="A112" t="str">
            <v>3/15-2</v>
          </cell>
          <cell r="E112" t="str">
            <v>Installation of Flanged socket</v>
          </cell>
        </row>
        <row r="113">
          <cell r="A113" t="str">
            <v>3/15-3</v>
          </cell>
          <cell r="E113" t="str">
            <v>Installation of Flanged socket</v>
          </cell>
        </row>
        <row r="114">
          <cell r="A114" t="str">
            <v>3/15-4</v>
          </cell>
          <cell r="E114" t="str">
            <v>Installation of Flanged spigot</v>
          </cell>
        </row>
        <row r="115">
          <cell r="A115" t="str">
            <v>3/15-5</v>
          </cell>
          <cell r="E115" t="str">
            <v>Installation of Flanged spigot</v>
          </cell>
        </row>
        <row r="116">
          <cell r="A116" t="str">
            <v>3/15-6</v>
          </cell>
          <cell r="E116" t="str">
            <v>Installation of GRP Meter Box</v>
          </cell>
        </row>
        <row r="117">
          <cell r="A117" t="str">
            <v>3/15-7</v>
          </cell>
          <cell r="E117" t="str">
            <v>Installation of GRP Meter Box</v>
          </cell>
        </row>
        <row r="118">
          <cell r="A118" t="str">
            <v>3/15-8</v>
          </cell>
          <cell r="E118" t="str">
            <v>Installation of MR Joints</v>
          </cell>
        </row>
        <row r="119">
          <cell r="A119" t="str">
            <v>3/16-1</v>
          </cell>
          <cell r="E119" t="str">
            <v>Installation of Reducer-double socketed</v>
          </cell>
        </row>
        <row r="120">
          <cell r="A120" t="str">
            <v>3/16-2</v>
          </cell>
          <cell r="E120" t="str">
            <v>Installation of Reducer-double socketed</v>
          </cell>
        </row>
        <row r="121">
          <cell r="A121" t="str">
            <v>3/16-3</v>
          </cell>
          <cell r="E121" t="str">
            <v>Installation of S-bends</v>
          </cell>
        </row>
        <row r="122">
          <cell r="A122" t="str">
            <v>3/17-1</v>
          </cell>
          <cell r="E122" t="str">
            <v>Installation of S-bends</v>
          </cell>
        </row>
        <row r="123">
          <cell r="A123" t="str">
            <v>3/17-2</v>
          </cell>
          <cell r="E123" t="str">
            <v>Installation of Sluice Valves</v>
          </cell>
        </row>
        <row r="124">
          <cell r="A124" t="str">
            <v>3/17-3</v>
          </cell>
          <cell r="E124" t="str">
            <v>Installation of Sluice Valves</v>
          </cell>
        </row>
        <row r="125">
          <cell r="A125" t="str">
            <v>3/17-4</v>
          </cell>
          <cell r="E125" t="str">
            <v>Installation of Spigot/Spigot pipe</v>
          </cell>
        </row>
        <row r="126">
          <cell r="A126" t="str">
            <v>3/17-5</v>
          </cell>
          <cell r="E126" t="str">
            <v>Installation of Spigot/Spigot pipe</v>
          </cell>
        </row>
        <row r="127">
          <cell r="A127" t="str">
            <v>3/17-6</v>
          </cell>
          <cell r="E127" t="str">
            <v>Installation of Spool pieces</v>
          </cell>
        </row>
        <row r="128">
          <cell r="A128" t="str">
            <v>3/17-7</v>
          </cell>
          <cell r="E128" t="str">
            <v>Installation of Spool pieces</v>
          </cell>
        </row>
        <row r="129">
          <cell r="A129" t="str">
            <v>4/1-1</v>
          </cell>
          <cell r="E129" t="str">
            <v>Installation of Tees-All Flanged</v>
          </cell>
        </row>
        <row r="130">
          <cell r="A130" t="str">
            <v>4/1-2</v>
          </cell>
          <cell r="E130" t="str">
            <v>Installation of Tees-All Flanged</v>
          </cell>
        </row>
        <row r="131">
          <cell r="A131" t="str">
            <v>4/1-3</v>
          </cell>
          <cell r="E131" t="str">
            <v>Installation of Tees-All socketed</v>
          </cell>
        </row>
        <row r="132">
          <cell r="A132" t="str">
            <v>4/1-4</v>
          </cell>
          <cell r="E132" t="str">
            <v>Installation of Tees-All socketed</v>
          </cell>
        </row>
        <row r="133">
          <cell r="A133" t="str">
            <v>4/1-5</v>
          </cell>
          <cell r="E133" t="str">
            <v>Installation of Tees-Double socket with Fl. Br.</v>
          </cell>
        </row>
        <row r="134">
          <cell r="A134" t="str">
            <v>4/1-6</v>
          </cell>
          <cell r="E134" t="str">
            <v>Installation of Tees-Double socket with Fl. Br.</v>
          </cell>
        </row>
        <row r="135">
          <cell r="A135" t="str">
            <v>4/1-7</v>
          </cell>
          <cell r="E135" t="str">
            <v>Installation of water stop flanges</v>
          </cell>
        </row>
        <row r="136">
          <cell r="A136" t="str">
            <v>4/1-8</v>
          </cell>
          <cell r="E136" t="str">
            <v>Installation of water stop flanges</v>
          </cell>
        </row>
        <row r="137">
          <cell r="A137" t="str">
            <v>4/1-9</v>
          </cell>
          <cell r="E137" t="str">
            <v>LADDERS</v>
          </cell>
        </row>
        <row r="138">
          <cell r="A138" t="str">
            <v>4/1-10</v>
          </cell>
          <cell r="E138" t="str">
            <v>Marine plywood for formwork</v>
          </cell>
        </row>
        <row r="139">
          <cell r="A139" t="str">
            <v>4/1-11</v>
          </cell>
          <cell r="E139" t="str">
            <v>Marine plywood for formwork</v>
          </cell>
        </row>
        <row r="140">
          <cell r="A140" t="str">
            <v>4/1-12</v>
          </cell>
          <cell r="E140" t="str">
            <v>MARKER POST</v>
          </cell>
        </row>
        <row r="141">
          <cell r="A141" t="str">
            <v>4/2-1</v>
          </cell>
          <cell r="E141" t="str">
            <v>Mass insitu concrete</v>
          </cell>
        </row>
        <row r="142">
          <cell r="A142" t="str">
            <v>4/2-2</v>
          </cell>
          <cell r="E142" t="str">
            <v>Measuring point Chambers</v>
          </cell>
        </row>
        <row r="143">
          <cell r="A143" t="str">
            <v>4/2-3</v>
          </cell>
          <cell r="E143" t="str">
            <v>NON-DISRUPTIVE CROSSING OF ROADS</v>
          </cell>
        </row>
        <row r="144">
          <cell r="A144" t="str">
            <v>4/2-4</v>
          </cell>
          <cell r="E144" t="str">
            <v>Pick-Up</v>
          </cell>
        </row>
        <row r="145">
          <cell r="A145" t="str">
            <v>4/3-1</v>
          </cell>
          <cell r="E145" t="str">
            <v>Pick-Up</v>
          </cell>
        </row>
        <row r="146">
          <cell r="A146" t="str">
            <v>4/3-2</v>
          </cell>
          <cell r="E146" t="str">
            <v>Pipelines Excavate</v>
          </cell>
        </row>
        <row r="147">
          <cell r="A147" t="str">
            <v>4/3-3</v>
          </cell>
          <cell r="E147" t="str">
            <v>Precast underground fire hydrant chambers</v>
          </cell>
        </row>
        <row r="148">
          <cell r="A148" t="str">
            <v>4/3-4</v>
          </cell>
          <cell r="E148" t="str">
            <v>R.C Line Anchor</v>
          </cell>
        </row>
        <row r="149">
          <cell r="A149" t="str">
            <v>4/3-5</v>
          </cell>
          <cell r="E149" t="str">
            <v>R.C. waterproofed CHAMBERS</v>
          </cell>
        </row>
        <row r="150">
          <cell r="A150" t="str">
            <v>4/3-6</v>
          </cell>
          <cell r="E150" t="str">
            <v>Refurbish exhumed fittings</v>
          </cell>
        </row>
        <row r="151">
          <cell r="A151" t="str">
            <v>4/3-7</v>
          </cell>
          <cell r="E151" t="str">
            <v>Refurbish exhumed pipelines in-situ</v>
          </cell>
        </row>
        <row r="152">
          <cell r="A152" t="str">
            <v>4/3-8</v>
          </cell>
          <cell r="E152" t="str">
            <v>Refurbish exhumed pipes</v>
          </cell>
        </row>
        <row r="153">
          <cell r="A153" t="str">
            <v>4/3-9</v>
          </cell>
          <cell r="E153" t="str">
            <v>REFURBISH EXISTING JOINTS</v>
          </cell>
        </row>
        <row r="154">
          <cell r="A154" t="str">
            <v>4/3-10</v>
          </cell>
          <cell r="E154" t="str">
            <v>REFURBISH EXISTING VALVES</v>
          </cell>
        </row>
        <row r="155">
          <cell r="A155" t="str">
            <v>4/4-1</v>
          </cell>
          <cell r="E155" t="str">
            <v>REHABILATION OF EXISTING CHAMBERS</v>
          </cell>
        </row>
        <row r="156">
          <cell r="A156" t="str">
            <v>4/4-2</v>
          </cell>
          <cell r="E156" t="str">
            <v>Reinforced concrete encased GRP protection duct</v>
          </cell>
        </row>
        <row r="157">
          <cell r="A157" t="str">
            <v>4/4-3</v>
          </cell>
          <cell r="E157" t="str">
            <v>Reinforced concrete encasement to PVC ducting</v>
          </cell>
        </row>
        <row r="158">
          <cell r="A158" t="str">
            <v>4/4-4</v>
          </cell>
          <cell r="E158" t="str">
            <v>Reinforced concrete Gate valve Box</v>
          </cell>
        </row>
        <row r="159">
          <cell r="A159" t="str">
            <v>4/5-1</v>
          </cell>
          <cell r="E159" t="str">
            <v>Reinforced insitu concrete</v>
          </cell>
        </row>
        <row r="160">
          <cell r="A160" t="str">
            <v>4/5-2</v>
          </cell>
          <cell r="E160" t="str">
            <v>Reinstate Existing Asphalt Road</v>
          </cell>
        </row>
        <row r="161">
          <cell r="A161" t="str">
            <v>4/5-3</v>
          </cell>
          <cell r="E161" t="str">
            <v>Reinstate Existing Tiled surfaces</v>
          </cell>
        </row>
        <row r="162">
          <cell r="A162" t="str">
            <v>4/5-4</v>
          </cell>
          <cell r="E162" t="str">
            <v>Seal ends of pipes</v>
          </cell>
        </row>
        <row r="163">
          <cell r="A163" t="str">
            <v>4/5-5</v>
          </cell>
          <cell r="E163" t="str">
            <v>Semi-Skilled Labour</v>
          </cell>
        </row>
        <row r="164">
          <cell r="A164" t="str">
            <v>4/5-6</v>
          </cell>
          <cell r="E164" t="str">
            <v>Semi-Skilled Labour</v>
          </cell>
        </row>
        <row r="165">
          <cell r="A165" t="str">
            <v>4/5-7</v>
          </cell>
          <cell r="E165" t="str">
            <v>Shovel</v>
          </cell>
        </row>
        <row r="166">
          <cell r="A166" t="str">
            <v>4/5-8</v>
          </cell>
          <cell r="E166" t="str">
            <v>Shovel</v>
          </cell>
        </row>
        <row r="167">
          <cell r="A167" t="str">
            <v>4/5-9</v>
          </cell>
          <cell r="E167" t="str">
            <v>Skilled Labour</v>
          </cell>
        </row>
        <row r="168">
          <cell r="A168" t="str">
            <v>4/5-10</v>
          </cell>
          <cell r="E168" t="str">
            <v>Skilled Labour</v>
          </cell>
        </row>
        <row r="169">
          <cell r="A169" t="str">
            <v>4/5-11</v>
          </cell>
          <cell r="E169" t="str">
            <v>Soft wood for formwork</v>
          </cell>
        </row>
        <row r="170">
          <cell r="A170" t="str">
            <v>4/5-12</v>
          </cell>
          <cell r="E170" t="str">
            <v>Soft wood for formwork</v>
          </cell>
        </row>
        <row r="171">
          <cell r="A171" t="str">
            <v>4/6-1</v>
          </cell>
          <cell r="E171" t="str">
            <v>Steel Bar reinforcement</v>
          </cell>
        </row>
        <row r="172">
          <cell r="A172" t="str">
            <v>4/6-7</v>
          </cell>
          <cell r="E172" t="str">
            <v>Stepped coupling for connecting pipes</v>
          </cell>
        </row>
        <row r="173">
          <cell r="A173" t="str">
            <v>4/6-8</v>
          </cell>
          <cell r="E173" t="str">
            <v>Stepped coupling for connecting pipes</v>
          </cell>
        </row>
        <row r="174">
          <cell r="A174" t="str">
            <v>4/6-9</v>
          </cell>
          <cell r="E174" t="str">
            <v>Supply aggregate</v>
          </cell>
        </row>
        <row r="175">
          <cell r="A175" t="str">
            <v>4/6-10</v>
          </cell>
          <cell r="E175" t="str">
            <v>Supply aggregate</v>
          </cell>
        </row>
        <row r="176">
          <cell r="A176" t="str">
            <v>4/6-11</v>
          </cell>
          <cell r="E176" t="str">
            <v>Supply aggregate maximum size 20mm</v>
          </cell>
        </row>
        <row r="177">
          <cell r="A177" t="str">
            <v>4/6-12</v>
          </cell>
          <cell r="E177" t="str">
            <v>Supply aggregate maximum size 20mm</v>
          </cell>
        </row>
        <row r="178">
          <cell r="A178" t="str">
            <v>4/7-1</v>
          </cell>
          <cell r="E178" t="str">
            <v>Supply sulphate resisting cement</v>
          </cell>
        </row>
        <row r="179">
          <cell r="A179" t="str">
            <v>4/7-2</v>
          </cell>
          <cell r="E179" t="str">
            <v>Supply sulphate resisting cement</v>
          </cell>
        </row>
        <row r="180">
          <cell r="A180" t="str">
            <v>4/7-3</v>
          </cell>
          <cell r="E180" t="str">
            <v>Tanker up  to 10 Ton</v>
          </cell>
        </row>
        <row r="181">
          <cell r="A181" t="str">
            <v>4/7-4</v>
          </cell>
          <cell r="E181" t="str">
            <v>Tanker up  to 10 Ton</v>
          </cell>
        </row>
        <row r="182">
          <cell r="A182" t="str">
            <v>4/7-5</v>
          </cell>
          <cell r="E182" t="str">
            <v>Tanking in two layers</v>
          </cell>
        </row>
        <row r="183">
          <cell r="A183" t="str">
            <v>4/7-6</v>
          </cell>
          <cell r="E183" t="str">
            <v>Tape wrapping of D.I. Pipes</v>
          </cell>
        </row>
        <row r="184">
          <cell r="A184" t="str">
            <v>4/7-7</v>
          </cell>
          <cell r="E184" t="str">
            <v>Tape wrapping of D.I. Pipes</v>
          </cell>
        </row>
        <row r="185">
          <cell r="A185" t="str">
            <v>4/7-8</v>
          </cell>
          <cell r="E185" t="str">
            <v>Tape wrapping of Joint Fittings</v>
          </cell>
        </row>
        <row r="186">
          <cell r="A186" t="str">
            <v>4/7-9</v>
          </cell>
          <cell r="E186" t="str">
            <v>Tape wrapping of Joint Fittings</v>
          </cell>
        </row>
        <row r="187">
          <cell r="A187" t="str">
            <v>4/7-10</v>
          </cell>
          <cell r="E187" t="str">
            <v xml:space="preserve">Tapping Equipment </v>
          </cell>
        </row>
        <row r="188">
          <cell r="A188" t="str">
            <v>4/7-11</v>
          </cell>
          <cell r="E188" t="str">
            <v xml:space="preserve">Tapping Equipment </v>
          </cell>
        </row>
        <row r="189">
          <cell r="A189" t="str">
            <v>4/7-12</v>
          </cell>
          <cell r="E189" t="str">
            <v>Testing and Sterilisation</v>
          </cell>
        </row>
        <row r="190">
          <cell r="A190" t="str">
            <v>4/7-13</v>
          </cell>
          <cell r="E190" t="str">
            <v>Testing and Sterilisation</v>
          </cell>
        </row>
        <row r="191">
          <cell r="A191" t="str">
            <v>4/7-14</v>
          </cell>
          <cell r="E191" t="str">
            <v>Thrust Block</v>
          </cell>
        </row>
        <row r="192">
          <cell r="A192" t="str">
            <v>4/8-1</v>
          </cell>
          <cell r="E192" t="str">
            <v>TOTAL</v>
          </cell>
        </row>
        <row r="193">
          <cell r="A193" t="str">
            <v>4/8-2</v>
          </cell>
          <cell r="E193" t="str">
            <v>Total</v>
          </cell>
        </row>
        <row r="194">
          <cell r="A194" t="str">
            <v>4/8-3</v>
          </cell>
          <cell r="E194" t="str">
            <v>TOTAL</v>
          </cell>
        </row>
        <row r="195">
          <cell r="A195" t="str">
            <v>4/8-4</v>
          </cell>
          <cell r="E195" t="str">
            <v>Total</v>
          </cell>
        </row>
        <row r="196">
          <cell r="A196" t="str">
            <v>4/8-5</v>
          </cell>
          <cell r="E196" t="str">
            <v>TOTAL</v>
          </cell>
        </row>
        <row r="197">
          <cell r="A197" t="str">
            <v>4/8-6</v>
          </cell>
          <cell r="E197" t="str">
            <v>Truck up  to 5 Tons</v>
          </cell>
        </row>
        <row r="198">
          <cell r="A198" t="str">
            <v>4/8-7</v>
          </cell>
          <cell r="E198" t="str">
            <v>Truck up  to 5 Tons</v>
          </cell>
        </row>
        <row r="199">
          <cell r="A199" t="str">
            <v>4/8-8</v>
          </cell>
          <cell r="E199" t="str">
            <v>Truck up to 10 Tons</v>
          </cell>
        </row>
        <row r="200">
          <cell r="A200" t="str">
            <v>4/8-9</v>
          </cell>
          <cell r="E200" t="str">
            <v>Truck up to 10 Tons</v>
          </cell>
        </row>
        <row r="201">
          <cell r="A201" t="str">
            <v>4/8-10</v>
          </cell>
          <cell r="E201" t="str">
            <v>Unskilled Labour</v>
          </cell>
        </row>
        <row r="202">
          <cell r="A202" t="str">
            <v>4/8-11</v>
          </cell>
          <cell r="E202" t="str">
            <v>Unskilled Labour</v>
          </cell>
        </row>
        <row r="203">
          <cell r="A203" t="str">
            <v>4/9-1</v>
          </cell>
          <cell r="E203" t="str">
            <v>Valve chamber Marker Block</v>
          </cell>
        </row>
        <row r="204">
          <cell r="A204" t="str">
            <v>4/9-2</v>
          </cell>
          <cell r="E204" t="str">
            <v>VENT PIPE</v>
          </cell>
        </row>
        <row r="205">
          <cell r="A205" t="str">
            <v>4/9-3</v>
          </cell>
          <cell r="E205" t="str">
            <v>WASHOUT</v>
          </cell>
        </row>
        <row r="206">
          <cell r="A206" t="str">
            <v>4/9-4</v>
          </cell>
          <cell r="E206" t="str">
            <v>Water meter chambers</v>
          </cell>
        </row>
        <row r="207">
          <cell r="A207" t="str">
            <v>4/9-5</v>
          </cell>
          <cell r="E207" t="str">
            <v>Welded Thrust Flanges</v>
          </cell>
        </row>
        <row r="208">
          <cell r="A208" t="str">
            <v>4/9-6</v>
          </cell>
          <cell r="E208" t="str">
            <v>Welded Thrust Flanges</v>
          </cell>
        </row>
        <row r="209">
          <cell r="A209" t="str">
            <v>4/9-7</v>
          </cell>
          <cell r="E209" t="str">
            <v>Welding , cutting equipment</v>
          </cell>
        </row>
        <row r="210">
          <cell r="A210" t="str">
            <v>4/9-8</v>
          </cell>
          <cell r="E210" t="str">
            <v>Welding , cutting equipment</v>
          </cell>
        </row>
        <row r="211">
          <cell r="A211" t="str">
            <v>4/9-9</v>
          </cell>
        </row>
        <row r="212">
          <cell r="A212" t="str">
            <v>4/9-10</v>
          </cell>
        </row>
        <row r="213">
          <cell r="A213" t="str">
            <v>4/9-11</v>
          </cell>
        </row>
        <row r="214">
          <cell r="A214" t="str">
            <v>4/9-12</v>
          </cell>
        </row>
        <row r="215">
          <cell r="A215" t="str">
            <v>4/9-13</v>
          </cell>
        </row>
        <row r="216">
          <cell r="A216" t="str">
            <v>4/10-1</v>
          </cell>
        </row>
        <row r="217">
          <cell r="A217" t="str">
            <v>4/10-2</v>
          </cell>
        </row>
        <row r="218">
          <cell r="A218" t="str">
            <v>4/10-3</v>
          </cell>
        </row>
        <row r="219">
          <cell r="A219" t="str">
            <v>4/10-4</v>
          </cell>
        </row>
        <row r="220">
          <cell r="A220" t="str">
            <v>4/10-5</v>
          </cell>
        </row>
        <row r="221">
          <cell r="A221" t="str">
            <v>4/10-6</v>
          </cell>
        </row>
        <row r="222">
          <cell r="A222" t="str">
            <v>4/10-7</v>
          </cell>
        </row>
        <row r="223">
          <cell r="A223" t="str">
            <v>4/10-8</v>
          </cell>
        </row>
        <row r="224">
          <cell r="A224" t="str">
            <v>4/10-9</v>
          </cell>
        </row>
        <row r="225">
          <cell r="A225" t="str">
            <v>4/10-10</v>
          </cell>
        </row>
        <row r="226">
          <cell r="A226" t="str">
            <v>4/10-11</v>
          </cell>
        </row>
        <row r="227">
          <cell r="A227" t="str">
            <v>4/10-12</v>
          </cell>
        </row>
        <row r="228">
          <cell r="A228" t="str">
            <v>4/11-1</v>
          </cell>
        </row>
        <row r="229">
          <cell r="A229" t="str">
            <v>4/11-2</v>
          </cell>
        </row>
        <row r="230">
          <cell r="A230" t="str">
            <v>4/11-3</v>
          </cell>
        </row>
        <row r="231">
          <cell r="A231" t="str">
            <v>4/11-4</v>
          </cell>
        </row>
        <row r="232">
          <cell r="A232" t="str">
            <v>4/11-5</v>
          </cell>
        </row>
        <row r="233">
          <cell r="A233" t="str">
            <v>4/11-6</v>
          </cell>
        </row>
        <row r="234">
          <cell r="A234" t="str">
            <v>4/11-7</v>
          </cell>
        </row>
        <row r="235">
          <cell r="A235" t="str">
            <v>4/11-8</v>
          </cell>
        </row>
        <row r="236">
          <cell r="A236" t="str">
            <v>4/11-9</v>
          </cell>
        </row>
        <row r="237">
          <cell r="A237" t="str">
            <v>4/11-10</v>
          </cell>
        </row>
        <row r="238">
          <cell r="A238" t="str">
            <v>4/12-1</v>
          </cell>
        </row>
        <row r="239">
          <cell r="A239" t="str">
            <v>4/12-2</v>
          </cell>
        </row>
        <row r="240">
          <cell r="A240" t="str">
            <v>4/12-3</v>
          </cell>
        </row>
        <row r="241">
          <cell r="A241" t="str">
            <v>4/12-4</v>
          </cell>
        </row>
        <row r="242">
          <cell r="A242" t="str">
            <v>4/12-5</v>
          </cell>
        </row>
        <row r="243">
          <cell r="A243" t="str">
            <v>4/12-6</v>
          </cell>
        </row>
        <row r="244">
          <cell r="A244" t="str">
            <v>4/12-7</v>
          </cell>
        </row>
        <row r="245">
          <cell r="A245" t="str">
            <v>4/12-8</v>
          </cell>
        </row>
        <row r="246">
          <cell r="A246" t="str">
            <v>4/12-9</v>
          </cell>
        </row>
        <row r="247">
          <cell r="A247" t="str">
            <v>4/12-10</v>
          </cell>
        </row>
        <row r="248">
          <cell r="A248" t="str">
            <v>4/12-11</v>
          </cell>
        </row>
        <row r="249">
          <cell r="A249" t="str">
            <v>4/12-12</v>
          </cell>
        </row>
        <row r="250">
          <cell r="A250" t="str">
            <v>4/12-13</v>
          </cell>
        </row>
        <row r="251">
          <cell r="A251" t="str">
            <v>4/13-1</v>
          </cell>
        </row>
        <row r="252">
          <cell r="A252" t="str">
            <v>4/13-2</v>
          </cell>
        </row>
        <row r="253">
          <cell r="A253" t="str">
            <v>4/13-3</v>
          </cell>
        </row>
        <row r="254">
          <cell r="A254" t="str">
            <v>4/13-4</v>
          </cell>
        </row>
        <row r="255">
          <cell r="A255" t="str">
            <v>4/13-5</v>
          </cell>
        </row>
        <row r="256">
          <cell r="A256" t="str">
            <v>4/13-6</v>
          </cell>
        </row>
        <row r="257">
          <cell r="A257" t="str">
            <v>4/13-7</v>
          </cell>
        </row>
        <row r="258">
          <cell r="A258" t="str">
            <v>4/13-8</v>
          </cell>
        </row>
        <row r="259">
          <cell r="A259" t="str">
            <v>4/13-9</v>
          </cell>
        </row>
        <row r="260">
          <cell r="A260" t="str">
            <v>4/14-1</v>
          </cell>
        </row>
        <row r="261">
          <cell r="A261" t="str">
            <v>4/14-2</v>
          </cell>
        </row>
        <row r="262">
          <cell r="A262" t="str">
            <v>4/14-3</v>
          </cell>
        </row>
        <row r="263">
          <cell r="A263" t="str">
            <v>4/15-1</v>
          </cell>
        </row>
        <row r="264">
          <cell r="A264" t="str">
            <v>4/15-2</v>
          </cell>
        </row>
        <row r="265">
          <cell r="A265" t="str">
            <v>4/15-3</v>
          </cell>
        </row>
        <row r="266">
          <cell r="A266" t="str">
            <v>4/16-1</v>
          </cell>
        </row>
        <row r="267">
          <cell r="A267" t="str">
            <v>4/16-2</v>
          </cell>
        </row>
        <row r="268">
          <cell r="A268" t="str">
            <v>5/1-1</v>
          </cell>
        </row>
        <row r="269">
          <cell r="A269" t="str">
            <v>5/1-2</v>
          </cell>
        </row>
        <row r="270">
          <cell r="A270" t="str">
            <v>5/1-3</v>
          </cell>
        </row>
        <row r="271">
          <cell r="A271" t="str">
            <v>5/1-4</v>
          </cell>
        </row>
        <row r="272">
          <cell r="A272" t="str">
            <v>5/1-5</v>
          </cell>
        </row>
        <row r="273">
          <cell r="A273" t="str">
            <v>5/1-6</v>
          </cell>
        </row>
        <row r="274">
          <cell r="A274" t="str">
            <v>5/1-7</v>
          </cell>
        </row>
        <row r="275">
          <cell r="A275" t="str">
            <v>5/1-8</v>
          </cell>
        </row>
        <row r="276">
          <cell r="A276" t="str">
            <v>5/1-9</v>
          </cell>
        </row>
        <row r="277">
          <cell r="A277" t="str">
            <v>5/1-10</v>
          </cell>
        </row>
        <row r="278">
          <cell r="A278" t="str">
            <v>5/1-11</v>
          </cell>
        </row>
        <row r="279">
          <cell r="A279" t="str">
            <v>5/1-12</v>
          </cell>
        </row>
        <row r="280">
          <cell r="A280" t="str">
            <v>5/1-13</v>
          </cell>
        </row>
        <row r="281">
          <cell r="A281" t="str">
            <v>5/1-14</v>
          </cell>
        </row>
        <row r="282">
          <cell r="A282" t="str">
            <v>5/1-15</v>
          </cell>
        </row>
        <row r="283">
          <cell r="A283" t="str">
            <v>5/1-16</v>
          </cell>
        </row>
        <row r="284">
          <cell r="A284" t="str">
            <v>5/2-1</v>
          </cell>
        </row>
        <row r="285">
          <cell r="A285" t="str">
            <v>5/2-2</v>
          </cell>
        </row>
        <row r="286">
          <cell r="A286" t="str">
            <v>5/2-3</v>
          </cell>
        </row>
        <row r="287">
          <cell r="A287" t="str">
            <v>5/2-4</v>
          </cell>
        </row>
        <row r="288">
          <cell r="A288" t="str">
            <v>5/2-5</v>
          </cell>
        </row>
        <row r="289">
          <cell r="A289" t="str">
            <v>5/2-6</v>
          </cell>
        </row>
        <row r="290">
          <cell r="A290" t="str">
            <v>5/2-7</v>
          </cell>
        </row>
        <row r="291">
          <cell r="A291" t="str">
            <v>5/3-1</v>
          </cell>
        </row>
        <row r="292">
          <cell r="A292" t="str">
            <v>5/3-2</v>
          </cell>
        </row>
        <row r="293">
          <cell r="A293" t="str">
            <v>5/3-3</v>
          </cell>
        </row>
        <row r="294">
          <cell r="A294" t="str">
            <v>5/3-4</v>
          </cell>
        </row>
        <row r="295">
          <cell r="A295" t="str">
            <v>5/3-5</v>
          </cell>
        </row>
        <row r="296">
          <cell r="A296" t="str">
            <v>5/3-6</v>
          </cell>
        </row>
        <row r="297">
          <cell r="A297" t="str">
            <v>5/3-7</v>
          </cell>
        </row>
        <row r="298">
          <cell r="A298" t="str">
            <v>5/3-8</v>
          </cell>
        </row>
        <row r="299">
          <cell r="A299" t="str">
            <v>5/3-9</v>
          </cell>
        </row>
        <row r="300">
          <cell r="A300" t="str">
            <v>5/3-10</v>
          </cell>
        </row>
        <row r="301">
          <cell r="A301" t="str">
            <v>5/3-11</v>
          </cell>
        </row>
        <row r="302">
          <cell r="A302" t="str">
            <v>-</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for Rate Entry"/>
      <sheetName val="BOQ-Sum ALT-1"/>
      <sheetName val="BOQ-Sum ALT-2"/>
      <sheetName val="BILL-1"/>
      <sheetName val="BILL-2"/>
      <sheetName val="BILL-3 ALT-1"/>
      <sheetName val="BILL-3 ALT-2"/>
      <sheetName val="BILL-4"/>
      <sheetName val="BILL-5 ALT-1"/>
      <sheetName val="BILL-5 ALT-2"/>
    </sheetNames>
    <sheetDataSet>
      <sheetData sheetId="0" refreshError="1"/>
      <sheetData sheetId="1" refreshError="1"/>
      <sheetData sheetId="2" refreshError="1"/>
      <sheetData sheetId="3" refreshError="1">
        <row r="371">
          <cell r="F371">
            <v>3206050</v>
          </cell>
        </row>
      </sheetData>
      <sheetData sheetId="4" refreshError="1">
        <row r="372">
          <cell r="F372">
            <v>7300450</v>
          </cell>
        </row>
      </sheetData>
      <sheetData sheetId="5" refreshError="1">
        <row r="247">
          <cell r="F247">
            <v>6167450</v>
          </cell>
        </row>
      </sheetData>
      <sheetData sheetId="6" refreshError="1">
        <row r="247">
          <cell r="F247">
            <v>0</v>
          </cell>
        </row>
      </sheetData>
      <sheetData sheetId="7" refreshError="1">
        <row r="371">
          <cell r="F371">
            <v>1014075</v>
          </cell>
        </row>
      </sheetData>
      <sheetData sheetId="8" refreshError="1">
        <row r="433">
          <cell r="F433">
            <v>1639830</v>
          </cell>
        </row>
      </sheetData>
      <sheetData sheetId="9" refreshError="1">
        <row r="433">
          <cell r="F433">
            <v>10000</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rves"/>
      <sheetName val="08-06"/>
      <sheetName val="09-06 "/>
      <sheetName val="10-06 "/>
      <sheetName val="11-06"/>
      <sheetName val="12-06 "/>
      <sheetName val="01-07"/>
      <sheetName val="02-07 "/>
      <sheetName val="03-07 "/>
      <sheetName val="04-07"/>
      <sheetName val="05-07"/>
      <sheetName val="06-07"/>
      <sheetName val="07-07"/>
      <sheetName val="P3257 -3"/>
      <sheetName val="Planned "/>
      <sheetName val="Data"/>
      <sheetName val="P3257"/>
      <sheetName val="General "/>
      <sheetName val="AD"/>
      <sheetName val="DH"/>
      <sheetName val="YH"/>
      <sheetName val="WBS"/>
      <sheetName val="BOQ5"/>
      <sheetName val="Summ "/>
      <sheetName val="BOQ1Summ"/>
      <sheetName val="BOQ1"/>
      <sheetName val="BOQ2 Summ"/>
      <sheetName val="BOQ2"/>
      <sheetName val="BOQ3 Summ"/>
      <sheetName val="BOQ3"/>
      <sheetName val="BOQ4"/>
      <sheetName val="BOQ5 Sum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row r="1">
          <cell r="E1" t="str">
            <v xml:space="preserve">LOCA  </v>
          </cell>
        </row>
      </sheetData>
      <sheetData sheetId="17"/>
      <sheetData sheetId="18"/>
      <sheetData sheetId="19"/>
      <sheetData sheetId="20"/>
      <sheetData sheetId="21"/>
      <sheetData sheetId="22"/>
      <sheetData sheetId="23"/>
      <sheetData sheetId="24"/>
      <sheetData sheetId="25" refreshError="1">
        <row r="4">
          <cell r="B4" t="str">
            <v>ITEM</v>
          </cell>
          <cell r="C4" t="str">
            <v>DESCRIPTION</v>
          </cell>
          <cell r="D4" t="str">
            <v>UNIT</v>
          </cell>
          <cell r="E4" t="str">
            <v>QTY.</v>
          </cell>
          <cell r="F4" t="str">
            <v>RATE</v>
          </cell>
          <cell r="G4" t="str">
            <v>TOTAL PRICE (DH)</v>
          </cell>
        </row>
        <row r="6">
          <cell r="C6" t="str">
            <v>BOQ No. 1 - SUPPLY OF MATERIALS</v>
          </cell>
          <cell r="G6">
            <v>0</v>
          </cell>
        </row>
        <row r="7">
          <cell r="G7">
            <v>0</v>
          </cell>
        </row>
        <row r="8">
          <cell r="B8">
            <v>1.01</v>
          </cell>
          <cell r="C8" t="str">
            <v xml:space="preserve">Supply the following ISO standard HDPE. pipes construction as per the ADWEA Standard Specification, complete with  detectable warning tapes &amp; all other accessories for the following internal pipe diameters: </v>
          </cell>
          <cell r="G8">
            <v>0</v>
          </cell>
        </row>
        <row r="9">
          <cell r="G9">
            <v>0</v>
          </cell>
        </row>
        <row r="10">
          <cell r="B10" t="str">
            <v>1.01.1</v>
          </cell>
          <cell r="C10" t="str">
            <v>DN 150</v>
          </cell>
          <cell r="D10" t="str">
            <v>MR</v>
          </cell>
          <cell r="E10">
            <v>11100</v>
          </cell>
          <cell r="F10">
            <v>70</v>
          </cell>
          <cell r="G10">
            <v>777000</v>
          </cell>
        </row>
        <row r="11">
          <cell r="G11">
            <v>0</v>
          </cell>
        </row>
        <row r="12">
          <cell r="B12" t="str">
            <v>1.01.2</v>
          </cell>
          <cell r="C12" t="str">
            <v>DN 200</v>
          </cell>
          <cell r="D12" t="str">
            <v>MR</v>
          </cell>
          <cell r="E12">
            <v>10150</v>
          </cell>
          <cell r="F12">
            <v>130</v>
          </cell>
          <cell r="G12">
            <v>1319500</v>
          </cell>
        </row>
        <row r="13">
          <cell r="G13">
            <v>0</v>
          </cell>
        </row>
        <row r="14">
          <cell r="B14">
            <v>1.02</v>
          </cell>
          <cell r="C14" t="str">
            <v>Supply the following ISO standard HDPE double spigot bends suitable for Butt fusion or electrofusion as per the ADWEA Standard Specification:</v>
          </cell>
          <cell r="G14">
            <v>0</v>
          </cell>
        </row>
        <row r="15">
          <cell r="G15">
            <v>0</v>
          </cell>
        </row>
        <row r="16">
          <cell r="B16" t="str">
            <v>1.02.1</v>
          </cell>
          <cell r="C16" t="str">
            <v xml:space="preserve">DN 200  22.5° </v>
          </cell>
          <cell r="D16" t="str">
            <v>No.</v>
          </cell>
          <cell r="E16">
            <v>2</v>
          </cell>
          <cell r="F16">
            <v>1000</v>
          </cell>
          <cell r="G16">
            <v>2000</v>
          </cell>
        </row>
        <row r="17">
          <cell r="G17">
            <v>0</v>
          </cell>
        </row>
        <row r="18">
          <cell r="B18" t="str">
            <v>1.02.2</v>
          </cell>
          <cell r="C18" t="str">
            <v xml:space="preserve">DN 200  45° </v>
          </cell>
          <cell r="D18" t="str">
            <v>No.</v>
          </cell>
          <cell r="E18">
            <v>4</v>
          </cell>
          <cell r="F18">
            <v>1000</v>
          </cell>
          <cell r="G18">
            <v>4000</v>
          </cell>
        </row>
        <row r="19">
          <cell r="G19">
            <v>0</v>
          </cell>
        </row>
        <row r="20">
          <cell r="B20" t="str">
            <v>1.02.3</v>
          </cell>
          <cell r="C20" t="str">
            <v xml:space="preserve">DN 200  90° </v>
          </cell>
          <cell r="D20" t="str">
            <v>No.</v>
          </cell>
          <cell r="E20">
            <v>1</v>
          </cell>
          <cell r="F20">
            <v>1000</v>
          </cell>
          <cell r="G20">
            <v>1000</v>
          </cell>
        </row>
        <row r="21">
          <cell r="G21">
            <v>0</v>
          </cell>
        </row>
        <row r="22">
          <cell r="B22">
            <v>1.03</v>
          </cell>
          <cell r="C22" t="str">
            <v>Supply the following  ISO standard D.I. all socket tees as per the ADWEA Standard Specification :</v>
          </cell>
          <cell r="G22">
            <v>0</v>
          </cell>
        </row>
        <row r="23">
          <cell r="G23">
            <v>0</v>
          </cell>
        </row>
        <row r="24">
          <cell r="B24" t="str">
            <v>1.03.1</v>
          </cell>
          <cell r="C24" t="str">
            <v>DN 300 x DN 300</v>
          </cell>
          <cell r="D24" t="str">
            <v>No.</v>
          </cell>
          <cell r="E24">
            <v>1</v>
          </cell>
          <cell r="F24">
            <v>2300</v>
          </cell>
          <cell r="G24">
            <v>2300</v>
          </cell>
        </row>
        <row r="25">
          <cell r="G25">
            <v>0</v>
          </cell>
        </row>
        <row r="26">
          <cell r="B26" t="str">
            <v>1.03.2</v>
          </cell>
          <cell r="C26" t="str">
            <v>DN 200 x DN 200</v>
          </cell>
          <cell r="D26" t="str">
            <v>No.</v>
          </cell>
          <cell r="E26">
            <v>2</v>
          </cell>
          <cell r="F26">
            <v>1100</v>
          </cell>
          <cell r="G26">
            <v>2200</v>
          </cell>
        </row>
        <row r="27">
          <cell r="G27">
            <v>0</v>
          </cell>
        </row>
        <row r="28">
          <cell r="B28">
            <v>1.04</v>
          </cell>
          <cell r="C28" t="str">
            <v>Supply the following  ISO standard HDPE all spigot tees suitable for Butt fusion or electrofusionas per the ADWEA Standard Specification flange :</v>
          </cell>
          <cell r="G28">
            <v>0</v>
          </cell>
        </row>
        <row r="29">
          <cell r="G29">
            <v>0</v>
          </cell>
        </row>
        <row r="30">
          <cell r="B30" t="str">
            <v>1.04.1</v>
          </cell>
          <cell r="C30" t="str">
            <v xml:space="preserve">DN 200  x DN 200  </v>
          </cell>
          <cell r="D30" t="str">
            <v>No.</v>
          </cell>
          <cell r="E30">
            <v>11</v>
          </cell>
          <cell r="F30">
            <v>900</v>
          </cell>
          <cell r="G30">
            <v>9900</v>
          </cell>
        </row>
        <row r="31">
          <cell r="G31">
            <v>0</v>
          </cell>
        </row>
        <row r="32">
          <cell r="B32" t="str">
            <v>1.04.2</v>
          </cell>
          <cell r="C32" t="str">
            <v xml:space="preserve">DN 200  x DN 150  </v>
          </cell>
          <cell r="D32" t="str">
            <v>No.</v>
          </cell>
          <cell r="E32">
            <v>43</v>
          </cell>
          <cell r="F32">
            <v>1100</v>
          </cell>
          <cell r="G32">
            <v>47300</v>
          </cell>
        </row>
        <row r="33">
          <cell r="G33">
            <v>0</v>
          </cell>
        </row>
        <row r="34">
          <cell r="B34" t="str">
            <v>1.04.3</v>
          </cell>
          <cell r="C34" t="str">
            <v xml:space="preserve">DN 200  x DN 100  </v>
          </cell>
          <cell r="D34" t="str">
            <v>No.</v>
          </cell>
          <cell r="E34">
            <v>13</v>
          </cell>
          <cell r="F34">
            <v>1200</v>
          </cell>
          <cell r="G34">
            <v>15600</v>
          </cell>
        </row>
        <row r="35">
          <cell r="G35">
            <v>0</v>
          </cell>
        </row>
        <row r="36">
          <cell r="B36" t="str">
            <v>1.04.4</v>
          </cell>
          <cell r="C36" t="str">
            <v>DN 200 x DN 80</v>
          </cell>
          <cell r="D36" t="str">
            <v>No.</v>
          </cell>
          <cell r="E36">
            <v>13</v>
          </cell>
          <cell r="F36">
            <v>1200</v>
          </cell>
          <cell r="G36">
            <v>15600</v>
          </cell>
        </row>
        <row r="37">
          <cell r="G37">
            <v>0</v>
          </cell>
        </row>
        <row r="38">
          <cell r="B38" t="str">
            <v>1.04.5</v>
          </cell>
          <cell r="C38" t="str">
            <v xml:space="preserve">DN 150  x DN 150  </v>
          </cell>
          <cell r="D38" t="str">
            <v>No.</v>
          </cell>
          <cell r="E38">
            <v>36</v>
          </cell>
          <cell r="F38">
            <v>500</v>
          </cell>
          <cell r="G38">
            <v>18000</v>
          </cell>
        </row>
        <row r="39">
          <cell r="G39">
            <v>0</v>
          </cell>
        </row>
        <row r="40">
          <cell r="B40" t="str">
            <v>1.04.6</v>
          </cell>
          <cell r="C40" t="str">
            <v xml:space="preserve">DN 150  x DN 100  </v>
          </cell>
          <cell r="D40" t="str">
            <v>No.</v>
          </cell>
          <cell r="E40">
            <v>5</v>
          </cell>
          <cell r="F40">
            <v>600</v>
          </cell>
          <cell r="G40">
            <v>3000</v>
          </cell>
        </row>
        <row r="41">
          <cell r="G41">
            <v>0</v>
          </cell>
        </row>
        <row r="42">
          <cell r="B42" t="str">
            <v>1.04.7</v>
          </cell>
          <cell r="C42" t="str">
            <v>DN 150 x DN 80</v>
          </cell>
          <cell r="D42" t="str">
            <v>No.</v>
          </cell>
          <cell r="E42">
            <v>11</v>
          </cell>
          <cell r="F42">
            <v>600</v>
          </cell>
          <cell r="G42">
            <v>6600</v>
          </cell>
        </row>
        <row r="43">
          <cell r="G43">
            <v>0</v>
          </cell>
        </row>
        <row r="44">
          <cell r="B44">
            <v>1.05</v>
          </cell>
          <cell r="C44" t="str">
            <v>Supply the following ISO standard D.I double flanged reducers as per the ADWEA Standard Specification flange drilled to PN 16 :</v>
          </cell>
          <cell r="G44">
            <v>0</v>
          </cell>
        </row>
        <row r="45">
          <cell r="G45">
            <v>0</v>
          </cell>
        </row>
        <row r="46">
          <cell r="B46" t="str">
            <v>1.05.1</v>
          </cell>
          <cell r="C46" t="str">
            <v xml:space="preserve">DN 200  x DN 150  </v>
          </cell>
          <cell r="D46" t="str">
            <v>No.</v>
          </cell>
          <cell r="E46">
            <v>4</v>
          </cell>
          <cell r="F46">
            <v>830</v>
          </cell>
          <cell r="G46">
            <v>3320</v>
          </cell>
        </row>
        <row r="47">
          <cell r="G47">
            <v>0</v>
          </cell>
        </row>
        <row r="48">
          <cell r="B48">
            <v>1.06</v>
          </cell>
          <cell r="C48" t="str">
            <v>Supply the following ISO standard HDPE flanged spigot reducers suitable for Butt fusion or electrofusion to connect with D.I flanged as per the ADWEA Standard Specification flange drilled to PN 16 :</v>
          </cell>
          <cell r="G48">
            <v>0</v>
          </cell>
        </row>
        <row r="49">
          <cell r="G49">
            <v>0</v>
          </cell>
        </row>
        <row r="50">
          <cell r="B50" t="str">
            <v>1.06.1</v>
          </cell>
          <cell r="C50" t="str">
            <v xml:space="preserve">DN 300  x DN 200  </v>
          </cell>
          <cell r="D50" t="str">
            <v>No.</v>
          </cell>
          <cell r="E50">
            <v>2</v>
          </cell>
          <cell r="F50">
            <v>2500</v>
          </cell>
          <cell r="G50">
            <v>5000</v>
          </cell>
        </row>
        <row r="51">
          <cell r="G51">
            <v>0</v>
          </cell>
        </row>
        <row r="52">
          <cell r="B52" t="str">
            <v>1.06.2</v>
          </cell>
          <cell r="C52" t="str">
            <v xml:space="preserve">DN 200  x DN 150  </v>
          </cell>
          <cell r="D52" t="str">
            <v>No.</v>
          </cell>
          <cell r="E52">
            <v>4</v>
          </cell>
          <cell r="F52">
            <v>1000</v>
          </cell>
          <cell r="G52">
            <v>4000</v>
          </cell>
        </row>
        <row r="53">
          <cell r="G53">
            <v>0</v>
          </cell>
        </row>
        <row r="54">
          <cell r="C54" t="str">
            <v>TOTAL FOR THIS PAGE</v>
          </cell>
          <cell r="G54">
            <v>2236320</v>
          </cell>
        </row>
        <row r="55">
          <cell r="B55">
            <v>1.07</v>
          </cell>
          <cell r="C55" t="str">
            <v>Supply the following ISO standard D.I. flanged spigot pieces as per the ADWEA Standard Specification flange drilled to PN 16 :</v>
          </cell>
          <cell r="G55">
            <v>0</v>
          </cell>
        </row>
        <row r="56">
          <cell r="G56">
            <v>0</v>
          </cell>
        </row>
        <row r="57">
          <cell r="B57" t="str">
            <v>1.07.1</v>
          </cell>
          <cell r="C57" t="str">
            <v>DN 300 (500mm Length)</v>
          </cell>
          <cell r="D57" t="str">
            <v>No.</v>
          </cell>
          <cell r="E57">
            <v>2</v>
          </cell>
          <cell r="F57">
            <v>2000</v>
          </cell>
          <cell r="G57">
            <v>4000</v>
          </cell>
        </row>
        <row r="58">
          <cell r="G58">
            <v>0</v>
          </cell>
        </row>
        <row r="59">
          <cell r="B59" t="str">
            <v>1.07.2</v>
          </cell>
          <cell r="C59" t="str">
            <v>DN 200 (500mm Length)</v>
          </cell>
          <cell r="D59" t="str">
            <v>No.</v>
          </cell>
          <cell r="E59">
            <v>2</v>
          </cell>
          <cell r="F59">
            <v>1100</v>
          </cell>
          <cell r="G59">
            <v>2200</v>
          </cell>
        </row>
        <row r="60">
          <cell r="G60">
            <v>0</v>
          </cell>
        </row>
        <row r="61">
          <cell r="B61" t="str">
            <v>1.07.3</v>
          </cell>
          <cell r="C61" t="str">
            <v>DN 200 (800mm Length)</v>
          </cell>
          <cell r="D61" t="str">
            <v>No.</v>
          </cell>
          <cell r="E61">
            <v>16</v>
          </cell>
          <cell r="F61">
            <v>1100</v>
          </cell>
          <cell r="G61">
            <v>17600</v>
          </cell>
        </row>
        <row r="62">
          <cell r="G62">
            <v>0</v>
          </cell>
        </row>
        <row r="63">
          <cell r="B63" t="str">
            <v>1.07.4</v>
          </cell>
          <cell r="C63" t="str">
            <v>DN 150 (800mm Length)</v>
          </cell>
          <cell r="D63" t="str">
            <v>No.</v>
          </cell>
          <cell r="E63">
            <v>47</v>
          </cell>
          <cell r="F63">
            <v>800</v>
          </cell>
          <cell r="G63">
            <v>37600</v>
          </cell>
        </row>
        <row r="64">
          <cell r="G64">
            <v>0</v>
          </cell>
        </row>
        <row r="65">
          <cell r="B65">
            <v>1.08</v>
          </cell>
          <cell r="C65" t="str">
            <v>Supply the following ISO standard HDPE flanged spigot pieces suitable for Butt fusion or electrofusion to connect with D.I flanged as per the ADWEA Standard Specification flange drilled to PN 16 for the following Internal diameters:</v>
          </cell>
          <cell r="G65">
            <v>0</v>
          </cell>
        </row>
        <row r="66">
          <cell r="G66">
            <v>0</v>
          </cell>
        </row>
        <row r="67">
          <cell r="B67" t="str">
            <v>1.08.1</v>
          </cell>
          <cell r="C67" t="str">
            <v>DN 200 (500mm length)</v>
          </cell>
          <cell r="D67" t="str">
            <v>No.</v>
          </cell>
          <cell r="E67">
            <v>36</v>
          </cell>
          <cell r="F67">
            <v>600</v>
          </cell>
          <cell r="G67">
            <v>21600</v>
          </cell>
        </row>
        <row r="68">
          <cell r="G68">
            <v>0</v>
          </cell>
        </row>
        <row r="69">
          <cell r="B69" t="str">
            <v>1.08.2</v>
          </cell>
          <cell r="C69" t="str">
            <v>DN 150  (500mm length)</v>
          </cell>
          <cell r="D69" t="str">
            <v>No.</v>
          </cell>
          <cell r="E69">
            <v>94</v>
          </cell>
          <cell r="F69">
            <v>360</v>
          </cell>
          <cell r="G69">
            <v>33840</v>
          </cell>
        </row>
        <row r="70">
          <cell r="G70">
            <v>0</v>
          </cell>
        </row>
        <row r="71">
          <cell r="B71" t="str">
            <v>1.08.3</v>
          </cell>
          <cell r="C71" t="str">
            <v>DN 100 (500mm length)</v>
          </cell>
          <cell r="D71" t="str">
            <v>No.</v>
          </cell>
          <cell r="E71">
            <v>18</v>
          </cell>
          <cell r="F71">
            <v>280</v>
          </cell>
          <cell r="G71">
            <v>5040</v>
          </cell>
        </row>
        <row r="72">
          <cell r="G72">
            <v>0</v>
          </cell>
        </row>
        <row r="73">
          <cell r="B73" t="str">
            <v>1.08.4</v>
          </cell>
          <cell r="C73" t="str">
            <v>DN 80 (500mm length)</v>
          </cell>
          <cell r="D73" t="str">
            <v>No.</v>
          </cell>
          <cell r="E73">
            <v>24</v>
          </cell>
          <cell r="F73">
            <v>240</v>
          </cell>
          <cell r="G73">
            <v>5760</v>
          </cell>
        </row>
        <row r="74">
          <cell r="G74">
            <v>0</v>
          </cell>
        </row>
        <row r="75">
          <cell r="B75">
            <v>1.0900000000000001</v>
          </cell>
          <cell r="C75" t="str">
            <v xml:space="preserve">Supply the following ISO standard DI double socket sleeves (collars) complete with all accessories,as per the ADWEA  Standard Specification: </v>
          </cell>
          <cell r="G75">
            <v>0</v>
          </cell>
        </row>
        <row r="76">
          <cell r="G76">
            <v>0</v>
          </cell>
        </row>
        <row r="77">
          <cell r="B77" t="str">
            <v>1.09.1</v>
          </cell>
          <cell r="C77" t="str">
            <v>DN 150 (700mm length)</v>
          </cell>
          <cell r="D77" t="str">
            <v>No.</v>
          </cell>
          <cell r="E77">
            <v>4</v>
          </cell>
          <cell r="F77">
            <v>830</v>
          </cell>
          <cell r="G77">
            <v>3320</v>
          </cell>
        </row>
        <row r="78">
          <cell r="G78">
            <v>0</v>
          </cell>
        </row>
        <row r="79">
          <cell r="B79">
            <v>1.1000000000000001</v>
          </cell>
          <cell r="C79" t="str">
            <v xml:space="preserve">Supply the following ISO standard D.I. double spigot pieces as per the ADWEA  Standard Specification </v>
          </cell>
          <cell r="G79">
            <v>0</v>
          </cell>
        </row>
        <row r="80">
          <cell r="G80">
            <v>0</v>
          </cell>
        </row>
        <row r="81">
          <cell r="B81" t="str">
            <v>1.10.1</v>
          </cell>
          <cell r="C81" t="str">
            <v>DN 150 (1600mm Length)</v>
          </cell>
          <cell r="D81" t="str">
            <v>No.</v>
          </cell>
          <cell r="E81">
            <v>4</v>
          </cell>
          <cell r="F81">
            <v>1100</v>
          </cell>
          <cell r="G81">
            <v>4400</v>
          </cell>
        </row>
        <row r="82">
          <cell r="G82">
            <v>0</v>
          </cell>
        </row>
        <row r="83">
          <cell r="B83">
            <v>1.1100000000000001</v>
          </cell>
          <cell r="C83" t="str">
            <v>Supply the following ISO standard D.I. flanged adaptors Mechanical Joint (M.J.) type complete with stainless steel bolts, threaded end studs, nuts &amp; washers and EPDM rubber gasket etc., as per the ADWEA Standard Specification flange drilled to PN 16:</v>
          </cell>
          <cell r="G83">
            <v>0</v>
          </cell>
        </row>
        <row r="84">
          <cell r="G84">
            <v>0</v>
          </cell>
        </row>
        <row r="85">
          <cell r="B85" t="str">
            <v>1.11.1</v>
          </cell>
          <cell r="C85" t="str">
            <v>DN 200</v>
          </cell>
          <cell r="D85" t="str">
            <v>No.</v>
          </cell>
          <cell r="E85">
            <v>18</v>
          </cell>
          <cell r="F85">
            <v>290</v>
          </cell>
          <cell r="G85">
            <v>5220</v>
          </cell>
        </row>
        <row r="86">
          <cell r="G86">
            <v>0</v>
          </cell>
        </row>
        <row r="87">
          <cell r="B87" t="str">
            <v>1.11.2</v>
          </cell>
          <cell r="C87" t="str">
            <v>DN 150</v>
          </cell>
          <cell r="D87" t="str">
            <v>No.</v>
          </cell>
          <cell r="E87">
            <v>51</v>
          </cell>
          <cell r="F87">
            <v>260</v>
          </cell>
          <cell r="G87">
            <v>13260</v>
          </cell>
        </row>
        <row r="88">
          <cell r="G88">
            <v>0</v>
          </cell>
        </row>
        <row r="89">
          <cell r="B89">
            <v>1.1200000000000001</v>
          </cell>
          <cell r="C89" t="str">
            <v>Supply the following ISO standard tied dismantling joints complete with required accessories, as per the ADWEA Standard Specification flange drilled to PN 16:</v>
          </cell>
          <cell r="G89">
            <v>0</v>
          </cell>
        </row>
        <row r="90">
          <cell r="G90">
            <v>0</v>
          </cell>
        </row>
        <row r="91">
          <cell r="B91" t="str">
            <v>1.12.1</v>
          </cell>
          <cell r="C91" t="str">
            <v>DN 150</v>
          </cell>
          <cell r="D91" t="str">
            <v>No.</v>
          </cell>
          <cell r="E91">
            <v>4</v>
          </cell>
          <cell r="F91">
            <v>1500</v>
          </cell>
          <cell r="G91">
            <v>6000</v>
          </cell>
        </row>
        <row r="92">
          <cell r="G92">
            <v>0</v>
          </cell>
        </row>
        <row r="93">
          <cell r="C93" t="str">
            <v>TOTAL FOR THIS PAGE</v>
          </cell>
          <cell r="G93">
            <v>159840</v>
          </cell>
        </row>
        <row r="94">
          <cell r="B94">
            <v>1.1299999999999999</v>
          </cell>
          <cell r="C94" t="str">
            <v>Supply the following ISO standard D.I. double flanged extension pieces as per the ADWEA Standard Specification flange drilled to PN 16 :</v>
          </cell>
          <cell r="G94">
            <v>0</v>
          </cell>
        </row>
        <row r="95">
          <cell r="G95">
            <v>0</v>
          </cell>
        </row>
        <row r="96">
          <cell r="B96" t="str">
            <v>1.13.1</v>
          </cell>
          <cell r="C96" t="str">
            <v>DN80 L=250,(Under grounf fire hydrant spool)</v>
          </cell>
          <cell r="D96" t="str">
            <v>No.</v>
          </cell>
          <cell r="E96">
            <v>24</v>
          </cell>
          <cell r="F96">
            <v>600</v>
          </cell>
          <cell r="G96">
            <v>14400</v>
          </cell>
        </row>
        <row r="97">
          <cell r="G97">
            <v>0</v>
          </cell>
        </row>
        <row r="98">
          <cell r="B98">
            <v>1.1399999999999999</v>
          </cell>
          <cell r="C98" t="str">
            <v>Supply the following ISO standard D.I. adjustable 'S' bends with rotatable flanges as per the ADWEA Standard Specification, flange drilled to PN 16 :</v>
          </cell>
          <cell r="G98">
            <v>0</v>
          </cell>
        </row>
        <row r="99">
          <cell r="G99">
            <v>0</v>
          </cell>
        </row>
        <row r="100">
          <cell r="B100" t="str">
            <v>1.14.1</v>
          </cell>
          <cell r="C100" t="str">
            <v>DN 100</v>
          </cell>
          <cell r="D100" t="str">
            <v>No.</v>
          </cell>
          <cell r="E100">
            <v>18</v>
          </cell>
          <cell r="F100">
            <v>1500</v>
          </cell>
          <cell r="G100">
            <v>27000</v>
          </cell>
        </row>
        <row r="101">
          <cell r="B101" t="str">
            <v>.</v>
          </cell>
          <cell r="G101">
            <v>0</v>
          </cell>
        </row>
        <row r="102">
          <cell r="B102">
            <v>1.1499999999999999</v>
          </cell>
          <cell r="C102" t="str">
            <v>Supply the following  ISO standard DI. double flanged pipe pieces (L) long with integrally cast anchor flange at a distance (D) from flanged face as per the ADWEA Standard Specification, flange drilled to PN 16 :</v>
          </cell>
          <cell r="G102">
            <v>0</v>
          </cell>
        </row>
        <row r="103">
          <cell r="G103">
            <v>0</v>
          </cell>
        </row>
        <row r="104">
          <cell r="B104" t="str">
            <v>1.15.1</v>
          </cell>
          <cell r="C104" t="str">
            <v>DN 200  L =  700, D =350</v>
          </cell>
          <cell r="D104" t="str">
            <v>No.</v>
          </cell>
          <cell r="E104">
            <v>20</v>
          </cell>
          <cell r="F104">
            <v>2100</v>
          </cell>
          <cell r="G104">
            <v>42000</v>
          </cell>
        </row>
        <row r="105">
          <cell r="G105">
            <v>0</v>
          </cell>
        </row>
        <row r="106">
          <cell r="B106" t="str">
            <v>1.15.2</v>
          </cell>
          <cell r="C106" t="str">
            <v>DN 150  L =  700, D =350</v>
          </cell>
          <cell r="D106" t="str">
            <v>No.</v>
          </cell>
          <cell r="E106">
            <v>51</v>
          </cell>
          <cell r="F106">
            <v>1400</v>
          </cell>
          <cell r="G106">
            <v>71400</v>
          </cell>
        </row>
        <row r="107">
          <cell r="G107">
            <v>0</v>
          </cell>
        </row>
        <row r="108">
          <cell r="B108">
            <v>1.1599999999999999</v>
          </cell>
          <cell r="C108" t="str">
            <v>Supply the following  ISO standard DI. Spigot flanged pipe pieces (L) long with integrally cast anchor flange at a distance (D) from flanged face as per the ADWEA Standard Specification, flange drilled to PN 16 :</v>
          </cell>
          <cell r="G108">
            <v>0</v>
          </cell>
        </row>
        <row r="109">
          <cell r="G109">
            <v>0</v>
          </cell>
        </row>
        <row r="110">
          <cell r="B110" t="str">
            <v>1.16.1</v>
          </cell>
          <cell r="C110" t="str">
            <v>DN 150  L =  700, D =350</v>
          </cell>
          <cell r="D110" t="str">
            <v>No.</v>
          </cell>
          <cell r="E110">
            <v>4</v>
          </cell>
          <cell r="F110">
            <v>1400</v>
          </cell>
          <cell r="G110">
            <v>5600</v>
          </cell>
        </row>
        <row r="111">
          <cell r="G111">
            <v>0</v>
          </cell>
        </row>
        <row r="112">
          <cell r="B112">
            <v>1.17</v>
          </cell>
          <cell r="C112" t="str">
            <v>Supply the following ISO standard HDPE. end cap with "Reka" coupling complete (on each per end cap) as per the ADWEA Standard specifications:</v>
          </cell>
          <cell r="G112">
            <v>0</v>
          </cell>
        </row>
        <row r="113">
          <cell r="G113">
            <v>0</v>
          </cell>
        </row>
        <row r="114">
          <cell r="B114" t="str">
            <v>1.17.1</v>
          </cell>
          <cell r="C114" t="str">
            <v>DN 200</v>
          </cell>
          <cell r="D114" t="str">
            <v>No</v>
          </cell>
          <cell r="E114">
            <v>6</v>
          </cell>
          <cell r="F114">
            <v>800</v>
          </cell>
          <cell r="G114">
            <v>4800</v>
          </cell>
        </row>
        <row r="115">
          <cell r="G115">
            <v>0</v>
          </cell>
        </row>
        <row r="116">
          <cell r="B116">
            <v>1.18</v>
          </cell>
          <cell r="C116" t="str">
            <v>Supply the following HDPE. Elctro fusion coupler as per the ADWEA Standard Specification:</v>
          </cell>
          <cell r="G116">
            <v>0</v>
          </cell>
        </row>
        <row r="117">
          <cell r="G117">
            <v>0</v>
          </cell>
        </row>
        <row r="118">
          <cell r="B118" t="str">
            <v>1.18.1</v>
          </cell>
          <cell r="C118" t="str">
            <v>DN 200</v>
          </cell>
          <cell r="D118" t="str">
            <v>No.</v>
          </cell>
          <cell r="E118">
            <v>18</v>
          </cell>
          <cell r="F118">
            <v>460</v>
          </cell>
          <cell r="G118">
            <v>8280</v>
          </cell>
        </row>
        <row r="119">
          <cell r="G119">
            <v>0</v>
          </cell>
        </row>
        <row r="120">
          <cell r="B120" t="str">
            <v>1.18.2</v>
          </cell>
          <cell r="C120" t="str">
            <v>DN 150</v>
          </cell>
          <cell r="D120" t="str">
            <v>No.</v>
          </cell>
          <cell r="E120">
            <v>51</v>
          </cell>
          <cell r="F120">
            <v>280</v>
          </cell>
          <cell r="G120">
            <v>14280</v>
          </cell>
        </row>
        <row r="121">
          <cell r="G121">
            <v>0</v>
          </cell>
        </row>
        <row r="122">
          <cell r="B122">
            <v>1.19</v>
          </cell>
          <cell r="C122" t="str">
            <v>Supply the following ISO standard flanged gate valves complete with all accessories (extension spindle, etc.) as per the ADWEA Standard Specification, flange drilled to PN 16 :</v>
          </cell>
          <cell r="G122">
            <v>0</v>
          </cell>
        </row>
        <row r="123">
          <cell r="G123">
            <v>0</v>
          </cell>
        </row>
        <row r="124">
          <cell r="B124" t="str">
            <v>1.19.1</v>
          </cell>
          <cell r="C124" t="str">
            <v>DN 200</v>
          </cell>
          <cell r="D124" t="str">
            <v>No.</v>
          </cell>
          <cell r="E124">
            <v>20</v>
          </cell>
          <cell r="F124">
            <v>3200</v>
          </cell>
          <cell r="G124">
            <v>64000</v>
          </cell>
        </row>
        <row r="125">
          <cell r="G125">
            <v>0</v>
          </cell>
        </row>
        <row r="126">
          <cell r="B126" t="str">
            <v>1.19.2</v>
          </cell>
          <cell r="C126" t="str">
            <v>DN 150</v>
          </cell>
          <cell r="D126" t="str">
            <v>No.</v>
          </cell>
          <cell r="E126">
            <v>47</v>
          </cell>
          <cell r="F126">
            <v>2000</v>
          </cell>
          <cell r="G126">
            <v>94000</v>
          </cell>
        </row>
        <row r="127">
          <cell r="G127">
            <v>0</v>
          </cell>
        </row>
        <row r="128">
          <cell r="B128">
            <v>1.2</v>
          </cell>
          <cell r="C128" t="str">
            <v>Supply the following ISO standard flanged D.I. flow control valves complete with all accessories (indicator, handwheel, etc.) as per the ADWEA Standard  Specifications. These valves shall control the water inflow into a sector and the material shall be  s</v>
          </cell>
          <cell r="G128">
            <v>0</v>
          </cell>
        </row>
        <row r="129">
          <cell r="G129">
            <v>0</v>
          </cell>
        </row>
        <row r="130">
          <cell r="B130" t="str">
            <v>1.20.1</v>
          </cell>
          <cell r="C130" t="str">
            <v>DN 150</v>
          </cell>
          <cell r="D130" t="str">
            <v>No.</v>
          </cell>
          <cell r="E130">
            <v>4</v>
          </cell>
          <cell r="F130">
            <v>26000</v>
          </cell>
          <cell r="G130">
            <v>104000</v>
          </cell>
        </row>
        <row r="131">
          <cell r="G131">
            <v>0</v>
          </cell>
        </row>
        <row r="132">
          <cell r="C132" t="str">
            <v>TOTAL FOR THIS PAGE</v>
          </cell>
          <cell r="G132">
            <v>449760</v>
          </cell>
        </row>
        <row r="133">
          <cell r="B133">
            <v>1.21</v>
          </cell>
          <cell r="C133" t="str">
            <v>Supply the following ISO standard flanged basket type strainer according to DIN 87151 straight pattern type, stainless steel basket with 3 mm dia. perforation holes, as per the ADWEA Standard Specification, to be installed upstream of the control valve, f</v>
          </cell>
          <cell r="G133">
            <v>0</v>
          </cell>
        </row>
        <row r="134">
          <cell r="G134">
            <v>0</v>
          </cell>
        </row>
        <row r="135">
          <cell r="B135" t="str">
            <v>1.21.1</v>
          </cell>
          <cell r="C135" t="str">
            <v>DN 150</v>
          </cell>
          <cell r="D135" t="str">
            <v>No.</v>
          </cell>
          <cell r="E135">
            <v>4</v>
          </cell>
          <cell r="F135">
            <v>8000</v>
          </cell>
          <cell r="G135">
            <v>32000</v>
          </cell>
        </row>
        <row r="136">
          <cell r="G136">
            <v>0</v>
          </cell>
        </row>
        <row r="137">
          <cell r="B137">
            <v>1.22</v>
          </cell>
          <cell r="C137" t="str">
            <v>Supply the following ISO standard D.I. screwdown fire hydrants with fixed stopper and spindle cap as per the ADWEA Standard  Specification, flange drilled to PN 16:</v>
          </cell>
          <cell r="G137">
            <v>0</v>
          </cell>
        </row>
        <row r="138">
          <cell r="G138">
            <v>0</v>
          </cell>
        </row>
        <row r="139">
          <cell r="B139" t="str">
            <v>1.22.1</v>
          </cell>
          <cell r="C139" t="str">
            <v>DN 80</v>
          </cell>
          <cell r="D139" t="str">
            <v>No.</v>
          </cell>
          <cell r="E139">
            <v>24</v>
          </cell>
          <cell r="F139">
            <v>1000</v>
          </cell>
          <cell r="G139">
            <v>24000</v>
          </cell>
        </row>
        <row r="140">
          <cell r="G140">
            <v>0</v>
          </cell>
        </row>
        <row r="141">
          <cell r="B141">
            <v>1.23</v>
          </cell>
          <cell r="C141" t="str">
            <v>Supply DN 100 mm ISO standard D.I. breakable pillar type fire hydrant complete, including hood, stainless steel spindle, outlets 2 x 2½" and 1 x 4", D.I. inlet duckfoot bend DN 100 mm, automatic drain valve etc., all as per the Specification and Tender Dr</v>
          </cell>
          <cell r="D141" t="str">
            <v>No.</v>
          </cell>
          <cell r="E141">
            <v>18</v>
          </cell>
          <cell r="F141">
            <v>7000</v>
          </cell>
          <cell r="G141">
            <v>126000</v>
          </cell>
        </row>
        <row r="142">
          <cell r="G142">
            <v>0</v>
          </cell>
        </row>
        <row r="143">
          <cell r="B143">
            <v>1.24</v>
          </cell>
          <cell r="C143" t="str">
            <v>Supply the following  ISO standard flanged watermeters with provision of counters (registers) including the supply of pulse units as per the ADWEA Standard Specification for bulk consumer and sector measuring point, flange drilled to PN 16:</v>
          </cell>
          <cell r="G143">
            <v>0</v>
          </cell>
        </row>
        <row r="144">
          <cell r="G144">
            <v>0</v>
          </cell>
        </row>
        <row r="145">
          <cell r="B145" t="str">
            <v>1.24.1</v>
          </cell>
          <cell r="C145" t="str">
            <v xml:space="preserve">DN 150 mm </v>
          </cell>
          <cell r="D145" t="str">
            <v>No.</v>
          </cell>
          <cell r="E145">
            <v>4</v>
          </cell>
          <cell r="F145">
            <v>5000</v>
          </cell>
          <cell r="G145">
            <v>20000</v>
          </cell>
        </row>
        <row r="146">
          <cell r="G146">
            <v>0</v>
          </cell>
        </row>
        <row r="147">
          <cell r="B147">
            <v>1.25</v>
          </cell>
          <cell r="C147" t="str">
            <v>Supply extension pieces as per the Specification of the following length, complete with mountings, bolts &amp; nuts for raising the register of the flanged watermeters supplied under above item:</v>
          </cell>
          <cell r="G147">
            <v>0</v>
          </cell>
        </row>
        <row r="148">
          <cell r="G148">
            <v>0</v>
          </cell>
        </row>
        <row r="149">
          <cell r="B149" t="str">
            <v>1.25.1</v>
          </cell>
          <cell r="C149" t="str">
            <v>Length 1000 mm</v>
          </cell>
          <cell r="D149" t="str">
            <v>No.</v>
          </cell>
          <cell r="E149">
            <v>4</v>
          </cell>
          <cell r="F149">
            <v>2000</v>
          </cell>
          <cell r="G149">
            <v>8000</v>
          </cell>
        </row>
        <row r="150">
          <cell r="G150">
            <v>0</v>
          </cell>
        </row>
        <row r="151">
          <cell r="B151">
            <v>1.26</v>
          </cell>
          <cell r="C151" t="str">
            <v>Supply for the following sector measuring point one ½" dia. pressure gauge, brass sample valve &amp; air vent incl. nipples, ball valves &amp; eventual copper or stainless steel piping and three gunmetal saddle straps as per the ADWEA Standard Specification and a</v>
          </cell>
          <cell r="G151">
            <v>0</v>
          </cell>
        </row>
        <row r="152">
          <cell r="G152">
            <v>0</v>
          </cell>
        </row>
        <row r="153">
          <cell r="B153" t="str">
            <v>1.26.1</v>
          </cell>
          <cell r="C153" t="str">
            <v>DN 150</v>
          </cell>
          <cell r="D153" t="str">
            <v>Set</v>
          </cell>
          <cell r="E153">
            <v>4</v>
          </cell>
          <cell r="F153">
            <v>3000</v>
          </cell>
          <cell r="G153">
            <v>12000</v>
          </cell>
        </row>
        <row r="154">
          <cell r="G154">
            <v>0</v>
          </cell>
        </row>
        <row r="155">
          <cell r="C155" t="str">
            <v>TOTAL FOR THIS PAGE</v>
          </cell>
          <cell r="G155">
            <v>222000</v>
          </cell>
        </row>
        <row r="156">
          <cell r="B156">
            <v>1.27</v>
          </cell>
          <cell r="C156" t="str">
            <v xml:space="preserve">Supply of the following accessories for valve chamber, valve spindle protection slab, air release valve box, fire hydrant box, sector measuring chamber, bulk consumer chamber, etc. (inclusive casted lettering on cover face and painting of cover and frame </v>
          </cell>
          <cell r="G156">
            <v>0</v>
          </cell>
        </row>
        <row r="157">
          <cell r="G157">
            <v>0</v>
          </cell>
        </row>
        <row r="158">
          <cell r="B158" t="str">
            <v>1.27.1</v>
          </cell>
          <cell r="C158" t="str">
            <v>Circular medium duty D.I. access cover and frame with 600 mm diameter clear opening, weight of cover approx. 26 kg, round shaped frame for D.I. waterline valve chamber, control valve chamber, sector measuring chamber, washout chamber and bulk consumer cha</v>
          </cell>
          <cell r="D158" t="str">
            <v>No.</v>
          </cell>
          <cell r="E158">
            <v>73</v>
          </cell>
          <cell r="F158">
            <v>600</v>
          </cell>
          <cell r="G158">
            <v>43800</v>
          </cell>
        </row>
        <row r="159">
          <cell r="G159">
            <v>0</v>
          </cell>
        </row>
        <row r="160">
          <cell r="B160" t="str">
            <v>1.27.2</v>
          </cell>
          <cell r="C160" t="str">
            <v>Aluminium surface box, 200 mm high, 160 mm dia. clear opening, including rod connection between lid &amp; box, plate for guiding valve spindle and aluminium dust cap for valve chamber, bulk consumer chamber, sector measuring chamber, washout chamber and air r</v>
          </cell>
          <cell r="D160" t="str">
            <v>No.</v>
          </cell>
          <cell r="E160">
            <v>64</v>
          </cell>
          <cell r="F160">
            <v>250</v>
          </cell>
          <cell r="G160">
            <v>16000</v>
          </cell>
        </row>
        <row r="161">
          <cell r="G161">
            <v>0</v>
          </cell>
        </row>
        <row r="162">
          <cell r="B162" t="str">
            <v>1.27.3</v>
          </cell>
          <cell r="C162" t="str">
            <v>Circular medium duty D.I. Cover and frame with 300 or 350 mm dia. clear opening for sector measuring chamber.</v>
          </cell>
          <cell r="D162" t="str">
            <v>No.</v>
          </cell>
          <cell r="E162">
            <v>4</v>
          </cell>
          <cell r="F162">
            <v>500</v>
          </cell>
          <cell r="G162">
            <v>2000</v>
          </cell>
        </row>
        <row r="163">
          <cell r="G163">
            <v>0</v>
          </cell>
        </row>
        <row r="164">
          <cell r="B164">
            <v>1.28</v>
          </cell>
          <cell r="C164" t="str">
            <v>Rectangular medium duty aluminium cover and frame for fire hydrant box with 380 mm x 230 mm clear opening, cover connected to the frame with rod all as per Tender Drawing.</v>
          </cell>
          <cell r="D164" t="str">
            <v>No.</v>
          </cell>
          <cell r="E164">
            <v>24</v>
          </cell>
          <cell r="F164">
            <v>350</v>
          </cell>
          <cell r="G164">
            <v>8400</v>
          </cell>
        </row>
        <row r="165">
          <cell r="G165">
            <v>0</v>
          </cell>
        </row>
        <row r="166">
          <cell r="B166">
            <v>1.29</v>
          </cell>
          <cell r="C166" t="str">
            <v>Supply aluminium sealing flange (waterstop) including rubber gasket for pipe through walls of chamber as per the Specification and as shown on Tender Drawing for the following ISO standard pipe sizes:</v>
          </cell>
          <cell r="G166">
            <v>0</v>
          </cell>
        </row>
        <row r="167">
          <cell r="G167">
            <v>0</v>
          </cell>
        </row>
        <row r="168">
          <cell r="B168" t="str">
            <v>1.29.1</v>
          </cell>
          <cell r="C168" t="str">
            <v>DN 200</v>
          </cell>
          <cell r="D168" t="str">
            <v>No.</v>
          </cell>
          <cell r="E168">
            <v>14</v>
          </cell>
          <cell r="F168">
            <v>450</v>
          </cell>
          <cell r="G168">
            <v>6300</v>
          </cell>
        </row>
        <row r="169">
          <cell r="G169">
            <v>0</v>
          </cell>
        </row>
        <row r="170">
          <cell r="B170" t="str">
            <v>1.29.2</v>
          </cell>
          <cell r="C170" t="str">
            <v>DN 150</v>
          </cell>
          <cell r="D170" t="str">
            <v>No.</v>
          </cell>
          <cell r="E170">
            <v>51</v>
          </cell>
          <cell r="F170">
            <v>350</v>
          </cell>
          <cell r="G170">
            <v>17850</v>
          </cell>
        </row>
        <row r="171">
          <cell r="G171">
            <v>0</v>
          </cell>
        </row>
        <row r="172">
          <cell r="C172" t="str">
            <v>TOTAL FOR THIS PAGE</v>
          </cell>
          <cell r="G172">
            <v>94350</v>
          </cell>
        </row>
        <row r="173">
          <cell r="B173">
            <v>1.3</v>
          </cell>
          <cell r="C173" t="str">
            <v>Supply of aluminium ladders length shall suite the inside chamber height taking into account that the   first step of the ladder shall be maximum 0.20m below the bottom of the concrete cover slab and the last step shall be maximum 0.25m from the chamber b</v>
          </cell>
          <cell r="G173">
            <v>0</v>
          </cell>
        </row>
        <row r="174">
          <cell r="G174">
            <v>0</v>
          </cell>
        </row>
        <row r="175">
          <cell r="B175" t="str">
            <v>1.30.1</v>
          </cell>
          <cell r="C175" t="str">
            <v>Ladder 2.0 m long</v>
          </cell>
          <cell r="D175" t="str">
            <v>No.</v>
          </cell>
          <cell r="E175">
            <v>69</v>
          </cell>
          <cell r="F175">
            <v>900</v>
          </cell>
          <cell r="G175">
            <v>62100</v>
          </cell>
        </row>
        <row r="176">
          <cell r="G176">
            <v>0</v>
          </cell>
        </row>
        <row r="177">
          <cell r="B177">
            <v>1.31</v>
          </cell>
          <cell r="C177" t="str">
            <v>Supply 80 mm diameter hot cured polyester powder coated (blue colour) aluminium vent pipe, funnel shaped at the bottom end and aluminium grating at the top end, 400 mm long &amp; 8 mm wall thickness with inside ribs for strengthening of vent pipe for valve ch</v>
          </cell>
          <cell r="D177" t="str">
            <v>No.</v>
          </cell>
          <cell r="E177">
            <v>134</v>
          </cell>
          <cell r="F177">
            <v>150</v>
          </cell>
          <cell r="G177">
            <v>20100</v>
          </cell>
        </row>
        <row r="178">
          <cell r="G178">
            <v>0</v>
          </cell>
        </row>
        <row r="179">
          <cell r="B179">
            <v>1.32</v>
          </cell>
          <cell r="C179" t="str">
            <v>Supply bronze chamber indication plate with embossed/engraved lettering, showing the direction of watermain, size and type of valve/chamber including anchor strips for casting the plate into the concrete chamber cover slab all as shown on Tender Drawing.</v>
          </cell>
          <cell r="D179" t="str">
            <v>No.</v>
          </cell>
          <cell r="E179">
            <v>73</v>
          </cell>
          <cell r="F179">
            <v>100</v>
          </cell>
          <cell r="G179">
            <v>7300</v>
          </cell>
        </row>
        <row r="180">
          <cell r="G180">
            <v>0</v>
          </cell>
        </row>
        <row r="181">
          <cell r="B181">
            <v>1.33</v>
          </cell>
          <cell r="C181" t="str">
            <v>Supply bronze owner information plate with embossed/engraved lettering showing the name of the water company including anchor strips for casting the plate into the concrete chamber cover slab all as shown on Tender Drawing.</v>
          </cell>
          <cell r="D181" t="str">
            <v>No.</v>
          </cell>
          <cell r="E181">
            <v>69</v>
          </cell>
          <cell r="F181">
            <v>100</v>
          </cell>
          <cell r="G181">
            <v>6900</v>
          </cell>
        </row>
        <row r="182">
          <cell r="G182">
            <v>0</v>
          </cell>
        </row>
        <row r="183">
          <cell r="B183">
            <v>1.34</v>
          </cell>
          <cell r="C183" t="str">
            <v>Supply the following high strength anodized aluminium alloy accessories for underground screwdown type fire hydrants as shown on Tender Drawing and as approved by the Civil Defence :</v>
          </cell>
          <cell r="G183">
            <v>0</v>
          </cell>
        </row>
        <row r="184">
          <cell r="G184">
            <v>0</v>
          </cell>
        </row>
        <row r="185">
          <cell r="B185" t="str">
            <v>1.34.1</v>
          </cell>
          <cell r="C185" t="str">
            <v>Standpipe anodized &amp; polished with two outlets</v>
          </cell>
          <cell r="D185" t="str">
            <v>No.</v>
          </cell>
          <cell r="E185">
            <v>24</v>
          </cell>
          <cell r="F185">
            <v>300</v>
          </cell>
          <cell r="G185">
            <v>7200</v>
          </cell>
        </row>
        <row r="186">
          <cell r="G186">
            <v>0</v>
          </cell>
        </row>
        <row r="187">
          <cell r="B187" t="str">
            <v>1.34.2</v>
          </cell>
          <cell r="C187" t="str">
            <v>Fire hydrant opening key</v>
          </cell>
          <cell r="D187" t="str">
            <v>No.</v>
          </cell>
          <cell r="E187">
            <v>24</v>
          </cell>
          <cell r="F187">
            <v>200</v>
          </cell>
          <cell r="G187">
            <v>4800</v>
          </cell>
        </row>
        <row r="188">
          <cell r="G188">
            <v>0</v>
          </cell>
        </row>
        <row r="189">
          <cell r="C189" t="str">
            <v>TOTAL FOR THIS PAGE</v>
          </cell>
          <cell r="G189">
            <v>108400</v>
          </cell>
        </row>
        <row r="190">
          <cell r="B190">
            <v>1.35</v>
          </cell>
          <cell r="C190" t="str">
            <v>Supply 1 set of Equipments used for Butt fusion &amp; Electro fusion to AADC store including training for O&amp;M staff  :</v>
          </cell>
          <cell r="D190" t="str">
            <v>SET</v>
          </cell>
          <cell r="E190">
            <v>1</v>
          </cell>
          <cell r="F190">
            <v>100000</v>
          </cell>
          <cell r="G190">
            <v>100000</v>
          </cell>
        </row>
        <row r="191">
          <cell r="G191">
            <v>0</v>
          </cell>
        </row>
        <row r="192">
          <cell r="C192" t="str">
            <v>SERVICE (HOUSE) CONNECTIONS</v>
          </cell>
          <cell r="G192">
            <v>0</v>
          </cell>
        </row>
        <row r="193">
          <cell r="G193">
            <v>0</v>
          </cell>
        </row>
        <row r="194">
          <cell r="B194">
            <v>1.36</v>
          </cell>
          <cell r="C194" t="str">
            <v>Supply Class  C  medium density (M.D.) polyethylene pipes for house connections as per the ADWEA Standard Specification :</v>
          </cell>
          <cell r="G194">
            <v>0</v>
          </cell>
        </row>
        <row r="195">
          <cell r="G195">
            <v>0</v>
          </cell>
        </row>
        <row r="196">
          <cell r="B196" t="str">
            <v>1.36.1</v>
          </cell>
          <cell r="C196" t="str">
            <v>DN 20mm</v>
          </cell>
          <cell r="D196" t="str">
            <v>MR</v>
          </cell>
          <cell r="E196">
            <v>1700</v>
          </cell>
          <cell r="F196">
            <v>4</v>
          </cell>
          <cell r="G196">
            <v>6800</v>
          </cell>
        </row>
        <row r="197">
          <cell r="G197">
            <v>0</v>
          </cell>
        </row>
        <row r="198">
          <cell r="B198" t="str">
            <v>1.36.2</v>
          </cell>
          <cell r="C198" t="str">
            <v>DN 25mm</v>
          </cell>
          <cell r="D198" t="str">
            <v>MR</v>
          </cell>
          <cell r="E198">
            <v>200</v>
          </cell>
          <cell r="F198">
            <v>6</v>
          </cell>
          <cell r="G198">
            <v>1200</v>
          </cell>
        </row>
        <row r="199">
          <cell r="G199">
            <v>0</v>
          </cell>
        </row>
        <row r="200">
          <cell r="B200" t="str">
            <v>1.36.3</v>
          </cell>
          <cell r="C200" t="str">
            <v>DN  32mm</v>
          </cell>
          <cell r="D200" t="str">
            <v>MR</v>
          </cell>
          <cell r="E200">
            <v>30</v>
          </cell>
          <cell r="F200">
            <v>8</v>
          </cell>
          <cell r="G200">
            <v>240</v>
          </cell>
        </row>
        <row r="201">
          <cell r="G201">
            <v>0</v>
          </cell>
        </row>
        <row r="202">
          <cell r="B202" t="str">
            <v>1.36.4</v>
          </cell>
          <cell r="C202" t="str">
            <v>DN 50mm</v>
          </cell>
          <cell r="D202" t="str">
            <v>MR</v>
          </cell>
          <cell r="E202">
            <v>30</v>
          </cell>
          <cell r="F202">
            <v>14</v>
          </cell>
          <cell r="G202">
            <v>420</v>
          </cell>
        </row>
        <row r="203">
          <cell r="G203">
            <v>0</v>
          </cell>
        </row>
        <row r="204">
          <cell r="B204">
            <v>1.37</v>
          </cell>
          <cell r="C204" t="str">
            <v xml:space="preserve">Supply pressure tapping tee with extra long outlet as per the ADWEA Standard Specification complete with ferrulefor the for ISO standard HDPE pipes with the following internal diameters and outlets  : </v>
          </cell>
          <cell r="G204">
            <v>0</v>
          </cell>
        </row>
        <row r="205">
          <cell r="G205">
            <v>0</v>
          </cell>
        </row>
        <row r="206">
          <cell r="B206" t="str">
            <v>1.37.1</v>
          </cell>
          <cell r="C206" t="str">
            <v>DN 200 / 50mm</v>
          </cell>
          <cell r="D206" t="str">
            <v>No.</v>
          </cell>
          <cell r="E206">
            <v>5</v>
          </cell>
          <cell r="F206">
            <v>600</v>
          </cell>
          <cell r="G206">
            <v>3000</v>
          </cell>
        </row>
        <row r="207">
          <cell r="G207">
            <v>0</v>
          </cell>
        </row>
        <row r="208">
          <cell r="B208" t="str">
            <v>1.37.2</v>
          </cell>
          <cell r="C208" t="str">
            <v>DN 200 / 32mm</v>
          </cell>
          <cell r="D208" t="str">
            <v>No.</v>
          </cell>
          <cell r="E208">
            <v>60</v>
          </cell>
          <cell r="F208">
            <v>480</v>
          </cell>
          <cell r="G208">
            <v>28800</v>
          </cell>
        </row>
        <row r="209">
          <cell r="G209">
            <v>0</v>
          </cell>
        </row>
        <row r="210">
          <cell r="B210" t="str">
            <v>1.37.3</v>
          </cell>
          <cell r="C210" t="str">
            <v>DN 150 / 50mm</v>
          </cell>
          <cell r="D210" t="str">
            <v>No.</v>
          </cell>
          <cell r="E210">
            <v>2</v>
          </cell>
          <cell r="F210">
            <v>600</v>
          </cell>
          <cell r="G210">
            <v>1200</v>
          </cell>
        </row>
        <row r="211">
          <cell r="G211">
            <v>0</v>
          </cell>
        </row>
        <row r="212">
          <cell r="B212" t="str">
            <v>1.37.4</v>
          </cell>
          <cell r="C212" t="str">
            <v>DN 150 / 32mm</v>
          </cell>
          <cell r="D212" t="str">
            <v>No.</v>
          </cell>
          <cell r="E212">
            <v>174</v>
          </cell>
          <cell r="F212">
            <v>380</v>
          </cell>
          <cell r="G212">
            <v>66120</v>
          </cell>
        </row>
        <row r="213">
          <cell r="G213">
            <v>0</v>
          </cell>
        </row>
        <row r="214">
          <cell r="B214">
            <v>1.38</v>
          </cell>
          <cell r="C214" t="str">
            <v>Supply HDPE electrofusion reducer as per the ADWEA Standard Specifications of the following size:</v>
          </cell>
          <cell r="G214">
            <v>0</v>
          </cell>
        </row>
        <row r="215">
          <cell r="G215">
            <v>0</v>
          </cell>
        </row>
        <row r="216">
          <cell r="B216" t="str">
            <v>1.38.1</v>
          </cell>
          <cell r="C216" t="str">
            <v>DN 32 / 25 mm</v>
          </cell>
          <cell r="D216" t="str">
            <v>No.</v>
          </cell>
          <cell r="E216">
            <v>15</v>
          </cell>
          <cell r="F216">
            <v>30</v>
          </cell>
          <cell r="G216">
            <v>450</v>
          </cell>
        </row>
        <row r="217">
          <cell r="G217">
            <v>0</v>
          </cell>
        </row>
        <row r="218">
          <cell r="B218" t="str">
            <v>1.38.2</v>
          </cell>
          <cell r="C218" t="str">
            <v>DN 32 / 20 mm</v>
          </cell>
          <cell r="D218" t="str">
            <v>No.</v>
          </cell>
          <cell r="E218">
            <v>155</v>
          </cell>
          <cell r="F218">
            <v>30</v>
          </cell>
          <cell r="G218">
            <v>4650</v>
          </cell>
        </row>
        <row r="219">
          <cell r="G219">
            <v>0</v>
          </cell>
        </row>
        <row r="220">
          <cell r="B220">
            <v>1.39</v>
          </cell>
          <cell r="C220" t="str">
            <v>Supply gunmetal or brass male adaptor (PE x male end) as per the ADWEA Standard Specification for the following MD polyethylene pipe size:</v>
          </cell>
          <cell r="G220">
            <v>0</v>
          </cell>
        </row>
        <row r="221">
          <cell r="G221">
            <v>0</v>
          </cell>
        </row>
        <row r="222">
          <cell r="B222" t="str">
            <v>1.39.1</v>
          </cell>
          <cell r="C222" t="str">
            <v>DN 20mm</v>
          </cell>
          <cell r="D222" t="str">
            <v>No.</v>
          </cell>
          <cell r="E222">
            <v>310</v>
          </cell>
          <cell r="F222">
            <v>34</v>
          </cell>
          <cell r="G222">
            <v>10540</v>
          </cell>
        </row>
        <row r="223">
          <cell r="G223">
            <v>0</v>
          </cell>
        </row>
        <row r="224">
          <cell r="B224" t="str">
            <v>1.39.2</v>
          </cell>
          <cell r="C224" t="str">
            <v>DN 25mm</v>
          </cell>
          <cell r="D224" t="str">
            <v>No.</v>
          </cell>
          <cell r="E224">
            <v>30</v>
          </cell>
          <cell r="F224">
            <v>50</v>
          </cell>
          <cell r="G224">
            <v>1500</v>
          </cell>
        </row>
        <row r="225">
          <cell r="G225">
            <v>0</v>
          </cell>
        </row>
        <row r="226">
          <cell r="B226">
            <v>1.4</v>
          </cell>
          <cell r="C226" t="str">
            <v>Supply gunmetal or brass gate valve (female end X female end) as per the ADWEA Standard Specifications of the following size:</v>
          </cell>
          <cell r="G226">
            <v>0</v>
          </cell>
        </row>
        <row r="227">
          <cell r="G227">
            <v>0</v>
          </cell>
        </row>
        <row r="228">
          <cell r="B228" t="str">
            <v>1.40.1</v>
          </cell>
          <cell r="C228" t="str">
            <v>DN 20mm</v>
          </cell>
          <cell r="D228" t="str">
            <v>No.</v>
          </cell>
          <cell r="E228">
            <v>155</v>
          </cell>
          <cell r="F228">
            <v>44</v>
          </cell>
          <cell r="G228">
            <v>6820</v>
          </cell>
        </row>
        <row r="229">
          <cell r="G229">
            <v>0</v>
          </cell>
        </row>
        <row r="230">
          <cell r="B230" t="str">
            <v>1.40.2</v>
          </cell>
          <cell r="C230" t="str">
            <v>DN 25mm</v>
          </cell>
          <cell r="D230" t="str">
            <v>No.</v>
          </cell>
          <cell r="E230">
            <v>15</v>
          </cell>
          <cell r="F230">
            <v>74</v>
          </cell>
          <cell r="G230">
            <v>1110</v>
          </cell>
        </row>
        <row r="231">
          <cell r="G231">
            <v>0</v>
          </cell>
        </row>
        <row r="232">
          <cell r="C232" t="str">
            <v>TOTAL FOR THIS PAGE</v>
          </cell>
          <cell r="G232">
            <v>232850</v>
          </cell>
        </row>
        <row r="233">
          <cell r="B233">
            <v>1.41</v>
          </cell>
          <cell r="C233" t="str">
            <v>Supply 90o elbow MD polyethylene as per the ADWEA Standard Specifications of the following size:</v>
          </cell>
          <cell r="G233">
            <v>0</v>
          </cell>
        </row>
        <row r="234">
          <cell r="G234">
            <v>0</v>
          </cell>
        </row>
        <row r="235">
          <cell r="B235" t="str">
            <v>1.41.1</v>
          </cell>
          <cell r="C235" t="str">
            <v>DN 20mm</v>
          </cell>
          <cell r="D235" t="str">
            <v>No.</v>
          </cell>
          <cell r="E235">
            <v>155</v>
          </cell>
          <cell r="F235">
            <v>40</v>
          </cell>
          <cell r="G235">
            <v>6200</v>
          </cell>
        </row>
        <row r="236">
          <cell r="G236">
            <v>0</v>
          </cell>
        </row>
        <row r="237">
          <cell r="B237" t="str">
            <v>1.41.2</v>
          </cell>
          <cell r="C237" t="str">
            <v>DN 25mm</v>
          </cell>
          <cell r="D237" t="str">
            <v>No.</v>
          </cell>
          <cell r="E237">
            <v>15</v>
          </cell>
          <cell r="F237">
            <v>50</v>
          </cell>
          <cell r="G237">
            <v>750</v>
          </cell>
        </row>
        <row r="238">
          <cell r="G238">
            <v>0</v>
          </cell>
        </row>
        <row r="239">
          <cell r="B239">
            <v>1.42</v>
          </cell>
          <cell r="C239" t="str">
            <v>Square medium duty aluminium alloy hot cured polyester powder coated (colour blue RAL 5015) lockable by means of stainless steel bolts, access cover and frame with 350 mm x 350 mm clear opening for H.C. stop valve box as per Tender Drawing.</v>
          </cell>
          <cell r="D239" t="str">
            <v>No.</v>
          </cell>
          <cell r="E239">
            <v>170</v>
          </cell>
          <cell r="F239">
            <v>280</v>
          </cell>
          <cell r="G239">
            <v>47600</v>
          </cell>
        </row>
        <row r="240">
          <cell r="G240">
            <v>0</v>
          </cell>
        </row>
        <row r="241">
          <cell r="B241">
            <v>1.43</v>
          </cell>
          <cell r="C241" t="str">
            <v>Supply warning tape for house connections, detectable by metal detector, 250 mm wide, blue coloured with text; "CAUTION: WATER MAIN BELOW" in English and Arabic as per the Specification.</v>
          </cell>
          <cell r="D241" t="str">
            <v>MR</v>
          </cell>
          <cell r="E241">
            <v>1400</v>
          </cell>
          <cell r="F241">
            <v>5</v>
          </cell>
          <cell r="G241">
            <v>7000</v>
          </cell>
        </row>
        <row r="242">
          <cell r="C242" t="str">
            <v>TOTAL FOR THIS PAGE</v>
          </cell>
          <cell r="G242">
            <v>61550</v>
          </cell>
        </row>
      </sheetData>
      <sheetData sheetId="26"/>
      <sheetData sheetId="27"/>
      <sheetData sheetId="28"/>
      <sheetData sheetId="29"/>
      <sheetData sheetId="30"/>
      <sheetData sheetId="3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HANDUP"/>
      <sheetName val="#REF"/>
      <sheetName val="Index"/>
      <sheetName val="Sheet1"/>
      <sheetName val="Sheet2"/>
      <sheetName val="Sheet3"/>
      <sheetName val="S3workplan"/>
      <sheetName val="cl14"/>
      <sheetName val="PLAN_FEB97"/>
      <sheetName val="Officer Budget Form"/>
      <sheetName val="bg-charges"/>
      <sheetName val="S2groupcode"/>
      <sheetName val="Discarded links"/>
      <sheetName val="Form D1"/>
      <sheetName val="Form D12"/>
      <sheetName val="Form D13"/>
      <sheetName val="MATERIAL TOTAL"/>
      <sheetName val="Form 5"/>
      <sheetName val="BASIC-Roads"/>
      <sheetName val="Total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URVE_OLD"/>
      <sheetName val="WTPLN_Rev A"/>
      <sheetName val="S-CURVE"/>
      <sheetName val="Histogram-"/>
      <sheetName val="Manpower"/>
      <sheetName val="Actuals"/>
      <sheetName val="Plan_cumu"/>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ive Report"/>
      <sheetName val="Overall Status"/>
      <sheetName val="Sheet5"/>
      <sheetName val="DASHBOARD"/>
      <sheetName val="Overall Curve "/>
      <sheetName val="Narrtive"/>
      <sheetName val="Project Sumary"/>
      <sheetName val="Dashboard-HSE"/>
      <sheetName val="BLR01"/>
      <sheetName val="Engineering Curve"/>
      <sheetName val="DTS Curve "/>
      <sheetName val="DTS Register"/>
      <sheetName val="MTS  Curve "/>
      <sheetName val="MTS Register"/>
      <sheetName val="Procurement Curve"/>
      <sheetName val="Procurement Register"/>
      <sheetName val="NOC Curve"/>
      <sheetName val="NOC Register "/>
      <sheetName val="MOB. Curve "/>
      <sheetName val="Mob. Register"/>
      <sheetName val="Constrcution Curve"/>
      <sheetName val="Sheet3"/>
      <sheetName val="Construction Register "/>
      <sheetName val="Construction Photo"/>
      <sheetName val="Detailed Civil Works"/>
      <sheetName val="EQMD"/>
      <sheetName val="LOOK AHEAD"/>
      <sheetName val="BL00"/>
      <sheetName val="Detailed Construction"/>
      <sheetName val="CIVPD"/>
      <sheetName val="MOB"/>
      <sheetName val="Sheet1"/>
      <sheetName val="C"/>
      <sheetName val="A "/>
      <sheetName val="page 1"/>
      <sheetName val="Sheet2"/>
      <sheetName val="Sheet2 (2)"/>
      <sheetName val="Civil subcon-SCH"/>
      <sheetName val="Subcontractor Schedule-FF"/>
      <sheetName val="Subcontractor Schedule-hvac"/>
      <sheetName val="Subcontractor Schedule-Scada PC"/>
      <sheetName val="Subcontractor Schedule-pp"/>
      <sheetName val="Subcontractor Schedule-Insulati"/>
      <sheetName val="Sheet1 (2)"/>
      <sheetName val="Sheet11"/>
      <sheetName val="Monthly Scorecard"/>
      <sheetName val="PROGRAM UPD"/>
      <sheetName val="APENDIX"/>
      <sheetName val="Program-KPI"/>
      <sheetName val="Data"/>
      <sheetName val="Subcontractor Schedule-Scad (2"/>
      <sheetName val="CASH FLOW"/>
      <sheetName val="Cash Flow Details"/>
    </sheetNames>
    <sheetDataSet>
      <sheetData sheetId="0">
        <row r="14">
          <cell r="BG14" t="str">
            <v>Planned</v>
          </cell>
        </row>
      </sheetData>
      <sheetData sheetId="1"/>
      <sheetData sheetId="2"/>
      <sheetData sheetId="3"/>
      <sheetData sheetId="4"/>
      <sheetData sheetId="5"/>
      <sheetData sheetId="6"/>
      <sheetData sheetId="7">
        <row r="42">
          <cell r="P42">
            <v>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row r="181">
          <cell r="D181">
            <v>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ow r="18">
          <cell r="E18">
            <v>0</v>
          </cell>
        </row>
      </sheetData>
      <sheetData sheetId="46"/>
      <sheetData sheetId="47"/>
      <sheetData sheetId="48"/>
      <sheetData sheetId="49">
        <row r="10">
          <cell r="B10">
            <v>0</v>
          </cell>
        </row>
      </sheetData>
      <sheetData sheetId="50"/>
      <sheetData sheetId="51"/>
      <sheetData sheetId="52"/>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SHT"/>
      <sheetName val="PMS"/>
      <sheetName val="S-CURVE"/>
      <sheetName val="Manpower"/>
      <sheetName val="DISTRIBUTION"/>
    </sheetNames>
    <sheetDataSet>
      <sheetData sheetId="0"/>
      <sheetData sheetId="1">
        <row r="6">
          <cell r="N6">
            <v>36804.999988425923</v>
          </cell>
        </row>
        <row r="9">
          <cell r="AD9">
            <v>36800</v>
          </cell>
          <cell r="AE9">
            <v>36804.999988425923</v>
          </cell>
          <cell r="AF9">
            <v>36811.999988425923</v>
          </cell>
          <cell r="AG9">
            <v>36818.999988425923</v>
          </cell>
          <cell r="AH9">
            <v>36825.999988425923</v>
          </cell>
          <cell r="AI9">
            <v>36832.999988425923</v>
          </cell>
          <cell r="AJ9">
            <v>36839.999988425923</v>
          </cell>
          <cell r="AK9">
            <v>36846.999988425923</v>
          </cell>
          <cell r="AL9">
            <v>36853.999988425923</v>
          </cell>
          <cell r="AM9">
            <v>36860.999988425923</v>
          </cell>
          <cell r="AN9">
            <v>36867.999988425923</v>
          </cell>
          <cell r="AO9">
            <v>36874.999988425923</v>
          </cell>
          <cell r="AP9">
            <v>36881.999988425923</v>
          </cell>
          <cell r="AQ9">
            <v>36888.999988425923</v>
          </cell>
          <cell r="AR9">
            <v>36895.999988425923</v>
          </cell>
          <cell r="AS9">
            <v>36902.999988425923</v>
          </cell>
          <cell r="AT9">
            <v>36909.999988425923</v>
          </cell>
          <cell r="AU9">
            <v>36916.999988425923</v>
          </cell>
          <cell r="AV9">
            <v>36923.999988425923</v>
          </cell>
          <cell r="AW9">
            <v>36930.999988425923</v>
          </cell>
          <cell r="AX9">
            <v>36937.999988425923</v>
          </cell>
          <cell r="AY9">
            <v>36944.999988425923</v>
          </cell>
          <cell r="AZ9">
            <v>36950.999988425923</v>
          </cell>
          <cell r="BA9">
            <v>36950.999988425923</v>
          </cell>
          <cell r="BB9">
            <v>36950.999988425923</v>
          </cell>
          <cell r="BC9">
            <v>36950.999988425923</v>
          </cell>
          <cell r="BD9">
            <v>36950.999988425923</v>
          </cell>
          <cell r="BE9">
            <v>36950.999988425923</v>
          </cell>
          <cell r="BF9">
            <v>36950.999988425923</v>
          </cell>
          <cell r="BG9">
            <v>36950.999988425923</v>
          </cell>
          <cell r="BH9">
            <v>36950.999988425923</v>
          </cell>
          <cell r="BI9">
            <v>36950.999988425923</v>
          </cell>
          <cell r="BJ9">
            <v>36950.999988425923</v>
          </cell>
          <cell r="BK9">
            <v>36950.999988425923</v>
          </cell>
          <cell r="BL9">
            <v>36950.999988425923</v>
          </cell>
          <cell r="BM9">
            <v>36950.999988425923</v>
          </cell>
          <cell r="BN9">
            <v>36950.999988425923</v>
          </cell>
          <cell r="BO9">
            <v>36950.999988425923</v>
          </cell>
          <cell r="BP9">
            <v>36950.999988425923</v>
          </cell>
          <cell r="BQ9">
            <v>36950.999988425923</v>
          </cell>
          <cell r="BR9">
            <v>36950.999988425923</v>
          </cell>
          <cell r="BS9">
            <v>36950.999988425923</v>
          </cell>
          <cell r="BT9">
            <v>36950.999988425923</v>
          </cell>
          <cell r="BU9">
            <v>36950.999988425923</v>
          </cell>
          <cell r="BV9">
            <v>36950.999988425923</v>
          </cell>
          <cell r="BW9">
            <v>36950.999988425923</v>
          </cell>
          <cell r="BX9">
            <v>36950.999988425923</v>
          </cell>
          <cell r="BY9">
            <v>36950.999988425923</v>
          </cell>
          <cell r="BZ9">
            <v>36950.999988425923</v>
          </cell>
          <cell r="CA9">
            <v>36950.999988425923</v>
          </cell>
          <cell r="CB9">
            <v>36950.999988425923</v>
          </cell>
          <cell r="CC9">
            <v>36950.999988425923</v>
          </cell>
          <cell r="CD9">
            <v>36950.999988425923</v>
          </cell>
          <cell r="CE9">
            <v>36950.999988425923</v>
          </cell>
          <cell r="CF9">
            <v>36950.999988425923</v>
          </cell>
          <cell r="CG9">
            <v>36950.999988425923</v>
          </cell>
          <cell r="CH9">
            <v>36950.999988425923</v>
          </cell>
          <cell r="CI9">
            <v>36950.999988425923</v>
          </cell>
          <cell r="CJ9">
            <v>36950.999988425923</v>
          </cell>
          <cell r="CK9">
            <v>36950.999988425923</v>
          </cell>
          <cell r="CL9">
            <v>36950.999988425923</v>
          </cell>
          <cell r="CM9">
            <v>36950.999988425923</v>
          </cell>
          <cell r="CN9">
            <v>36950.999988425923</v>
          </cell>
          <cell r="CO9">
            <v>36950.999988425923</v>
          </cell>
          <cell r="CP9">
            <v>36950.999988425923</v>
          </cell>
          <cell r="CQ9">
            <v>36950.999988425923</v>
          </cell>
          <cell r="CR9">
            <v>36950.999988425923</v>
          </cell>
          <cell r="CS9">
            <v>36950.999988425923</v>
          </cell>
          <cell r="CT9">
            <v>36950.999988425923</v>
          </cell>
          <cell r="CU9">
            <v>36950.999988425923</v>
          </cell>
          <cell r="CV9">
            <v>36950.999988425923</v>
          </cell>
          <cell r="CW9">
            <v>36950.999988425923</v>
          </cell>
          <cell r="CX9">
            <v>36950.999988425923</v>
          </cell>
          <cell r="CY9">
            <v>36950.999988425923</v>
          </cell>
          <cell r="CZ9">
            <v>36950.999988425923</v>
          </cell>
          <cell r="DA9">
            <v>36950.999988425923</v>
          </cell>
          <cell r="DB9">
            <v>36950.999988425923</v>
          </cell>
          <cell r="DC9">
            <v>36950.999988425923</v>
          </cell>
          <cell r="DD9">
            <v>36950.999988425923</v>
          </cell>
          <cell r="DE9">
            <v>36950.999988425923</v>
          </cell>
          <cell r="DF9">
            <v>36950.999988425923</v>
          </cell>
        </row>
        <row r="10">
          <cell r="AD10">
            <v>0</v>
          </cell>
        </row>
        <row r="11">
          <cell r="AD11">
            <v>0</v>
          </cell>
        </row>
        <row r="12">
          <cell r="AD12">
            <v>0</v>
          </cell>
        </row>
        <row r="13">
          <cell r="AD13">
            <v>0</v>
          </cell>
        </row>
        <row r="14">
          <cell r="AD14">
            <v>0</v>
          </cell>
        </row>
        <row r="15">
          <cell r="AD15">
            <v>0</v>
          </cell>
        </row>
        <row r="16">
          <cell r="AD16">
            <v>0</v>
          </cell>
        </row>
        <row r="17">
          <cell r="AD17">
            <v>0</v>
          </cell>
        </row>
        <row r="18">
          <cell r="AD18">
            <v>0</v>
          </cell>
        </row>
        <row r="19">
          <cell r="AD19">
            <v>0</v>
          </cell>
        </row>
        <row r="20">
          <cell r="AD20">
            <v>0</v>
          </cell>
        </row>
        <row r="21">
          <cell r="AD21">
            <v>0</v>
          </cell>
        </row>
        <row r="22">
          <cell r="AD22">
            <v>0</v>
          </cell>
        </row>
        <row r="23">
          <cell r="AD23">
            <v>0</v>
          </cell>
        </row>
        <row r="24">
          <cell r="AD24">
            <v>0</v>
          </cell>
        </row>
        <row r="25">
          <cell r="AD25">
            <v>0</v>
          </cell>
        </row>
        <row r="26">
          <cell r="AD26">
            <v>0</v>
          </cell>
        </row>
        <row r="27">
          <cell r="AD27">
            <v>0</v>
          </cell>
        </row>
        <row r="28">
          <cell r="AD28">
            <v>0</v>
          </cell>
        </row>
        <row r="29">
          <cell r="AD29">
            <v>0</v>
          </cell>
        </row>
        <row r="30">
          <cell r="AD30">
            <v>0</v>
          </cell>
        </row>
        <row r="31">
          <cell r="AD31">
            <v>0</v>
          </cell>
        </row>
        <row r="32">
          <cell r="AD32">
            <v>0</v>
          </cell>
        </row>
        <row r="33">
          <cell r="AD33">
            <v>0</v>
          </cell>
        </row>
        <row r="34">
          <cell r="AD34">
            <v>0</v>
          </cell>
        </row>
        <row r="35">
          <cell r="AD35">
            <v>0</v>
          </cell>
        </row>
        <row r="36">
          <cell r="AD36">
            <v>0</v>
          </cell>
        </row>
        <row r="37">
          <cell r="AD37">
            <v>0</v>
          </cell>
        </row>
        <row r="38">
          <cell r="AD38">
            <v>0</v>
          </cell>
        </row>
        <row r="39">
          <cell r="AD39">
            <v>0</v>
          </cell>
        </row>
        <row r="40">
          <cell r="AD40">
            <v>0</v>
          </cell>
        </row>
        <row r="41">
          <cell r="AD41">
            <v>0</v>
          </cell>
        </row>
        <row r="42">
          <cell r="AD42">
            <v>0</v>
          </cell>
        </row>
        <row r="43">
          <cell r="AD43">
            <v>0</v>
          </cell>
        </row>
        <row r="44">
          <cell r="AD44">
            <v>0</v>
          </cell>
        </row>
        <row r="45">
          <cell r="AD45">
            <v>0</v>
          </cell>
        </row>
        <row r="46">
          <cell r="AD46">
            <v>0</v>
          </cell>
        </row>
        <row r="47">
          <cell r="AD47">
            <v>0</v>
          </cell>
        </row>
        <row r="48">
          <cell r="AD48">
            <v>0</v>
          </cell>
        </row>
        <row r="49">
          <cell r="AD49">
            <v>0</v>
          </cell>
        </row>
        <row r="50">
          <cell r="AD50">
            <v>0</v>
          </cell>
        </row>
        <row r="51">
          <cell r="AD51">
            <v>0</v>
          </cell>
        </row>
        <row r="52">
          <cell r="AD52">
            <v>0</v>
          </cell>
        </row>
        <row r="53">
          <cell r="AD53">
            <v>0</v>
          </cell>
        </row>
        <row r="54">
          <cell r="AD54">
            <v>0</v>
          </cell>
        </row>
        <row r="55">
          <cell r="AD55">
            <v>0</v>
          </cell>
        </row>
        <row r="56">
          <cell r="AD56">
            <v>0</v>
          </cell>
        </row>
        <row r="57">
          <cell r="AD57">
            <v>0</v>
          </cell>
        </row>
        <row r="58">
          <cell r="AD58">
            <v>0</v>
          </cell>
        </row>
        <row r="59">
          <cell r="AD59">
            <v>0</v>
          </cell>
        </row>
        <row r="60">
          <cell r="AD60">
            <v>0</v>
          </cell>
        </row>
        <row r="61">
          <cell r="AD61">
            <v>0</v>
          </cell>
        </row>
        <row r="62">
          <cell r="AD62">
            <v>0</v>
          </cell>
        </row>
        <row r="63">
          <cell r="AD63">
            <v>0</v>
          </cell>
        </row>
        <row r="64">
          <cell r="AD64">
            <v>0</v>
          </cell>
        </row>
        <row r="65">
          <cell r="AD65">
            <v>0</v>
          </cell>
        </row>
        <row r="66">
          <cell r="AD66">
            <v>0</v>
          </cell>
        </row>
        <row r="67">
          <cell r="AD67">
            <v>0</v>
          </cell>
        </row>
        <row r="68">
          <cell r="AD68">
            <v>0</v>
          </cell>
        </row>
        <row r="69">
          <cell r="AD69">
            <v>0</v>
          </cell>
        </row>
        <row r="70">
          <cell r="AD70">
            <v>0</v>
          </cell>
        </row>
        <row r="71">
          <cell r="AD71">
            <v>0</v>
          </cell>
        </row>
        <row r="72">
          <cell r="AD72">
            <v>0</v>
          </cell>
        </row>
        <row r="73">
          <cell r="AD73">
            <v>0</v>
          </cell>
        </row>
        <row r="74">
          <cell r="AD74">
            <v>0</v>
          </cell>
        </row>
        <row r="75">
          <cell r="AD75">
            <v>0</v>
          </cell>
        </row>
        <row r="76">
          <cell r="AD76">
            <v>0</v>
          </cell>
        </row>
        <row r="77">
          <cell r="AD77">
            <v>0</v>
          </cell>
        </row>
        <row r="78">
          <cell r="AD78">
            <v>0</v>
          </cell>
        </row>
        <row r="79">
          <cell r="AD79">
            <v>0</v>
          </cell>
        </row>
        <row r="80">
          <cell r="AD80">
            <v>0</v>
          </cell>
        </row>
        <row r="81">
          <cell r="AD81">
            <v>0</v>
          </cell>
        </row>
        <row r="82">
          <cell r="AD82">
            <v>0</v>
          </cell>
        </row>
        <row r="83">
          <cell r="AD83">
            <v>0</v>
          </cell>
        </row>
        <row r="84">
          <cell r="AD84">
            <v>0</v>
          </cell>
        </row>
        <row r="85">
          <cell r="AD85">
            <v>0</v>
          </cell>
        </row>
        <row r="86">
          <cell r="AD86">
            <v>0</v>
          </cell>
        </row>
        <row r="87">
          <cell r="AD87">
            <v>0</v>
          </cell>
        </row>
        <row r="88">
          <cell r="AD88">
            <v>0</v>
          </cell>
        </row>
        <row r="89">
          <cell r="AD89">
            <v>0</v>
          </cell>
        </row>
        <row r="90">
          <cell r="AD90">
            <v>0</v>
          </cell>
        </row>
        <row r="91">
          <cell r="AD91">
            <v>0</v>
          </cell>
        </row>
        <row r="92">
          <cell r="AD92">
            <v>0</v>
          </cell>
        </row>
        <row r="93">
          <cell r="AD93">
            <v>0</v>
          </cell>
        </row>
        <row r="94">
          <cell r="AD94">
            <v>0</v>
          </cell>
        </row>
        <row r="95">
          <cell r="AD95">
            <v>0</v>
          </cell>
        </row>
        <row r="96">
          <cell r="AD96">
            <v>0</v>
          </cell>
        </row>
        <row r="97">
          <cell r="AD97">
            <v>0</v>
          </cell>
        </row>
        <row r="98">
          <cell r="AD98">
            <v>0</v>
          </cell>
        </row>
        <row r="99">
          <cell r="AD99">
            <v>0</v>
          </cell>
        </row>
        <row r="100">
          <cell r="AD100">
            <v>0</v>
          </cell>
        </row>
        <row r="101">
          <cell r="AD101">
            <v>0</v>
          </cell>
        </row>
        <row r="102">
          <cell r="AD102">
            <v>0</v>
          </cell>
        </row>
        <row r="103">
          <cell r="AD103">
            <v>0</v>
          </cell>
        </row>
        <row r="104">
          <cell r="AD104">
            <v>0</v>
          </cell>
        </row>
        <row r="105">
          <cell r="AD105">
            <v>0</v>
          </cell>
        </row>
        <row r="106">
          <cell r="AD106">
            <v>0</v>
          </cell>
        </row>
        <row r="107">
          <cell r="AD107">
            <v>0</v>
          </cell>
        </row>
        <row r="108">
          <cell r="AD108">
            <v>0</v>
          </cell>
        </row>
        <row r="109">
          <cell r="AD109">
            <v>0</v>
          </cell>
        </row>
        <row r="110">
          <cell r="AD110">
            <v>0</v>
          </cell>
        </row>
        <row r="111">
          <cell r="AD111">
            <v>0</v>
          </cell>
        </row>
        <row r="112">
          <cell r="AD112">
            <v>0</v>
          </cell>
        </row>
        <row r="113">
          <cell r="AD113">
            <v>0</v>
          </cell>
        </row>
        <row r="114">
          <cell r="AD114">
            <v>0</v>
          </cell>
        </row>
        <row r="115">
          <cell r="AD115">
            <v>0</v>
          </cell>
        </row>
        <row r="116">
          <cell r="AD116">
            <v>0</v>
          </cell>
        </row>
        <row r="117">
          <cell r="AD117">
            <v>0</v>
          </cell>
        </row>
        <row r="118">
          <cell r="AD118">
            <v>0</v>
          </cell>
        </row>
        <row r="119">
          <cell r="AD119">
            <v>0</v>
          </cell>
        </row>
        <row r="120">
          <cell r="AD120">
            <v>0</v>
          </cell>
        </row>
        <row r="121">
          <cell r="AD121">
            <v>0</v>
          </cell>
        </row>
        <row r="122">
          <cell r="AD122">
            <v>0</v>
          </cell>
        </row>
        <row r="123">
          <cell r="AD123">
            <v>0</v>
          </cell>
        </row>
        <row r="124">
          <cell r="AD124">
            <v>0</v>
          </cell>
        </row>
        <row r="125">
          <cell r="AD125">
            <v>0</v>
          </cell>
        </row>
        <row r="126">
          <cell r="AD126">
            <v>0</v>
          </cell>
        </row>
        <row r="127">
          <cell r="AD127">
            <v>0</v>
          </cell>
        </row>
        <row r="128">
          <cell r="AD128">
            <v>0</v>
          </cell>
        </row>
        <row r="129">
          <cell r="AD129">
            <v>0</v>
          </cell>
        </row>
        <row r="130">
          <cell r="AD130">
            <v>0</v>
          </cell>
        </row>
        <row r="131">
          <cell r="AD131">
            <v>0</v>
          </cell>
        </row>
        <row r="132">
          <cell r="AD132">
            <v>0</v>
          </cell>
        </row>
        <row r="133">
          <cell r="AD133">
            <v>0</v>
          </cell>
        </row>
        <row r="134">
          <cell r="AD134">
            <v>0</v>
          </cell>
        </row>
        <row r="135">
          <cell r="AD135">
            <v>0</v>
          </cell>
        </row>
        <row r="136">
          <cell r="AD136">
            <v>0</v>
          </cell>
        </row>
        <row r="137">
          <cell r="AD137">
            <v>0</v>
          </cell>
        </row>
        <row r="138">
          <cell r="AD138">
            <v>0</v>
          </cell>
        </row>
        <row r="139">
          <cell r="AD139">
            <v>0</v>
          </cell>
        </row>
        <row r="140">
          <cell r="AD140">
            <v>0</v>
          </cell>
        </row>
        <row r="141">
          <cell r="AD141">
            <v>0</v>
          </cell>
        </row>
        <row r="142">
          <cell r="AD142">
            <v>0</v>
          </cell>
        </row>
        <row r="143">
          <cell r="AD143">
            <v>0</v>
          </cell>
        </row>
        <row r="144">
          <cell r="AD144">
            <v>0</v>
          </cell>
        </row>
        <row r="145">
          <cell r="AD145">
            <v>0</v>
          </cell>
        </row>
        <row r="146">
          <cell r="AD146">
            <v>0</v>
          </cell>
        </row>
        <row r="147">
          <cell r="AD147">
            <v>0</v>
          </cell>
        </row>
        <row r="148">
          <cell r="AD148">
            <v>0</v>
          </cell>
        </row>
        <row r="149">
          <cell r="AD149">
            <v>0</v>
          </cell>
        </row>
        <row r="150">
          <cell r="AD150">
            <v>0</v>
          </cell>
        </row>
        <row r="151">
          <cell r="AD151">
            <v>0</v>
          </cell>
        </row>
        <row r="152">
          <cell r="AD152">
            <v>0</v>
          </cell>
        </row>
        <row r="153">
          <cell r="AD153">
            <v>0</v>
          </cell>
        </row>
        <row r="154">
          <cell r="AD154">
            <v>0</v>
          </cell>
        </row>
        <row r="155">
          <cell r="AD155">
            <v>0</v>
          </cell>
        </row>
        <row r="156">
          <cell r="AD156">
            <v>0</v>
          </cell>
        </row>
        <row r="157">
          <cell r="AD157">
            <v>0</v>
          </cell>
        </row>
        <row r="158">
          <cell r="AD158">
            <v>0</v>
          </cell>
        </row>
        <row r="159">
          <cell r="AD159">
            <v>0</v>
          </cell>
        </row>
        <row r="160">
          <cell r="AD160">
            <v>0</v>
          </cell>
        </row>
        <row r="161">
          <cell r="AD161">
            <v>0</v>
          </cell>
        </row>
        <row r="162">
          <cell r="AD162">
            <v>0</v>
          </cell>
        </row>
        <row r="163">
          <cell r="AD163">
            <v>0</v>
          </cell>
        </row>
        <row r="164">
          <cell r="AD164">
            <v>0</v>
          </cell>
        </row>
        <row r="165">
          <cell r="AD165">
            <v>0</v>
          </cell>
        </row>
        <row r="166">
          <cell r="AD166">
            <v>0</v>
          </cell>
        </row>
        <row r="167">
          <cell r="AD167">
            <v>0</v>
          </cell>
        </row>
        <row r="168">
          <cell r="AD168">
            <v>0</v>
          </cell>
        </row>
        <row r="169">
          <cell r="AD169">
            <v>0</v>
          </cell>
        </row>
        <row r="170">
          <cell r="AD170">
            <v>0</v>
          </cell>
        </row>
        <row r="171">
          <cell r="AD171">
            <v>0</v>
          </cell>
        </row>
        <row r="172">
          <cell r="AD172">
            <v>0</v>
          </cell>
        </row>
        <row r="173">
          <cell r="AD173">
            <v>0</v>
          </cell>
        </row>
        <row r="174">
          <cell r="AD174">
            <v>0</v>
          </cell>
        </row>
        <row r="175">
          <cell r="AD175">
            <v>0</v>
          </cell>
        </row>
        <row r="176">
          <cell r="AD176">
            <v>0</v>
          </cell>
        </row>
        <row r="177">
          <cell r="AD177">
            <v>0</v>
          </cell>
        </row>
        <row r="178">
          <cell r="AD178">
            <v>0</v>
          </cell>
        </row>
        <row r="179">
          <cell r="AD179">
            <v>0</v>
          </cell>
        </row>
        <row r="180">
          <cell r="AD180">
            <v>0</v>
          </cell>
        </row>
        <row r="181">
          <cell r="AD181">
            <v>0</v>
          </cell>
        </row>
        <row r="182">
          <cell r="AD182">
            <v>0</v>
          </cell>
        </row>
        <row r="183">
          <cell r="AD183">
            <v>0</v>
          </cell>
        </row>
        <row r="184">
          <cell r="AD184">
            <v>0</v>
          </cell>
        </row>
        <row r="185">
          <cell r="AD185">
            <v>0</v>
          </cell>
        </row>
        <row r="186">
          <cell r="AD186">
            <v>0</v>
          </cell>
        </row>
        <row r="187">
          <cell r="AD187">
            <v>0</v>
          </cell>
        </row>
        <row r="188">
          <cell r="AD188">
            <v>0</v>
          </cell>
        </row>
        <row r="189">
          <cell r="AD189">
            <v>0</v>
          </cell>
        </row>
        <row r="190">
          <cell r="AD190">
            <v>0</v>
          </cell>
        </row>
        <row r="191">
          <cell r="AD191">
            <v>0</v>
          </cell>
        </row>
        <row r="192">
          <cell r="AD192">
            <v>0</v>
          </cell>
        </row>
        <row r="193">
          <cell r="AD193">
            <v>0</v>
          </cell>
        </row>
        <row r="194">
          <cell r="AD194">
            <v>0</v>
          </cell>
        </row>
        <row r="195">
          <cell r="AD195">
            <v>0</v>
          </cell>
        </row>
        <row r="196">
          <cell r="AD196">
            <v>0</v>
          </cell>
        </row>
        <row r="197">
          <cell r="AD197">
            <v>0</v>
          </cell>
        </row>
        <row r="198">
          <cell r="AD198">
            <v>0</v>
          </cell>
        </row>
        <row r="199">
          <cell r="AD199">
            <v>0</v>
          </cell>
        </row>
        <row r="200">
          <cell r="AD200">
            <v>0</v>
          </cell>
        </row>
        <row r="201">
          <cell r="AD201">
            <v>0</v>
          </cell>
        </row>
        <row r="202">
          <cell r="AD202">
            <v>0</v>
          </cell>
        </row>
        <row r="203">
          <cell r="AD203">
            <v>0</v>
          </cell>
        </row>
        <row r="204">
          <cell r="AD204">
            <v>0</v>
          </cell>
        </row>
        <row r="205">
          <cell r="AD205">
            <v>0</v>
          </cell>
        </row>
        <row r="206">
          <cell r="AD206">
            <v>0</v>
          </cell>
        </row>
        <row r="207">
          <cell r="AD207">
            <v>0</v>
          </cell>
        </row>
        <row r="208">
          <cell r="AD208">
            <v>0</v>
          </cell>
        </row>
        <row r="209">
          <cell r="AD209">
            <v>0</v>
          </cell>
        </row>
        <row r="210">
          <cell r="AD210">
            <v>0</v>
          </cell>
        </row>
        <row r="211">
          <cell r="AD211">
            <v>0</v>
          </cell>
        </row>
        <row r="212">
          <cell r="AD212">
            <v>0</v>
          </cell>
        </row>
        <row r="213">
          <cell r="AD213">
            <v>0</v>
          </cell>
        </row>
        <row r="214">
          <cell r="AD214">
            <v>0</v>
          </cell>
        </row>
        <row r="215">
          <cell r="AD215">
            <v>0</v>
          </cell>
        </row>
        <row r="216">
          <cell r="AD216">
            <v>0</v>
          </cell>
        </row>
        <row r="217">
          <cell r="AD217">
            <v>0</v>
          </cell>
        </row>
        <row r="218">
          <cell r="AD218">
            <v>0</v>
          </cell>
        </row>
        <row r="219">
          <cell r="AD219">
            <v>0</v>
          </cell>
        </row>
        <row r="220">
          <cell r="AD220">
            <v>0</v>
          </cell>
        </row>
        <row r="221">
          <cell r="AD221">
            <v>0</v>
          </cell>
        </row>
        <row r="222">
          <cell r="AD222">
            <v>0</v>
          </cell>
        </row>
        <row r="223">
          <cell r="AD223">
            <v>0</v>
          </cell>
        </row>
        <row r="224">
          <cell r="AD224">
            <v>0</v>
          </cell>
        </row>
        <row r="225">
          <cell r="AD225">
            <v>0</v>
          </cell>
        </row>
        <row r="226">
          <cell r="AD226">
            <v>0</v>
          </cell>
        </row>
        <row r="227">
          <cell r="AD227">
            <v>0</v>
          </cell>
        </row>
        <row r="228">
          <cell r="AD228">
            <v>0</v>
          </cell>
        </row>
        <row r="229">
          <cell r="AD229">
            <v>0</v>
          </cell>
        </row>
        <row r="230">
          <cell r="AD230">
            <v>0</v>
          </cell>
        </row>
        <row r="231">
          <cell r="AD231">
            <v>0</v>
          </cell>
        </row>
        <row r="232">
          <cell r="AD232">
            <v>0</v>
          </cell>
        </row>
        <row r="233">
          <cell r="AD233">
            <v>0</v>
          </cell>
        </row>
        <row r="234">
          <cell r="AD234">
            <v>0</v>
          </cell>
        </row>
        <row r="235">
          <cell r="AD235">
            <v>0</v>
          </cell>
        </row>
        <row r="236">
          <cell r="AD236">
            <v>0</v>
          </cell>
        </row>
        <row r="237">
          <cell r="AD237">
            <v>0</v>
          </cell>
        </row>
        <row r="238">
          <cell r="AD238">
            <v>0</v>
          </cell>
        </row>
        <row r="239">
          <cell r="AD239">
            <v>0</v>
          </cell>
        </row>
        <row r="240">
          <cell r="AD240">
            <v>0</v>
          </cell>
        </row>
        <row r="241">
          <cell r="AD241">
            <v>0</v>
          </cell>
        </row>
        <row r="242">
          <cell r="AD242">
            <v>0</v>
          </cell>
        </row>
        <row r="243">
          <cell r="AD243">
            <v>0</v>
          </cell>
        </row>
        <row r="244">
          <cell r="AD244">
            <v>0</v>
          </cell>
        </row>
        <row r="245">
          <cell r="AD245">
            <v>0</v>
          </cell>
        </row>
        <row r="246">
          <cell r="AD246">
            <v>0</v>
          </cell>
        </row>
        <row r="247">
          <cell r="AD247">
            <v>0</v>
          </cell>
        </row>
        <row r="248">
          <cell r="AD248">
            <v>0</v>
          </cell>
        </row>
        <row r="249">
          <cell r="AD249">
            <v>0</v>
          </cell>
        </row>
        <row r="250">
          <cell r="AD250">
            <v>0</v>
          </cell>
        </row>
        <row r="251">
          <cell r="AD251">
            <v>0</v>
          </cell>
        </row>
        <row r="252">
          <cell r="AD252">
            <v>0</v>
          </cell>
        </row>
        <row r="253">
          <cell r="AD253">
            <v>0</v>
          </cell>
        </row>
        <row r="254">
          <cell r="AD254">
            <v>0</v>
          </cell>
        </row>
        <row r="255">
          <cell r="AD255">
            <v>0</v>
          </cell>
        </row>
        <row r="256">
          <cell r="AD256">
            <v>0</v>
          </cell>
        </row>
        <row r="257">
          <cell r="AD257">
            <v>0</v>
          </cell>
        </row>
        <row r="258">
          <cell r="AD258">
            <v>0</v>
          </cell>
        </row>
        <row r="259">
          <cell r="AD259">
            <v>0</v>
          </cell>
        </row>
        <row r="260">
          <cell r="AD260">
            <v>0</v>
          </cell>
        </row>
        <row r="261">
          <cell r="AD261">
            <v>0</v>
          </cell>
        </row>
        <row r="262">
          <cell r="AD262">
            <v>0</v>
          </cell>
        </row>
        <row r="263">
          <cell r="AD263">
            <v>0</v>
          </cell>
        </row>
        <row r="264">
          <cell r="AD264">
            <v>0</v>
          </cell>
        </row>
        <row r="265">
          <cell r="AD265">
            <v>0</v>
          </cell>
        </row>
        <row r="266">
          <cell r="AD266">
            <v>0</v>
          </cell>
        </row>
        <row r="267">
          <cell r="AD267">
            <v>0</v>
          </cell>
        </row>
        <row r="268">
          <cell r="AD268">
            <v>0</v>
          </cell>
        </row>
        <row r="269">
          <cell r="AD269">
            <v>0</v>
          </cell>
        </row>
        <row r="270">
          <cell r="AD270">
            <v>0</v>
          </cell>
        </row>
        <row r="271">
          <cell r="AD271">
            <v>0</v>
          </cell>
        </row>
        <row r="272">
          <cell r="AD272">
            <v>0</v>
          </cell>
        </row>
        <row r="273">
          <cell r="AD273">
            <v>0</v>
          </cell>
        </row>
        <row r="274">
          <cell r="AD274">
            <v>0</v>
          </cell>
        </row>
        <row r="275">
          <cell r="AD275">
            <v>0</v>
          </cell>
        </row>
        <row r="276">
          <cell r="AD276">
            <v>0</v>
          </cell>
        </row>
        <row r="277">
          <cell r="AD277">
            <v>0</v>
          </cell>
        </row>
        <row r="278">
          <cell r="AD278">
            <v>0</v>
          </cell>
        </row>
        <row r="279">
          <cell r="AD279">
            <v>0</v>
          </cell>
        </row>
        <row r="280">
          <cell r="AD280">
            <v>0</v>
          </cell>
        </row>
        <row r="281">
          <cell r="AD281">
            <v>0</v>
          </cell>
        </row>
        <row r="282">
          <cell r="AD282">
            <v>0</v>
          </cell>
        </row>
        <row r="283">
          <cell r="AD283">
            <v>0</v>
          </cell>
        </row>
        <row r="284">
          <cell r="AD284">
            <v>0</v>
          </cell>
        </row>
        <row r="285">
          <cell r="AD285">
            <v>0</v>
          </cell>
        </row>
        <row r="286">
          <cell r="AD286">
            <v>0</v>
          </cell>
        </row>
        <row r="287">
          <cell r="AD287">
            <v>0</v>
          </cell>
        </row>
        <row r="288">
          <cell r="AD288">
            <v>0</v>
          </cell>
        </row>
        <row r="289">
          <cell r="AD289">
            <v>0</v>
          </cell>
        </row>
        <row r="290">
          <cell r="AD290">
            <v>0</v>
          </cell>
        </row>
        <row r="291">
          <cell r="AD291">
            <v>0</v>
          </cell>
        </row>
        <row r="292">
          <cell r="AD292">
            <v>0</v>
          </cell>
        </row>
        <row r="293">
          <cell r="AD293">
            <v>0</v>
          </cell>
        </row>
        <row r="294">
          <cell r="AD294">
            <v>0</v>
          </cell>
        </row>
        <row r="295">
          <cell r="AD295">
            <v>0</v>
          </cell>
        </row>
        <row r="296">
          <cell r="AD296">
            <v>0</v>
          </cell>
        </row>
        <row r="297">
          <cell r="AD297">
            <v>0</v>
          </cell>
        </row>
        <row r="298">
          <cell r="AD298">
            <v>0</v>
          </cell>
        </row>
        <row r="299">
          <cell r="AD299">
            <v>0</v>
          </cell>
        </row>
        <row r="300">
          <cell r="AD300">
            <v>0</v>
          </cell>
        </row>
        <row r="301">
          <cell r="AD301">
            <v>0</v>
          </cell>
        </row>
        <row r="302">
          <cell r="AD302">
            <v>0</v>
          </cell>
        </row>
        <row r="303">
          <cell r="AD303">
            <v>0</v>
          </cell>
        </row>
        <row r="304">
          <cell r="AD304">
            <v>0</v>
          </cell>
        </row>
        <row r="305">
          <cell r="AD305">
            <v>0</v>
          </cell>
        </row>
        <row r="306">
          <cell r="AD306">
            <v>0</v>
          </cell>
        </row>
        <row r="307">
          <cell r="AD307">
            <v>0</v>
          </cell>
        </row>
        <row r="308">
          <cell r="AD308">
            <v>0</v>
          </cell>
        </row>
        <row r="309">
          <cell r="AD309">
            <v>0</v>
          </cell>
        </row>
        <row r="310">
          <cell r="AD310">
            <v>0</v>
          </cell>
        </row>
        <row r="311">
          <cell r="AD311">
            <v>0</v>
          </cell>
        </row>
        <row r="312">
          <cell r="AD312">
            <v>0</v>
          </cell>
        </row>
        <row r="313">
          <cell r="AD313">
            <v>0</v>
          </cell>
        </row>
        <row r="314">
          <cell r="AD314">
            <v>0</v>
          </cell>
        </row>
        <row r="315">
          <cell r="AD315">
            <v>0</v>
          </cell>
        </row>
        <row r="316">
          <cell r="AD316">
            <v>0</v>
          </cell>
        </row>
        <row r="317">
          <cell r="AD317">
            <v>0</v>
          </cell>
        </row>
        <row r="318">
          <cell r="AD318">
            <v>0</v>
          </cell>
        </row>
        <row r="319">
          <cell r="AD319">
            <v>0</v>
          </cell>
        </row>
        <row r="320">
          <cell r="AD320">
            <v>0</v>
          </cell>
        </row>
        <row r="321">
          <cell r="AD321">
            <v>0</v>
          </cell>
        </row>
        <row r="322">
          <cell r="AD322">
            <v>0</v>
          </cell>
        </row>
        <row r="323">
          <cell r="AD323">
            <v>0</v>
          </cell>
        </row>
        <row r="324">
          <cell r="AD324">
            <v>0</v>
          </cell>
        </row>
        <row r="325">
          <cell r="AD325">
            <v>0</v>
          </cell>
        </row>
        <row r="326">
          <cell r="AD326">
            <v>0</v>
          </cell>
        </row>
        <row r="327">
          <cell r="AD327">
            <v>0</v>
          </cell>
        </row>
        <row r="328">
          <cell r="AD328">
            <v>0</v>
          </cell>
        </row>
        <row r="329">
          <cell r="AD329">
            <v>0</v>
          </cell>
        </row>
        <row r="330">
          <cell r="AD330">
            <v>0</v>
          </cell>
        </row>
        <row r="331">
          <cell r="AD331">
            <v>0</v>
          </cell>
        </row>
        <row r="332">
          <cell r="AD332">
            <v>0</v>
          </cell>
        </row>
        <row r="333">
          <cell r="AD333">
            <v>0</v>
          </cell>
        </row>
        <row r="334">
          <cell r="AD334">
            <v>0</v>
          </cell>
        </row>
        <row r="335">
          <cell r="AD335">
            <v>0</v>
          </cell>
        </row>
        <row r="336">
          <cell r="AD336">
            <v>0</v>
          </cell>
        </row>
        <row r="337">
          <cell r="AD337">
            <v>0</v>
          </cell>
        </row>
        <row r="338">
          <cell r="AD338">
            <v>0</v>
          </cell>
        </row>
        <row r="339">
          <cell r="AD339">
            <v>0</v>
          </cell>
        </row>
        <row r="340">
          <cell r="AD340">
            <v>0</v>
          </cell>
        </row>
        <row r="341">
          <cell r="AD341">
            <v>0</v>
          </cell>
        </row>
        <row r="344">
          <cell r="AC344">
            <v>0</v>
          </cell>
        </row>
      </sheetData>
      <sheetData sheetId="2"/>
      <sheetData sheetId="3"/>
      <sheetData sheetId="4">
        <row r="1">
          <cell r="F1" t="str">
            <v>Project START Date+Time (For information only)</v>
          </cell>
          <cell r="O1">
            <v>36800</v>
          </cell>
          <cell r="P1" t="str">
            <v>ALL - Activities</v>
          </cell>
          <cell r="R1" t="str">
            <v>Activity based filter ( I )</v>
          </cell>
          <cell r="AB1">
            <v>36804.999988425923</v>
          </cell>
          <cell r="AC1">
            <v>36860.999988425923</v>
          </cell>
          <cell r="AD1">
            <v>36891.999988425923</v>
          </cell>
          <cell r="AE1">
            <v>36922.999988425923</v>
          </cell>
          <cell r="AF1">
            <v>36950.999988425923</v>
          </cell>
          <cell r="AG1">
            <v>36950.999988425923</v>
          </cell>
          <cell r="AH1">
            <v>36950.999988425923</v>
          </cell>
          <cell r="AI1">
            <v>36950.999988425923</v>
          </cell>
          <cell r="AJ1">
            <v>36950.999988425923</v>
          </cell>
          <cell r="AK1">
            <v>36950.999988425923</v>
          </cell>
          <cell r="AL1">
            <v>36950.999988425923</v>
          </cell>
          <cell r="AM1">
            <v>36950.999988425923</v>
          </cell>
          <cell r="AN1">
            <v>36950.999988425923</v>
          </cell>
          <cell r="AO1">
            <v>36950.999988425923</v>
          </cell>
          <cell r="AP1">
            <v>36950.999988425923</v>
          </cell>
          <cell r="AQ1">
            <v>36950.999988425923</v>
          </cell>
          <cell r="AR1">
            <v>36950.999988425923</v>
          </cell>
          <cell r="AS1">
            <v>36950.999988425923</v>
          </cell>
          <cell r="AT1">
            <v>36950.999988425923</v>
          </cell>
          <cell r="AU1">
            <v>36950.999988425923</v>
          </cell>
          <cell r="AV1">
            <v>36950.999988425923</v>
          </cell>
          <cell r="AW1">
            <v>36950.999988425923</v>
          </cell>
          <cell r="AX1">
            <v>36950.999988425923</v>
          </cell>
          <cell r="AY1">
            <v>36950.999988425923</v>
          </cell>
          <cell r="AZ1">
            <v>36950.999988425923</v>
          </cell>
          <cell r="BA1">
            <v>36950.999988425923</v>
          </cell>
          <cell r="BB1">
            <v>36950.999988425923</v>
          </cell>
          <cell r="BC1">
            <v>36950.999988425923</v>
          </cell>
          <cell r="BD1">
            <v>36950.999988425923</v>
          </cell>
          <cell r="BE1">
            <v>36950.999988425923</v>
          </cell>
          <cell r="BF1">
            <v>36950.999988425923</v>
          </cell>
          <cell r="BG1">
            <v>36950.999988425923</v>
          </cell>
          <cell r="BH1">
            <v>36950.999988425923</v>
          </cell>
          <cell r="BI1">
            <v>36950.999988425923</v>
          </cell>
          <cell r="BJ1">
            <v>36950.999988425923</v>
          </cell>
          <cell r="BK1">
            <v>36950.999988425923</v>
          </cell>
          <cell r="BL1">
            <v>36950.999988425923</v>
          </cell>
          <cell r="BM1">
            <v>36950.999988425923</v>
          </cell>
          <cell r="BN1">
            <v>36950.999988425923</v>
          </cell>
          <cell r="BO1">
            <v>36950.999988425923</v>
          </cell>
          <cell r="BP1">
            <v>36950.999988425923</v>
          </cell>
          <cell r="BQ1">
            <v>36950.999988425923</v>
          </cell>
          <cell r="BR1">
            <v>36950.999988425923</v>
          </cell>
          <cell r="BS1">
            <v>36950.999988425923</v>
          </cell>
          <cell r="BT1">
            <v>36950.999988425923</v>
          </cell>
          <cell r="BU1">
            <v>36950.999988425923</v>
          </cell>
          <cell r="BV1">
            <v>36950.999988425923</v>
          </cell>
          <cell r="BW1">
            <v>36950.999988425923</v>
          </cell>
          <cell r="BX1">
            <v>36950.999988425923</v>
          </cell>
          <cell r="BY1">
            <v>36950.999988425923</v>
          </cell>
          <cell r="BZ1">
            <v>36950.999988425923</v>
          </cell>
          <cell r="CA1">
            <v>36950.999988425923</v>
          </cell>
          <cell r="CB1">
            <v>36950.999988425923</v>
          </cell>
          <cell r="CC1">
            <v>36950.999988425923</v>
          </cell>
          <cell r="CD1">
            <v>36950.999988425923</v>
          </cell>
          <cell r="CE1">
            <v>36950.999988425923</v>
          </cell>
          <cell r="CF1">
            <v>36950.999988425923</v>
          </cell>
          <cell r="CG1">
            <v>36950.999988425923</v>
          </cell>
          <cell r="CH1">
            <v>36950.999988425923</v>
          </cell>
          <cell r="CI1">
            <v>36950.999988425923</v>
          </cell>
          <cell r="CJ1">
            <v>36950.999988425923</v>
          </cell>
          <cell r="CK1">
            <v>36950.999988425923</v>
          </cell>
          <cell r="CL1">
            <v>36950.999988425923</v>
          </cell>
          <cell r="CM1">
            <v>36950.999988425923</v>
          </cell>
          <cell r="CN1">
            <v>36950.999988425923</v>
          </cell>
          <cell r="CO1">
            <v>36950.999988425923</v>
          </cell>
          <cell r="CP1">
            <v>36950.999988425923</v>
          </cell>
          <cell r="CQ1">
            <v>36950.999988425923</v>
          </cell>
          <cell r="CR1">
            <v>36950.999988425923</v>
          </cell>
          <cell r="CS1">
            <v>36950.999988425923</v>
          </cell>
          <cell r="CT1">
            <v>36950.999988425923</v>
          </cell>
          <cell r="CU1">
            <v>36950.999988425923</v>
          </cell>
          <cell r="CV1">
            <v>36950.999988425923</v>
          </cell>
          <cell r="CW1">
            <v>36950.999988425923</v>
          </cell>
          <cell r="CX1">
            <v>36950.999988425923</v>
          </cell>
          <cell r="CY1">
            <v>36950.999988425923</v>
          </cell>
          <cell r="CZ1">
            <v>36950.999988425923</v>
          </cell>
          <cell r="DA1">
            <v>36950.999988425923</v>
          </cell>
          <cell r="DB1">
            <v>36950.999988425923</v>
          </cell>
          <cell r="DC1">
            <v>36950.999988425923</v>
          </cell>
        </row>
        <row r="2">
          <cell r="F2" t="str">
            <v>Project 1st CUT-OFF Date+Time</v>
          </cell>
          <cell r="O2">
            <v>36804</v>
          </cell>
          <cell r="P2" t="str">
            <v>NO FILTER</v>
          </cell>
          <cell r="Z2" t="str">
            <v>WEEKLY REPORT - FACTOR</v>
          </cell>
        </row>
        <row r="3">
          <cell r="F3" t="str">
            <v>Project 1st Report No.</v>
          </cell>
          <cell r="O3">
            <v>1</v>
          </cell>
          <cell r="P3">
            <v>24</v>
          </cell>
          <cell r="Q3" t="str">
            <v>G</v>
          </cell>
          <cell r="AA3">
            <v>36800</v>
          </cell>
          <cell r="AB3">
            <v>36804.999988425923</v>
          </cell>
          <cell r="AC3">
            <v>36811.999988425923</v>
          </cell>
          <cell r="AD3">
            <v>36818.999988425923</v>
          </cell>
          <cell r="AE3">
            <v>36825.999988425923</v>
          </cell>
          <cell r="AF3">
            <v>36832.999988425923</v>
          </cell>
          <cell r="AG3">
            <v>36839.999988425923</v>
          </cell>
          <cell r="AH3">
            <v>36846.999988425923</v>
          </cell>
          <cell r="AI3">
            <v>36853.999988425923</v>
          </cell>
          <cell r="AJ3">
            <v>36860.999988425923</v>
          </cell>
          <cell r="AK3">
            <v>36867.999988425923</v>
          </cell>
          <cell r="AL3">
            <v>36874.999988425923</v>
          </cell>
          <cell r="AM3">
            <v>36881.999988425923</v>
          </cell>
          <cell r="AN3">
            <v>36888.999988425923</v>
          </cell>
          <cell r="AO3">
            <v>36895.999988425923</v>
          </cell>
          <cell r="AP3">
            <v>36902.999988425923</v>
          </cell>
          <cell r="AQ3">
            <v>36909.999988425923</v>
          </cell>
          <cell r="AR3">
            <v>36916.999988425923</v>
          </cell>
          <cell r="AS3">
            <v>36923.999988425923</v>
          </cell>
          <cell r="AT3">
            <v>36930.999988425923</v>
          </cell>
          <cell r="AU3">
            <v>36937.999988425923</v>
          </cell>
          <cell r="AV3">
            <v>36944.999988425923</v>
          </cell>
          <cell r="AW3">
            <v>36950.999988425923</v>
          </cell>
          <cell r="AX3">
            <v>36950.999988425923</v>
          </cell>
          <cell r="AY3">
            <v>36950.999988425923</v>
          </cell>
          <cell r="AZ3">
            <v>36950.999988425923</v>
          </cell>
          <cell r="BA3">
            <v>36950.999988425923</v>
          </cell>
          <cell r="BB3">
            <v>36950.999988425923</v>
          </cell>
          <cell r="BC3">
            <v>36950.999988425923</v>
          </cell>
          <cell r="BD3">
            <v>36950.999988425923</v>
          </cell>
          <cell r="BE3">
            <v>36950.999988425923</v>
          </cell>
          <cell r="BF3">
            <v>36950.999988425923</v>
          </cell>
          <cell r="BG3">
            <v>36950.999988425923</v>
          </cell>
          <cell r="BH3">
            <v>36950.999988425923</v>
          </cell>
          <cell r="BI3">
            <v>36950.999988425923</v>
          </cell>
          <cell r="BJ3">
            <v>36950.999988425923</v>
          </cell>
          <cell r="BK3">
            <v>36950.999988425923</v>
          </cell>
          <cell r="BL3">
            <v>36950.999988425923</v>
          </cell>
          <cell r="BM3">
            <v>36950.999988425923</v>
          </cell>
          <cell r="BN3">
            <v>36950.999988425923</v>
          </cell>
          <cell r="BO3">
            <v>36950.999988425923</v>
          </cell>
          <cell r="BP3">
            <v>36950.999988425923</v>
          </cell>
          <cell r="BQ3">
            <v>36950.999988425923</v>
          </cell>
          <cell r="BR3">
            <v>36950.999988425923</v>
          </cell>
          <cell r="BS3">
            <v>36950.999988425923</v>
          </cell>
          <cell r="BT3">
            <v>36950.999988425923</v>
          </cell>
          <cell r="BU3">
            <v>36950.999988425923</v>
          </cell>
          <cell r="BV3">
            <v>36950.999988425923</v>
          </cell>
          <cell r="BW3">
            <v>36950.999988425923</v>
          </cell>
          <cell r="BX3">
            <v>36950.999988425923</v>
          </cell>
          <cell r="BY3">
            <v>36950.999988425923</v>
          </cell>
          <cell r="BZ3">
            <v>36950.999988425923</v>
          </cell>
          <cell r="CA3">
            <v>36950.999988425923</v>
          </cell>
          <cell r="CB3">
            <v>36950.999988425923</v>
          </cell>
          <cell r="CC3">
            <v>36950.999988425923</v>
          </cell>
          <cell r="CD3">
            <v>36950.999988425923</v>
          </cell>
          <cell r="CE3">
            <v>36950.999988425923</v>
          </cell>
          <cell r="CF3">
            <v>36950.999988425923</v>
          </cell>
          <cell r="CG3">
            <v>36950.999988425923</v>
          </cell>
          <cell r="CH3">
            <v>36950.999988425923</v>
          </cell>
          <cell r="CI3">
            <v>36950.999988425923</v>
          </cell>
          <cell r="CJ3">
            <v>36950.999988425923</v>
          </cell>
          <cell r="CK3">
            <v>36950.999988425923</v>
          </cell>
          <cell r="CL3">
            <v>36950.999988425923</v>
          </cell>
          <cell r="CM3">
            <v>36950.999988425923</v>
          </cell>
          <cell r="CN3">
            <v>36950.999988425923</v>
          </cell>
          <cell r="CO3">
            <v>36950.999988425923</v>
          </cell>
          <cell r="CP3">
            <v>36950.999988425923</v>
          </cell>
          <cell r="CQ3">
            <v>36950.999988425923</v>
          </cell>
          <cell r="CR3">
            <v>36950.999988425923</v>
          </cell>
          <cell r="CS3">
            <v>36950.999988425923</v>
          </cell>
          <cell r="CT3">
            <v>36950.999988425923</v>
          </cell>
          <cell r="CU3">
            <v>36950.999988425923</v>
          </cell>
          <cell r="CV3">
            <v>36950.999988425923</v>
          </cell>
          <cell r="CW3">
            <v>36950.999988425923</v>
          </cell>
          <cell r="CX3">
            <v>36950.999988425923</v>
          </cell>
          <cell r="CY3">
            <v>36950.999988425923</v>
          </cell>
          <cell r="CZ3">
            <v>36950.999988425923</v>
          </cell>
          <cell r="DA3">
            <v>36950.999988425923</v>
          </cell>
          <cell r="DB3">
            <v>36950.999988425923</v>
          </cell>
          <cell r="DC3">
            <v>36950.999988425923</v>
          </cell>
          <cell r="DI3">
            <v>2</v>
          </cell>
        </row>
        <row r="4">
          <cell r="F4" t="str">
            <v>S-CURVE FOR Daily(D), Weekly(W) or Monthly(M) ?</v>
          </cell>
          <cell r="O4" t="str">
            <v>W</v>
          </cell>
          <cell r="P4" t="str">
            <v xml:space="preserve">WEEK No. : </v>
          </cell>
          <cell r="Q4" t="str">
            <v>FRIDAY</v>
          </cell>
          <cell r="AA4">
            <v>0</v>
          </cell>
          <cell r="AB4">
            <v>1</v>
          </cell>
          <cell r="AC4">
            <v>2</v>
          </cell>
          <cell r="AD4">
            <v>3</v>
          </cell>
          <cell r="AE4">
            <v>4</v>
          </cell>
          <cell r="AF4">
            <v>5</v>
          </cell>
          <cell r="AG4">
            <v>6</v>
          </cell>
          <cell r="AH4">
            <v>7</v>
          </cell>
          <cell r="AI4">
            <v>8</v>
          </cell>
          <cell r="AJ4">
            <v>9</v>
          </cell>
          <cell r="AK4">
            <v>10</v>
          </cell>
          <cell r="AL4">
            <v>11</v>
          </cell>
          <cell r="AM4">
            <v>12</v>
          </cell>
          <cell r="AN4">
            <v>13</v>
          </cell>
          <cell r="AO4">
            <v>14</v>
          </cell>
          <cell r="AP4">
            <v>15</v>
          </cell>
          <cell r="AQ4">
            <v>16</v>
          </cell>
          <cell r="AR4">
            <v>17</v>
          </cell>
          <cell r="AS4">
            <v>18</v>
          </cell>
          <cell r="AT4">
            <v>19</v>
          </cell>
          <cell r="AU4">
            <v>20</v>
          </cell>
          <cell r="AV4">
            <v>21</v>
          </cell>
          <cell r="AW4">
            <v>22</v>
          </cell>
          <cell r="AX4">
            <v>23</v>
          </cell>
          <cell r="AY4">
            <v>24</v>
          </cell>
          <cell r="AZ4">
            <v>25</v>
          </cell>
          <cell r="BA4">
            <v>26</v>
          </cell>
          <cell r="BB4">
            <v>27</v>
          </cell>
          <cell r="BC4">
            <v>28</v>
          </cell>
          <cell r="BD4">
            <v>29</v>
          </cell>
          <cell r="BE4">
            <v>30</v>
          </cell>
          <cell r="BF4">
            <v>31</v>
          </cell>
          <cell r="BG4">
            <v>32</v>
          </cell>
          <cell r="BH4">
            <v>33</v>
          </cell>
          <cell r="BI4">
            <v>34</v>
          </cell>
          <cell r="BJ4">
            <v>35</v>
          </cell>
          <cell r="BK4">
            <v>36</v>
          </cell>
          <cell r="BL4">
            <v>37</v>
          </cell>
          <cell r="BM4">
            <v>38</v>
          </cell>
          <cell r="BN4">
            <v>39</v>
          </cell>
          <cell r="BO4">
            <v>40</v>
          </cell>
          <cell r="BP4">
            <v>41</v>
          </cell>
          <cell r="BQ4">
            <v>42</v>
          </cell>
          <cell r="BR4">
            <v>43</v>
          </cell>
          <cell r="BS4">
            <v>44</v>
          </cell>
          <cell r="BT4">
            <v>45</v>
          </cell>
          <cell r="BU4">
            <v>46</v>
          </cell>
          <cell r="BV4">
            <v>47</v>
          </cell>
          <cell r="BW4">
            <v>48</v>
          </cell>
          <cell r="BX4">
            <v>49</v>
          </cell>
          <cell r="BY4">
            <v>50</v>
          </cell>
          <cell r="BZ4">
            <v>51</v>
          </cell>
          <cell r="CA4">
            <v>52</v>
          </cell>
          <cell r="CB4">
            <v>53</v>
          </cell>
          <cell r="CC4">
            <v>54</v>
          </cell>
          <cell r="CD4">
            <v>55</v>
          </cell>
          <cell r="CE4">
            <v>56</v>
          </cell>
          <cell r="CF4">
            <v>57</v>
          </cell>
          <cell r="CG4">
            <v>58</v>
          </cell>
          <cell r="CH4">
            <v>59</v>
          </cell>
          <cell r="CI4">
            <v>60</v>
          </cell>
          <cell r="CJ4">
            <v>61</v>
          </cell>
          <cell r="CK4">
            <v>62</v>
          </cell>
          <cell r="CL4">
            <v>63</v>
          </cell>
          <cell r="CM4">
            <v>64</v>
          </cell>
          <cell r="CN4">
            <v>65</v>
          </cell>
          <cell r="CO4">
            <v>66</v>
          </cell>
          <cell r="CP4">
            <v>67</v>
          </cell>
          <cell r="CQ4">
            <v>68</v>
          </cell>
          <cell r="CR4">
            <v>69</v>
          </cell>
          <cell r="CS4">
            <v>70</v>
          </cell>
          <cell r="CT4">
            <v>71</v>
          </cell>
          <cell r="CU4">
            <v>72</v>
          </cell>
          <cell r="CV4">
            <v>73</v>
          </cell>
          <cell r="CW4">
            <v>74</v>
          </cell>
          <cell r="CX4">
            <v>75</v>
          </cell>
          <cell r="CY4">
            <v>76</v>
          </cell>
          <cell r="CZ4">
            <v>77</v>
          </cell>
          <cell r="DA4">
            <v>78</v>
          </cell>
          <cell r="DB4">
            <v>79</v>
          </cell>
          <cell r="DC4">
            <v>80</v>
          </cell>
          <cell r="DF4" t="str">
            <v>As on Date</v>
          </cell>
          <cell r="DI4" t="str">
            <v>SMH PLANNED</v>
          </cell>
        </row>
        <row r="5">
          <cell r="F5" t="str">
            <v>Enter the No. of Months/Weeks/Days did the first report is delayed</v>
          </cell>
          <cell r="O5">
            <v>0</v>
          </cell>
          <cell r="P5">
            <v>6</v>
          </cell>
          <cell r="Q5" t="str">
            <v>NONE</v>
          </cell>
          <cell r="AS5" t="str">
            <v>SUNDAY</v>
          </cell>
          <cell r="AT5" t="str">
            <v>MONDAY</v>
          </cell>
          <cell r="AU5" t="str">
            <v>TUESDAY</v>
          </cell>
          <cell r="AV5" t="str">
            <v>WEDNESDAY</v>
          </cell>
          <cell r="AW5" t="str">
            <v>THURSDAY</v>
          </cell>
          <cell r="AX5" t="str">
            <v>FRIDAY</v>
          </cell>
          <cell r="AY5" t="str">
            <v>SATURDAY</v>
          </cell>
          <cell r="AZ5" t="str">
            <v>NONE</v>
          </cell>
          <cell r="BB5">
            <v>0.99998842592592596</v>
          </cell>
        </row>
        <row r="6">
          <cell r="F6" t="str">
            <v>Project's Nth Month / Week / Day</v>
          </cell>
          <cell r="O6">
            <v>1</v>
          </cell>
          <cell r="P6">
            <v>7</v>
          </cell>
          <cell r="Q6">
            <v>23.999722222222221</v>
          </cell>
          <cell r="AA6" t="str">
            <v>D</v>
          </cell>
          <cell r="AB6" t="str">
            <v>W</v>
          </cell>
          <cell r="AC6" t="str">
            <v>M</v>
          </cell>
          <cell r="AE6" t="str">
            <v>D</v>
          </cell>
          <cell r="AF6" t="str">
            <v>H</v>
          </cell>
          <cell r="AG6" t="str">
            <v>M</v>
          </cell>
          <cell r="AH6" t="str">
            <v>G</v>
          </cell>
          <cell r="AI6" t="str">
            <v>I</v>
          </cell>
          <cell r="AJ6" t="str">
            <v>G</v>
          </cell>
          <cell r="AK6" t="str">
            <v>CODE1</v>
          </cell>
          <cell r="AL6" t="str">
            <v>CODE2</v>
          </cell>
          <cell r="AM6" t="str">
            <v>BOTH</v>
          </cell>
          <cell r="AN6" t="str">
            <v>EARLY DATES</v>
          </cell>
          <cell r="AO6" t="str">
            <v>LATE DATES</v>
          </cell>
          <cell r="AP6" t="str">
            <v>TENTATIVE DATES</v>
          </cell>
          <cell r="AS6">
            <v>1</v>
          </cell>
          <cell r="AT6">
            <v>2</v>
          </cell>
          <cell r="AU6">
            <v>3</v>
          </cell>
          <cell r="AV6">
            <v>4</v>
          </cell>
          <cell r="AW6">
            <v>5</v>
          </cell>
          <cell r="AX6">
            <v>6</v>
          </cell>
          <cell r="AY6">
            <v>7</v>
          </cell>
          <cell r="AZ6">
            <v>0</v>
          </cell>
        </row>
        <row r="7">
          <cell r="F7" t="str">
            <v>TOTAL ALLOTTED MANHOURS OR WEIGHTAGE</v>
          </cell>
          <cell r="O7">
            <v>2308.1999999999998</v>
          </cell>
          <cell r="P7" t="str">
            <v>G</v>
          </cell>
          <cell r="Q7"/>
          <cell r="AA7">
            <v>22</v>
          </cell>
          <cell r="AB7">
            <v>1</v>
          </cell>
          <cell r="AC7">
            <v>2</v>
          </cell>
          <cell r="AD7">
            <v>3</v>
          </cell>
          <cell r="AE7">
            <v>4</v>
          </cell>
          <cell r="AF7">
            <v>5</v>
          </cell>
          <cell r="AG7">
            <v>6</v>
          </cell>
          <cell r="AH7">
            <v>7</v>
          </cell>
          <cell r="AI7">
            <v>8</v>
          </cell>
          <cell r="AJ7">
            <v>9</v>
          </cell>
          <cell r="AK7">
            <v>10</v>
          </cell>
          <cell r="AL7">
            <v>11</v>
          </cell>
          <cell r="AM7">
            <v>12</v>
          </cell>
          <cell r="AN7">
            <v>13</v>
          </cell>
          <cell r="AO7">
            <v>14</v>
          </cell>
          <cell r="AP7">
            <v>15</v>
          </cell>
          <cell r="AQ7">
            <v>16</v>
          </cell>
          <cell r="AR7">
            <v>17</v>
          </cell>
          <cell r="AS7">
            <v>18</v>
          </cell>
          <cell r="AT7">
            <v>19</v>
          </cell>
          <cell r="AU7">
            <v>20</v>
          </cell>
          <cell r="AV7">
            <v>21</v>
          </cell>
          <cell r="AW7">
            <v>22</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cell r="CC7">
            <v>0</v>
          </cell>
          <cell r="CD7">
            <v>0</v>
          </cell>
          <cell r="CE7">
            <v>0</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row>
        <row r="8">
          <cell r="F8" t="str">
            <v>Enter the Percentage to begin S-curve for any partial loading</v>
          </cell>
          <cell r="O8">
            <v>0</v>
          </cell>
          <cell r="P8">
            <v>36950</v>
          </cell>
          <cell r="R8" t="str">
            <v>Group Filter ( G )</v>
          </cell>
          <cell r="S8" t="str">
            <v>BOTH</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v>0</v>
          </cell>
          <cell r="BZ8">
            <v>0</v>
          </cell>
          <cell r="CA8">
            <v>0</v>
          </cell>
          <cell r="CB8">
            <v>0</v>
          </cell>
          <cell r="CC8">
            <v>0</v>
          </cell>
          <cell r="CD8">
            <v>0</v>
          </cell>
          <cell r="CE8">
            <v>0</v>
          </cell>
          <cell r="CF8">
            <v>0</v>
          </cell>
          <cell r="CG8">
            <v>0</v>
          </cell>
          <cell r="CH8">
            <v>0</v>
          </cell>
          <cell r="CI8">
            <v>0</v>
          </cell>
          <cell r="CJ8">
            <v>0</v>
          </cell>
          <cell r="CK8">
            <v>0</v>
          </cell>
          <cell r="CL8">
            <v>0</v>
          </cell>
          <cell r="CM8">
            <v>0</v>
          </cell>
          <cell r="CN8">
            <v>0</v>
          </cell>
          <cell r="CO8">
            <v>0</v>
          </cell>
          <cell r="CP8">
            <v>0</v>
          </cell>
          <cell r="CQ8">
            <v>0</v>
          </cell>
          <cell r="CR8">
            <v>0</v>
          </cell>
          <cell r="CS8">
            <v>0</v>
          </cell>
          <cell r="CT8">
            <v>0</v>
          </cell>
          <cell r="CU8">
            <v>0</v>
          </cell>
          <cell r="CV8">
            <v>0</v>
          </cell>
          <cell r="CW8">
            <v>0</v>
          </cell>
          <cell r="CX8">
            <v>0</v>
          </cell>
          <cell r="CY8">
            <v>0</v>
          </cell>
          <cell r="CZ8">
            <v>0</v>
          </cell>
          <cell r="DA8">
            <v>0</v>
          </cell>
          <cell r="DB8">
            <v>0</v>
          </cell>
          <cell r="DC8">
            <v>0</v>
          </cell>
        </row>
        <row r="9">
          <cell r="F9" t="str">
            <v>MANPOWER ALLOCATION IN MANDAYS OR MANHOURS</v>
          </cell>
          <cell r="O9" t="str">
            <v>D</v>
          </cell>
          <cell r="P9" t="str">
            <v>S-Curve Check Ok!</v>
          </cell>
          <cell r="R9" t="str">
            <v>ALL CATEGORY</v>
          </cell>
          <cell r="S9" t="str">
            <v>ALL CATEGORY</v>
          </cell>
          <cell r="Y9" t="str">
            <v>No factor applied in cells from AC9 to HS9</v>
          </cell>
        </row>
        <row r="10">
          <cell r="F10" t="str">
            <v>No. of Shifts per Day</v>
          </cell>
          <cell r="O10">
            <v>1</v>
          </cell>
          <cell r="P10" t="str">
            <v>EARLY DATES</v>
          </cell>
          <cell r="AA10">
            <v>0</v>
          </cell>
          <cell r="AB10">
            <v>1</v>
          </cell>
          <cell r="AC10">
            <v>2</v>
          </cell>
          <cell r="AD10">
            <v>3</v>
          </cell>
          <cell r="AE10">
            <v>4</v>
          </cell>
          <cell r="AF10">
            <v>5</v>
          </cell>
          <cell r="AG10">
            <v>6</v>
          </cell>
          <cell r="AH10">
            <v>7</v>
          </cell>
          <cell r="AI10">
            <v>8</v>
          </cell>
          <cell r="AJ10">
            <v>9</v>
          </cell>
          <cell r="AK10">
            <v>10</v>
          </cell>
          <cell r="AL10">
            <v>11</v>
          </cell>
          <cell r="AM10">
            <v>12</v>
          </cell>
          <cell r="AN10">
            <v>13</v>
          </cell>
          <cell r="AO10">
            <v>14</v>
          </cell>
          <cell r="AP10">
            <v>15</v>
          </cell>
          <cell r="AQ10">
            <v>16</v>
          </cell>
          <cell r="AR10">
            <v>17</v>
          </cell>
          <cell r="AS10">
            <v>18</v>
          </cell>
          <cell r="AT10">
            <v>19</v>
          </cell>
          <cell r="AU10">
            <v>20</v>
          </cell>
          <cell r="AV10">
            <v>21</v>
          </cell>
          <cell r="AW10">
            <v>22</v>
          </cell>
          <cell r="AX10">
            <v>23</v>
          </cell>
          <cell r="AY10">
            <v>24</v>
          </cell>
          <cell r="AZ10">
            <v>25</v>
          </cell>
          <cell r="BA10">
            <v>26</v>
          </cell>
          <cell r="BB10">
            <v>27</v>
          </cell>
          <cell r="BC10">
            <v>28</v>
          </cell>
          <cell r="BD10">
            <v>29</v>
          </cell>
          <cell r="BE10">
            <v>30</v>
          </cell>
          <cell r="BF10">
            <v>31</v>
          </cell>
          <cell r="BG10">
            <v>32</v>
          </cell>
          <cell r="BH10">
            <v>33</v>
          </cell>
          <cell r="BI10">
            <v>34</v>
          </cell>
          <cell r="BJ10">
            <v>35</v>
          </cell>
          <cell r="BK10">
            <v>36</v>
          </cell>
          <cell r="BL10">
            <v>37</v>
          </cell>
          <cell r="BM10">
            <v>38</v>
          </cell>
          <cell r="BN10">
            <v>39</v>
          </cell>
          <cell r="BO10">
            <v>40</v>
          </cell>
          <cell r="BP10">
            <v>41</v>
          </cell>
          <cell r="BQ10">
            <v>42</v>
          </cell>
          <cell r="BR10">
            <v>43</v>
          </cell>
          <cell r="BS10">
            <v>44</v>
          </cell>
          <cell r="BT10">
            <v>45</v>
          </cell>
          <cell r="BU10">
            <v>46</v>
          </cell>
          <cell r="BV10">
            <v>47</v>
          </cell>
          <cell r="BW10">
            <v>48</v>
          </cell>
          <cell r="BX10">
            <v>49</v>
          </cell>
          <cell r="BY10">
            <v>50</v>
          </cell>
          <cell r="BZ10">
            <v>51</v>
          </cell>
          <cell r="CA10">
            <v>52</v>
          </cell>
          <cell r="CB10">
            <v>53</v>
          </cell>
          <cell r="CC10">
            <v>54</v>
          </cell>
          <cell r="CD10">
            <v>55</v>
          </cell>
          <cell r="CE10">
            <v>56</v>
          </cell>
          <cell r="CF10">
            <v>57</v>
          </cell>
          <cell r="CG10">
            <v>58</v>
          </cell>
          <cell r="CH10">
            <v>59</v>
          </cell>
          <cell r="CI10">
            <v>60</v>
          </cell>
          <cell r="CJ10">
            <v>61</v>
          </cell>
          <cell r="CK10">
            <v>62</v>
          </cell>
          <cell r="CL10">
            <v>63</v>
          </cell>
          <cell r="CM10">
            <v>64</v>
          </cell>
          <cell r="CN10">
            <v>65</v>
          </cell>
          <cell r="CO10">
            <v>66</v>
          </cell>
          <cell r="CP10">
            <v>67</v>
          </cell>
          <cell r="CQ10">
            <v>68</v>
          </cell>
          <cell r="CR10">
            <v>69</v>
          </cell>
          <cell r="CS10">
            <v>70</v>
          </cell>
          <cell r="CT10">
            <v>71</v>
          </cell>
          <cell r="CU10">
            <v>72</v>
          </cell>
          <cell r="CV10">
            <v>73</v>
          </cell>
          <cell r="CW10">
            <v>74</v>
          </cell>
          <cell r="CX10">
            <v>75</v>
          </cell>
          <cell r="CY10">
            <v>76</v>
          </cell>
          <cell r="CZ10">
            <v>77</v>
          </cell>
          <cell r="DA10">
            <v>78</v>
          </cell>
          <cell r="DB10">
            <v>79</v>
          </cell>
          <cell r="DC10">
            <v>80</v>
          </cell>
          <cell r="DF10">
            <v>36804.999988425923</v>
          </cell>
          <cell r="DG10">
            <v>36800</v>
          </cell>
          <cell r="DH10">
            <v>4.9999884259232203</v>
          </cell>
        </row>
        <row r="11">
          <cell r="D11" t="str">
            <v>Building
Name</v>
          </cell>
          <cell r="E11" t="str">
            <v>Description 
of Activity</v>
          </cell>
          <cell r="F11" t="str">
            <v>Resource coding (for MP - SEE NOTE)</v>
          </cell>
          <cell r="G11" t="str">
            <v>Labourer</v>
          </cell>
          <cell r="H11" t="str">
            <v>Mason</v>
          </cell>
          <cell r="I11" t="str">
            <v>Carpenter</v>
          </cell>
          <cell r="J11" t="str">
            <v>Steel Fixer</v>
          </cell>
          <cell r="K11" t="str">
            <v>Plumber</v>
          </cell>
          <cell r="L11" t="str">
            <v>Painter</v>
          </cell>
          <cell r="M11" t="str">
            <v>Welder</v>
          </cell>
          <cell r="N11" t="str">
            <v>WEIGHTAGE</v>
          </cell>
          <cell r="O11" t="str">
            <v>Mandays</v>
          </cell>
          <cell r="P11" t="str">
            <v>Start Date</v>
          </cell>
          <cell r="Q11" t="str">
            <v>End Date</v>
          </cell>
          <cell r="R11" t="str">
            <v>ALL CATEGORY</v>
          </cell>
          <cell r="S11" t="str">
            <v>ALL CATEGORY</v>
          </cell>
          <cell r="T11" t="str">
            <v>LOADING 
CHOICE</v>
          </cell>
          <cell r="U11" t="str">
            <v>EARLY START DATE
GASCO</v>
          </cell>
          <cell r="V11" t="str">
            <v>EARLY FINISH DATE
GASCO</v>
          </cell>
          <cell r="W11" t="str">
            <v>LATE START DATE
METITO</v>
          </cell>
          <cell r="X11" t="str">
            <v>LATE FINISH DATE
METITO</v>
          </cell>
          <cell r="Y11" t="str">
            <v>Tentative Start
(Site Level Targets)</v>
          </cell>
          <cell r="Z11" t="str">
            <v>Tentative Finish
(Site Level Targets)</v>
          </cell>
          <cell r="AA11">
            <v>36800</v>
          </cell>
          <cell r="AB11">
            <v>36804.999988425923</v>
          </cell>
          <cell r="AC11">
            <v>36811.999988425923</v>
          </cell>
          <cell r="AD11">
            <v>36818.999988425923</v>
          </cell>
          <cell r="AE11">
            <v>36825.999988425923</v>
          </cell>
          <cell r="AF11">
            <v>36832.999988425923</v>
          </cell>
          <cell r="AG11">
            <v>36839.999988425923</v>
          </cell>
          <cell r="AH11">
            <v>36846.999988425923</v>
          </cell>
          <cell r="AI11">
            <v>36853.999988425923</v>
          </cell>
          <cell r="AJ11">
            <v>36860.999988425923</v>
          </cell>
          <cell r="AK11">
            <v>36867.999988425923</v>
          </cell>
          <cell r="AL11">
            <v>36874.999988425923</v>
          </cell>
          <cell r="AM11">
            <v>36881.999988425923</v>
          </cell>
          <cell r="AN11">
            <v>36888.999988425923</v>
          </cell>
          <cell r="AO11">
            <v>36895.999988425923</v>
          </cell>
          <cell r="AP11">
            <v>36902.999988425923</v>
          </cell>
          <cell r="AQ11">
            <v>36909.999988425923</v>
          </cell>
          <cell r="AR11">
            <v>36916.999988425923</v>
          </cell>
          <cell r="AS11">
            <v>36923.999988425923</v>
          </cell>
          <cell r="AT11">
            <v>36930.999988425923</v>
          </cell>
          <cell r="AU11">
            <v>36937.999988425923</v>
          </cell>
          <cell r="AV11">
            <v>36944.999988425923</v>
          </cell>
          <cell r="AW11">
            <v>36950.999988425923</v>
          </cell>
          <cell r="AX11">
            <v>36950.999988425923</v>
          </cell>
          <cell r="AY11">
            <v>36950.999988425923</v>
          </cell>
          <cell r="AZ11">
            <v>36950.999988425923</v>
          </cell>
          <cell r="BA11">
            <v>36950.999988425923</v>
          </cell>
          <cell r="BB11">
            <v>36950.999988425923</v>
          </cell>
          <cell r="BC11">
            <v>36950.999988425923</v>
          </cell>
          <cell r="BD11">
            <v>36950.999988425923</v>
          </cell>
          <cell r="BE11">
            <v>36950.999988425923</v>
          </cell>
          <cell r="BF11">
            <v>36950.999988425923</v>
          </cell>
          <cell r="BG11">
            <v>36950.999988425923</v>
          </cell>
          <cell r="BH11">
            <v>36950.999988425923</v>
          </cell>
          <cell r="BI11">
            <v>36950.999988425923</v>
          </cell>
          <cell r="BJ11">
            <v>36950.999988425923</v>
          </cell>
          <cell r="BK11">
            <v>36950.999988425923</v>
          </cell>
          <cell r="BL11">
            <v>36950.999988425923</v>
          </cell>
          <cell r="BM11">
            <v>36950.999988425923</v>
          </cell>
          <cell r="BN11">
            <v>36950.999988425923</v>
          </cell>
          <cell r="BO11">
            <v>36950.999988425923</v>
          </cell>
          <cell r="BP11">
            <v>36950.999988425923</v>
          </cell>
          <cell r="BQ11">
            <v>36950.999988425923</v>
          </cell>
          <cell r="BR11">
            <v>36950.999988425923</v>
          </cell>
          <cell r="BS11">
            <v>36950.999988425923</v>
          </cell>
          <cell r="BT11">
            <v>36950.999988425923</v>
          </cell>
          <cell r="BU11">
            <v>36950.999988425923</v>
          </cell>
          <cell r="BV11">
            <v>36950.999988425923</v>
          </cell>
          <cell r="BW11">
            <v>36950.999988425923</v>
          </cell>
          <cell r="BX11">
            <v>36950.999988425923</v>
          </cell>
          <cell r="BY11">
            <v>36950.999988425923</v>
          </cell>
          <cell r="BZ11">
            <v>36950.999988425923</v>
          </cell>
          <cell r="CA11">
            <v>36950.999988425923</v>
          </cell>
          <cell r="CB11">
            <v>36950.999988425923</v>
          </cell>
          <cell r="CC11">
            <v>36950.999988425923</v>
          </cell>
          <cell r="CD11">
            <v>36950.999988425923</v>
          </cell>
          <cell r="CE11">
            <v>36950.999988425923</v>
          </cell>
          <cell r="CF11">
            <v>36950.999988425923</v>
          </cell>
          <cell r="CG11">
            <v>36950.999988425923</v>
          </cell>
          <cell r="CH11">
            <v>36950.999988425923</v>
          </cell>
          <cell r="CI11">
            <v>36950.999988425923</v>
          </cell>
          <cell r="CJ11">
            <v>36950.999988425923</v>
          </cell>
          <cell r="CK11">
            <v>36950.999988425923</v>
          </cell>
          <cell r="CL11">
            <v>36950.999988425923</v>
          </cell>
          <cell r="CM11">
            <v>36950.999988425923</v>
          </cell>
          <cell r="CN11">
            <v>36950.999988425923</v>
          </cell>
          <cell r="CO11">
            <v>36950.999988425923</v>
          </cell>
          <cell r="CP11">
            <v>36950.999988425923</v>
          </cell>
          <cell r="CQ11">
            <v>36950.999988425923</v>
          </cell>
          <cell r="CR11">
            <v>36950.999988425923</v>
          </cell>
          <cell r="CS11">
            <v>36950.999988425923</v>
          </cell>
          <cell r="CT11">
            <v>36950.999988425923</v>
          </cell>
          <cell r="CU11">
            <v>36950.999988425923</v>
          </cell>
          <cell r="CV11">
            <v>36950.999988425923</v>
          </cell>
          <cell r="CW11">
            <v>36950.999988425923</v>
          </cell>
          <cell r="CX11">
            <v>36950.999988425923</v>
          </cell>
          <cell r="CY11">
            <v>36950.999988425923</v>
          </cell>
          <cell r="CZ11">
            <v>36950.999988425923</v>
          </cell>
          <cell r="DA11">
            <v>36950.999988425923</v>
          </cell>
          <cell r="DB11">
            <v>36950.999988425923</v>
          </cell>
          <cell r="DC11">
            <v>36950.999988425923</v>
          </cell>
          <cell r="DD11" t="str">
            <v>Total SMH</v>
          </cell>
          <cell r="DE11">
            <v>1</v>
          </cell>
          <cell r="DF11">
            <v>36804.999988425923</v>
          </cell>
          <cell r="DG11" t="str">
            <v>CUM. SMH</v>
          </cell>
          <cell r="DH11">
            <v>36804.999988425923</v>
          </cell>
          <cell r="DI11" t="str">
            <v>Check Ok!</v>
          </cell>
          <cell r="DJ11">
            <v>2</v>
          </cell>
          <cell r="DK11" t="str">
            <v>ERROR CHECK ON 
DISTRIBUTED VALUES</v>
          </cell>
          <cell r="DM11">
            <v>36804.999988425923</v>
          </cell>
          <cell r="DN11" t="str">
            <v>SMH NEXT M/W/D</v>
          </cell>
          <cell r="DO11" t="str">
            <v>Next M/W/D Forecast</v>
          </cell>
        </row>
        <row r="12">
          <cell r="D12" t="str">
            <v>CTFD000</v>
          </cell>
          <cell r="E12" t="str">
            <v>Filler room sub-structure</v>
          </cell>
          <cell r="G12">
            <v>37</v>
          </cell>
          <cell r="H12">
            <v>4</v>
          </cell>
          <cell r="I12">
            <v>2</v>
          </cell>
          <cell r="J12">
            <v>6</v>
          </cell>
          <cell r="N12">
            <v>2.1228663027467291E-2</v>
          </cell>
          <cell r="O12">
            <v>49</v>
          </cell>
          <cell r="P12">
            <v>36800</v>
          </cell>
          <cell r="Q12">
            <v>36836</v>
          </cell>
          <cell r="R12" t="str">
            <v>TANK</v>
          </cell>
          <cell r="S12" t="str">
            <v>TANK FOUNDATION</v>
          </cell>
          <cell r="T12" t="str">
            <v>EARLY DATES</v>
          </cell>
          <cell r="U12">
            <v>36800</v>
          </cell>
          <cell r="V12">
            <v>36836</v>
          </cell>
          <cell r="AB12">
            <v>7.9032075119431546</v>
          </cell>
          <cell r="AC12">
            <v>9.4838709677419359</v>
          </cell>
          <cell r="AD12">
            <v>9.4838709677419324</v>
          </cell>
          <cell r="AE12">
            <v>9.4838709677419359</v>
          </cell>
          <cell r="AF12">
            <v>9.4838709677419359</v>
          </cell>
          <cell r="AG12">
            <v>3.1613086170891052</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49</v>
          </cell>
          <cell r="DE12">
            <v>2</v>
          </cell>
          <cell r="DF12">
            <v>7.9032075119431546</v>
          </cell>
          <cell r="DG12">
            <v>7.9032075119431546</v>
          </cell>
          <cell r="DH12">
            <v>0.16128994922332968</v>
          </cell>
          <cell r="DI12">
            <v>0</v>
          </cell>
          <cell r="DK12" t="str">
            <v>OK</v>
          </cell>
          <cell r="DM12">
            <v>0.16128994922332968</v>
          </cell>
          <cell r="DN12">
            <v>9.4838709677419359</v>
          </cell>
          <cell r="DO12">
            <v>0.19354838709677422</v>
          </cell>
        </row>
        <row r="13">
          <cell r="D13" t="str">
            <v>CTFD001</v>
          </cell>
          <cell r="E13" t="str">
            <v>Filler room super structure</v>
          </cell>
          <cell r="G13">
            <v>43</v>
          </cell>
          <cell r="H13">
            <v>7</v>
          </cell>
          <cell r="I13">
            <v>43</v>
          </cell>
          <cell r="J13">
            <v>7</v>
          </cell>
          <cell r="N13">
            <v>4.3323802096872026E-2</v>
          </cell>
          <cell r="O13">
            <v>100</v>
          </cell>
          <cell r="P13">
            <v>36838</v>
          </cell>
          <cell r="Q13">
            <v>36881</v>
          </cell>
          <cell r="R13" t="str">
            <v>TANK</v>
          </cell>
          <cell r="S13" t="str">
            <v>TANK FOUNDATION</v>
          </cell>
          <cell r="T13" t="str">
            <v>EARLY DATES</v>
          </cell>
          <cell r="U13">
            <v>36838</v>
          </cell>
          <cell r="V13">
            <v>36881</v>
          </cell>
          <cell r="AB13">
            <v>0</v>
          </cell>
          <cell r="AC13">
            <v>0</v>
          </cell>
          <cell r="AD13">
            <v>0</v>
          </cell>
          <cell r="AE13">
            <v>0</v>
          </cell>
          <cell r="AF13">
            <v>0</v>
          </cell>
          <cell r="AG13">
            <v>5.4053741241168121</v>
          </cell>
          <cell r="AH13">
            <v>16.216216216216218</v>
          </cell>
          <cell r="AI13">
            <v>16.216216216216218</v>
          </cell>
          <cell r="AJ13">
            <v>16.216216216216218</v>
          </cell>
          <cell r="AK13">
            <v>16.21621621621621</v>
          </cell>
          <cell r="AL13">
            <v>16.216216216216225</v>
          </cell>
          <cell r="AM13">
            <v>13.513544794802101</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cell r="BM13">
            <v>0</v>
          </cell>
          <cell r="BN13">
            <v>0</v>
          </cell>
          <cell r="BO13">
            <v>0</v>
          </cell>
          <cell r="BP13">
            <v>0</v>
          </cell>
          <cell r="BQ13">
            <v>0</v>
          </cell>
          <cell r="BR13">
            <v>0</v>
          </cell>
          <cell r="BS13">
            <v>0</v>
          </cell>
          <cell r="BT13">
            <v>0</v>
          </cell>
          <cell r="BU13">
            <v>0</v>
          </cell>
          <cell r="BV13">
            <v>0</v>
          </cell>
          <cell r="BW13">
            <v>0</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100</v>
          </cell>
          <cell r="DE13">
            <v>3</v>
          </cell>
          <cell r="DF13">
            <v>0</v>
          </cell>
          <cell r="DG13">
            <v>0</v>
          </cell>
          <cell r="DH13">
            <v>0</v>
          </cell>
          <cell r="DI13">
            <v>0</v>
          </cell>
          <cell r="DK13" t="str">
            <v>OK</v>
          </cell>
          <cell r="DM13">
            <v>0</v>
          </cell>
          <cell r="DN13">
            <v>0</v>
          </cell>
          <cell r="DO13">
            <v>0</v>
          </cell>
        </row>
        <row r="14">
          <cell r="D14" t="str">
            <v>CTFD002</v>
          </cell>
          <cell r="E14" t="str">
            <v>Filler room finishing works</v>
          </cell>
          <cell r="G14">
            <v>54</v>
          </cell>
          <cell r="H14">
            <v>26</v>
          </cell>
          <cell r="I14">
            <v>19</v>
          </cell>
          <cell r="N14">
            <v>4.2890564075903304E-2</v>
          </cell>
          <cell r="O14">
            <v>99</v>
          </cell>
          <cell r="P14">
            <v>36866</v>
          </cell>
          <cell r="Q14">
            <v>36915</v>
          </cell>
          <cell r="R14" t="str">
            <v>TANK</v>
          </cell>
          <cell r="S14" t="str">
            <v>TANK FOUNDATION</v>
          </cell>
          <cell r="T14" t="str">
            <v>EARLY DATES</v>
          </cell>
          <cell r="U14">
            <v>36866</v>
          </cell>
          <cell r="V14">
            <v>36915</v>
          </cell>
          <cell r="AB14">
            <v>0</v>
          </cell>
          <cell r="AC14">
            <v>0</v>
          </cell>
          <cell r="AD14">
            <v>0</v>
          </cell>
          <cell r="AE14">
            <v>0</v>
          </cell>
          <cell r="AF14">
            <v>0</v>
          </cell>
          <cell r="AG14">
            <v>0</v>
          </cell>
          <cell r="AH14">
            <v>0</v>
          </cell>
          <cell r="AI14">
            <v>0</v>
          </cell>
          <cell r="AJ14">
            <v>0</v>
          </cell>
          <cell r="AK14">
            <v>4.7142584325333052</v>
          </cell>
          <cell r="AL14">
            <v>14.142857142857142</v>
          </cell>
          <cell r="AM14">
            <v>14.142857142857142</v>
          </cell>
          <cell r="AN14">
            <v>14.142857142857139</v>
          </cell>
          <cell r="AO14">
            <v>14.142857142857146</v>
          </cell>
          <cell r="AP14">
            <v>14.142857142857146</v>
          </cell>
          <cell r="AQ14">
            <v>14.142857142857139</v>
          </cell>
          <cell r="AR14">
            <v>9.4285987103238398</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v>99</v>
          </cell>
          <cell r="DE14">
            <v>4</v>
          </cell>
          <cell r="DF14">
            <v>0</v>
          </cell>
          <cell r="DG14">
            <v>0</v>
          </cell>
          <cell r="DH14">
            <v>0</v>
          </cell>
          <cell r="DI14">
            <v>0</v>
          </cell>
          <cell r="DK14" t="str">
            <v>OK</v>
          </cell>
          <cell r="DM14">
            <v>0</v>
          </cell>
          <cell r="DN14">
            <v>0</v>
          </cell>
          <cell r="DO14">
            <v>0</v>
          </cell>
        </row>
        <row r="15">
          <cell r="D15" t="str">
            <v>CTFD003</v>
          </cell>
          <cell r="E15" t="str">
            <v>Support Fdn &amp; Disp. Manhole for canopy</v>
          </cell>
          <cell r="G15">
            <v>47</v>
          </cell>
          <cell r="H15">
            <v>4</v>
          </cell>
          <cell r="I15">
            <v>10</v>
          </cell>
          <cell r="J15">
            <v>5</v>
          </cell>
          <cell r="N15">
            <v>2.8593709383935538E-2</v>
          </cell>
          <cell r="O15">
            <v>66</v>
          </cell>
          <cell r="P15">
            <v>36800</v>
          </cell>
          <cell r="Q15">
            <v>36830</v>
          </cell>
          <cell r="R15" t="str">
            <v>TANK</v>
          </cell>
          <cell r="S15" t="str">
            <v>TANK FOUNDATION</v>
          </cell>
          <cell r="T15" t="str">
            <v>EARLY DATES</v>
          </cell>
          <cell r="U15">
            <v>36800</v>
          </cell>
          <cell r="V15">
            <v>36830</v>
          </cell>
          <cell r="AB15">
            <v>12.692278311958944</v>
          </cell>
          <cell r="AC15">
            <v>15.23076923076923</v>
          </cell>
          <cell r="AD15">
            <v>15.23076923076923</v>
          </cell>
          <cell r="AE15">
            <v>15.230769230769234</v>
          </cell>
          <cell r="AF15">
            <v>7.6154139957333626</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cell r="CC15">
            <v>0</v>
          </cell>
          <cell r="CD15">
            <v>0</v>
          </cell>
          <cell r="CE15">
            <v>0</v>
          </cell>
          <cell r="CF15">
            <v>0</v>
          </cell>
          <cell r="CG15">
            <v>0</v>
          </cell>
          <cell r="CH15">
            <v>0</v>
          </cell>
          <cell r="CI15">
            <v>0</v>
          </cell>
          <cell r="CJ15">
            <v>0</v>
          </cell>
          <cell r="CK15">
            <v>0</v>
          </cell>
          <cell r="CL15">
            <v>0</v>
          </cell>
          <cell r="CM15">
            <v>0</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66</v>
          </cell>
          <cell r="DE15">
            <v>5</v>
          </cell>
          <cell r="DF15">
            <v>12.692278311958944</v>
          </cell>
          <cell r="DG15">
            <v>12.692278311958944</v>
          </cell>
          <cell r="DH15">
            <v>0.19230724715089309</v>
          </cell>
          <cell r="DI15">
            <v>0</v>
          </cell>
          <cell r="DK15" t="str">
            <v>OK</v>
          </cell>
          <cell r="DM15">
            <v>0.19230724715089309</v>
          </cell>
          <cell r="DN15">
            <v>15.23076923076923</v>
          </cell>
          <cell r="DO15">
            <v>0.23076923076923075</v>
          </cell>
        </row>
        <row r="16">
          <cell r="D16" t="str">
            <v>CTFD004</v>
          </cell>
          <cell r="E16" t="str">
            <v>Pipe trench to tank pit</v>
          </cell>
          <cell r="G16">
            <v>117</v>
          </cell>
          <cell r="H16">
            <v>21</v>
          </cell>
          <cell r="I16">
            <v>56</v>
          </cell>
          <cell r="J16">
            <v>19</v>
          </cell>
          <cell r="N16">
            <v>9.2279698466337406E-2</v>
          </cell>
          <cell r="O16">
            <v>213</v>
          </cell>
          <cell r="P16">
            <v>36831</v>
          </cell>
          <cell r="Q16">
            <v>36865</v>
          </cell>
          <cell r="R16" t="str">
            <v>TANK</v>
          </cell>
          <cell r="S16" t="str">
            <v>TANK FOUNDATION</v>
          </cell>
          <cell r="T16" t="str">
            <v>EARLY DATES</v>
          </cell>
          <cell r="U16">
            <v>36831</v>
          </cell>
          <cell r="V16">
            <v>36865</v>
          </cell>
          <cell r="AB16">
            <v>0</v>
          </cell>
          <cell r="AC16">
            <v>0</v>
          </cell>
          <cell r="AD16">
            <v>0</v>
          </cell>
          <cell r="AE16">
            <v>0</v>
          </cell>
          <cell r="AF16">
            <v>14.689570162815375</v>
          </cell>
          <cell r="AG16">
            <v>44.068965517241381</v>
          </cell>
          <cell r="AH16">
            <v>44.068965517241381</v>
          </cell>
          <cell r="AI16">
            <v>44.068965517241381</v>
          </cell>
          <cell r="AJ16">
            <v>44.068965517241367</v>
          </cell>
          <cell r="AK16">
            <v>22.034567768219119</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v>0</v>
          </cell>
          <cell r="CC16">
            <v>0</v>
          </cell>
          <cell r="CD16">
            <v>0</v>
          </cell>
          <cell r="CE16">
            <v>0</v>
          </cell>
          <cell r="CF16">
            <v>0</v>
          </cell>
          <cell r="CG16">
            <v>0</v>
          </cell>
          <cell r="CH16">
            <v>0</v>
          </cell>
          <cell r="CI16">
            <v>0</v>
          </cell>
          <cell r="CJ16">
            <v>0</v>
          </cell>
          <cell r="CK16">
            <v>0</v>
          </cell>
          <cell r="CL16">
            <v>0</v>
          </cell>
          <cell r="CM16">
            <v>0</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213</v>
          </cell>
          <cell r="DE16">
            <v>6</v>
          </cell>
          <cell r="DF16">
            <v>0</v>
          </cell>
          <cell r="DG16">
            <v>0</v>
          </cell>
          <cell r="DH16">
            <v>0</v>
          </cell>
          <cell r="DI16">
            <v>0</v>
          </cell>
          <cell r="DK16" t="str">
            <v>OK</v>
          </cell>
          <cell r="DM16">
            <v>0</v>
          </cell>
          <cell r="DN16">
            <v>0</v>
          </cell>
          <cell r="DO16">
            <v>0</v>
          </cell>
        </row>
        <row r="17">
          <cell r="D17" t="str">
            <v>CTFD005</v>
          </cell>
          <cell r="E17" t="str">
            <v>Canopy finishing works</v>
          </cell>
          <cell r="G17">
            <v>9</v>
          </cell>
          <cell r="H17">
            <v>4</v>
          </cell>
          <cell r="I17">
            <v>5</v>
          </cell>
          <cell r="N17">
            <v>7.7982843774369644E-3</v>
          </cell>
          <cell r="O17">
            <v>18</v>
          </cell>
          <cell r="P17">
            <v>36873</v>
          </cell>
          <cell r="Q17">
            <v>36886</v>
          </cell>
          <cell r="R17" t="str">
            <v>TANK</v>
          </cell>
          <cell r="S17" t="str">
            <v>TANK FOUNDATION</v>
          </cell>
          <cell r="T17" t="str">
            <v>EARLY DATES</v>
          </cell>
          <cell r="U17">
            <v>36873</v>
          </cell>
          <cell r="V17">
            <v>36886</v>
          </cell>
          <cell r="AB17">
            <v>0</v>
          </cell>
          <cell r="AC17">
            <v>0</v>
          </cell>
          <cell r="AD17">
            <v>0</v>
          </cell>
          <cell r="AE17">
            <v>0</v>
          </cell>
          <cell r="AF17">
            <v>0</v>
          </cell>
          <cell r="AG17">
            <v>0</v>
          </cell>
          <cell r="AH17">
            <v>0</v>
          </cell>
          <cell r="AI17">
            <v>0</v>
          </cell>
          <cell r="AJ17">
            <v>0</v>
          </cell>
          <cell r="AK17">
            <v>0</v>
          </cell>
          <cell r="AL17">
            <v>3.272708333328906</v>
          </cell>
          <cell r="AM17">
            <v>9.8181818181818183</v>
          </cell>
          <cell r="AN17">
            <v>4.9091098484892761</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cell r="BS17">
            <v>0</v>
          </cell>
          <cell r="BT17">
            <v>0</v>
          </cell>
          <cell r="BU17">
            <v>0</v>
          </cell>
          <cell r="BV17">
            <v>0</v>
          </cell>
          <cell r="BW17">
            <v>0</v>
          </cell>
          <cell r="BX17">
            <v>0</v>
          </cell>
          <cell r="BY17">
            <v>0</v>
          </cell>
          <cell r="BZ17">
            <v>0</v>
          </cell>
          <cell r="CA17">
            <v>0</v>
          </cell>
          <cell r="CB17">
            <v>0</v>
          </cell>
          <cell r="CC17">
            <v>0</v>
          </cell>
          <cell r="CD17">
            <v>0</v>
          </cell>
          <cell r="CE17">
            <v>0</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18</v>
          </cell>
          <cell r="DE17">
            <v>7</v>
          </cell>
          <cell r="DF17">
            <v>0</v>
          </cell>
          <cell r="DG17">
            <v>0</v>
          </cell>
          <cell r="DH17">
            <v>0</v>
          </cell>
          <cell r="DI17">
            <v>0</v>
          </cell>
          <cell r="DK17" t="str">
            <v>OK</v>
          </cell>
          <cell r="DM17">
            <v>0</v>
          </cell>
          <cell r="DN17">
            <v>0</v>
          </cell>
          <cell r="DO17">
            <v>0</v>
          </cell>
        </row>
        <row r="18">
          <cell r="D18" t="str">
            <v>CTFD006</v>
          </cell>
          <cell r="E18" t="str">
            <v>Pit Excavation / TANK INSTALL</v>
          </cell>
          <cell r="G18">
            <v>20</v>
          </cell>
          <cell r="H18">
            <v>1</v>
          </cell>
          <cell r="N18">
            <v>9.097998440343126E-3</v>
          </cell>
          <cell r="O18">
            <v>21</v>
          </cell>
          <cell r="P18">
            <v>36855</v>
          </cell>
          <cell r="Q18">
            <v>36862</v>
          </cell>
          <cell r="R18" t="str">
            <v>TANK</v>
          </cell>
          <cell r="S18" t="str">
            <v>TANK FOUNDATION</v>
          </cell>
          <cell r="T18" t="str">
            <v>EARLY DATES</v>
          </cell>
          <cell r="U18">
            <v>36855</v>
          </cell>
          <cell r="V18">
            <v>36862</v>
          </cell>
          <cell r="AB18">
            <v>0</v>
          </cell>
          <cell r="AC18">
            <v>0</v>
          </cell>
          <cell r="AD18">
            <v>0</v>
          </cell>
          <cell r="AE18">
            <v>0</v>
          </cell>
          <cell r="AF18">
            <v>0</v>
          </cell>
          <cell r="AG18">
            <v>0</v>
          </cell>
          <cell r="AH18">
            <v>0</v>
          </cell>
          <cell r="AI18">
            <v>0</v>
          </cell>
          <cell r="AJ18">
            <v>20.999959490731271</v>
          </cell>
          <cell r="AK18">
            <v>4.0509268728783354E-5</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cell r="CC18">
            <v>0</v>
          </cell>
          <cell r="CD18">
            <v>0</v>
          </cell>
          <cell r="CE18">
            <v>0</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21</v>
          </cell>
          <cell r="DE18">
            <v>8</v>
          </cell>
          <cell r="DF18">
            <v>0</v>
          </cell>
          <cell r="DG18">
            <v>0</v>
          </cell>
          <cell r="DH18">
            <v>0</v>
          </cell>
          <cell r="DI18">
            <v>0</v>
          </cell>
          <cell r="DK18" t="str">
            <v>OK</v>
          </cell>
          <cell r="DM18">
            <v>0</v>
          </cell>
          <cell r="DN18">
            <v>0</v>
          </cell>
          <cell r="DO18">
            <v>0</v>
          </cell>
        </row>
        <row r="19">
          <cell r="D19" t="str">
            <v>CTFD007</v>
          </cell>
          <cell r="E19" t="str">
            <v>Fil point works</v>
          </cell>
          <cell r="G19">
            <v>2.5</v>
          </cell>
          <cell r="H19">
            <v>0.6</v>
          </cell>
          <cell r="I19">
            <v>0.1</v>
          </cell>
          <cell r="J19">
            <v>0.4</v>
          </cell>
          <cell r="N19">
            <v>1.5596568754873928E-3</v>
          </cell>
          <cell r="O19">
            <v>3.6</v>
          </cell>
          <cell r="P19">
            <v>36901</v>
          </cell>
          <cell r="Q19">
            <v>36918</v>
          </cell>
          <cell r="R19" t="str">
            <v>TANK</v>
          </cell>
          <cell r="S19" t="str">
            <v>TANK FOUNDATION</v>
          </cell>
          <cell r="T19" t="str">
            <v>EARLY DATES</v>
          </cell>
          <cell r="U19">
            <v>36901</v>
          </cell>
          <cell r="V19">
            <v>36918</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0.51428273809454239</v>
          </cell>
          <cell r="AQ19">
            <v>1.5428571428571427</v>
          </cell>
          <cell r="AR19">
            <v>1.5428571428571427</v>
          </cell>
          <cell r="AS19">
            <v>2.9761911721770673E-6</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3.6</v>
          </cell>
          <cell r="DE19">
            <v>9</v>
          </cell>
          <cell r="DF19">
            <v>0</v>
          </cell>
          <cell r="DG19">
            <v>0</v>
          </cell>
          <cell r="DH19">
            <v>0</v>
          </cell>
          <cell r="DI19">
            <v>0</v>
          </cell>
          <cell r="DK19" t="str">
            <v>OK</v>
          </cell>
          <cell r="DM19">
            <v>0</v>
          </cell>
          <cell r="DN19">
            <v>0</v>
          </cell>
          <cell r="DO19">
            <v>0</v>
          </cell>
        </row>
        <row r="20">
          <cell r="D20" t="str">
            <v>CTWL000</v>
          </cell>
          <cell r="E20" t="str">
            <v>Backfilling</v>
          </cell>
          <cell r="G20">
            <v>20</v>
          </cell>
          <cell r="N20">
            <v>8.6647604193744055E-3</v>
          </cell>
          <cell r="O20">
            <v>20</v>
          </cell>
          <cell r="P20">
            <v>36890</v>
          </cell>
          <cell r="Q20">
            <v>36900</v>
          </cell>
          <cell r="R20" t="str">
            <v>TANK</v>
          </cell>
          <cell r="S20" t="str">
            <v>TANK WALL</v>
          </cell>
          <cell r="T20" t="str">
            <v>EARLY DATES</v>
          </cell>
          <cell r="U20">
            <v>36890</v>
          </cell>
          <cell r="V20">
            <v>36900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13.333307613162711</v>
          </cell>
          <cell r="AP20">
            <v>6.6666923868372887</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cell r="BN20">
            <v>0</v>
          </cell>
          <cell r="BO20">
            <v>0</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20</v>
          </cell>
          <cell r="DE20">
            <v>10</v>
          </cell>
          <cell r="DF20">
            <v>0</v>
          </cell>
          <cell r="DG20">
            <v>0</v>
          </cell>
          <cell r="DH20">
            <v>0</v>
          </cell>
          <cell r="DI20">
            <v>0</v>
          </cell>
          <cell r="DK20" t="str">
            <v>OK</v>
          </cell>
          <cell r="DM20">
            <v>0</v>
          </cell>
          <cell r="DN20">
            <v>0</v>
          </cell>
          <cell r="DO20">
            <v>0</v>
          </cell>
        </row>
        <row r="21">
          <cell r="D21" t="str">
            <v>CTWL002</v>
          </cell>
          <cell r="E21" t="str">
            <v>Finishing works around pit / fill point</v>
          </cell>
          <cell r="G21">
            <v>20.399999999999999</v>
          </cell>
          <cell r="H21">
            <v>10.199999999999999</v>
          </cell>
          <cell r="I21">
            <v>15</v>
          </cell>
          <cell r="J21">
            <v>2</v>
          </cell>
          <cell r="N21">
            <v>2.062212979811108E-2</v>
          </cell>
          <cell r="O21">
            <v>47.599999999999994</v>
          </cell>
          <cell r="P21">
            <v>36901</v>
          </cell>
          <cell r="Q21">
            <v>36935</v>
          </cell>
          <cell r="R21" t="str">
            <v>TANK</v>
          </cell>
          <cell r="S21" t="str">
            <v>TANK WALL</v>
          </cell>
          <cell r="T21" t="str">
            <v>EARLY DATES</v>
          </cell>
          <cell r="U21">
            <v>36901</v>
          </cell>
          <cell r="V21">
            <v>36935</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3.2827396232394923</v>
          </cell>
          <cell r="AQ21">
            <v>9.848275862068963</v>
          </cell>
          <cell r="AR21">
            <v>9.848275862068963</v>
          </cell>
          <cell r="AS21">
            <v>9.8482758620689665</v>
          </cell>
          <cell r="AT21">
            <v>9.8482758620689594</v>
          </cell>
          <cell r="AU21">
            <v>4.9241569284846491</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cell r="CC21">
            <v>0</v>
          </cell>
          <cell r="CD21">
            <v>0</v>
          </cell>
          <cell r="CE21">
            <v>0</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47.599999999999994</v>
          </cell>
          <cell r="DE21">
            <v>11</v>
          </cell>
          <cell r="DF21">
            <v>0</v>
          </cell>
          <cell r="DG21">
            <v>0</v>
          </cell>
          <cell r="DH21">
            <v>0</v>
          </cell>
          <cell r="DI21">
            <v>0</v>
          </cell>
          <cell r="DK21" t="str">
            <v>OK</v>
          </cell>
          <cell r="DM21">
            <v>0</v>
          </cell>
          <cell r="DN21">
            <v>0</v>
          </cell>
          <cell r="DO21">
            <v>0</v>
          </cell>
        </row>
        <row r="22">
          <cell r="D22" t="str">
            <v>CTWL004</v>
          </cell>
          <cell r="E22" t="str">
            <v>Compressor base</v>
          </cell>
          <cell r="G22">
            <v>2</v>
          </cell>
          <cell r="H22">
            <v>1</v>
          </cell>
          <cell r="I22">
            <v>1</v>
          </cell>
          <cell r="J22">
            <v>0.5</v>
          </cell>
          <cell r="N22">
            <v>1.9495710943592411E-3</v>
          </cell>
          <cell r="O22">
            <v>4.5</v>
          </cell>
          <cell r="P22">
            <v>36835</v>
          </cell>
          <cell r="Q22">
            <v>36852</v>
          </cell>
          <cell r="R22" t="str">
            <v>TANK</v>
          </cell>
          <cell r="S22" t="str">
            <v>TANK WALL</v>
          </cell>
          <cell r="T22" t="str">
            <v>EARLY DATES</v>
          </cell>
          <cell r="U22">
            <v>36835</v>
          </cell>
          <cell r="V22">
            <v>36852</v>
          </cell>
          <cell r="AB22">
            <v>0</v>
          </cell>
          <cell r="AC22">
            <v>0</v>
          </cell>
          <cell r="AD22">
            <v>0</v>
          </cell>
          <cell r="AE22">
            <v>0</v>
          </cell>
          <cell r="AF22">
            <v>0</v>
          </cell>
          <cell r="AG22">
            <v>1.4999965277769662</v>
          </cell>
          <cell r="AH22">
            <v>1.8</v>
          </cell>
          <cell r="AI22">
            <v>1.2000034722230337</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cell r="CC22">
            <v>0</v>
          </cell>
          <cell r="CD22">
            <v>0</v>
          </cell>
          <cell r="CE22">
            <v>0</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4.5</v>
          </cell>
          <cell r="DE22">
            <v>12</v>
          </cell>
          <cell r="DF22">
            <v>0</v>
          </cell>
          <cell r="DG22">
            <v>0</v>
          </cell>
          <cell r="DH22">
            <v>0</v>
          </cell>
          <cell r="DI22">
            <v>0</v>
          </cell>
          <cell r="DK22" t="str">
            <v>OK</v>
          </cell>
          <cell r="DM22">
            <v>0</v>
          </cell>
          <cell r="DN22">
            <v>0</v>
          </cell>
          <cell r="DO22">
            <v>0</v>
          </cell>
        </row>
        <row r="23">
          <cell r="D23" t="str">
            <v>CTWL006</v>
          </cell>
          <cell r="E23" t="str">
            <v>Vent pipe foundation</v>
          </cell>
          <cell r="G23">
            <v>4</v>
          </cell>
          <cell r="H23">
            <v>1</v>
          </cell>
          <cell r="I23">
            <v>1</v>
          </cell>
          <cell r="J23">
            <v>0.5</v>
          </cell>
          <cell r="N23">
            <v>2.8160471362966817E-3</v>
          </cell>
          <cell r="O23">
            <v>6.5</v>
          </cell>
          <cell r="P23">
            <v>36853</v>
          </cell>
          <cell r="Q23">
            <v>36864</v>
          </cell>
          <cell r="R23" t="str">
            <v>TANK</v>
          </cell>
          <cell r="S23" t="str">
            <v>TANK WALL</v>
          </cell>
          <cell r="T23" t="str">
            <v>EARLY DATES</v>
          </cell>
          <cell r="U23">
            <v>36853</v>
          </cell>
          <cell r="V23">
            <v>36864</v>
          </cell>
          <cell r="AB23">
            <v>0</v>
          </cell>
          <cell r="AC23">
            <v>0</v>
          </cell>
          <cell r="AD23">
            <v>0</v>
          </cell>
          <cell r="AE23">
            <v>0</v>
          </cell>
          <cell r="AF23">
            <v>0</v>
          </cell>
          <cell r="AG23">
            <v>0</v>
          </cell>
          <cell r="AH23">
            <v>0</v>
          </cell>
          <cell r="AI23">
            <v>0.72221386316677016</v>
          </cell>
          <cell r="AJ23">
            <v>4.333333333333333</v>
          </cell>
          <cell r="AK23">
            <v>1.4444528034998969</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cell r="BM23">
            <v>0</v>
          </cell>
          <cell r="BN23">
            <v>0</v>
          </cell>
          <cell r="BO23">
            <v>0</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6.5</v>
          </cell>
          <cell r="DE23">
            <v>13</v>
          </cell>
          <cell r="DF23">
            <v>0</v>
          </cell>
          <cell r="DG23">
            <v>0</v>
          </cell>
          <cell r="DH23">
            <v>0</v>
          </cell>
          <cell r="DI23">
            <v>0</v>
          </cell>
          <cell r="DK23" t="str">
            <v>OK</v>
          </cell>
          <cell r="DM23">
            <v>0</v>
          </cell>
          <cell r="DN23">
            <v>0</v>
          </cell>
          <cell r="DO23">
            <v>0</v>
          </cell>
        </row>
        <row r="24">
          <cell r="D24" t="str">
            <v>CTWL008</v>
          </cell>
          <cell r="E24" t="str">
            <v>Drainage manhole</v>
          </cell>
          <cell r="G24">
            <v>78</v>
          </cell>
          <cell r="H24">
            <v>14</v>
          </cell>
          <cell r="I24">
            <v>15</v>
          </cell>
          <cell r="J24">
            <v>11</v>
          </cell>
          <cell r="N24">
            <v>5.1122086474308992E-2</v>
          </cell>
          <cell r="O24">
            <v>118</v>
          </cell>
          <cell r="P24">
            <v>36810</v>
          </cell>
          <cell r="Q24">
            <v>36844</v>
          </cell>
          <cell r="R24" t="str">
            <v>TANK</v>
          </cell>
          <cell r="S24" t="str">
            <v>TANK WATER TEST</v>
          </cell>
          <cell r="T24" t="str">
            <v>EARLY DATES</v>
          </cell>
          <cell r="U24">
            <v>36810</v>
          </cell>
          <cell r="V24">
            <v>36844</v>
          </cell>
          <cell r="AB24">
            <v>0</v>
          </cell>
          <cell r="AC24">
            <v>8.1378839399634479</v>
          </cell>
          <cell r="AD24">
            <v>24.413793103448274</v>
          </cell>
          <cell r="AE24">
            <v>24.41379310344827</v>
          </cell>
          <cell r="AF24">
            <v>24.413793103448278</v>
          </cell>
          <cell r="AG24">
            <v>24.41379310344827</v>
          </cell>
          <cell r="AH24">
            <v>12.20694364624346</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cell r="BM24">
            <v>0</v>
          </cell>
          <cell r="BN24">
            <v>0</v>
          </cell>
          <cell r="BO24">
            <v>0</v>
          </cell>
          <cell r="BP24">
            <v>0</v>
          </cell>
          <cell r="BQ24">
            <v>0</v>
          </cell>
          <cell r="BR24">
            <v>0</v>
          </cell>
          <cell r="BS24">
            <v>0</v>
          </cell>
          <cell r="BT24">
            <v>0</v>
          </cell>
          <cell r="BU24">
            <v>0</v>
          </cell>
          <cell r="BV24">
            <v>0</v>
          </cell>
          <cell r="BW24">
            <v>0</v>
          </cell>
          <cell r="BX24">
            <v>0</v>
          </cell>
          <cell r="BY24">
            <v>0</v>
          </cell>
          <cell r="BZ24">
            <v>0</v>
          </cell>
          <cell r="CA24">
            <v>0</v>
          </cell>
          <cell r="CB24">
            <v>0</v>
          </cell>
          <cell r="CC24">
            <v>0</v>
          </cell>
          <cell r="CD24">
            <v>0</v>
          </cell>
          <cell r="CE24">
            <v>0</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CX24">
            <v>0</v>
          </cell>
          <cell r="CY24">
            <v>0</v>
          </cell>
          <cell r="CZ24">
            <v>0</v>
          </cell>
          <cell r="DA24">
            <v>0</v>
          </cell>
          <cell r="DB24">
            <v>0</v>
          </cell>
          <cell r="DC24">
            <v>0</v>
          </cell>
          <cell r="DD24">
            <v>118</v>
          </cell>
          <cell r="DE24">
            <v>14</v>
          </cell>
          <cell r="DF24">
            <v>0</v>
          </cell>
          <cell r="DG24">
            <v>0</v>
          </cell>
          <cell r="DH24">
            <v>0</v>
          </cell>
          <cell r="DI24">
            <v>0</v>
          </cell>
          <cell r="DK24" t="str">
            <v>OK</v>
          </cell>
          <cell r="DM24">
            <v>0</v>
          </cell>
          <cell r="DN24">
            <v>8.1378839399634479</v>
          </cell>
          <cell r="DO24">
            <v>6.8965118135283457E-2</v>
          </cell>
        </row>
        <row r="25">
          <cell r="D25" t="str">
            <v>CTWL010</v>
          </cell>
          <cell r="E25" t="str">
            <v>Drainage lines excavation</v>
          </cell>
          <cell r="G25">
            <v>50</v>
          </cell>
          <cell r="I25">
            <v>10</v>
          </cell>
          <cell r="N25">
            <v>2.5994281258123215E-2</v>
          </cell>
          <cell r="O25">
            <v>60</v>
          </cell>
          <cell r="P25">
            <v>36824</v>
          </cell>
          <cell r="Q25">
            <v>36870</v>
          </cell>
          <cell r="R25" t="str">
            <v>TANK</v>
          </cell>
          <cell r="S25" t="str">
            <v>TANK HOPPER</v>
          </cell>
          <cell r="T25" t="str">
            <v>EARLY DATES</v>
          </cell>
          <cell r="U25">
            <v>36824</v>
          </cell>
          <cell r="V25">
            <v>36870</v>
          </cell>
          <cell r="AB25">
            <v>0</v>
          </cell>
          <cell r="AC25">
            <v>0</v>
          </cell>
          <cell r="AD25">
            <v>0</v>
          </cell>
          <cell r="AE25">
            <v>3.0769052706511077</v>
          </cell>
          <cell r="AF25">
            <v>9.2307692307692299</v>
          </cell>
          <cell r="AG25">
            <v>9.2307692307692299</v>
          </cell>
          <cell r="AH25">
            <v>9.2307692307692299</v>
          </cell>
          <cell r="AI25">
            <v>9.2307692307692335</v>
          </cell>
          <cell r="AJ25">
            <v>9.2307692307692264</v>
          </cell>
          <cell r="AK25">
            <v>9.2307692307692335</v>
          </cell>
          <cell r="AL25">
            <v>1.5384793447335099</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v>60</v>
          </cell>
          <cell r="DE25">
            <v>15</v>
          </cell>
          <cell r="DF25">
            <v>0</v>
          </cell>
          <cell r="DG25">
            <v>0</v>
          </cell>
          <cell r="DH25">
            <v>0</v>
          </cell>
          <cell r="DI25">
            <v>0</v>
          </cell>
          <cell r="DK25" t="str">
            <v>OK</v>
          </cell>
          <cell r="DM25">
            <v>0</v>
          </cell>
          <cell r="DN25">
            <v>0</v>
          </cell>
          <cell r="DO25">
            <v>0</v>
          </cell>
        </row>
        <row r="26">
          <cell r="D26" t="str">
            <v>CTWL012</v>
          </cell>
          <cell r="E26" t="str">
            <v>Backfilling</v>
          </cell>
          <cell r="G26">
            <v>38</v>
          </cell>
          <cell r="N26">
            <v>1.646304479681137E-2</v>
          </cell>
          <cell r="O26">
            <v>38</v>
          </cell>
          <cell r="P26">
            <v>36856</v>
          </cell>
          <cell r="Q26">
            <v>36890</v>
          </cell>
          <cell r="R26" t="str">
            <v>TANK</v>
          </cell>
          <cell r="S26" t="str">
            <v>TANK HOPPER</v>
          </cell>
          <cell r="T26" t="str">
            <v>EARLY DATES</v>
          </cell>
          <cell r="U26">
            <v>36856</v>
          </cell>
          <cell r="V26">
            <v>36890</v>
          </cell>
          <cell r="AB26">
            <v>0</v>
          </cell>
          <cell r="AC26">
            <v>0</v>
          </cell>
          <cell r="AD26">
            <v>0</v>
          </cell>
          <cell r="AE26">
            <v>0</v>
          </cell>
          <cell r="AF26">
            <v>0</v>
          </cell>
          <cell r="AG26">
            <v>0</v>
          </cell>
          <cell r="AH26">
            <v>0</v>
          </cell>
          <cell r="AI26">
            <v>0</v>
          </cell>
          <cell r="AJ26">
            <v>6.5517089718993926</v>
          </cell>
          <cell r="AK26">
            <v>7.862068965517242</v>
          </cell>
          <cell r="AL26">
            <v>7.8620689655172402</v>
          </cell>
          <cell r="AM26">
            <v>7.862068965517242</v>
          </cell>
          <cell r="AN26">
            <v>7.8620689655172455</v>
          </cell>
          <cell r="AO26">
            <v>1.5166031637647848E-5</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cell r="BS26">
            <v>0</v>
          </cell>
          <cell r="BT26">
            <v>0</v>
          </cell>
          <cell r="BU26">
            <v>0</v>
          </cell>
          <cell r="BV26">
            <v>0</v>
          </cell>
          <cell r="BW26">
            <v>0</v>
          </cell>
          <cell r="BX26">
            <v>0</v>
          </cell>
          <cell r="BY26">
            <v>0</v>
          </cell>
          <cell r="BZ26">
            <v>0</v>
          </cell>
          <cell r="CA26">
            <v>0</v>
          </cell>
          <cell r="CB26">
            <v>0</v>
          </cell>
          <cell r="CC26">
            <v>0</v>
          </cell>
          <cell r="CD26">
            <v>0</v>
          </cell>
          <cell r="CE26">
            <v>0</v>
          </cell>
          <cell r="CF26">
            <v>0</v>
          </cell>
          <cell r="CG26">
            <v>0</v>
          </cell>
          <cell r="CH26">
            <v>0</v>
          </cell>
          <cell r="CI26">
            <v>0</v>
          </cell>
          <cell r="CJ26">
            <v>0</v>
          </cell>
          <cell r="CK26">
            <v>0</v>
          </cell>
          <cell r="CL26">
            <v>0</v>
          </cell>
          <cell r="CM26">
            <v>0</v>
          </cell>
          <cell r="CN26">
            <v>0</v>
          </cell>
          <cell r="CO26">
            <v>0</v>
          </cell>
          <cell r="CP26">
            <v>0</v>
          </cell>
          <cell r="CQ26">
            <v>0</v>
          </cell>
          <cell r="CR26">
            <v>0</v>
          </cell>
          <cell r="CS26">
            <v>0</v>
          </cell>
          <cell r="CT26">
            <v>0</v>
          </cell>
          <cell r="CU26">
            <v>0</v>
          </cell>
          <cell r="CV26">
            <v>0</v>
          </cell>
          <cell r="CW26">
            <v>0</v>
          </cell>
          <cell r="CX26">
            <v>0</v>
          </cell>
          <cell r="CY26">
            <v>0</v>
          </cell>
          <cell r="CZ26">
            <v>0</v>
          </cell>
          <cell r="DA26">
            <v>0</v>
          </cell>
          <cell r="DB26">
            <v>0</v>
          </cell>
          <cell r="DC26">
            <v>0</v>
          </cell>
          <cell r="DD26">
            <v>38</v>
          </cell>
          <cell r="DE26">
            <v>16</v>
          </cell>
          <cell r="DF26">
            <v>0</v>
          </cell>
          <cell r="DG26">
            <v>0</v>
          </cell>
          <cell r="DH26">
            <v>0</v>
          </cell>
          <cell r="DI26">
            <v>0</v>
          </cell>
          <cell r="DK26" t="str">
            <v>OK</v>
          </cell>
          <cell r="DM26">
            <v>0</v>
          </cell>
          <cell r="DN26">
            <v>0</v>
          </cell>
          <cell r="DO26">
            <v>0</v>
          </cell>
        </row>
        <row r="27">
          <cell r="D27" t="str">
            <v>CTWL014</v>
          </cell>
          <cell r="E27" t="str">
            <v>Potable water line excavation</v>
          </cell>
          <cell r="G27">
            <v>27</v>
          </cell>
          <cell r="N27">
            <v>1.1697426566155448E-2</v>
          </cell>
          <cell r="O27">
            <v>27</v>
          </cell>
          <cell r="P27">
            <v>36856</v>
          </cell>
          <cell r="Q27">
            <v>36878</v>
          </cell>
          <cell r="R27" t="str">
            <v>TANK</v>
          </cell>
          <cell r="S27" t="str">
            <v>TANK WATER TEST</v>
          </cell>
          <cell r="T27" t="str">
            <v>EARLY DATES</v>
          </cell>
          <cell r="U27">
            <v>36856</v>
          </cell>
          <cell r="V27">
            <v>36878</v>
          </cell>
          <cell r="AB27">
            <v>0</v>
          </cell>
          <cell r="AC27">
            <v>0</v>
          </cell>
          <cell r="AD27">
            <v>0</v>
          </cell>
          <cell r="AE27">
            <v>0</v>
          </cell>
          <cell r="AF27">
            <v>0</v>
          </cell>
          <cell r="AG27">
            <v>0</v>
          </cell>
          <cell r="AH27">
            <v>0</v>
          </cell>
          <cell r="AI27">
            <v>0</v>
          </cell>
          <cell r="AJ27">
            <v>7.1052467105224704</v>
          </cell>
          <cell r="AK27">
            <v>8.5263157894736832</v>
          </cell>
          <cell r="AL27">
            <v>8.526315789473685</v>
          </cell>
          <cell r="AM27">
            <v>2.8421217105301615</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0</v>
          </cell>
          <cell r="BN27">
            <v>0</v>
          </cell>
          <cell r="BO27">
            <v>0</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27</v>
          </cell>
          <cell r="DE27">
            <v>17</v>
          </cell>
          <cell r="DF27">
            <v>0</v>
          </cell>
          <cell r="DG27">
            <v>0</v>
          </cell>
          <cell r="DH27">
            <v>0</v>
          </cell>
          <cell r="DI27">
            <v>0</v>
          </cell>
          <cell r="DK27" t="str">
            <v>OK</v>
          </cell>
          <cell r="DM27">
            <v>0</v>
          </cell>
          <cell r="DN27">
            <v>0</v>
          </cell>
          <cell r="DO27">
            <v>0</v>
          </cell>
        </row>
        <row r="28">
          <cell r="D28" t="str">
            <v>CTWL016</v>
          </cell>
          <cell r="E28" t="str">
            <v>Backfilling water line</v>
          </cell>
          <cell r="G28">
            <v>46</v>
          </cell>
          <cell r="N28">
            <v>1.9928948964561131E-2</v>
          </cell>
          <cell r="O28">
            <v>46</v>
          </cell>
          <cell r="P28">
            <v>36887</v>
          </cell>
          <cell r="Q28">
            <v>36904</v>
          </cell>
          <cell r="R28" t="str">
            <v>TANK</v>
          </cell>
          <cell r="S28" t="str">
            <v>TANK WATER TEST</v>
          </cell>
          <cell r="T28" t="str">
            <v>EARLY DATES</v>
          </cell>
          <cell r="U28">
            <v>36887</v>
          </cell>
          <cell r="V28">
            <v>36904</v>
          </cell>
          <cell r="AB28">
            <v>0</v>
          </cell>
          <cell r="AC28">
            <v>0</v>
          </cell>
          <cell r="AD28">
            <v>0</v>
          </cell>
          <cell r="AE28">
            <v>0</v>
          </cell>
          <cell r="AF28">
            <v>0</v>
          </cell>
          <cell r="AG28">
            <v>0</v>
          </cell>
          <cell r="AH28">
            <v>0</v>
          </cell>
          <cell r="AI28">
            <v>0</v>
          </cell>
          <cell r="AJ28">
            <v>0</v>
          </cell>
          <cell r="AK28">
            <v>0</v>
          </cell>
          <cell r="AL28">
            <v>0</v>
          </cell>
          <cell r="AM28">
            <v>0</v>
          </cell>
          <cell r="AN28">
            <v>6.5713905423191532</v>
          </cell>
          <cell r="AO28">
            <v>19.714285714285715</v>
          </cell>
          <cell r="AP28">
            <v>19.714285714285719</v>
          </cell>
          <cell r="AQ28">
            <v>3.8029109411752415E-5</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cell r="BN28">
            <v>0</v>
          </cell>
          <cell r="BO28">
            <v>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46</v>
          </cell>
          <cell r="DE28">
            <v>18</v>
          </cell>
          <cell r="DF28">
            <v>0</v>
          </cell>
          <cell r="DG28">
            <v>0</v>
          </cell>
          <cell r="DH28">
            <v>0</v>
          </cell>
          <cell r="DI28">
            <v>0</v>
          </cell>
          <cell r="DK28" t="str">
            <v>OK</v>
          </cell>
          <cell r="DM28">
            <v>0</v>
          </cell>
          <cell r="DN28">
            <v>0</v>
          </cell>
          <cell r="DO28">
            <v>0</v>
          </cell>
        </row>
        <row r="29">
          <cell r="D29" t="str">
            <v>CTWL018</v>
          </cell>
          <cell r="E29" t="str">
            <v>Fire Hydrants</v>
          </cell>
          <cell r="G29">
            <v>42</v>
          </cell>
          <cell r="H29">
            <v>7</v>
          </cell>
          <cell r="I29">
            <v>15</v>
          </cell>
          <cell r="J29">
            <v>5</v>
          </cell>
          <cell r="N29">
            <v>2.9893423446841698E-2</v>
          </cell>
          <cell r="O29">
            <v>69</v>
          </cell>
          <cell r="P29">
            <v>36851</v>
          </cell>
          <cell r="Q29">
            <v>36867</v>
          </cell>
          <cell r="R29" t="str">
            <v>TANK</v>
          </cell>
          <cell r="S29" t="str">
            <v>TANK HOPPER</v>
          </cell>
          <cell r="T29" t="str">
            <v>EARLY DATES</v>
          </cell>
          <cell r="U29">
            <v>36851</v>
          </cell>
          <cell r="V29">
            <v>36867</v>
          </cell>
          <cell r="AB29">
            <v>0</v>
          </cell>
          <cell r="AC29">
            <v>0</v>
          </cell>
          <cell r="AD29">
            <v>0</v>
          </cell>
          <cell r="AE29">
            <v>0</v>
          </cell>
          <cell r="AF29">
            <v>0</v>
          </cell>
          <cell r="AG29">
            <v>0</v>
          </cell>
          <cell r="AH29">
            <v>0</v>
          </cell>
          <cell r="AI29">
            <v>14.785657242050156</v>
          </cell>
          <cell r="AJ29">
            <v>29.571428571428569</v>
          </cell>
          <cell r="AK29">
            <v>24.642914186521274</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0</v>
          </cell>
          <cell r="CG29">
            <v>0</v>
          </cell>
          <cell r="CH29">
            <v>0</v>
          </cell>
          <cell r="CI29">
            <v>0</v>
          </cell>
          <cell r="CJ29">
            <v>0</v>
          </cell>
          <cell r="CK29">
            <v>0</v>
          </cell>
          <cell r="CL29">
            <v>0</v>
          </cell>
          <cell r="CM29">
            <v>0</v>
          </cell>
          <cell r="CN29">
            <v>0</v>
          </cell>
          <cell r="CO29">
            <v>0</v>
          </cell>
          <cell r="CP29">
            <v>0</v>
          </cell>
          <cell r="CQ29">
            <v>0</v>
          </cell>
          <cell r="CR29">
            <v>0</v>
          </cell>
          <cell r="CS29">
            <v>0</v>
          </cell>
          <cell r="CT29">
            <v>0</v>
          </cell>
          <cell r="CU29">
            <v>0</v>
          </cell>
          <cell r="CV29">
            <v>0</v>
          </cell>
          <cell r="CW29">
            <v>0</v>
          </cell>
          <cell r="CX29">
            <v>0</v>
          </cell>
          <cell r="CY29">
            <v>0</v>
          </cell>
          <cell r="CZ29">
            <v>0</v>
          </cell>
          <cell r="DA29">
            <v>0</v>
          </cell>
          <cell r="DB29">
            <v>0</v>
          </cell>
          <cell r="DC29">
            <v>0</v>
          </cell>
          <cell r="DD29">
            <v>69</v>
          </cell>
          <cell r="DE29">
            <v>19</v>
          </cell>
          <cell r="DF29">
            <v>0</v>
          </cell>
          <cell r="DG29">
            <v>0</v>
          </cell>
          <cell r="DH29">
            <v>0</v>
          </cell>
          <cell r="DI29">
            <v>0</v>
          </cell>
          <cell r="DK29" t="str">
            <v>OK</v>
          </cell>
          <cell r="DM29">
            <v>0</v>
          </cell>
          <cell r="DN29">
            <v>0</v>
          </cell>
          <cell r="DO29">
            <v>0</v>
          </cell>
        </row>
        <row r="30">
          <cell r="D30" t="str">
            <v>CTWL020</v>
          </cell>
          <cell r="E30" t="str">
            <v>Fire water line excavation</v>
          </cell>
          <cell r="G30">
            <v>86</v>
          </cell>
          <cell r="N30">
            <v>3.7258469803309942E-2</v>
          </cell>
          <cell r="O30">
            <v>86</v>
          </cell>
          <cell r="P30">
            <v>36839</v>
          </cell>
          <cell r="Q30">
            <v>36867</v>
          </cell>
          <cell r="R30" t="str">
            <v>TANK</v>
          </cell>
          <cell r="S30" t="str">
            <v>TANK HOPPER</v>
          </cell>
          <cell r="T30" t="str">
            <v>EARLY DATES</v>
          </cell>
          <cell r="U30">
            <v>36839</v>
          </cell>
          <cell r="V30">
            <v>36867</v>
          </cell>
          <cell r="AB30">
            <v>0</v>
          </cell>
          <cell r="AC30">
            <v>0</v>
          </cell>
          <cell r="AD30">
            <v>0</v>
          </cell>
          <cell r="AE30">
            <v>0</v>
          </cell>
          <cell r="AF30">
            <v>0</v>
          </cell>
          <cell r="AG30">
            <v>3.5832918595582059</v>
          </cell>
          <cell r="AH30">
            <v>21.5</v>
          </cell>
          <cell r="AI30">
            <v>21.500000000000004</v>
          </cell>
          <cell r="AJ30">
            <v>21.499999999999993</v>
          </cell>
          <cell r="AK30">
            <v>17.916708140441798</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86</v>
          </cell>
          <cell r="DE30">
            <v>20</v>
          </cell>
          <cell r="DF30">
            <v>0</v>
          </cell>
          <cell r="DG30">
            <v>0</v>
          </cell>
          <cell r="DH30">
            <v>0</v>
          </cell>
          <cell r="DI30">
            <v>0</v>
          </cell>
          <cell r="DK30" t="str">
            <v>OK</v>
          </cell>
          <cell r="DM30">
            <v>0</v>
          </cell>
          <cell r="DN30">
            <v>0</v>
          </cell>
          <cell r="DO30">
            <v>0</v>
          </cell>
        </row>
        <row r="31">
          <cell r="D31" t="str">
            <v>CTWL022</v>
          </cell>
          <cell r="E31" t="str">
            <v>Fire water line backfilling</v>
          </cell>
          <cell r="G31">
            <v>36</v>
          </cell>
          <cell r="N31">
            <v>1.5596568754873929E-2</v>
          </cell>
          <cell r="O31">
            <v>36</v>
          </cell>
          <cell r="P31">
            <v>36864</v>
          </cell>
          <cell r="Q31">
            <v>36886</v>
          </cell>
          <cell r="R31" t="str">
            <v>TANK</v>
          </cell>
          <cell r="S31" t="str">
            <v>SLUDGE HOLDING BASE</v>
          </cell>
          <cell r="T31" t="str">
            <v>EARLY DATES</v>
          </cell>
          <cell r="U31">
            <v>36864</v>
          </cell>
          <cell r="V31">
            <v>36886</v>
          </cell>
          <cell r="AB31">
            <v>0</v>
          </cell>
          <cell r="AC31">
            <v>0</v>
          </cell>
          <cell r="AD31">
            <v>0</v>
          </cell>
          <cell r="AE31">
            <v>0</v>
          </cell>
          <cell r="AF31">
            <v>0</v>
          </cell>
          <cell r="AG31">
            <v>0</v>
          </cell>
          <cell r="AH31">
            <v>0</v>
          </cell>
          <cell r="AI31">
            <v>0</v>
          </cell>
          <cell r="AJ31">
            <v>0</v>
          </cell>
          <cell r="AK31">
            <v>7.578925438591364</v>
          </cell>
          <cell r="AL31">
            <v>11.368421052631577</v>
          </cell>
          <cell r="AM31">
            <v>11.368421052631579</v>
          </cell>
          <cell r="AN31">
            <v>5.6842324561454802</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36</v>
          </cell>
          <cell r="DE31">
            <v>21</v>
          </cell>
          <cell r="DF31">
            <v>0</v>
          </cell>
          <cell r="DG31">
            <v>0</v>
          </cell>
          <cell r="DH31">
            <v>0</v>
          </cell>
          <cell r="DI31">
            <v>0</v>
          </cell>
          <cell r="DK31" t="str">
            <v>OK</v>
          </cell>
          <cell r="DM31">
            <v>0</v>
          </cell>
          <cell r="DN31">
            <v>0</v>
          </cell>
          <cell r="DO31">
            <v>0</v>
          </cell>
        </row>
        <row r="32">
          <cell r="D32" t="str">
            <v>CTWL024</v>
          </cell>
          <cell r="E32" t="str">
            <v>Electrical trenches outside excavation</v>
          </cell>
          <cell r="G32">
            <v>13</v>
          </cell>
          <cell r="N32">
            <v>5.6320942725933635E-3</v>
          </cell>
          <cell r="O32">
            <v>13</v>
          </cell>
          <cell r="P32">
            <v>36870</v>
          </cell>
          <cell r="Q32">
            <v>36886</v>
          </cell>
          <cell r="R32" t="str">
            <v>TANK</v>
          </cell>
          <cell r="S32" t="str">
            <v>TANK WATER TEST</v>
          </cell>
          <cell r="T32" t="str">
            <v>EARLY DATES</v>
          </cell>
          <cell r="U32">
            <v>36870</v>
          </cell>
          <cell r="V32">
            <v>36886</v>
          </cell>
          <cell r="AB32">
            <v>0</v>
          </cell>
          <cell r="AC32">
            <v>0</v>
          </cell>
          <cell r="AD32">
            <v>0</v>
          </cell>
          <cell r="AE32">
            <v>0</v>
          </cell>
          <cell r="AF32">
            <v>0</v>
          </cell>
          <cell r="AG32">
            <v>0</v>
          </cell>
          <cell r="AH32">
            <v>0</v>
          </cell>
          <cell r="AI32">
            <v>0</v>
          </cell>
          <cell r="AJ32">
            <v>0</v>
          </cell>
          <cell r="AK32">
            <v>0</v>
          </cell>
          <cell r="AL32">
            <v>4.6428463955001336</v>
          </cell>
          <cell r="AM32">
            <v>5.5714285714285721</v>
          </cell>
          <cell r="AN32">
            <v>2.7857250330712944</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cell r="CM32">
            <v>0</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13</v>
          </cell>
          <cell r="DE32">
            <v>22</v>
          </cell>
          <cell r="DF32">
            <v>0</v>
          </cell>
          <cell r="DG32">
            <v>0</v>
          </cell>
          <cell r="DH32">
            <v>0</v>
          </cell>
          <cell r="DI32">
            <v>0</v>
          </cell>
          <cell r="DK32" t="str">
            <v>OK</v>
          </cell>
          <cell r="DM32">
            <v>0</v>
          </cell>
          <cell r="DN32">
            <v>0</v>
          </cell>
          <cell r="DO32">
            <v>0</v>
          </cell>
        </row>
        <row r="33">
          <cell r="D33" t="str">
            <v>CTWL026</v>
          </cell>
          <cell r="E33" t="str">
            <v>Electrical trenches inside excavation</v>
          </cell>
          <cell r="G33">
            <v>36</v>
          </cell>
          <cell r="N33">
            <v>1.5596568754873929E-2</v>
          </cell>
          <cell r="O33">
            <v>36</v>
          </cell>
          <cell r="P33">
            <v>36887</v>
          </cell>
          <cell r="Q33">
            <v>36909</v>
          </cell>
          <cell r="R33" t="str">
            <v>TANK</v>
          </cell>
          <cell r="S33" t="str">
            <v>BAFFLE WALLS</v>
          </cell>
          <cell r="T33" t="str">
            <v>EARLY DATES</v>
          </cell>
          <cell r="U33">
            <v>36887</v>
          </cell>
          <cell r="V33">
            <v>36909</v>
          </cell>
          <cell r="AB33">
            <v>0</v>
          </cell>
          <cell r="AC33">
            <v>0</v>
          </cell>
          <cell r="AD33">
            <v>0</v>
          </cell>
          <cell r="AE33">
            <v>0</v>
          </cell>
          <cell r="AF33">
            <v>0</v>
          </cell>
          <cell r="AG33">
            <v>0</v>
          </cell>
          <cell r="AH33">
            <v>0</v>
          </cell>
          <cell r="AI33">
            <v>0</v>
          </cell>
          <cell r="AJ33">
            <v>0</v>
          </cell>
          <cell r="AK33">
            <v>0</v>
          </cell>
          <cell r="AL33">
            <v>0</v>
          </cell>
          <cell r="AM33">
            <v>0</v>
          </cell>
          <cell r="AN33">
            <v>3.7894517543808384</v>
          </cell>
          <cell r="AO33">
            <v>11.368421052631579</v>
          </cell>
          <cell r="AP33">
            <v>11.368421052631579</v>
          </cell>
          <cell r="AQ33">
            <v>9.4737061403560041</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Q33">
            <v>0</v>
          </cell>
          <cell r="BR33">
            <v>0</v>
          </cell>
          <cell r="BS33">
            <v>0</v>
          </cell>
          <cell r="BT33">
            <v>0</v>
          </cell>
          <cell r="BU33">
            <v>0</v>
          </cell>
          <cell r="BV33">
            <v>0</v>
          </cell>
          <cell r="BW33">
            <v>0</v>
          </cell>
          <cell r="BX33">
            <v>0</v>
          </cell>
          <cell r="BY33">
            <v>0</v>
          </cell>
          <cell r="BZ33">
            <v>0</v>
          </cell>
          <cell r="CA33">
            <v>0</v>
          </cell>
          <cell r="CB33">
            <v>0</v>
          </cell>
          <cell r="CC33">
            <v>0</v>
          </cell>
          <cell r="CD33">
            <v>0</v>
          </cell>
          <cell r="CE33">
            <v>0</v>
          </cell>
          <cell r="CF33">
            <v>0</v>
          </cell>
          <cell r="CG33">
            <v>0</v>
          </cell>
          <cell r="CH33">
            <v>0</v>
          </cell>
          <cell r="CI33">
            <v>0</v>
          </cell>
          <cell r="CJ33">
            <v>0</v>
          </cell>
          <cell r="CK33">
            <v>0</v>
          </cell>
          <cell r="CL33">
            <v>0</v>
          </cell>
          <cell r="CM33">
            <v>0</v>
          </cell>
          <cell r="CN33">
            <v>0</v>
          </cell>
          <cell r="CO33">
            <v>0</v>
          </cell>
          <cell r="CP33">
            <v>0</v>
          </cell>
          <cell r="CQ33">
            <v>0</v>
          </cell>
          <cell r="CR33">
            <v>0</v>
          </cell>
          <cell r="CS33">
            <v>0</v>
          </cell>
          <cell r="CT33">
            <v>0</v>
          </cell>
          <cell r="CU33">
            <v>0</v>
          </cell>
          <cell r="CV33">
            <v>0</v>
          </cell>
          <cell r="CW33">
            <v>0</v>
          </cell>
          <cell r="CX33">
            <v>0</v>
          </cell>
          <cell r="CY33">
            <v>0</v>
          </cell>
          <cell r="CZ33">
            <v>0</v>
          </cell>
          <cell r="DA33">
            <v>0</v>
          </cell>
          <cell r="DB33">
            <v>0</v>
          </cell>
          <cell r="DC33">
            <v>0</v>
          </cell>
          <cell r="DD33">
            <v>36</v>
          </cell>
          <cell r="DE33">
            <v>23</v>
          </cell>
          <cell r="DF33">
            <v>0</v>
          </cell>
          <cell r="DG33">
            <v>0</v>
          </cell>
          <cell r="DH33">
            <v>0</v>
          </cell>
          <cell r="DI33">
            <v>0</v>
          </cell>
          <cell r="DK33" t="str">
            <v>OK</v>
          </cell>
          <cell r="DM33">
            <v>0</v>
          </cell>
          <cell r="DN33">
            <v>0</v>
          </cell>
          <cell r="DO33">
            <v>0</v>
          </cell>
        </row>
        <row r="34">
          <cell r="D34" t="str">
            <v>CTWL028</v>
          </cell>
          <cell r="E34" t="str">
            <v>Back filling incl. Earth electrode</v>
          </cell>
          <cell r="G34">
            <v>42</v>
          </cell>
          <cell r="N34">
            <v>1.8195996880686252E-2</v>
          </cell>
          <cell r="O34">
            <v>42</v>
          </cell>
          <cell r="P34">
            <v>36895</v>
          </cell>
          <cell r="Q34">
            <v>36929</v>
          </cell>
          <cell r="R34" t="str">
            <v>TANK</v>
          </cell>
          <cell r="S34" t="str">
            <v>TANK WATER TEST</v>
          </cell>
          <cell r="T34" t="str">
            <v>EARLY DATES</v>
          </cell>
          <cell r="U34">
            <v>36895</v>
          </cell>
          <cell r="V34">
            <v>36929</v>
          </cell>
          <cell r="AB34">
            <v>0</v>
          </cell>
          <cell r="AC34">
            <v>0</v>
          </cell>
          <cell r="AD34">
            <v>0</v>
          </cell>
          <cell r="AE34">
            <v>0</v>
          </cell>
          <cell r="AF34">
            <v>0</v>
          </cell>
          <cell r="AG34">
            <v>0</v>
          </cell>
          <cell r="AH34">
            <v>0</v>
          </cell>
          <cell r="AI34">
            <v>0</v>
          </cell>
          <cell r="AJ34">
            <v>0</v>
          </cell>
          <cell r="AK34">
            <v>0</v>
          </cell>
          <cell r="AL34">
            <v>0</v>
          </cell>
          <cell r="AM34">
            <v>0</v>
          </cell>
          <cell r="AN34">
            <v>0</v>
          </cell>
          <cell r="AO34">
            <v>1.4482590996129399</v>
          </cell>
          <cell r="AP34">
            <v>8.6896551724137936</v>
          </cell>
          <cell r="AQ34">
            <v>8.6896551724137936</v>
          </cell>
          <cell r="AR34">
            <v>8.6896551724137936</v>
          </cell>
          <cell r="AS34">
            <v>8.6896551724137936</v>
          </cell>
          <cell r="AT34">
            <v>5.7931202107318853</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cell r="CC34">
            <v>0</v>
          </cell>
          <cell r="CD34">
            <v>0</v>
          </cell>
          <cell r="CE34">
            <v>0</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cell r="CU34">
            <v>0</v>
          </cell>
          <cell r="CV34">
            <v>0</v>
          </cell>
          <cell r="CW34">
            <v>0</v>
          </cell>
          <cell r="CX34">
            <v>0</v>
          </cell>
          <cell r="CY34">
            <v>0</v>
          </cell>
          <cell r="CZ34">
            <v>0</v>
          </cell>
          <cell r="DA34">
            <v>0</v>
          </cell>
          <cell r="DB34">
            <v>0</v>
          </cell>
          <cell r="DC34">
            <v>0</v>
          </cell>
          <cell r="DD34">
            <v>42</v>
          </cell>
          <cell r="DE34">
            <v>24</v>
          </cell>
          <cell r="DF34">
            <v>0</v>
          </cell>
          <cell r="DG34">
            <v>0</v>
          </cell>
          <cell r="DH34">
            <v>0</v>
          </cell>
          <cell r="DI34">
            <v>0</v>
          </cell>
          <cell r="DK34" t="str">
            <v>OK</v>
          </cell>
          <cell r="DM34">
            <v>0</v>
          </cell>
          <cell r="DN34">
            <v>0</v>
          </cell>
          <cell r="DO34">
            <v>0</v>
          </cell>
        </row>
        <row r="35">
          <cell r="D35" t="str">
            <v>CTWL030</v>
          </cell>
          <cell r="E35" t="str">
            <v>Fire alarm / Tel. In the existing trench</v>
          </cell>
          <cell r="G35">
            <v>80</v>
          </cell>
          <cell r="H35">
            <v>6</v>
          </cell>
          <cell r="I35">
            <v>10</v>
          </cell>
          <cell r="J35">
            <v>2</v>
          </cell>
          <cell r="N35">
            <v>4.2457326054934581E-2</v>
          </cell>
          <cell r="O35">
            <v>98</v>
          </cell>
          <cell r="P35">
            <v>36872</v>
          </cell>
          <cell r="Q35">
            <v>36929</v>
          </cell>
          <cell r="R35" t="str">
            <v>TANK</v>
          </cell>
          <cell r="S35" t="str">
            <v>TANK WATER TEST</v>
          </cell>
          <cell r="T35" t="str">
            <v>EARLY DATES</v>
          </cell>
          <cell r="U35">
            <v>36872</v>
          </cell>
          <cell r="V35">
            <v>36929</v>
          </cell>
          <cell r="AB35">
            <v>0</v>
          </cell>
          <cell r="AC35">
            <v>0</v>
          </cell>
          <cell r="AD35">
            <v>0</v>
          </cell>
          <cell r="AE35">
            <v>0</v>
          </cell>
          <cell r="AF35">
            <v>0</v>
          </cell>
          <cell r="AG35">
            <v>0</v>
          </cell>
          <cell r="AH35">
            <v>0</v>
          </cell>
          <cell r="AI35">
            <v>0</v>
          </cell>
          <cell r="AJ35">
            <v>0</v>
          </cell>
          <cell r="AK35">
            <v>0</v>
          </cell>
          <cell r="AL35">
            <v>5.9999768518464407</v>
          </cell>
          <cell r="AM35">
            <v>12</v>
          </cell>
          <cell r="AN35">
            <v>12</v>
          </cell>
          <cell r="AO35">
            <v>12</v>
          </cell>
          <cell r="AP35">
            <v>12</v>
          </cell>
          <cell r="AQ35">
            <v>12</v>
          </cell>
          <cell r="AR35">
            <v>12</v>
          </cell>
          <cell r="AS35">
            <v>12</v>
          </cell>
          <cell r="AT35">
            <v>8.0000231481535593</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Q35">
            <v>0</v>
          </cell>
          <cell r="BR35">
            <v>0</v>
          </cell>
          <cell r="BS35">
            <v>0</v>
          </cell>
          <cell r="BT35">
            <v>0</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cell r="CM35">
            <v>0</v>
          </cell>
          <cell r="CN35">
            <v>0</v>
          </cell>
          <cell r="CO35">
            <v>0</v>
          </cell>
          <cell r="CP35">
            <v>0</v>
          </cell>
          <cell r="CQ35">
            <v>0</v>
          </cell>
          <cell r="CR35">
            <v>0</v>
          </cell>
          <cell r="CS35">
            <v>0</v>
          </cell>
          <cell r="CT35">
            <v>0</v>
          </cell>
          <cell r="CU35">
            <v>0</v>
          </cell>
          <cell r="CV35">
            <v>0</v>
          </cell>
          <cell r="CW35">
            <v>0</v>
          </cell>
          <cell r="CX35">
            <v>0</v>
          </cell>
          <cell r="CY35">
            <v>0</v>
          </cell>
          <cell r="CZ35">
            <v>0</v>
          </cell>
          <cell r="DA35">
            <v>0</v>
          </cell>
          <cell r="DB35">
            <v>0</v>
          </cell>
          <cell r="DC35">
            <v>0</v>
          </cell>
          <cell r="DD35">
            <v>98</v>
          </cell>
          <cell r="DE35">
            <v>25</v>
          </cell>
          <cell r="DF35">
            <v>0</v>
          </cell>
          <cell r="DG35">
            <v>0</v>
          </cell>
          <cell r="DH35">
            <v>0</v>
          </cell>
          <cell r="DI35">
            <v>0</v>
          </cell>
          <cell r="DK35" t="str">
            <v>OK</v>
          </cell>
          <cell r="DM35">
            <v>0</v>
          </cell>
          <cell r="DN35">
            <v>0</v>
          </cell>
          <cell r="DO35">
            <v>0</v>
          </cell>
        </row>
        <row r="36">
          <cell r="D36" t="str">
            <v>CTWL032</v>
          </cell>
          <cell r="E36" t="str">
            <v>Protection of services / road crossing</v>
          </cell>
          <cell r="G36">
            <v>232</v>
          </cell>
          <cell r="H36">
            <v>8</v>
          </cell>
          <cell r="I36">
            <v>30</v>
          </cell>
          <cell r="J36">
            <v>10</v>
          </cell>
          <cell r="N36">
            <v>0.12130664587124167</v>
          </cell>
          <cell r="O36">
            <v>280</v>
          </cell>
          <cell r="P36">
            <v>36837</v>
          </cell>
          <cell r="Q36">
            <v>36906</v>
          </cell>
          <cell r="R36" t="str">
            <v>TANK</v>
          </cell>
          <cell r="S36" t="str">
            <v>WALK WAY</v>
          </cell>
          <cell r="T36" t="str">
            <v>EARLY DATES</v>
          </cell>
          <cell r="U36">
            <v>36837</v>
          </cell>
          <cell r="V36">
            <v>36906</v>
          </cell>
          <cell r="AB36">
            <v>0</v>
          </cell>
          <cell r="AC36">
            <v>0</v>
          </cell>
          <cell r="AD36">
            <v>0</v>
          </cell>
          <cell r="AE36">
            <v>0</v>
          </cell>
          <cell r="AF36">
            <v>0</v>
          </cell>
          <cell r="AG36">
            <v>14.237233207771215</v>
          </cell>
          <cell r="AH36">
            <v>28.474576271186439</v>
          </cell>
          <cell r="AI36">
            <v>28.474576271186443</v>
          </cell>
          <cell r="AJ36">
            <v>28.47457627118645</v>
          </cell>
          <cell r="AK36">
            <v>28.47457627118645</v>
          </cell>
          <cell r="AL36">
            <v>28.474576271186436</v>
          </cell>
          <cell r="AM36">
            <v>28.474576271186436</v>
          </cell>
          <cell r="AN36">
            <v>28.474576271186436</v>
          </cell>
          <cell r="AO36">
            <v>28.474576271186436</v>
          </cell>
          <cell r="AP36">
            <v>28.474576271186464</v>
          </cell>
          <cell r="AQ36">
            <v>9.4915803515507946</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cell r="CC36">
            <v>0</v>
          </cell>
          <cell r="CD36">
            <v>0</v>
          </cell>
          <cell r="CE36">
            <v>0</v>
          </cell>
          <cell r="CF36">
            <v>0</v>
          </cell>
          <cell r="CG36">
            <v>0</v>
          </cell>
          <cell r="CH36">
            <v>0</v>
          </cell>
          <cell r="CI36">
            <v>0</v>
          </cell>
          <cell r="CJ36">
            <v>0</v>
          </cell>
          <cell r="CK36">
            <v>0</v>
          </cell>
          <cell r="CL36">
            <v>0</v>
          </cell>
          <cell r="CM36">
            <v>0</v>
          </cell>
          <cell r="CN36">
            <v>0</v>
          </cell>
          <cell r="CO36">
            <v>0</v>
          </cell>
          <cell r="CP36">
            <v>0</v>
          </cell>
          <cell r="CQ36">
            <v>0</v>
          </cell>
          <cell r="CR36">
            <v>0</v>
          </cell>
          <cell r="CS36">
            <v>0</v>
          </cell>
          <cell r="CT36">
            <v>0</v>
          </cell>
          <cell r="CU36">
            <v>0</v>
          </cell>
          <cell r="CV36">
            <v>0</v>
          </cell>
          <cell r="CW36">
            <v>0</v>
          </cell>
          <cell r="CX36">
            <v>0</v>
          </cell>
          <cell r="CY36">
            <v>0</v>
          </cell>
          <cell r="CZ36">
            <v>0</v>
          </cell>
          <cell r="DA36">
            <v>0</v>
          </cell>
          <cell r="DB36">
            <v>0</v>
          </cell>
          <cell r="DC36">
            <v>0</v>
          </cell>
          <cell r="DD36">
            <v>280</v>
          </cell>
          <cell r="DE36">
            <v>26</v>
          </cell>
          <cell r="DF36">
            <v>0</v>
          </cell>
          <cell r="DG36">
            <v>0</v>
          </cell>
          <cell r="DH36">
            <v>0</v>
          </cell>
          <cell r="DI36">
            <v>0</v>
          </cell>
          <cell r="DK36" t="str">
            <v>OK</v>
          </cell>
          <cell r="DM36">
            <v>0</v>
          </cell>
          <cell r="DN36">
            <v>0</v>
          </cell>
          <cell r="DO36">
            <v>0</v>
          </cell>
        </row>
        <row r="37">
          <cell r="D37" t="str">
            <v>CTWL034</v>
          </cell>
          <cell r="E37" t="str">
            <v>Light pole foundation</v>
          </cell>
          <cell r="G37">
            <v>63</v>
          </cell>
          <cell r="H37">
            <v>4</v>
          </cell>
          <cell r="I37">
            <v>11</v>
          </cell>
          <cell r="J37">
            <v>7</v>
          </cell>
          <cell r="N37">
            <v>3.682523178234122E-2</v>
          </cell>
          <cell r="O37">
            <v>85</v>
          </cell>
          <cell r="P37">
            <v>36865</v>
          </cell>
          <cell r="Q37">
            <v>36893</v>
          </cell>
          <cell r="R37" t="str">
            <v>TANK</v>
          </cell>
          <cell r="S37" t="str">
            <v>LAUNDERS</v>
          </cell>
          <cell r="T37" t="str">
            <v>EARLY DATES</v>
          </cell>
          <cell r="U37">
            <v>36865</v>
          </cell>
          <cell r="V37">
            <v>36893</v>
          </cell>
          <cell r="AB37">
            <v>0</v>
          </cell>
          <cell r="AC37">
            <v>0</v>
          </cell>
          <cell r="AD37">
            <v>0</v>
          </cell>
          <cell r="AE37">
            <v>0</v>
          </cell>
          <cell r="AF37">
            <v>0</v>
          </cell>
          <cell r="AG37">
            <v>0</v>
          </cell>
          <cell r="AH37">
            <v>0</v>
          </cell>
          <cell r="AI37">
            <v>0</v>
          </cell>
          <cell r="AJ37">
            <v>0</v>
          </cell>
          <cell r="AK37">
            <v>10.624959008478072</v>
          </cell>
          <cell r="AL37">
            <v>21.25</v>
          </cell>
          <cell r="AM37">
            <v>21.25</v>
          </cell>
          <cell r="AN37">
            <v>21.25</v>
          </cell>
          <cell r="AO37">
            <v>10.625040991521928</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Q37">
            <v>0</v>
          </cell>
          <cell r="BR37">
            <v>0</v>
          </cell>
          <cell r="BS37">
            <v>0</v>
          </cell>
          <cell r="BT37">
            <v>0</v>
          </cell>
          <cell r="BU37">
            <v>0</v>
          </cell>
          <cell r="BV37">
            <v>0</v>
          </cell>
          <cell r="BW37">
            <v>0</v>
          </cell>
          <cell r="BX37">
            <v>0</v>
          </cell>
          <cell r="BY37">
            <v>0</v>
          </cell>
          <cell r="BZ37">
            <v>0</v>
          </cell>
          <cell r="CA37">
            <v>0</v>
          </cell>
          <cell r="CB37">
            <v>0</v>
          </cell>
          <cell r="CC37">
            <v>0</v>
          </cell>
          <cell r="CD37">
            <v>0</v>
          </cell>
          <cell r="CE37">
            <v>0</v>
          </cell>
          <cell r="CF37">
            <v>0</v>
          </cell>
          <cell r="CG37">
            <v>0</v>
          </cell>
          <cell r="CH37">
            <v>0</v>
          </cell>
          <cell r="CI37">
            <v>0</v>
          </cell>
          <cell r="CJ37">
            <v>0</v>
          </cell>
          <cell r="CK37">
            <v>0</v>
          </cell>
          <cell r="CL37">
            <v>0</v>
          </cell>
          <cell r="CM37">
            <v>0</v>
          </cell>
          <cell r="CN37">
            <v>0</v>
          </cell>
          <cell r="CO37">
            <v>0</v>
          </cell>
          <cell r="CP37">
            <v>0</v>
          </cell>
          <cell r="CQ37">
            <v>0</v>
          </cell>
          <cell r="CR37">
            <v>0</v>
          </cell>
          <cell r="CS37">
            <v>0</v>
          </cell>
          <cell r="CT37">
            <v>0</v>
          </cell>
          <cell r="CU37">
            <v>0</v>
          </cell>
          <cell r="CV37">
            <v>0</v>
          </cell>
          <cell r="CW37">
            <v>0</v>
          </cell>
          <cell r="CX37">
            <v>0</v>
          </cell>
          <cell r="CY37">
            <v>0</v>
          </cell>
          <cell r="CZ37">
            <v>0</v>
          </cell>
          <cell r="DA37">
            <v>0</v>
          </cell>
          <cell r="DB37">
            <v>0</v>
          </cell>
          <cell r="DC37">
            <v>0</v>
          </cell>
          <cell r="DD37">
            <v>85</v>
          </cell>
          <cell r="DE37">
            <v>27</v>
          </cell>
          <cell r="DF37">
            <v>0</v>
          </cell>
          <cell r="DG37">
            <v>0</v>
          </cell>
          <cell r="DH37">
            <v>0</v>
          </cell>
          <cell r="DI37">
            <v>0</v>
          </cell>
          <cell r="DK37" t="str">
            <v>OK</v>
          </cell>
          <cell r="DM37">
            <v>0</v>
          </cell>
          <cell r="DN37">
            <v>0</v>
          </cell>
          <cell r="DO37">
            <v>0</v>
          </cell>
        </row>
        <row r="38">
          <cell r="D38" t="str">
            <v>CTWL036</v>
          </cell>
          <cell r="E38" t="str">
            <v>Fencing works</v>
          </cell>
          <cell r="G38">
            <v>159</v>
          </cell>
          <cell r="H38">
            <v>22</v>
          </cell>
          <cell r="I38">
            <v>31</v>
          </cell>
          <cell r="J38">
            <v>3</v>
          </cell>
          <cell r="N38">
            <v>9.3146174508274851E-2</v>
          </cell>
          <cell r="O38">
            <v>215</v>
          </cell>
          <cell r="P38">
            <v>36909</v>
          </cell>
          <cell r="Q38">
            <v>36943</v>
          </cell>
          <cell r="R38" t="str">
            <v>TANK</v>
          </cell>
          <cell r="S38" t="str">
            <v>TANK WALL</v>
          </cell>
          <cell r="T38" t="str">
            <v>EARLY DATES</v>
          </cell>
          <cell r="U38">
            <v>36909</v>
          </cell>
          <cell r="V38">
            <v>36943</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7.4137072956376677</v>
          </cell>
          <cell r="AR38">
            <v>44.482758620689651</v>
          </cell>
          <cell r="AS38">
            <v>44.482758620689665</v>
          </cell>
          <cell r="AT38">
            <v>44.482758620689665</v>
          </cell>
          <cell r="AU38">
            <v>44.482758620689651</v>
          </cell>
          <cell r="AV38">
            <v>29.655258221603702</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Q38">
            <v>0</v>
          </cell>
          <cell r="BR38">
            <v>0</v>
          </cell>
          <cell r="BS38">
            <v>0</v>
          </cell>
          <cell r="BT38">
            <v>0</v>
          </cell>
          <cell r="BU38">
            <v>0</v>
          </cell>
          <cell r="BV38">
            <v>0</v>
          </cell>
          <cell r="BW38">
            <v>0</v>
          </cell>
          <cell r="BX38">
            <v>0</v>
          </cell>
          <cell r="BY38">
            <v>0</v>
          </cell>
          <cell r="BZ38">
            <v>0</v>
          </cell>
          <cell r="CA38">
            <v>0</v>
          </cell>
          <cell r="CB38">
            <v>0</v>
          </cell>
          <cell r="CC38">
            <v>0</v>
          </cell>
          <cell r="CD38">
            <v>0</v>
          </cell>
          <cell r="CE38">
            <v>0</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0</v>
          </cell>
          <cell r="CW38">
            <v>0</v>
          </cell>
          <cell r="CX38">
            <v>0</v>
          </cell>
          <cell r="CY38">
            <v>0</v>
          </cell>
          <cell r="CZ38">
            <v>0</v>
          </cell>
          <cell r="DA38">
            <v>0</v>
          </cell>
          <cell r="DB38">
            <v>0</v>
          </cell>
          <cell r="DC38">
            <v>0</v>
          </cell>
          <cell r="DD38">
            <v>215</v>
          </cell>
          <cell r="DE38">
            <v>28</v>
          </cell>
          <cell r="DF38">
            <v>0</v>
          </cell>
          <cell r="DG38">
            <v>0</v>
          </cell>
          <cell r="DH38">
            <v>0</v>
          </cell>
          <cell r="DI38">
            <v>0</v>
          </cell>
          <cell r="DK38" t="str">
            <v>OK</v>
          </cell>
          <cell r="DM38">
            <v>0</v>
          </cell>
          <cell r="DN38">
            <v>0</v>
          </cell>
          <cell r="DO38">
            <v>0</v>
          </cell>
        </row>
        <row r="39">
          <cell r="D39" t="str">
            <v>CTWL038</v>
          </cell>
          <cell r="E39" t="str">
            <v>Pasco tiling works</v>
          </cell>
          <cell r="G39">
            <v>205</v>
          </cell>
          <cell r="H39">
            <v>67</v>
          </cell>
          <cell r="I39">
            <v>41</v>
          </cell>
          <cell r="N39">
            <v>0.13560350056320944</v>
          </cell>
          <cell r="O39">
            <v>313</v>
          </cell>
          <cell r="P39">
            <v>36915</v>
          </cell>
          <cell r="Q39">
            <v>36943</v>
          </cell>
          <cell r="R39" t="str">
            <v>TANK</v>
          </cell>
          <cell r="S39" t="str">
            <v>TANK WALL COATING</v>
          </cell>
          <cell r="T39" t="str">
            <v>EARLY DATES</v>
          </cell>
          <cell r="U39">
            <v>36915</v>
          </cell>
          <cell r="V39">
            <v>36943</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26.083182388082001</v>
          </cell>
          <cell r="AS39">
            <v>78.25</v>
          </cell>
          <cell r="AT39">
            <v>78.25</v>
          </cell>
          <cell r="AU39">
            <v>78.249999999999972</v>
          </cell>
          <cell r="AV39">
            <v>52.16681761191802</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cell r="BM39">
            <v>0</v>
          </cell>
          <cell r="BN39">
            <v>0</v>
          </cell>
          <cell r="BO39">
            <v>0</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0</v>
          </cell>
          <cell r="CG39">
            <v>0</v>
          </cell>
          <cell r="CH39">
            <v>0</v>
          </cell>
          <cell r="CI39">
            <v>0</v>
          </cell>
          <cell r="CJ39">
            <v>0</v>
          </cell>
          <cell r="CK39">
            <v>0</v>
          </cell>
          <cell r="CL39">
            <v>0</v>
          </cell>
          <cell r="CM39">
            <v>0</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313</v>
          </cell>
          <cell r="DE39">
            <v>29</v>
          </cell>
          <cell r="DF39">
            <v>0</v>
          </cell>
          <cell r="DG39">
            <v>0</v>
          </cell>
          <cell r="DH39">
            <v>0</v>
          </cell>
          <cell r="DI39">
            <v>0</v>
          </cell>
          <cell r="DK39" t="str">
            <v>OK</v>
          </cell>
          <cell r="DM39">
            <v>0</v>
          </cell>
          <cell r="DN39">
            <v>0</v>
          </cell>
          <cell r="DO39">
            <v>0</v>
          </cell>
        </row>
        <row r="40">
          <cell r="D40" t="str">
            <v>CTWL040</v>
          </cell>
          <cell r="E40" t="str">
            <v>Gravel spreading</v>
          </cell>
          <cell r="G40">
            <v>14</v>
          </cell>
          <cell r="N40">
            <v>6.0653322935620832E-3</v>
          </cell>
          <cell r="O40">
            <v>14</v>
          </cell>
          <cell r="P40">
            <v>36939</v>
          </cell>
          <cell r="Q40">
            <v>36949</v>
          </cell>
          <cell r="R40" t="str">
            <v>TANK</v>
          </cell>
          <cell r="S40" t="str">
            <v>TANK HANDRAIL</v>
          </cell>
          <cell r="T40" t="str">
            <v>EARLY DATES</v>
          </cell>
          <cell r="U40">
            <v>36939</v>
          </cell>
          <cell r="V40">
            <v>36949</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9.3333153292138977</v>
          </cell>
          <cell r="AW40">
            <v>4.6666846707861023</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cell r="BM40">
            <v>0</v>
          </cell>
          <cell r="BN40">
            <v>0</v>
          </cell>
          <cell r="BO40">
            <v>0</v>
          </cell>
          <cell r="BP40">
            <v>0</v>
          </cell>
          <cell r="BQ40">
            <v>0</v>
          </cell>
          <cell r="BR40">
            <v>0</v>
          </cell>
          <cell r="BS40">
            <v>0</v>
          </cell>
          <cell r="BT40">
            <v>0</v>
          </cell>
          <cell r="BU40">
            <v>0</v>
          </cell>
          <cell r="BV40">
            <v>0</v>
          </cell>
          <cell r="BW40">
            <v>0</v>
          </cell>
          <cell r="BX40">
            <v>0</v>
          </cell>
          <cell r="BY40">
            <v>0</v>
          </cell>
          <cell r="BZ40">
            <v>0</v>
          </cell>
          <cell r="CA40">
            <v>0</v>
          </cell>
          <cell r="CB40">
            <v>0</v>
          </cell>
          <cell r="CC40">
            <v>0</v>
          </cell>
          <cell r="CD40">
            <v>0</v>
          </cell>
          <cell r="CE40">
            <v>0</v>
          </cell>
          <cell r="CF40">
            <v>0</v>
          </cell>
          <cell r="CG40">
            <v>0</v>
          </cell>
          <cell r="CH40">
            <v>0</v>
          </cell>
          <cell r="CI40">
            <v>0</v>
          </cell>
          <cell r="CJ40">
            <v>0</v>
          </cell>
          <cell r="CK40">
            <v>0</v>
          </cell>
          <cell r="CL40">
            <v>0</v>
          </cell>
          <cell r="CM40">
            <v>0</v>
          </cell>
          <cell r="CN40">
            <v>0</v>
          </cell>
          <cell r="CO40">
            <v>0</v>
          </cell>
          <cell r="CP40">
            <v>0</v>
          </cell>
          <cell r="CQ40">
            <v>0</v>
          </cell>
          <cell r="CR40">
            <v>0</v>
          </cell>
          <cell r="CS40">
            <v>0</v>
          </cell>
          <cell r="CT40">
            <v>0</v>
          </cell>
          <cell r="CU40">
            <v>0</v>
          </cell>
          <cell r="CV40">
            <v>0</v>
          </cell>
          <cell r="CW40">
            <v>0</v>
          </cell>
          <cell r="CX40">
            <v>0</v>
          </cell>
          <cell r="CY40">
            <v>0</v>
          </cell>
          <cell r="CZ40">
            <v>0</v>
          </cell>
          <cell r="DA40">
            <v>0</v>
          </cell>
          <cell r="DB40">
            <v>0</v>
          </cell>
          <cell r="DC40">
            <v>0</v>
          </cell>
          <cell r="DD40">
            <v>14</v>
          </cell>
          <cell r="DE40">
            <v>30</v>
          </cell>
          <cell r="DF40">
            <v>0</v>
          </cell>
          <cell r="DG40">
            <v>0</v>
          </cell>
          <cell r="DH40">
            <v>0</v>
          </cell>
          <cell r="DI40">
            <v>0</v>
          </cell>
          <cell r="DK40" t="str">
            <v>OK</v>
          </cell>
          <cell r="DM40">
            <v>0</v>
          </cell>
          <cell r="DN40">
            <v>0</v>
          </cell>
          <cell r="DO40">
            <v>0</v>
          </cell>
        </row>
        <row r="41">
          <cell r="D41" t="str">
            <v>CTWL042</v>
          </cell>
          <cell r="E41" t="str">
            <v>Sign board install</v>
          </cell>
          <cell r="G41">
            <v>6</v>
          </cell>
          <cell r="H41">
            <v>1</v>
          </cell>
          <cell r="N41">
            <v>3.0326661467810416E-3</v>
          </cell>
          <cell r="O41">
            <v>7</v>
          </cell>
          <cell r="P41">
            <v>36940</v>
          </cell>
          <cell r="Q41">
            <v>36950</v>
          </cell>
          <cell r="R41" t="str">
            <v>TANK</v>
          </cell>
          <cell r="S41" t="str">
            <v>TANK BACKFILL</v>
          </cell>
          <cell r="T41" t="str">
            <v>EARLY DATES</v>
          </cell>
          <cell r="U41">
            <v>36940</v>
          </cell>
          <cell r="V41">
            <v>36950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3.8888798868291712</v>
          </cell>
          <cell r="AW41">
            <v>3.1111201131708288</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cell r="BM41">
            <v>0</v>
          </cell>
          <cell r="BN41">
            <v>0</v>
          </cell>
          <cell r="BO41">
            <v>0</v>
          </cell>
          <cell r="BP41">
            <v>0</v>
          </cell>
          <cell r="BQ41">
            <v>0</v>
          </cell>
          <cell r="BR41">
            <v>0</v>
          </cell>
          <cell r="BS41">
            <v>0</v>
          </cell>
          <cell r="BT41">
            <v>0</v>
          </cell>
          <cell r="BU41">
            <v>0</v>
          </cell>
          <cell r="BV41">
            <v>0</v>
          </cell>
          <cell r="BW41">
            <v>0</v>
          </cell>
          <cell r="BX41">
            <v>0</v>
          </cell>
          <cell r="BY41">
            <v>0</v>
          </cell>
          <cell r="BZ41">
            <v>0</v>
          </cell>
          <cell r="CA41">
            <v>0</v>
          </cell>
          <cell r="CB41">
            <v>0</v>
          </cell>
          <cell r="CC41">
            <v>0</v>
          </cell>
          <cell r="CD41">
            <v>0</v>
          </cell>
          <cell r="CE41">
            <v>0</v>
          </cell>
          <cell r="CF41">
            <v>0</v>
          </cell>
          <cell r="CG41">
            <v>0</v>
          </cell>
          <cell r="CH41">
            <v>0</v>
          </cell>
          <cell r="CI41">
            <v>0</v>
          </cell>
          <cell r="CJ41">
            <v>0</v>
          </cell>
          <cell r="CK41">
            <v>0</v>
          </cell>
          <cell r="CL41">
            <v>0</v>
          </cell>
          <cell r="CM41">
            <v>0</v>
          </cell>
          <cell r="CN41">
            <v>0</v>
          </cell>
          <cell r="CO41">
            <v>0</v>
          </cell>
          <cell r="CP41">
            <v>0</v>
          </cell>
          <cell r="CQ41">
            <v>0</v>
          </cell>
          <cell r="CR41">
            <v>0</v>
          </cell>
          <cell r="CS41">
            <v>0</v>
          </cell>
          <cell r="CT41">
            <v>0</v>
          </cell>
          <cell r="CU41">
            <v>0</v>
          </cell>
          <cell r="CV41">
            <v>0</v>
          </cell>
          <cell r="CW41">
            <v>0</v>
          </cell>
          <cell r="CX41">
            <v>0</v>
          </cell>
          <cell r="CY41">
            <v>0</v>
          </cell>
          <cell r="CZ41">
            <v>0</v>
          </cell>
          <cell r="DA41">
            <v>0</v>
          </cell>
          <cell r="DB41">
            <v>0</v>
          </cell>
          <cell r="DC41">
            <v>0</v>
          </cell>
          <cell r="DD41">
            <v>7</v>
          </cell>
          <cell r="DE41">
            <v>31</v>
          </cell>
          <cell r="DF41">
            <v>0</v>
          </cell>
          <cell r="DG41">
            <v>0</v>
          </cell>
          <cell r="DH41">
            <v>0</v>
          </cell>
          <cell r="DI41">
            <v>0</v>
          </cell>
          <cell r="DK41" t="str">
            <v>OK</v>
          </cell>
          <cell r="DM41">
            <v>0</v>
          </cell>
          <cell r="DN41">
            <v>0</v>
          </cell>
          <cell r="DO41">
            <v>0</v>
          </cell>
        </row>
        <row r="42">
          <cell r="D42" t="str">
            <v>CPSB000</v>
          </cell>
          <cell r="E42" t="str">
            <v>Demolition works</v>
          </cell>
          <cell r="G42">
            <v>67</v>
          </cell>
          <cell r="H42">
            <v>4</v>
          </cell>
          <cell r="I42">
            <v>4</v>
          </cell>
          <cell r="J42">
            <v>2</v>
          </cell>
          <cell r="N42">
            <v>3.3359327614591462E-2</v>
          </cell>
          <cell r="O42">
            <v>77</v>
          </cell>
          <cell r="P42">
            <v>36901</v>
          </cell>
          <cell r="Q42">
            <v>36927</v>
          </cell>
          <cell r="R42" t="str">
            <v>PLANT ROOM</v>
          </cell>
          <cell r="S42" t="str">
            <v>PLANT FOUNDATION</v>
          </cell>
          <cell r="T42" t="str">
            <v>EARLY DATES</v>
          </cell>
          <cell r="U42">
            <v>36901</v>
          </cell>
          <cell r="V42">
            <v>36927</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6.9999594907312712</v>
          </cell>
          <cell r="AQ42">
            <v>21</v>
          </cell>
          <cell r="AR42">
            <v>21</v>
          </cell>
          <cell r="AS42">
            <v>21</v>
          </cell>
          <cell r="AT42">
            <v>7.0000405092687288</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cell r="BM42">
            <v>0</v>
          </cell>
          <cell r="BN42">
            <v>0</v>
          </cell>
          <cell r="BO42">
            <v>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77</v>
          </cell>
          <cell r="DE42">
            <v>32</v>
          </cell>
          <cell r="DF42">
            <v>0</v>
          </cell>
          <cell r="DG42">
            <v>0</v>
          </cell>
          <cell r="DH42">
            <v>0</v>
          </cell>
          <cell r="DI42">
            <v>0</v>
          </cell>
          <cell r="DK42" t="str">
            <v>OK</v>
          </cell>
          <cell r="DM42">
            <v>0</v>
          </cell>
          <cell r="DN42">
            <v>0</v>
          </cell>
          <cell r="DO42">
            <v>0</v>
          </cell>
        </row>
        <row r="43">
          <cell r="N43">
            <v>0</v>
          </cell>
          <cell r="O43">
            <v>0</v>
          </cell>
          <cell r="P43"/>
          <cell r="Q43"/>
          <cell r="R43" t="str">
            <v>PLANT ROOM</v>
          </cell>
          <cell r="S43" t="str">
            <v>PLANT FOUNDATION</v>
          </cell>
          <cell r="T43"/>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cell r="CE43">
            <v>0</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0</v>
          </cell>
          <cell r="DE43">
            <v>33</v>
          </cell>
          <cell r="DF43">
            <v>0</v>
          </cell>
          <cell r="DG43">
            <v>0</v>
          </cell>
          <cell r="DH43"/>
          <cell r="DI43">
            <v>0</v>
          </cell>
          <cell r="DK43" t="str">
            <v>OK</v>
          </cell>
          <cell r="DM43">
            <v>0</v>
          </cell>
          <cell r="DN43">
            <v>0</v>
          </cell>
          <cell r="DO43"/>
        </row>
        <row r="44">
          <cell r="N44">
            <v>0</v>
          </cell>
          <cell r="O44">
            <v>0</v>
          </cell>
          <cell r="P44"/>
          <cell r="Q44"/>
          <cell r="R44" t="str">
            <v>PLANT ROOM</v>
          </cell>
          <cell r="S44" t="str">
            <v>PLANT FOUNDATION</v>
          </cell>
          <cell r="T44"/>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34</v>
          </cell>
          <cell r="DF44">
            <v>0</v>
          </cell>
          <cell r="DG44">
            <v>0</v>
          </cell>
          <cell r="DH44"/>
          <cell r="DI44">
            <v>0</v>
          </cell>
          <cell r="DK44" t="str">
            <v>OK</v>
          </cell>
          <cell r="DM44">
            <v>0</v>
          </cell>
          <cell r="DN44">
            <v>0</v>
          </cell>
          <cell r="DO44"/>
        </row>
        <row r="45">
          <cell r="N45">
            <v>0</v>
          </cell>
          <cell r="O45">
            <v>0</v>
          </cell>
          <cell r="P45"/>
          <cell r="Q45"/>
          <cell r="R45" t="str">
            <v>PLANT ROOM</v>
          </cell>
          <cell r="S45" t="str">
            <v>PLANT FOUNDATION</v>
          </cell>
          <cell r="T45"/>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cell r="BM45">
            <v>0</v>
          </cell>
          <cell r="BN45">
            <v>0</v>
          </cell>
          <cell r="BO45">
            <v>0</v>
          </cell>
          <cell r="BP45">
            <v>0</v>
          </cell>
          <cell r="BQ45">
            <v>0</v>
          </cell>
          <cell r="BR45">
            <v>0</v>
          </cell>
          <cell r="BS45">
            <v>0</v>
          </cell>
          <cell r="BT45">
            <v>0</v>
          </cell>
          <cell r="BU45">
            <v>0</v>
          </cell>
          <cell r="BV45">
            <v>0</v>
          </cell>
          <cell r="BW45">
            <v>0</v>
          </cell>
          <cell r="BX45">
            <v>0</v>
          </cell>
          <cell r="BY45">
            <v>0</v>
          </cell>
          <cell r="BZ45">
            <v>0</v>
          </cell>
          <cell r="CA45">
            <v>0</v>
          </cell>
          <cell r="CB45">
            <v>0</v>
          </cell>
          <cell r="CC45">
            <v>0</v>
          </cell>
          <cell r="CD45">
            <v>0</v>
          </cell>
          <cell r="CE45">
            <v>0</v>
          </cell>
          <cell r="CF45">
            <v>0</v>
          </cell>
          <cell r="CG45">
            <v>0</v>
          </cell>
          <cell r="CH45">
            <v>0</v>
          </cell>
          <cell r="CI45">
            <v>0</v>
          </cell>
          <cell r="CJ45">
            <v>0</v>
          </cell>
          <cell r="CK45">
            <v>0</v>
          </cell>
          <cell r="CL45">
            <v>0</v>
          </cell>
          <cell r="CM45">
            <v>0</v>
          </cell>
          <cell r="CN45">
            <v>0</v>
          </cell>
          <cell r="CO45">
            <v>0</v>
          </cell>
          <cell r="CP45">
            <v>0</v>
          </cell>
          <cell r="CQ45">
            <v>0</v>
          </cell>
          <cell r="CR45">
            <v>0</v>
          </cell>
          <cell r="CS45">
            <v>0</v>
          </cell>
          <cell r="CT45">
            <v>0</v>
          </cell>
          <cell r="CU45">
            <v>0</v>
          </cell>
          <cell r="CV45">
            <v>0</v>
          </cell>
          <cell r="CW45">
            <v>0</v>
          </cell>
          <cell r="CX45">
            <v>0</v>
          </cell>
          <cell r="CY45">
            <v>0</v>
          </cell>
          <cell r="CZ45">
            <v>0</v>
          </cell>
          <cell r="DA45">
            <v>0</v>
          </cell>
          <cell r="DB45">
            <v>0</v>
          </cell>
          <cell r="DC45">
            <v>0</v>
          </cell>
          <cell r="DD45">
            <v>0</v>
          </cell>
          <cell r="DE45">
            <v>35</v>
          </cell>
          <cell r="DF45">
            <v>0</v>
          </cell>
          <cell r="DG45">
            <v>0</v>
          </cell>
          <cell r="DH45"/>
          <cell r="DI45">
            <v>0</v>
          </cell>
          <cell r="DK45" t="str">
            <v>OK</v>
          </cell>
          <cell r="DM45">
            <v>0</v>
          </cell>
          <cell r="DN45">
            <v>0</v>
          </cell>
          <cell r="DO45"/>
        </row>
        <row r="46">
          <cell r="N46">
            <v>0</v>
          </cell>
          <cell r="O46">
            <v>0</v>
          </cell>
          <cell r="P46"/>
          <cell r="Q46"/>
          <cell r="R46" t="str">
            <v>PLANT ROOM</v>
          </cell>
          <cell r="S46" t="str">
            <v>PLANT FOUNDATION</v>
          </cell>
          <cell r="T46"/>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cell r="BM46">
            <v>0</v>
          </cell>
          <cell r="BN46">
            <v>0</v>
          </cell>
          <cell r="BO46">
            <v>0</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cell r="CU46">
            <v>0</v>
          </cell>
          <cell r="CV46">
            <v>0</v>
          </cell>
          <cell r="CW46">
            <v>0</v>
          </cell>
          <cell r="CX46">
            <v>0</v>
          </cell>
          <cell r="CY46">
            <v>0</v>
          </cell>
          <cell r="CZ46">
            <v>0</v>
          </cell>
          <cell r="DA46">
            <v>0</v>
          </cell>
          <cell r="DB46">
            <v>0</v>
          </cell>
          <cell r="DC46">
            <v>0</v>
          </cell>
          <cell r="DD46">
            <v>0</v>
          </cell>
          <cell r="DE46">
            <v>36</v>
          </cell>
          <cell r="DF46">
            <v>0</v>
          </cell>
          <cell r="DG46">
            <v>0</v>
          </cell>
          <cell r="DH46"/>
          <cell r="DI46">
            <v>0</v>
          </cell>
          <cell r="DK46" t="str">
            <v>OK</v>
          </cell>
          <cell r="DM46">
            <v>0</v>
          </cell>
          <cell r="DN46">
            <v>0</v>
          </cell>
          <cell r="DO46"/>
        </row>
        <row r="47">
          <cell r="N47">
            <v>0</v>
          </cell>
          <cell r="O47">
            <v>0</v>
          </cell>
          <cell r="P47"/>
          <cell r="Q47"/>
          <cell r="R47" t="str">
            <v>PLANT ROOM</v>
          </cell>
          <cell r="S47" t="str">
            <v>PLANT FOUNDATION</v>
          </cell>
          <cell r="T47"/>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cell r="BM47">
            <v>0</v>
          </cell>
          <cell r="BN47">
            <v>0</v>
          </cell>
          <cell r="BO47">
            <v>0</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37</v>
          </cell>
          <cell r="DF47">
            <v>0</v>
          </cell>
          <cell r="DG47">
            <v>0</v>
          </cell>
          <cell r="DH47"/>
          <cell r="DI47">
            <v>0</v>
          </cell>
          <cell r="DK47" t="str">
            <v>OK</v>
          </cell>
          <cell r="DM47">
            <v>0</v>
          </cell>
          <cell r="DN47">
            <v>0</v>
          </cell>
          <cell r="DO47"/>
        </row>
        <row r="48">
          <cell r="N48">
            <v>0</v>
          </cell>
          <cell r="O48">
            <v>0</v>
          </cell>
          <cell r="P48"/>
          <cell r="Q48"/>
          <cell r="R48" t="str">
            <v>PLANT ROOM</v>
          </cell>
          <cell r="S48" t="str">
            <v>PLANT FOUNDATION</v>
          </cell>
          <cell r="T48"/>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38</v>
          </cell>
          <cell r="DF48">
            <v>0</v>
          </cell>
          <cell r="DG48">
            <v>0</v>
          </cell>
          <cell r="DH48"/>
          <cell r="DI48">
            <v>0</v>
          </cell>
          <cell r="DK48" t="str">
            <v>OK</v>
          </cell>
          <cell r="DM48">
            <v>0</v>
          </cell>
          <cell r="DN48">
            <v>0</v>
          </cell>
          <cell r="DO48"/>
        </row>
        <row r="49">
          <cell r="N49">
            <v>0</v>
          </cell>
          <cell r="O49">
            <v>0</v>
          </cell>
          <cell r="P49"/>
          <cell r="Q49"/>
          <cell r="R49" t="str">
            <v>PLANT ROOM</v>
          </cell>
          <cell r="S49" t="str">
            <v>PLANT FOUNDATION</v>
          </cell>
          <cell r="T49"/>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cell r="BM49">
            <v>0</v>
          </cell>
          <cell r="BN49">
            <v>0</v>
          </cell>
          <cell r="BO49">
            <v>0</v>
          </cell>
          <cell r="BP49">
            <v>0</v>
          </cell>
          <cell r="BQ49">
            <v>0</v>
          </cell>
          <cell r="BR49">
            <v>0</v>
          </cell>
          <cell r="BS49">
            <v>0</v>
          </cell>
          <cell r="BT49">
            <v>0</v>
          </cell>
          <cell r="BU49">
            <v>0</v>
          </cell>
          <cell r="BV49">
            <v>0</v>
          </cell>
          <cell r="BW49">
            <v>0</v>
          </cell>
          <cell r="BX49">
            <v>0</v>
          </cell>
          <cell r="BY49">
            <v>0</v>
          </cell>
          <cell r="BZ49">
            <v>0</v>
          </cell>
          <cell r="CA49">
            <v>0</v>
          </cell>
          <cell r="CB49">
            <v>0</v>
          </cell>
          <cell r="CC49">
            <v>0</v>
          </cell>
          <cell r="CD49">
            <v>0</v>
          </cell>
          <cell r="CE49">
            <v>0</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0</v>
          </cell>
          <cell r="DE49">
            <v>39</v>
          </cell>
          <cell r="DF49">
            <v>0</v>
          </cell>
          <cell r="DG49">
            <v>0</v>
          </cell>
          <cell r="DH49"/>
          <cell r="DI49">
            <v>0</v>
          </cell>
          <cell r="DK49" t="str">
            <v>OK</v>
          </cell>
          <cell r="DM49">
            <v>0</v>
          </cell>
          <cell r="DN49">
            <v>0</v>
          </cell>
          <cell r="DO49"/>
        </row>
        <row r="50">
          <cell r="N50">
            <v>0</v>
          </cell>
          <cell r="O50">
            <v>0</v>
          </cell>
          <cell r="P50"/>
          <cell r="Q50"/>
          <cell r="R50" t="str">
            <v>PLANT ROOM</v>
          </cell>
          <cell r="S50" t="str">
            <v>PLANT FOUNDATION</v>
          </cell>
          <cell r="T50"/>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cell r="BM50">
            <v>0</v>
          </cell>
          <cell r="BN50">
            <v>0</v>
          </cell>
          <cell r="BO50">
            <v>0</v>
          </cell>
          <cell r="BP50">
            <v>0</v>
          </cell>
          <cell r="BQ50">
            <v>0</v>
          </cell>
          <cell r="BR50">
            <v>0</v>
          </cell>
          <cell r="BS50">
            <v>0</v>
          </cell>
          <cell r="BT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cell r="CM50">
            <v>0</v>
          </cell>
          <cell r="CN50">
            <v>0</v>
          </cell>
          <cell r="CO50">
            <v>0</v>
          </cell>
          <cell r="CP50">
            <v>0</v>
          </cell>
          <cell r="CQ50">
            <v>0</v>
          </cell>
          <cell r="CR50">
            <v>0</v>
          </cell>
          <cell r="CS50">
            <v>0</v>
          </cell>
          <cell r="CT50">
            <v>0</v>
          </cell>
          <cell r="CU50">
            <v>0</v>
          </cell>
          <cell r="CV50">
            <v>0</v>
          </cell>
          <cell r="CW50">
            <v>0</v>
          </cell>
          <cell r="CX50">
            <v>0</v>
          </cell>
          <cell r="CY50">
            <v>0</v>
          </cell>
          <cell r="CZ50">
            <v>0</v>
          </cell>
          <cell r="DA50">
            <v>0</v>
          </cell>
          <cell r="DB50">
            <v>0</v>
          </cell>
          <cell r="DC50">
            <v>0</v>
          </cell>
          <cell r="DD50">
            <v>0</v>
          </cell>
          <cell r="DE50">
            <v>40</v>
          </cell>
          <cell r="DF50">
            <v>0</v>
          </cell>
          <cell r="DG50">
            <v>0</v>
          </cell>
          <cell r="DH50"/>
          <cell r="DI50">
            <v>0</v>
          </cell>
          <cell r="DK50" t="str">
            <v>OK</v>
          </cell>
          <cell r="DM50">
            <v>0</v>
          </cell>
          <cell r="DN50">
            <v>0</v>
          </cell>
          <cell r="DO50"/>
        </row>
        <row r="51">
          <cell r="N51">
            <v>0</v>
          </cell>
          <cell r="O51">
            <v>0</v>
          </cell>
          <cell r="P51"/>
          <cell r="Q51"/>
          <cell r="R51" t="str">
            <v>PLANT ROOM</v>
          </cell>
          <cell r="S51" t="str">
            <v>PLANT FOUNDATION</v>
          </cell>
          <cell r="T51"/>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cell r="BM51">
            <v>0</v>
          </cell>
          <cell r="BN51">
            <v>0</v>
          </cell>
          <cell r="BO51">
            <v>0</v>
          </cell>
          <cell r="BP51">
            <v>0</v>
          </cell>
          <cell r="BQ51">
            <v>0</v>
          </cell>
          <cell r="BR51">
            <v>0</v>
          </cell>
          <cell r="BS51">
            <v>0</v>
          </cell>
          <cell r="BT51">
            <v>0</v>
          </cell>
          <cell r="BU51">
            <v>0</v>
          </cell>
          <cell r="BV51">
            <v>0</v>
          </cell>
          <cell r="BW51">
            <v>0</v>
          </cell>
          <cell r="BX51">
            <v>0</v>
          </cell>
          <cell r="BY51">
            <v>0</v>
          </cell>
          <cell r="BZ51">
            <v>0</v>
          </cell>
          <cell r="CA51">
            <v>0</v>
          </cell>
          <cell r="CB51">
            <v>0</v>
          </cell>
          <cell r="CC51">
            <v>0</v>
          </cell>
          <cell r="CD51">
            <v>0</v>
          </cell>
          <cell r="CE51">
            <v>0</v>
          </cell>
          <cell r="CF51">
            <v>0</v>
          </cell>
          <cell r="CG51">
            <v>0</v>
          </cell>
          <cell r="CH51">
            <v>0</v>
          </cell>
          <cell r="CI51">
            <v>0</v>
          </cell>
          <cell r="CJ51">
            <v>0</v>
          </cell>
          <cell r="CK51">
            <v>0</v>
          </cell>
          <cell r="CL51">
            <v>0</v>
          </cell>
          <cell r="CM51">
            <v>0</v>
          </cell>
          <cell r="CN51">
            <v>0</v>
          </cell>
          <cell r="CO51">
            <v>0</v>
          </cell>
          <cell r="CP51">
            <v>0</v>
          </cell>
          <cell r="CQ51">
            <v>0</v>
          </cell>
          <cell r="CR51">
            <v>0</v>
          </cell>
          <cell r="CS51">
            <v>0</v>
          </cell>
          <cell r="CT51">
            <v>0</v>
          </cell>
          <cell r="CU51">
            <v>0</v>
          </cell>
          <cell r="CV51">
            <v>0</v>
          </cell>
          <cell r="CW51">
            <v>0</v>
          </cell>
          <cell r="CX51">
            <v>0</v>
          </cell>
          <cell r="CY51">
            <v>0</v>
          </cell>
          <cell r="CZ51">
            <v>0</v>
          </cell>
          <cell r="DA51">
            <v>0</v>
          </cell>
          <cell r="DB51">
            <v>0</v>
          </cell>
          <cell r="DC51">
            <v>0</v>
          </cell>
          <cell r="DD51">
            <v>0</v>
          </cell>
          <cell r="DE51">
            <v>41</v>
          </cell>
          <cell r="DF51">
            <v>0</v>
          </cell>
          <cell r="DG51">
            <v>0</v>
          </cell>
          <cell r="DH51"/>
          <cell r="DI51">
            <v>0</v>
          </cell>
          <cell r="DK51" t="str">
            <v>OK</v>
          </cell>
          <cell r="DM51">
            <v>0</v>
          </cell>
          <cell r="DN51">
            <v>0</v>
          </cell>
          <cell r="DO51"/>
        </row>
        <row r="52">
          <cell r="N52">
            <v>0</v>
          </cell>
          <cell r="O52">
            <v>0</v>
          </cell>
          <cell r="P52"/>
          <cell r="Q52"/>
          <cell r="R52" t="str">
            <v>PLANT ROOM</v>
          </cell>
          <cell r="S52" t="str">
            <v>PLANT FOUNDATION</v>
          </cell>
          <cell r="T52"/>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cell r="BM52">
            <v>0</v>
          </cell>
          <cell r="BN52">
            <v>0</v>
          </cell>
          <cell r="BO52">
            <v>0</v>
          </cell>
          <cell r="BP52">
            <v>0</v>
          </cell>
          <cell r="BQ52">
            <v>0</v>
          </cell>
          <cell r="BR52">
            <v>0</v>
          </cell>
          <cell r="BS52">
            <v>0</v>
          </cell>
          <cell r="BT52">
            <v>0</v>
          </cell>
          <cell r="BU52">
            <v>0</v>
          </cell>
          <cell r="BV52">
            <v>0</v>
          </cell>
          <cell r="BW52">
            <v>0</v>
          </cell>
          <cell r="BX52">
            <v>0</v>
          </cell>
          <cell r="BY52">
            <v>0</v>
          </cell>
          <cell r="BZ52">
            <v>0</v>
          </cell>
          <cell r="CA52">
            <v>0</v>
          </cell>
          <cell r="CB52">
            <v>0</v>
          </cell>
          <cell r="CC52">
            <v>0</v>
          </cell>
          <cell r="CD52">
            <v>0</v>
          </cell>
          <cell r="CE52">
            <v>0</v>
          </cell>
          <cell r="CF52">
            <v>0</v>
          </cell>
          <cell r="CG52">
            <v>0</v>
          </cell>
          <cell r="CH52">
            <v>0</v>
          </cell>
          <cell r="CI52">
            <v>0</v>
          </cell>
          <cell r="CJ52">
            <v>0</v>
          </cell>
          <cell r="CK52">
            <v>0</v>
          </cell>
          <cell r="CL52">
            <v>0</v>
          </cell>
          <cell r="CM52">
            <v>0</v>
          </cell>
          <cell r="CN52">
            <v>0</v>
          </cell>
          <cell r="CO52">
            <v>0</v>
          </cell>
          <cell r="CP52">
            <v>0</v>
          </cell>
          <cell r="CQ52">
            <v>0</v>
          </cell>
          <cell r="CR52">
            <v>0</v>
          </cell>
          <cell r="CS52">
            <v>0</v>
          </cell>
          <cell r="CT52">
            <v>0</v>
          </cell>
          <cell r="CU52">
            <v>0</v>
          </cell>
          <cell r="CV52">
            <v>0</v>
          </cell>
          <cell r="CW52">
            <v>0</v>
          </cell>
          <cell r="CX52">
            <v>0</v>
          </cell>
          <cell r="CY52">
            <v>0</v>
          </cell>
          <cell r="CZ52">
            <v>0</v>
          </cell>
          <cell r="DA52">
            <v>0</v>
          </cell>
          <cell r="DB52">
            <v>0</v>
          </cell>
          <cell r="DC52">
            <v>0</v>
          </cell>
          <cell r="DD52">
            <v>0</v>
          </cell>
          <cell r="DE52">
            <v>42</v>
          </cell>
          <cell r="DF52">
            <v>0</v>
          </cell>
          <cell r="DG52">
            <v>0</v>
          </cell>
          <cell r="DH52"/>
          <cell r="DI52">
            <v>0</v>
          </cell>
          <cell r="DK52" t="str">
            <v>OK</v>
          </cell>
          <cell r="DM52">
            <v>0</v>
          </cell>
          <cell r="DN52">
            <v>0</v>
          </cell>
          <cell r="DO52"/>
        </row>
        <row r="53">
          <cell r="N53">
            <v>0</v>
          </cell>
          <cell r="O53">
            <v>0</v>
          </cell>
          <cell r="P53"/>
          <cell r="Q53"/>
          <cell r="R53" t="str">
            <v>PLANT ROOM</v>
          </cell>
          <cell r="S53" t="str">
            <v>PLANT FOUNDATION</v>
          </cell>
          <cell r="T53"/>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cell r="BM53">
            <v>0</v>
          </cell>
          <cell r="BN53">
            <v>0</v>
          </cell>
          <cell r="BO53">
            <v>0</v>
          </cell>
          <cell r="BP53">
            <v>0</v>
          </cell>
          <cell r="BQ53">
            <v>0</v>
          </cell>
          <cell r="BR53">
            <v>0</v>
          </cell>
          <cell r="BS53">
            <v>0</v>
          </cell>
          <cell r="BT53">
            <v>0</v>
          </cell>
          <cell r="BU53">
            <v>0</v>
          </cell>
          <cell r="BV53">
            <v>0</v>
          </cell>
          <cell r="BW53">
            <v>0</v>
          </cell>
          <cell r="BX53">
            <v>0</v>
          </cell>
          <cell r="BY53">
            <v>0</v>
          </cell>
          <cell r="BZ53">
            <v>0</v>
          </cell>
          <cell r="CA53">
            <v>0</v>
          </cell>
          <cell r="CB53">
            <v>0</v>
          </cell>
          <cell r="CC53">
            <v>0</v>
          </cell>
          <cell r="CD53">
            <v>0</v>
          </cell>
          <cell r="CE53">
            <v>0</v>
          </cell>
          <cell r="CF53">
            <v>0</v>
          </cell>
          <cell r="CG53">
            <v>0</v>
          </cell>
          <cell r="CH53">
            <v>0</v>
          </cell>
          <cell r="CI53">
            <v>0</v>
          </cell>
          <cell r="CJ53">
            <v>0</v>
          </cell>
          <cell r="CK53">
            <v>0</v>
          </cell>
          <cell r="CL53">
            <v>0</v>
          </cell>
          <cell r="CM53">
            <v>0</v>
          </cell>
          <cell r="CN53">
            <v>0</v>
          </cell>
          <cell r="CO53">
            <v>0</v>
          </cell>
          <cell r="CP53">
            <v>0</v>
          </cell>
          <cell r="CQ53">
            <v>0</v>
          </cell>
          <cell r="CR53">
            <v>0</v>
          </cell>
          <cell r="CS53">
            <v>0</v>
          </cell>
          <cell r="CT53">
            <v>0</v>
          </cell>
          <cell r="CU53">
            <v>0</v>
          </cell>
          <cell r="CV53">
            <v>0</v>
          </cell>
          <cell r="CW53">
            <v>0</v>
          </cell>
          <cell r="CX53">
            <v>0</v>
          </cell>
          <cell r="CY53">
            <v>0</v>
          </cell>
          <cell r="CZ53">
            <v>0</v>
          </cell>
          <cell r="DA53">
            <v>0</v>
          </cell>
          <cell r="DB53">
            <v>0</v>
          </cell>
          <cell r="DC53">
            <v>0</v>
          </cell>
          <cell r="DD53">
            <v>0</v>
          </cell>
          <cell r="DE53">
            <v>43</v>
          </cell>
          <cell r="DF53">
            <v>0</v>
          </cell>
          <cell r="DG53">
            <v>0</v>
          </cell>
          <cell r="DH53"/>
          <cell r="DI53">
            <v>0</v>
          </cell>
          <cell r="DK53" t="str">
            <v>OK</v>
          </cell>
          <cell r="DM53">
            <v>0</v>
          </cell>
          <cell r="DN53">
            <v>0</v>
          </cell>
          <cell r="DO53"/>
        </row>
        <row r="54">
          <cell r="N54">
            <v>0</v>
          </cell>
          <cell r="O54">
            <v>0</v>
          </cell>
          <cell r="P54"/>
          <cell r="Q54"/>
          <cell r="R54" t="str">
            <v>PLANT ROOM</v>
          </cell>
          <cell r="S54" t="str">
            <v>PLANT FOUNDATION</v>
          </cell>
          <cell r="T54"/>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cell r="BM54">
            <v>0</v>
          </cell>
          <cell r="BN54">
            <v>0</v>
          </cell>
          <cell r="BO54">
            <v>0</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cell r="CP54">
            <v>0</v>
          </cell>
          <cell r="CQ54">
            <v>0</v>
          </cell>
          <cell r="CR54">
            <v>0</v>
          </cell>
          <cell r="CS54">
            <v>0</v>
          </cell>
          <cell r="CT54">
            <v>0</v>
          </cell>
          <cell r="CU54">
            <v>0</v>
          </cell>
          <cell r="CV54">
            <v>0</v>
          </cell>
          <cell r="CW54">
            <v>0</v>
          </cell>
          <cell r="CX54">
            <v>0</v>
          </cell>
          <cell r="CY54">
            <v>0</v>
          </cell>
          <cell r="CZ54">
            <v>0</v>
          </cell>
          <cell r="DA54">
            <v>0</v>
          </cell>
          <cell r="DB54">
            <v>0</v>
          </cell>
          <cell r="DC54">
            <v>0</v>
          </cell>
          <cell r="DD54">
            <v>0</v>
          </cell>
          <cell r="DE54">
            <v>44</v>
          </cell>
          <cell r="DF54">
            <v>0</v>
          </cell>
          <cell r="DG54">
            <v>0</v>
          </cell>
          <cell r="DH54"/>
          <cell r="DI54">
            <v>0</v>
          </cell>
          <cell r="DK54" t="str">
            <v>OK</v>
          </cell>
          <cell r="DM54">
            <v>0</v>
          </cell>
          <cell r="DN54">
            <v>0</v>
          </cell>
          <cell r="DO54"/>
        </row>
        <row r="55">
          <cell r="N55">
            <v>0</v>
          </cell>
          <cell r="O55">
            <v>0</v>
          </cell>
          <cell r="P55"/>
          <cell r="Q55"/>
          <cell r="R55" t="str">
            <v>PLANT ROOM</v>
          </cell>
          <cell r="S55" t="str">
            <v>PLANT FOUNDATION</v>
          </cell>
          <cell r="T55"/>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cell r="BM55">
            <v>0</v>
          </cell>
          <cell r="BN55">
            <v>0</v>
          </cell>
          <cell r="BO55">
            <v>0</v>
          </cell>
          <cell r="BP55">
            <v>0</v>
          </cell>
          <cell r="BQ55">
            <v>0</v>
          </cell>
          <cell r="BR55">
            <v>0</v>
          </cell>
          <cell r="BS55">
            <v>0</v>
          </cell>
          <cell r="BT55">
            <v>0</v>
          </cell>
          <cell r="BU55">
            <v>0</v>
          </cell>
          <cell r="BV55">
            <v>0</v>
          </cell>
          <cell r="BW55">
            <v>0</v>
          </cell>
          <cell r="BX55">
            <v>0</v>
          </cell>
          <cell r="BY55">
            <v>0</v>
          </cell>
          <cell r="BZ55">
            <v>0</v>
          </cell>
          <cell r="CA55">
            <v>0</v>
          </cell>
          <cell r="CB55">
            <v>0</v>
          </cell>
          <cell r="CC55">
            <v>0</v>
          </cell>
          <cell r="CD55">
            <v>0</v>
          </cell>
          <cell r="CE55">
            <v>0</v>
          </cell>
          <cell r="CF55">
            <v>0</v>
          </cell>
          <cell r="CG55">
            <v>0</v>
          </cell>
          <cell r="CH55">
            <v>0</v>
          </cell>
          <cell r="CI55">
            <v>0</v>
          </cell>
          <cell r="CJ55">
            <v>0</v>
          </cell>
          <cell r="CK55">
            <v>0</v>
          </cell>
          <cell r="CL55">
            <v>0</v>
          </cell>
          <cell r="CM55">
            <v>0</v>
          </cell>
          <cell r="CN55">
            <v>0</v>
          </cell>
          <cell r="CO55">
            <v>0</v>
          </cell>
          <cell r="CP55">
            <v>0</v>
          </cell>
          <cell r="CQ55">
            <v>0</v>
          </cell>
          <cell r="CR55">
            <v>0</v>
          </cell>
          <cell r="CS55">
            <v>0</v>
          </cell>
          <cell r="CT55">
            <v>0</v>
          </cell>
          <cell r="CU55">
            <v>0</v>
          </cell>
          <cell r="CV55">
            <v>0</v>
          </cell>
          <cell r="CW55">
            <v>0</v>
          </cell>
          <cell r="CX55">
            <v>0</v>
          </cell>
          <cell r="CY55">
            <v>0</v>
          </cell>
          <cell r="CZ55">
            <v>0</v>
          </cell>
          <cell r="DA55">
            <v>0</v>
          </cell>
          <cell r="DB55">
            <v>0</v>
          </cell>
          <cell r="DC55">
            <v>0</v>
          </cell>
          <cell r="DD55">
            <v>0</v>
          </cell>
          <cell r="DE55">
            <v>45</v>
          </cell>
          <cell r="DF55">
            <v>0</v>
          </cell>
          <cell r="DG55">
            <v>0</v>
          </cell>
          <cell r="DH55"/>
          <cell r="DI55">
            <v>0</v>
          </cell>
          <cell r="DK55" t="str">
            <v>OK</v>
          </cell>
          <cell r="DM55">
            <v>0</v>
          </cell>
          <cell r="DN55">
            <v>0</v>
          </cell>
          <cell r="DO55"/>
        </row>
        <row r="56">
          <cell r="N56">
            <v>0</v>
          </cell>
          <cell r="O56">
            <v>0</v>
          </cell>
          <cell r="P56"/>
          <cell r="Q56"/>
          <cell r="R56" t="str">
            <v>PLANT ROOM</v>
          </cell>
          <cell r="S56" t="str">
            <v>PLANT FOUNDATION</v>
          </cell>
          <cell r="T56"/>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cell r="BM56">
            <v>0</v>
          </cell>
          <cell r="BN56">
            <v>0</v>
          </cell>
          <cell r="BO56">
            <v>0</v>
          </cell>
          <cell r="BP56">
            <v>0</v>
          </cell>
          <cell r="BQ56">
            <v>0</v>
          </cell>
          <cell r="BR56">
            <v>0</v>
          </cell>
          <cell r="BS56">
            <v>0</v>
          </cell>
          <cell r="BT56">
            <v>0</v>
          </cell>
          <cell r="BU56">
            <v>0</v>
          </cell>
          <cell r="BV56">
            <v>0</v>
          </cell>
          <cell r="BW56">
            <v>0</v>
          </cell>
          <cell r="BX56">
            <v>0</v>
          </cell>
          <cell r="BY56">
            <v>0</v>
          </cell>
          <cell r="BZ56">
            <v>0</v>
          </cell>
          <cell r="CA56">
            <v>0</v>
          </cell>
          <cell r="CB56">
            <v>0</v>
          </cell>
          <cell r="CC56">
            <v>0</v>
          </cell>
          <cell r="CD56">
            <v>0</v>
          </cell>
          <cell r="CE56">
            <v>0</v>
          </cell>
          <cell r="CF56">
            <v>0</v>
          </cell>
          <cell r="CG56">
            <v>0</v>
          </cell>
          <cell r="CH56">
            <v>0</v>
          </cell>
          <cell r="CI56">
            <v>0</v>
          </cell>
          <cell r="CJ56">
            <v>0</v>
          </cell>
          <cell r="CK56">
            <v>0</v>
          </cell>
          <cell r="CL56">
            <v>0</v>
          </cell>
          <cell r="CM56">
            <v>0</v>
          </cell>
          <cell r="CN56">
            <v>0</v>
          </cell>
          <cell r="CO56">
            <v>0</v>
          </cell>
          <cell r="CP56">
            <v>0</v>
          </cell>
          <cell r="CQ56">
            <v>0</v>
          </cell>
          <cell r="CR56">
            <v>0</v>
          </cell>
          <cell r="CS56">
            <v>0</v>
          </cell>
          <cell r="CT56">
            <v>0</v>
          </cell>
          <cell r="CU56">
            <v>0</v>
          </cell>
          <cell r="CV56">
            <v>0</v>
          </cell>
          <cell r="CW56">
            <v>0</v>
          </cell>
          <cell r="CX56">
            <v>0</v>
          </cell>
          <cell r="CY56">
            <v>0</v>
          </cell>
          <cell r="CZ56">
            <v>0</v>
          </cell>
          <cell r="DA56">
            <v>0</v>
          </cell>
          <cell r="DB56">
            <v>0</v>
          </cell>
          <cell r="DC56">
            <v>0</v>
          </cell>
          <cell r="DD56">
            <v>0</v>
          </cell>
          <cell r="DE56">
            <v>46</v>
          </cell>
          <cell r="DF56">
            <v>0</v>
          </cell>
          <cell r="DG56">
            <v>0</v>
          </cell>
          <cell r="DH56"/>
          <cell r="DI56">
            <v>0</v>
          </cell>
          <cell r="DK56" t="str">
            <v>OK</v>
          </cell>
          <cell r="DM56">
            <v>0</v>
          </cell>
          <cell r="DN56">
            <v>0</v>
          </cell>
          <cell r="DO56"/>
        </row>
        <row r="57">
          <cell r="N57">
            <v>0</v>
          </cell>
          <cell r="O57">
            <v>0</v>
          </cell>
          <cell r="P57"/>
          <cell r="Q57"/>
          <cell r="R57" t="str">
            <v>PLANT ROOM</v>
          </cell>
          <cell r="S57" t="str">
            <v>PLANT SUPER STRUCT</v>
          </cell>
          <cell r="T57"/>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cell r="BM57">
            <v>0</v>
          </cell>
          <cell r="BN57">
            <v>0</v>
          </cell>
          <cell r="BO57">
            <v>0</v>
          </cell>
          <cell r="BP57">
            <v>0</v>
          </cell>
          <cell r="BQ57">
            <v>0</v>
          </cell>
          <cell r="BR57">
            <v>0</v>
          </cell>
          <cell r="BS57">
            <v>0</v>
          </cell>
          <cell r="BT57">
            <v>0</v>
          </cell>
          <cell r="BU57">
            <v>0</v>
          </cell>
          <cell r="BV57">
            <v>0</v>
          </cell>
          <cell r="BW57">
            <v>0</v>
          </cell>
          <cell r="BX57">
            <v>0</v>
          </cell>
          <cell r="BY57">
            <v>0</v>
          </cell>
          <cell r="BZ57">
            <v>0</v>
          </cell>
          <cell r="CA57">
            <v>0</v>
          </cell>
          <cell r="CB57">
            <v>0</v>
          </cell>
          <cell r="CC57">
            <v>0</v>
          </cell>
          <cell r="CD57">
            <v>0</v>
          </cell>
          <cell r="CE57">
            <v>0</v>
          </cell>
          <cell r="CF57">
            <v>0</v>
          </cell>
          <cell r="CG57">
            <v>0</v>
          </cell>
          <cell r="CH57">
            <v>0</v>
          </cell>
          <cell r="CI57">
            <v>0</v>
          </cell>
          <cell r="CJ57">
            <v>0</v>
          </cell>
          <cell r="CK57">
            <v>0</v>
          </cell>
          <cell r="CL57">
            <v>0</v>
          </cell>
          <cell r="CM57">
            <v>0</v>
          </cell>
          <cell r="CN57">
            <v>0</v>
          </cell>
          <cell r="CO57">
            <v>0</v>
          </cell>
          <cell r="CP57">
            <v>0</v>
          </cell>
          <cell r="CQ57">
            <v>0</v>
          </cell>
          <cell r="CR57">
            <v>0</v>
          </cell>
          <cell r="CS57">
            <v>0</v>
          </cell>
          <cell r="CT57">
            <v>0</v>
          </cell>
          <cell r="CU57">
            <v>0</v>
          </cell>
          <cell r="CV57">
            <v>0</v>
          </cell>
          <cell r="CW57">
            <v>0</v>
          </cell>
          <cell r="CX57">
            <v>0</v>
          </cell>
          <cell r="CY57">
            <v>0</v>
          </cell>
          <cell r="CZ57">
            <v>0</v>
          </cell>
          <cell r="DA57">
            <v>0</v>
          </cell>
          <cell r="DB57">
            <v>0</v>
          </cell>
          <cell r="DC57">
            <v>0</v>
          </cell>
          <cell r="DD57">
            <v>0</v>
          </cell>
          <cell r="DE57">
            <v>47</v>
          </cell>
          <cell r="DF57">
            <v>0</v>
          </cell>
          <cell r="DG57">
            <v>0</v>
          </cell>
          <cell r="DH57"/>
          <cell r="DI57">
            <v>0</v>
          </cell>
          <cell r="DK57" t="str">
            <v>OK</v>
          </cell>
          <cell r="DM57">
            <v>0</v>
          </cell>
          <cell r="DN57">
            <v>0</v>
          </cell>
          <cell r="DO57"/>
        </row>
        <row r="58">
          <cell r="N58">
            <v>0</v>
          </cell>
          <cell r="O58">
            <v>0</v>
          </cell>
          <cell r="P58"/>
          <cell r="Q58"/>
          <cell r="R58" t="str">
            <v>PLANT ROOM</v>
          </cell>
          <cell r="S58" t="str">
            <v>PLANT SUPER STRUCT</v>
          </cell>
          <cell r="T58"/>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48</v>
          </cell>
          <cell r="DF58">
            <v>0</v>
          </cell>
          <cell r="DG58">
            <v>0</v>
          </cell>
          <cell r="DH58"/>
          <cell r="DI58">
            <v>0</v>
          </cell>
          <cell r="DK58" t="str">
            <v>OK</v>
          </cell>
          <cell r="DM58">
            <v>0</v>
          </cell>
          <cell r="DN58">
            <v>0</v>
          </cell>
          <cell r="DO58"/>
        </row>
        <row r="59">
          <cell r="N59">
            <v>0</v>
          </cell>
          <cell r="O59">
            <v>0</v>
          </cell>
          <cell r="P59"/>
          <cell r="Q59"/>
          <cell r="R59" t="str">
            <v>PLANT ROOM</v>
          </cell>
          <cell r="S59" t="str">
            <v>PLANT SUPER STRUCT</v>
          </cell>
          <cell r="T59"/>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49</v>
          </cell>
          <cell r="DF59">
            <v>0</v>
          </cell>
          <cell r="DG59">
            <v>0</v>
          </cell>
          <cell r="DH59"/>
          <cell r="DI59">
            <v>0</v>
          </cell>
          <cell r="DK59" t="str">
            <v>OK</v>
          </cell>
          <cell r="DM59">
            <v>0</v>
          </cell>
          <cell r="DN59">
            <v>0</v>
          </cell>
          <cell r="DO59"/>
        </row>
        <row r="60">
          <cell r="N60">
            <v>0</v>
          </cell>
          <cell r="O60">
            <v>0</v>
          </cell>
          <cell r="P60"/>
          <cell r="Q60"/>
          <cell r="R60" t="str">
            <v>PLANT ROOM</v>
          </cell>
          <cell r="S60" t="str">
            <v>PLANT SUPER STRUCT</v>
          </cell>
          <cell r="T60"/>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50</v>
          </cell>
          <cell r="DF60">
            <v>0</v>
          </cell>
          <cell r="DG60">
            <v>0</v>
          </cell>
          <cell r="DH60"/>
          <cell r="DI60">
            <v>0</v>
          </cell>
          <cell r="DK60" t="str">
            <v>OK</v>
          </cell>
          <cell r="DM60">
            <v>0</v>
          </cell>
          <cell r="DN60">
            <v>0</v>
          </cell>
          <cell r="DO60"/>
        </row>
        <row r="61">
          <cell r="N61">
            <v>0</v>
          </cell>
          <cell r="O61">
            <v>0</v>
          </cell>
          <cell r="P61"/>
          <cell r="Q61"/>
          <cell r="R61" t="str">
            <v>PLANT ROOM</v>
          </cell>
          <cell r="S61" t="str">
            <v>PLANT SUPER STRUCT</v>
          </cell>
          <cell r="T61"/>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51</v>
          </cell>
          <cell r="DF61">
            <v>0</v>
          </cell>
          <cell r="DG61">
            <v>0</v>
          </cell>
          <cell r="DH61"/>
          <cell r="DI61">
            <v>0</v>
          </cell>
          <cell r="DK61" t="str">
            <v>OK</v>
          </cell>
          <cell r="DM61">
            <v>0</v>
          </cell>
          <cell r="DN61">
            <v>0</v>
          </cell>
          <cell r="DO61"/>
        </row>
        <row r="62">
          <cell r="N62">
            <v>0</v>
          </cell>
          <cell r="O62">
            <v>0</v>
          </cell>
          <cell r="P62"/>
          <cell r="Q62"/>
          <cell r="R62" t="str">
            <v>PLANT ROOM</v>
          </cell>
          <cell r="S62" t="str">
            <v>PLANT FINISHINGS</v>
          </cell>
          <cell r="T62"/>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52</v>
          </cell>
          <cell r="DF62">
            <v>0</v>
          </cell>
          <cell r="DG62">
            <v>0</v>
          </cell>
          <cell r="DH62"/>
          <cell r="DI62">
            <v>0</v>
          </cell>
          <cell r="DK62" t="str">
            <v>OK</v>
          </cell>
          <cell r="DM62">
            <v>0</v>
          </cell>
          <cell r="DN62">
            <v>0</v>
          </cell>
          <cell r="DO62"/>
        </row>
        <row r="63">
          <cell r="N63">
            <v>0</v>
          </cell>
          <cell r="O63">
            <v>0</v>
          </cell>
          <cell r="P63"/>
          <cell r="Q63"/>
          <cell r="R63" t="str">
            <v>PLANT ROOM</v>
          </cell>
          <cell r="S63" t="str">
            <v>PLANT FINISHINGS</v>
          </cell>
          <cell r="T63"/>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53</v>
          </cell>
          <cell r="DF63">
            <v>0</v>
          </cell>
          <cell r="DG63">
            <v>0</v>
          </cell>
          <cell r="DH63"/>
          <cell r="DI63">
            <v>0</v>
          </cell>
          <cell r="DK63" t="str">
            <v>OK</v>
          </cell>
          <cell r="DM63">
            <v>0</v>
          </cell>
          <cell r="DN63">
            <v>0</v>
          </cell>
          <cell r="DO63"/>
        </row>
        <row r="64">
          <cell r="N64">
            <v>0</v>
          </cell>
          <cell r="O64">
            <v>0</v>
          </cell>
          <cell r="P64"/>
          <cell r="Q64"/>
          <cell r="R64" t="str">
            <v>PLANT ROOM</v>
          </cell>
          <cell r="S64" t="str">
            <v>PLANT FINISHINGS</v>
          </cell>
          <cell r="T64"/>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cell r="BM64">
            <v>0</v>
          </cell>
          <cell r="BN64">
            <v>0</v>
          </cell>
          <cell r="BO64">
            <v>0</v>
          </cell>
          <cell r="BP64">
            <v>0</v>
          </cell>
          <cell r="BQ64">
            <v>0</v>
          </cell>
          <cell r="BR64">
            <v>0</v>
          </cell>
          <cell r="BS64">
            <v>0</v>
          </cell>
          <cell r="BT64">
            <v>0</v>
          </cell>
          <cell r="BU64">
            <v>0</v>
          </cell>
          <cell r="BV64">
            <v>0</v>
          </cell>
          <cell r="BW64">
            <v>0</v>
          </cell>
          <cell r="BX64">
            <v>0</v>
          </cell>
          <cell r="BY64">
            <v>0</v>
          </cell>
          <cell r="BZ64">
            <v>0</v>
          </cell>
          <cell r="CA64">
            <v>0</v>
          </cell>
          <cell r="CB64">
            <v>0</v>
          </cell>
          <cell r="CC64">
            <v>0</v>
          </cell>
          <cell r="CD64">
            <v>0</v>
          </cell>
          <cell r="CE64">
            <v>0</v>
          </cell>
          <cell r="CF64">
            <v>0</v>
          </cell>
          <cell r="CG64">
            <v>0</v>
          </cell>
          <cell r="CH64">
            <v>0</v>
          </cell>
          <cell r="CI64">
            <v>0</v>
          </cell>
          <cell r="CJ64">
            <v>0</v>
          </cell>
          <cell r="CK64">
            <v>0</v>
          </cell>
          <cell r="CL64">
            <v>0</v>
          </cell>
          <cell r="CM64">
            <v>0</v>
          </cell>
          <cell r="CN64">
            <v>0</v>
          </cell>
          <cell r="CO64">
            <v>0</v>
          </cell>
          <cell r="CP64">
            <v>0</v>
          </cell>
          <cell r="CQ64">
            <v>0</v>
          </cell>
          <cell r="CR64">
            <v>0</v>
          </cell>
          <cell r="CS64">
            <v>0</v>
          </cell>
          <cell r="CT64">
            <v>0</v>
          </cell>
          <cell r="CU64">
            <v>0</v>
          </cell>
          <cell r="CV64">
            <v>0</v>
          </cell>
          <cell r="CW64">
            <v>0</v>
          </cell>
          <cell r="CX64">
            <v>0</v>
          </cell>
          <cell r="CY64">
            <v>0</v>
          </cell>
          <cell r="CZ64">
            <v>0</v>
          </cell>
          <cell r="DA64">
            <v>0</v>
          </cell>
          <cell r="DB64">
            <v>0</v>
          </cell>
          <cell r="DC64">
            <v>0</v>
          </cell>
          <cell r="DD64">
            <v>0</v>
          </cell>
          <cell r="DE64">
            <v>54</v>
          </cell>
          <cell r="DF64">
            <v>0</v>
          </cell>
          <cell r="DG64">
            <v>0</v>
          </cell>
          <cell r="DH64"/>
          <cell r="DI64">
            <v>0</v>
          </cell>
          <cell r="DK64" t="str">
            <v>OK</v>
          </cell>
          <cell r="DM64">
            <v>0</v>
          </cell>
          <cell r="DN64">
            <v>0</v>
          </cell>
          <cell r="DO64"/>
        </row>
        <row r="65">
          <cell r="N65">
            <v>0</v>
          </cell>
          <cell r="O65">
            <v>0</v>
          </cell>
          <cell r="P65"/>
          <cell r="Q65"/>
          <cell r="R65" t="str">
            <v>PLANT ROOM</v>
          </cell>
          <cell r="S65" t="str">
            <v>PLANT FINISHINGS</v>
          </cell>
          <cell r="T65"/>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cell r="BM65">
            <v>0</v>
          </cell>
          <cell r="BN65">
            <v>0</v>
          </cell>
          <cell r="BO65">
            <v>0</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cell r="CG65">
            <v>0</v>
          </cell>
          <cell r="CH65">
            <v>0</v>
          </cell>
          <cell r="CI65">
            <v>0</v>
          </cell>
          <cell r="CJ65">
            <v>0</v>
          </cell>
          <cell r="CK65">
            <v>0</v>
          </cell>
          <cell r="CL65">
            <v>0</v>
          </cell>
          <cell r="CM65">
            <v>0</v>
          </cell>
          <cell r="CN65">
            <v>0</v>
          </cell>
          <cell r="CO65">
            <v>0</v>
          </cell>
          <cell r="CP65">
            <v>0</v>
          </cell>
          <cell r="CQ65">
            <v>0</v>
          </cell>
          <cell r="CR65">
            <v>0</v>
          </cell>
          <cell r="CS65">
            <v>0</v>
          </cell>
          <cell r="CT65">
            <v>0</v>
          </cell>
          <cell r="CU65">
            <v>0</v>
          </cell>
          <cell r="CV65">
            <v>0</v>
          </cell>
          <cell r="CW65">
            <v>0</v>
          </cell>
          <cell r="CX65">
            <v>0</v>
          </cell>
          <cell r="CY65">
            <v>0</v>
          </cell>
          <cell r="CZ65">
            <v>0</v>
          </cell>
          <cell r="DA65">
            <v>0</v>
          </cell>
          <cell r="DB65">
            <v>0</v>
          </cell>
          <cell r="DC65">
            <v>0</v>
          </cell>
          <cell r="DD65">
            <v>0</v>
          </cell>
          <cell r="DE65">
            <v>55</v>
          </cell>
          <cell r="DF65">
            <v>0</v>
          </cell>
          <cell r="DG65">
            <v>0</v>
          </cell>
          <cell r="DH65"/>
          <cell r="DI65">
            <v>0</v>
          </cell>
          <cell r="DK65" t="str">
            <v>OK</v>
          </cell>
          <cell r="DM65">
            <v>0</v>
          </cell>
          <cell r="DN65">
            <v>0</v>
          </cell>
          <cell r="DO65"/>
        </row>
        <row r="66">
          <cell r="N66">
            <v>0</v>
          </cell>
          <cell r="O66">
            <v>0</v>
          </cell>
          <cell r="P66"/>
          <cell r="Q66"/>
          <cell r="R66" t="str">
            <v>PLANT ROOM</v>
          </cell>
          <cell r="S66" t="str">
            <v>PLANT FINISHINGS</v>
          </cell>
          <cell r="T66"/>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cell r="BM66">
            <v>0</v>
          </cell>
          <cell r="BN66">
            <v>0</v>
          </cell>
          <cell r="BO66">
            <v>0</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0</v>
          </cell>
          <cell r="CG66">
            <v>0</v>
          </cell>
          <cell r="CH66">
            <v>0</v>
          </cell>
          <cell r="CI66">
            <v>0</v>
          </cell>
          <cell r="CJ66">
            <v>0</v>
          </cell>
          <cell r="CK66">
            <v>0</v>
          </cell>
          <cell r="CL66">
            <v>0</v>
          </cell>
          <cell r="CM66">
            <v>0</v>
          </cell>
          <cell r="CN66">
            <v>0</v>
          </cell>
          <cell r="CO66">
            <v>0</v>
          </cell>
          <cell r="CP66">
            <v>0</v>
          </cell>
          <cell r="CQ66">
            <v>0</v>
          </cell>
          <cell r="CR66">
            <v>0</v>
          </cell>
          <cell r="CS66">
            <v>0</v>
          </cell>
          <cell r="CT66">
            <v>0</v>
          </cell>
          <cell r="CU66">
            <v>0</v>
          </cell>
          <cell r="CV66">
            <v>0</v>
          </cell>
          <cell r="CW66">
            <v>0</v>
          </cell>
          <cell r="CX66">
            <v>0</v>
          </cell>
          <cell r="CY66">
            <v>0</v>
          </cell>
          <cell r="CZ66">
            <v>0</v>
          </cell>
          <cell r="DA66">
            <v>0</v>
          </cell>
          <cell r="DB66">
            <v>0</v>
          </cell>
          <cell r="DC66">
            <v>0</v>
          </cell>
          <cell r="DD66">
            <v>0</v>
          </cell>
          <cell r="DE66">
            <v>56</v>
          </cell>
          <cell r="DF66">
            <v>0</v>
          </cell>
          <cell r="DG66">
            <v>0</v>
          </cell>
          <cell r="DH66"/>
          <cell r="DI66">
            <v>0</v>
          </cell>
          <cell r="DK66" t="str">
            <v>OK</v>
          </cell>
          <cell r="DM66">
            <v>0</v>
          </cell>
          <cell r="DN66">
            <v>0</v>
          </cell>
          <cell r="DO66"/>
        </row>
        <row r="67">
          <cell r="N67">
            <v>0</v>
          </cell>
          <cell r="O67">
            <v>0</v>
          </cell>
          <cell r="P67"/>
          <cell r="Q67"/>
          <cell r="R67" t="str">
            <v>PLANT ROOM</v>
          </cell>
          <cell r="S67" t="str">
            <v>PLANT FINISHINGS</v>
          </cell>
          <cell r="T67"/>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cell r="BM67">
            <v>0</v>
          </cell>
          <cell r="BN67">
            <v>0</v>
          </cell>
          <cell r="BO67">
            <v>0</v>
          </cell>
          <cell r="BP67">
            <v>0</v>
          </cell>
          <cell r="BQ67">
            <v>0</v>
          </cell>
          <cell r="BR67">
            <v>0</v>
          </cell>
          <cell r="BS67">
            <v>0</v>
          </cell>
          <cell r="BT67">
            <v>0</v>
          </cell>
          <cell r="BU67">
            <v>0</v>
          </cell>
          <cell r="BV67">
            <v>0</v>
          </cell>
          <cell r="BW67">
            <v>0</v>
          </cell>
          <cell r="BX67">
            <v>0</v>
          </cell>
          <cell r="BY67">
            <v>0</v>
          </cell>
          <cell r="BZ67">
            <v>0</v>
          </cell>
          <cell r="CA67">
            <v>0</v>
          </cell>
          <cell r="CB67">
            <v>0</v>
          </cell>
          <cell r="CC67">
            <v>0</v>
          </cell>
          <cell r="CD67">
            <v>0</v>
          </cell>
          <cell r="CE67">
            <v>0</v>
          </cell>
          <cell r="CF67">
            <v>0</v>
          </cell>
          <cell r="CG67">
            <v>0</v>
          </cell>
          <cell r="CH67">
            <v>0</v>
          </cell>
          <cell r="CI67">
            <v>0</v>
          </cell>
          <cell r="CJ67">
            <v>0</v>
          </cell>
          <cell r="CK67">
            <v>0</v>
          </cell>
          <cell r="CL67">
            <v>0</v>
          </cell>
          <cell r="CM67">
            <v>0</v>
          </cell>
          <cell r="CN67">
            <v>0</v>
          </cell>
          <cell r="CO67">
            <v>0</v>
          </cell>
          <cell r="CP67">
            <v>0</v>
          </cell>
          <cell r="CQ67">
            <v>0</v>
          </cell>
          <cell r="CR67">
            <v>0</v>
          </cell>
          <cell r="CS67">
            <v>0</v>
          </cell>
          <cell r="CT67">
            <v>0</v>
          </cell>
          <cell r="CU67">
            <v>0</v>
          </cell>
          <cell r="CV67">
            <v>0</v>
          </cell>
          <cell r="CW67">
            <v>0</v>
          </cell>
          <cell r="CX67">
            <v>0</v>
          </cell>
          <cell r="CY67">
            <v>0</v>
          </cell>
          <cell r="CZ67">
            <v>0</v>
          </cell>
          <cell r="DA67">
            <v>0</v>
          </cell>
          <cell r="DB67">
            <v>0</v>
          </cell>
          <cell r="DC67">
            <v>0</v>
          </cell>
          <cell r="DD67">
            <v>0</v>
          </cell>
          <cell r="DE67">
            <v>57</v>
          </cell>
          <cell r="DF67">
            <v>0</v>
          </cell>
          <cell r="DG67">
            <v>0</v>
          </cell>
          <cell r="DH67"/>
          <cell r="DI67">
            <v>0</v>
          </cell>
          <cell r="DK67" t="str">
            <v>OK</v>
          </cell>
          <cell r="DM67">
            <v>0</v>
          </cell>
          <cell r="DN67">
            <v>0</v>
          </cell>
          <cell r="DO67"/>
        </row>
        <row r="68">
          <cell r="N68">
            <v>0</v>
          </cell>
          <cell r="O68">
            <v>0</v>
          </cell>
          <cell r="P68"/>
          <cell r="Q68"/>
          <cell r="R68" t="str">
            <v>PLANT ROOM</v>
          </cell>
          <cell r="S68" t="str">
            <v>PLANT FINISHINGS</v>
          </cell>
          <cell r="T68"/>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cell r="BM68">
            <v>0</v>
          </cell>
          <cell r="BN68">
            <v>0</v>
          </cell>
          <cell r="BO68">
            <v>0</v>
          </cell>
          <cell r="BP68">
            <v>0</v>
          </cell>
          <cell r="BQ68">
            <v>0</v>
          </cell>
          <cell r="BR68">
            <v>0</v>
          </cell>
          <cell r="BS68">
            <v>0</v>
          </cell>
          <cell r="BT68">
            <v>0</v>
          </cell>
          <cell r="BU68">
            <v>0</v>
          </cell>
          <cell r="BV68">
            <v>0</v>
          </cell>
          <cell r="BW68">
            <v>0</v>
          </cell>
          <cell r="BX68">
            <v>0</v>
          </cell>
          <cell r="BY68">
            <v>0</v>
          </cell>
          <cell r="BZ68">
            <v>0</v>
          </cell>
          <cell r="CA68">
            <v>0</v>
          </cell>
          <cell r="CB68">
            <v>0</v>
          </cell>
          <cell r="CC68">
            <v>0</v>
          </cell>
          <cell r="CD68">
            <v>0</v>
          </cell>
          <cell r="CE68">
            <v>0</v>
          </cell>
          <cell r="CF68">
            <v>0</v>
          </cell>
          <cell r="CG68">
            <v>0</v>
          </cell>
          <cell r="CH68">
            <v>0</v>
          </cell>
          <cell r="CI68">
            <v>0</v>
          </cell>
          <cell r="CJ68">
            <v>0</v>
          </cell>
          <cell r="CK68">
            <v>0</v>
          </cell>
          <cell r="CL68">
            <v>0</v>
          </cell>
          <cell r="CM68">
            <v>0</v>
          </cell>
          <cell r="CN68">
            <v>0</v>
          </cell>
          <cell r="CO68">
            <v>0</v>
          </cell>
          <cell r="CP68">
            <v>0</v>
          </cell>
          <cell r="CQ68">
            <v>0</v>
          </cell>
          <cell r="CR68">
            <v>0</v>
          </cell>
          <cell r="CS68">
            <v>0</v>
          </cell>
          <cell r="CT68">
            <v>0</v>
          </cell>
          <cell r="CU68">
            <v>0</v>
          </cell>
          <cell r="CV68">
            <v>0</v>
          </cell>
          <cell r="CW68">
            <v>0</v>
          </cell>
          <cell r="CX68">
            <v>0</v>
          </cell>
          <cell r="CY68">
            <v>0</v>
          </cell>
          <cell r="CZ68">
            <v>0</v>
          </cell>
          <cell r="DA68">
            <v>0</v>
          </cell>
          <cell r="DB68">
            <v>0</v>
          </cell>
          <cell r="DC68">
            <v>0</v>
          </cell>
          <cell r="DD68">
            <v>0</v>
          </cell>
          <cell r="DE68">
            <v>58</v>
          </cell>
          <cell r="DF68">
            <v>0</v>
          </cell>
          <cell r="DG68">
            <v>0</v>
          </cell>
          <cell r="DH68"/>
          <cell r="DI68">
            <v>0</v>
          </cell>
          <cell r="DK68" t="str">
            <v>OK</v>
          </cell>
          <cell r="DM68">
            <v>0</v>
          </cell>
          <cell r="DN68">
            <v>0</v>
          </cell>
          <cell r="DO68"/>
        </row>
        <row r="69">
          <cell r="N69">
            <v>0</v>
          </cell>
          <cell r="O69">
            <v>0</v>
          </cell>
          <cell r="P69"/>
          <cell r="Q69"/>
          <cell r="R69" t="str">
            <v>PLANT ROOM</v>
          </cell>
          <cell r="S69" t="str">
            <v>PLANT FINISHINGS</v>
          </cell>
          <cell r="T69"/>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cell r="BM69">
            <v>0</v>
          </cell>
          <cell r="BN69">
            <v>0</v>
          </cell>
          <cell r="BO69">
            <v>0</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0</v>
          </cell>
          <cell r="CQ69">
            <v>0</v>
          </cell>
          <cell r="CR69">
            <v>0</v>
          </cell>
          <cell r="CS69">
            <v>0</v>
          </cell>
          <cell r="CT69">
            <v>0</v>
          </cell>
          <cell r="CU69">
            <v>0</v>
          </cell>
          <cell r="CV69">
            <v>0</v>
          </cell>
          <cell r="CW69">
            <v>0</v>
          </cell>
          <cell r="CX69">
            <v>0</v>
          </cell>
          <cell r="CY69">
            <v>0</v>
          </cell>
          <cell r="CZ69">
            <v>0</v>
          </cell>
          <cell r="DA69">
            <v>0</v>
          </cell>
          <cell r="DB69">
            <v>0</v>
          </cell>
          <cell r="DC69">
            <v>0</v>
          </cell>
          <cell r="DD69">
            <v>0</v>
          </cell>
          <cell r="DE69">
            <v>59</v>
          </cell>
          <cell r="DF69">
            <v>0</v>
          </cell>
          <cell r="DG69">
            <v>0</v>
          </cell>
          <cell r="DH69"/>
          <cell r="DI69">
            <v>0</v>
          </cell>
          <cell r="DK69" t="str">
            <v>OK</v>
          </cell>
          <cell r="DM69">
            <v>0</v>
          </cell>
          <cell r="DN69">
            <v>0</v>
          </cell>
          <cell r="DO69"/>
        </row>
        <row r="70">
          <cell r="N70">
            <v>0</v>
          </cell>
          <cell r="O70">
            <v>0</v>
          </cell>
          <cell r="P70"/>
          <cell r="Q70"/>
          <cell r="R70" t="str">
            <v>PLANT ROOM</v>
          </cell>
          <cell r="S70" t="str">
            <v>PLANT FINISHINGS</v>
          </cell>
          <cell r="T70"/>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cell r="BM70">
            <v>0</v>
          </cell>
          <cell r="BN70">
            <v>0</v>
          </cell>
          <cell r="BO70">
            <v>0</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0</v>
          </cell>
          <cell r="CO70">
            <v>0</v>
          </cell>
          <cell r="CP70">
            <v>0</v>
          </cell>
          <cell r="CQ70">
            <v>0</v>
          </cell>
          <cell r="CR70">
            <v>0</v>
          </cell>
          <cell r="CS70">
            <v>0</v>
          </cell>
          <cell r="CT70">
            <v>0</v>
          </cell>
          <cell r="CU70">
            <v>0</v>
          </cell>
          <cell r="CV70">
            <v>0</v>
          </cell>
          <cell r="CW70">
            <v>0</v>
          </cell>
          <cell r="CX70">
            <v>0</v>
          </cell>
          <cell r="CY70">
            <v>0</v>
          </cell>
          <cell r="CZ70">
            <v>0</v>
          </cell>
          <cell r="DA70">
            <v>0</v>
          </cell>
          <cell r="DB70">
            <v>0</v>
          </cell>
          <cell r="DC70">
            <v>0</v>
          </cell>
          <cell r="DD70">
            <v>0</v>
          </cell>
          <cell r="DE70">
            <v>60</v>
          </cell>
          <cell r="DF70">
            <v>0</v>
          </cell>
          <cell r="DG70">
            <v>0</v>
          </cell>
          <cell r="DH70"/>
          <cell r="DI70">
            <v>0</v>
          </cell>
          <cell r="DK70" t="str">
            <v>OK</v>
          </cell>
          <cell r="DM70">
            <v>0</v>
          </cell>
          <cell r="DN70">
            <v>0</v>
          </cell>
          <cell r="DO70"/>
        </row>
        <row r="71">
          <cell r="N71">
            <v>0</v>
          </cell>
          <cell r="O71">
            <v>0</v>
          </cell>
          <cell r="P71"/>
          <cell r="Q71"/>
          <cell r="R71" t="str">
            <v>PLANT ROOM</v>
          </cell>
          <cell r="S71" t="str">
            <v>PLANT FINISHINGS</v>
          </cell>
          <cell r="T71"/>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cell r="BM71">
            <v>0</v>
          </cell>
          <cell r="BN71">
            <v>0</v>
          </cell>
          <cell r="BO71">
            <v>0</v>
          </cell>
          <cell r="BP71">
            <v>0</v>
          </cell>
          <cell r="BQ71">
            <v>0</v>
          </cell>
          <cell r="BR71">
            <v>0</v>
          </cell>
          <cell r="BS71">
            <v>0</v>
          </cell>
          <cell r="BT71">
            <v>0</v>
          </cell>
          <cell r="BU71">
            <v>0</v>
          </cell>
          <cell r="BV71">
            <v>0</v>
          </cell>
          <cell r="BW71">
            <v>0</v>
          </cell>
          <cell r="BX71">
            <v>0</v>
          </cell>
          <cell r="BY71">
            <v>0</v>
          </cell>
          <cell r="BZ71">
            <v>0</v>
          </cell>
          <cell r="CA71">
            <v>0</v>
          </cell>
          <cell r="CB71">
            <v>0</v>
          </cell>
          <cell r="CC71">
            <v>0</v>
          </cell>
          <cell r="CD71">
            <v>0</v>
          </cell>
          <cell r="CE71">
            <v>0</v>
          </cell>
          <cell r="CF71">
            <v>0</v>
          </cell>
          <cell r="CG71">
            <v>0</v>
          </cell>
          <cell r="CH71">
            <v>0</v>
          </cell>
          <cell r="CI71">
            <v>0</v>
          </cell>
          <cell r="CJ71">
            <v>0</v>
          </cell>
          <cell r="CK71">
            <v>0</v>
          </cell>
          <cell r="CL71">
            <v>0</v>
          </cell>
          <cell r="CM71">
            <v>0</v>
          </cell>
          <cell r="CN71">
            <v>0</v>
          </cell>
          <cell r="CO71">
            <v>0</v>
          </cell>
          <cell r="CP71">
            <v>0</v>
          </cell>
          <cell r="CQ71">
            <v>0</v>
          </cell>
          <cell r="CR71">
            <v>0</v>
          </cell>
          <cell r="CS71">
            <v>0</v>
          </cell>
          <cell r="CT71">
            <v>0</v>
          </cell>
          <cell r="CU71">
            <v>0</v>
          </cell>
          <cell r="CV71">
            <v>0</v>
          </cell>
          <cell r="CW71">
            <v>0</v>
          </cell>
          <cell r="CX71">
            <v>0</v>
          </cell>
          <cell r="CY71">
            <v>0</v>
          </cell>
          <cell r="CZ71">
            <v>0</v>
          </cell>
          <cell r="DA71">
            <v>0</v>
          </cell>
          <cell r="DB71">
            <v>0</v>
          </cell>
          <cell r="DC71">
            <v>0</v>
          </cell>
          <cell r="DD71">
            <v>0</v>
          </cell>
          <cell r="DE71">
            <v>61</v>
          </cell>
          <cell r="DF71">
            <v>0</v>
          </cell>
          <cell r="DG71">
            <v>0</v>
          </cell>
          <cell r="DH71"/>
          <cell r="DI71">
            <v>0</v>
          </cell>
          <cell r="DK71" t="str">
            <v>OK</v>
          </cell>
          <cell r="DM71">
            <v>0</v>
          </cell>
          <cell r="DN71">
            <v>0</v>
          </cell>
          <cell r="DO71"/>
        </row>
        <row r="72">
          <cell r="N72">
            <v>0</v>
          </cell>
          <cell r="O72">
            <v>0</v>
          </cell>
          <cell r="P72"/>
          <cell r="Q72"/>
          <cell r="R72" t="str">
            <v>PLANT ROOM</v>
          </cell>
          <cell r="S72" t="str">
            <v>PLANT FINISHINGS</v>
          </cell>
          <cell r="T72"/>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cell r="BM72">
            <v>0</v>
          </cell>
          <cell r="BN72">
            <v>0</v>
          </cell>
          <cell r="BO72">
            <v>0</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CO72">
            <v>0</v>
          </cell>
          <cell r="CP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62</v>
          </cell>
          <cell r="DF72">
            <v>0</v>
          </cell>
          <cell r="DG72">
            <v>0</v>
          </cell>
          <cell r="DH72"/>
          <cell r="DI72">
            <v>0</v>
          </cell>
          <cell r="DK72" t="str">
            <v>OK</v>
          </cell>
          <cell r="DM72">
            <v>0</v>
          </cell>
          <cell r="DN72">
            <v>0</v>
          </cell>
          <cell r="DO72"/>
        </row>
        <row r="73">
          <cell r="N73">
            <v>0</v>
          </cell>
          <cell r="O73">
            <v>0</v>
          </cell>
          <cell r="P73"/>
          <cell r="Q73"/>
          <cell r="R73" t="str">
            <v>PLANT ROOM</v>
          </cell>
          <cell r="S73" t="str">
            <v>PLANT FINISHINGS</v>
          </cell>
          <cell r="T73"/>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cell r="BM73">
            <v>0</v>
          </cell>
          <cell r="BN73">
            <v>0</v>
          </cell>
          <cell r="BO73">
            <v>0</v>
          </cell>
          <cell r="BP73">
            <v>0</v>
          </cell>
          <cell r="BQ73">
            <v>0</v>
          </cell>
          <cell r="BR73">
            <v>0</v>
          </cell>
          <cell r="BS73">
            <v>0</v>
          </cell>
          <cell r="BT73">
            <v>0</v>
          </cell>
          <cell r="BU73">
            <v>0</v>
          </cell>
          <cell r="BV73">
            <v>0</v>
          </cell>
          <cell r="BW73">
            <v>0</v>
          </cell>
          <cell r="BX73">
            <v>0</v>
          </cell>
          <cell r="BY73">
            <v>0</v>
          </cell>
          <cell r="BZ73">
            <v>0</v>
          </cell>
          <cell r="CA73">
            <v>0</v>
          </cell>
          <cell r="CB73">
            <v>0</v>
          </cell>
          <cell r="CC73">
            <v>0</v>
          </cell>
          <cell r="CD73">
            <v>0</v>
          </cell>
          <cell r="CE73">
            <v>0</v>
          </cell>
          <cell r="CF73">
            <v>0</v>
          </cell>
          <cell r="CG73">
            <v>0</v>
          </cell>
          <cell r="CH73">
            <v>0</v>
          </cell>
          <cell r="CI73">
            <v>0</v>
          </cell>
          <cell r="CJ73">
            <v>0</v>
          </cell>
          <cell r="CK73">
            <v>0</v>
          </cell>
          <cell r="CL73">
            <v>0</v>
          </cell>
          <cell r="CM73">
            <v>0</v>
          </cell>
          <cell r="CN73">
            <v>0</v>
          </cell>
          <cell r="CO73">
            <v>0</v>
          </cell>
          <cell r="CP73">
            <v>0</v>
          </cell>
          <cell r="CQ73">
            <v>0</v>
          </cell>
          <cell r="CR73">
            <v>0</v>
          </cell>
          <cell r="CS73">
            <v>0</v>
          </cell>
          <cell r="CT73">
            <v>0</v>
          </cell>
          <cell r="CU73">
            <v>0</v>
          </cell>
          <cell r="CV73">
            <v>0</v>
          </cell>
          <cell r="CW73">
            <v>0</v>
          </cell>
          <cell r="CX73">
            <v>0</v>
          </cell>
          <cell r="CY73">
            <v>0</v>
          </cell>
          <cell r="CZ73">
            <v>0</v>
          </cell>
          <cell r="DA73">
            <v>0</v>
          </cell>
          <cell r="DB73">
            <v>0</v>
          </cell>
          <cell r="DC73">
            <v>0</v>
          </cell>
          <cell r="DD73">
            <v>0</v>
          </cell>
          <cell r="DE73">
            <v>63</v>
          </cell>
          <cell r="DF73">
            <v>0</v>
          </cell>
          <cell r="DG73">
            <v>0</v>
          </cell>
          <cell r="DH73"/>
          <cell r="DI73">
            <v>0</v>
          </cell>
          <cell r="DK73" t="str">
            <v>OK</v>
          </cell>
          <cell r="DM73">
            <v>0</v>
          </cell>
          <cell r="DN73">
            <v>0</v>
          </cell>
          <cell r="DO73"/>
        </row>
        <row r="74">
          <cell r="N74">
            <v>0</v>
          </cell>
          <cell r="O74">
            <v>0</v>
          </cell>
          <cell r="P74"/>
          <cell r="Q74"/>
          <cell r="R74" t="str">
            <v>PLANT ROOM</v>
          </cell>
          <cell r="S74" t="str">
            <v>PLANT FINISHINGS</v>
          </cell>
          <cell r="T74"/>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cell r="BM74">
            <v>0</v>
          </cell>
          <cell r="BN74">
            <v>0</v>
          </cell>
          <cell r="BO74">
            <v>0</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cell r="CE74">
            <v>0</v>
          </cell>
          <cell r="CF74">
            <v>0</v>
          </cell>
          <cell r="CG74">
            <v>0</v>
          </cell>
          <cell r="CH74">
            <v>0</v>
          </cell>
          <cell r="CI74">
            <v>0</v>
          </cell>
          <cell r="CJ74">
            <v>0</v>
          </cell>
          <cell r="CK74">
            <v>0</v>
          </cell>
          <cell r="CL74">
            <v>0</v>
          </cell>
          <cell r="CM74">
            <v>0</v>
          </cell>
          <cell r="CN74">
            <v>0</v>
          </cell>
          <cell r="CO74">
            <v>0</v>
          </cell>
          <cell r="CP74">
            <v>0</v>
          </cell>
          <cell r="CQ74">
            <v>0</v>
          </cell>
          <cell r="CR74">
            <v>0</v>
          </cell>
          <cell r="CS74">
            <v>0</v>
          </cell>
          <cell r="CT74">
            <v>0</v>
          </cell>
          <cell r="CU74">
            <v>0</v>
          </cell>
          <cell r="CV74">
            <v>0</v>
          </cell>
          <cell r="CW74">
            <v>0</v>
          </cell>
          <cell r="CX74">
            <v>0</v>
          </cell>
          <cell r="CY74">
            <v>0</v>
          </cell>
          <cell r="CZ74">
            <v>0</v>
          </cell>
          <cell r="DA74">
            <v>0</v>
          </cell>
          <cell r="DB74">
            <v>0</v>
          </cell>
          <cell r="DC74">
            <v>0</v>
          </cell>
          <cell r="DD74">
            <v>0</v>
          </cell>
          <cell r="DE74">
            <v>64</v>
          </cell>
          <cell r="DF74">
            <v>0</v>
          </cell>
          <cell r="DG74">
            <v>0</v>
          </cell>
          <cell r="DH74"/>
          <cell r="DI74">
            <v>0</v>
          </cell>
          <cell r="DK74" t="str">
            <v>OK</v>
          </cell>
          <cell r="DM74">
            <v>0</v>
          </cell>
          <cell r="DN74">
            <v>0</v>
          </cell>
          <cell r="DO74"/>
        </row>
        <row r="75">
          <cell r="N75">
            <v>0</v>
          </cell>
          <cell r="O75">
            <v>0</v>
          </cell>
          <cell r="P75"/>
          <cell r="Q75"/>
          <cell r="R75" t="str">
            <v>SLUDGE DRYING BED</v>
          </cell>
          <cell r="S75" t="str">
            <v>SLDGE BASE</v>
          </cell>
          <cell r="T75"/>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cell r="BM75">
            <v>0</v>
          </cell>
          <cell r="BN75">
            <v>0</v>
          </cell>
          <cell r="BO75">
            <v>0</v>
          </cell>
          <cell r="BP75">
            <v>0</v>
          </cell>
          <cell r="BQ75">
            <v>0</v>
          </cell>
          <cell r="BR75">
            <v>0</v>
          </cell>
          <cell r="BS75">
            <v>0</v>
          </cell>
          <cell r="BT75">
            <v>0</v>
          </cell>
          <cell r="BU75">
            <v>0</v>
          </cell>
          <cell r="BV75">
            <v>0</v>
          </cell>
          <cell r="BW75">
            <v>0</v>
          </cell>
          <cell r="BX75">
            <v>0</v>
          </cell>
          <cell r="BY75">
            <v>0</v>
          </cell>
          <cell r="BZ75">
            <v>0</v>
          </cell>
          <cell r="CA75">
            <v>0</v>
          </cell>
          <cell r="CB75">
            <v>0</v>
          </cell>
          <cell r="CC75">
            <v>0</v>
          </cell>
          <cell r="CD75">
            <v>0</v>
          </cell>
          <cell r="CE75">
            <v>0</v>
          </cell>
          <cell r="CF75">
            <v>0</v>
          </cell>
          <cell r="CG75">
            <v>0</v>
          </cell>
          <cell r="CH75">
            <v>0</v>
          </cell>
          <cell r="CI75">
            <v>0</v>
          </cell>
          <cell r="CJ75">
            <v>0</v>
          </cell>
          <cell r="CK75">
            <v>0</v>
          </cell>
          <cell r="CL75">
            <v>0</v>
          </cell>
          <cell r="CM75">
            <v>0</v>
          </cell>
          <cell r="CN75">
            <v>0</v>
          </cell>
          <cell r="CO75">
            <v>0</v>
          </cell>
          <cell r="CP75">
            <v>0</v>
          </cell>
          <cell r="CQ75">
            <v>0</v>
          </cell>
          <cell r="CR75">
            <v>0</v>
          </cell>
          <cell r="CS75">
            <v>0</v>
          </cell>
          <cell r="CT75">
            <v>0</v>
          </cell>
          <cell r="CU75">
            <v>0</v>
          </cell>
          <cell r="CV75">
            <v>0</v>
          </cell>
          <cell r="CW75">
            <v>0</v>
          </cell>
          <cell r="CX75">
            <v>0</v>
          </cell>
          <cell r="CY75">
            <v>0</v>
          </cell>
          <cell r="CZ75">
            <v>0</v>
          </cell>
          <cell r="DA75">
            <v>0</v>
          </cell>
          <cell r="DB75">
            <v>0</v>
          </cell>
          <cell r="DC75">
            <v>0</v>
          </cell>
          <cell r="DD75">
            <v>0</v>
          </cell>
          <cell r="DE75">
            <v>65</v>
          </cell>
          <cell r="DF75">
            <v>0</v>
          </cell>
          <cell r="DG75">
            <v>0</v>
          </cell>
          <cell r="DH75"/>
          <cell r="DI75">
            <v>0</v>
          </cell>
          <cell r="DK75" t="str">
            <v>OK</v>
          </cell>
          <cell r="DM75">
            <v>0</v>
          </cell>
          <cell r="DN75">
            <v>0</v>
          </cell>
          <cell r="DO75"/>
        </row>
        <row r="76">
          <cell r="N76">
            <v>0</v>
          </cell>
          <cell r="O76">
            <v>0</v>
          </cell>
          <cell r="P76"/>
          <cell r="Q76"/>
          <cell r="R76" t="str">
            <v>SLUDGE DRYING BED</v>
          </cell>
          <cell r="S76" t="str">
            <v>SLDGE BASE</v>
          </cell>
          <cell r="T76"/>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cell r="BM76">
            <v>0</v>
          </cell>
          <cell r="BN76">
            <v>0</v>
          </cell>
          <cell r="BO76">
            <v>0</v>
          </cell>
          <cell r="BP76">
            <v>0</v>
          </cell>
          <cell r="BQ76">
            <v>0</v>
          </cell>
          <cell r="BR76">
            <v>0</v>
          </cell>
          <cell r="BS76">
            <v>0</v>
          </cell>
          <cell r="BT76">
            <v>0</v>
          </cell>
          <cell r="BU76">
            <v>0</v>
          </cell>
          <cell r="BV76">
            <v>0</v>
          </cell>
          <cell r="BW76">
            <v>0</v>
          </cell>
          <cell r="BX76">
            <v>0</v>
          </cell>
          <cell r="BY76">
            <v>0</v>
          </cell>
          <cell r="BZ76">
            <v>0</v>
          </cell>
          <cell r="CA76">
            <v>0</v>
          </cell>
          <cell r="CB76">
            <v>0</v>
          </cell>
          <cell r="CC76">
            <v>0</v>
          </cell>
          <cell r="CD76">
            <v>0</v>
          </cell>
          <cell r="CE76">
            <v>0</v>
          </cell>
          <cell r="CF76">
            <v>0</v>
          </cell>
          <cell r="CG76">
            <v>0</v>
          </cell>
          <cell r="CH76">
            <v>0</v>
          </cell>
          <cell r="CI76">
            <v>0</v>
          </cell>
          <cell r="CJ76">
            <v>0</v>
          </cell>
          <cell r="CK76">
            <v>0</v>
          </cell>
          <cell r="CL76">
            <v>0</v>
          </cell>
          <cell r="CM76">
            <v>0</v>
          </cell>
          <cell r="CN76">
            <v>0</v>
          </cell>
          <cell r="CO76">
            <v>0</v>
          </cell>
          <cell r="CP76">
            <v>0</v>
          </cell>
          <cell r="CQ76">
            <v>0</v>
          </cell>
          <cell r="CR76">
            <v>0</v>
          </cell>
          <cell r="CS76">
            <v>0</v>
          </cell>
          <cell r="CT76">
            <v>0</v>
          </cell>
          <cell r="CU76">
            <v>0</v>
          </cell>
          <cell r="CV76">
            <v>0</v>
          </cell>
          <cell r="CW76">
            <v>0</v>
          </cell>
          <cell r="CX76">
            <v>0</v>
          </cell>
          <cell r="CY76">
            <v>0</v>
          </cell>
          <cell r="CZ76">
            <v>0</v>
          </cell>
          <cell r="DA76">
            <v>0</v>
          </cell>
          <cell r="DB76">
            <v>0</v>
          </cell>
          <cell r="DC76">
            <v>0</v>
          </cell>
          <cell r="DD76">
            <v>0</v>
          </cell>
          <cell r="DE76">
            <v>66</v>
          </cell>
          <cell r="DF76">
            <v>0</v>
          </cell>
          <cell r="DG76">
            <v>0</v>
          </cell>
          <cell r="DH76"/>
          <cell r="DI76">
            <v>0</v>
          </cell>
          <cell r="DK76" t="str">
            <v>OK</v>
          </cell>
          <cell r="DM76">
            <v>0</v>
          </cell>
          <cell r="DN76">
            <v>0</v>
          </cell>
          <cell r="DO76"/>
        </row>
        <row r="77">
          <cell r="N77">
            <v>0</v>
          </cell>
          <cell r="O77">
            <v>0</v>
          </cell>
          <cell r="P77"/>
          <cell r="Q77"/>
          <cell r="R77" t="str">
            <v>SLUDGE DRYING BED</v>
          </cell>
          <cell r="S77" t="str">
            <v>SLDGE BASE</v>
          </cell>
          <cell r="T77"/>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cell r="BM77">
            <v>0</v>
          </cell>
          <cell r="BN77">
            <v>0</v>
          </cell>
          <cell r="BO77">
            <v>0</v>
          </cell>
          <cell r="BP77">
            <v>0</v>
          </cell>
          <cell r="BQ77">
            <v>0</v>
          </cell>
          <cell r="BR77">
            <v>0</v>
          </cell>
          <cell r="BS77">
            <v>0</v>
          </cell>
          <cell r="BT77">
            <v>0</v>
          </cell>
          <cell r="BU77">
            <v>0</v>
          </cell>
          <cell r="BV77">
            <v>0</v>
          </cell>
          <cell r="BW77">
            <v>0</v>
          </cell>
          <cell r="BX77">
            <v>0</v>
          </cell>
          <cell r="BY77">
            <v>0</v>
          </cell>
          <cell r="BZ77">
            <v>0</v>
          </cell>
          <cell r="CA77">
            <v>0</v>
          </cell>
          <cell r="CB77">
            <v>0</v>
          </cell>
          <cell r="CC77">
            <v>0</v>
          </cell>
          <cell r="CD77">
            <v>0</v>
          </cell>
          <cell r="CE77">
            <v>0</v>
          </cell>
          <cell r="CF77">
            <v>0</v>
          </cell>
          <cell r="CG77">
            <v>0</v>
          </cell>
          <cell r="CH77">
            <v>0</v>
          </cell>
          <cell r="CI77">
            <v>0</v>
          </cell>
          <cell r="CJ77">
            <v>0</v>
          </cell>
          <cell r="CK77">
            <v>0</v>
          </cell>
          <cell r="CL77">
            <v>0</v>
          </cell>
          <cell r="CM77">
            <v>0</v>
          </cell>
          <cell r="CN77">
            <v>0</v>
          </cell>
          <cell r="CO77">
            <v>0</v>
          </cell>
          <cell r="CP77">
            <v>0</v>
          </cell>
          <cell r="CQ77">
            <v>0</v>
          </cell>
          <cell r="CR77">
            <v>0</v>
          </cell>
          <cell r="CS77">
            <v>0</v>
          </cell>
          <cell r="CT77">
            <v>0</v>
          </cell>
          <cell r="CU77">
            <v>0</v>
          </cell>
          <cell r="CV77">
            <v>0</v>
          </cell>
          <cell r="CW77">
            <v>0</v>
          </cell>
          <cell r="CX77">
            <v>0</v>
          </cell>
          <cell r="CY77">
            <v>0</v>
          </cell>
          <cell r="CZ77">
            <v>0</v>
          </cell>
          <cell r="DA77">
            <v>0</v>
          </cell>
          <cell r="DB77">
            <v>0</v>
          </cell>
          <cell r="DC77">
            <v>0</v>
          </cell>
          <cell r="DD77">
            <v>0</v>
          </cell>
          <cell r="DE77">
            <v>67</v>
          </cell>
          <cell r="DF77">
            <v>0</v>
          </cell>
          <cell r="DG77">
            <v>0</v>
          </cell>
          <cell r="DH77"/>
          <cell r="DI77">
            <v>0</v>
          </cell>
          <cell r="DK77" t="str">
            <v>OK</v>
          </cell>
          <cell r="DM77">
            <v>0</v>
          </cell>
          <cell r="DN77">
            <v>0</v>
          </cell>
          <cell r="DO77"/>
        </row>
        <row r="78">
          <cell r="N78">
            <v>0</v>
          </cell>
          <cell r="O78">
            <v>0</v>
          </cell>
          <cell r="P78"/>
          <cell r="Q78"/>
          <cell r="R78" t="str">
            <v>SLUDGE DRYING BED</v>
          </cell>
          <cell r="S78" t="str">
            <v>SLDGE WALL</v>
          </cell>
          <cell r="T78"/>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cell r="BM78">
            <v>0</v>
          </cell>
          <cell r="BN78">
            <v>0</v>
          </cell>
          <cell r="BO78">
            <v>0</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F78">
            <v>0</v>
          </cell>
          <cell r="CG78">
            <v>0</v>
          </cell>
          <cell r="CH78">
            <v>0</v>
          </cell>
          <cell r="CI78">
            <v>0</v>
          </cell>
          <cell r="CJ78">
            <v>0</v>
          </cell>
          <cell r="CK78">
            <v>0</v>
          </cell>
          <cell r="CL78">
            <v>0</v>
          </cell>
          <cell r="CM78">
            <v>0</v>
          </cell>
          <cell r="CN78">
            <v>0</v>
          </cell>
          <cell r="CO78">
            <v>0</v>
          </cell>
          <cell r="CP78">
            <v>0</v>
          </cell>
          <cell r="CQ78">
            <v>0</v>
          </cell>
          <cell r="CR78">
            <v>0</v>
          </cell>
          <cell r="CS78">
            <v>0</v>
          </cell>
          <cell r="CT78">
            <v>0</v>
          </cell>
          <cell r="CU78">
            <v>0</v>
          </cell>
          <cell r="CV78">
            <v>0</v>
          </cell>
          <cell r="CW78">
            <v>0</v>
          </cell>
          <cell r="CX78">
            <v>0</v>
          </cell>
          <cell r="CY78">
            <v>0</v>
          </cell>
          <cell r="CZ78">
            <v>0</v>
          </cell>
          <cell r="DA78">
            <v>0</v>
          </cell>
          <cell r="DB78">
            <v>0</v>
          </cell>
          <cell r="DC78">
            <v>0</v>
          </cell>
          <cell r="DD78">
            <v>0</v>
          </cell>
          <cell r="DE78">
            <v>68</v>
          </cell>
          <cell r="DF78">
            <v>0</v>
          </cell>
          <cell r="DG78">
            <v>0</v>
          </cell>
          <cell r="DH78"/>
          <cell r="DI78">
            <v>0</v>
          </cell>
          <cell r="DK78" t="str">
            <v>OK</v>
          </cell>
          <cell r="DM78">
            <v>0</v>
          </cell>
          <cell r="DN78">
            <v>0</v>
          </cell>
          <cell r="DO78"/>
        </row>
        <row r="79">
          <cell r="N79">
            <v>0</v>
          </cell>
          <cell r="O79">
            <v>0</v>
          </cell>
          <cell r="P79"/>
          <cell r="Q79"/>
          <cell r="R79" t="str">
            <v>SLUDGE DRYING BED</v>
          </cell>
          <cell r="S79" t="str">
            <v>SLUDGE DRAIN</v>
          </cell>
          <cell r="T79"/>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cell r="BM79">
            <v>0</v>
          </cell>
          <cell r="BN79">
            <v>0</v>
          </cell>
          <cell r="BO79">
            <v>0</v>
          </cell>
          <cell r="BP79">
            <v>0</v>
          </cell>
          <cell r="BQ79">
            <v>0</v>
          </cell>
          <cell r="BR79">
            <v>0</v>
          </cell>
          <cell r="BS79">
            <v>0</v>
          </cell>
          <cell r="BT79">
            <v>0</v>
          </cell>
          <cell r="BU79">
            <v>0</v>
          </cell>
          <cell r="BV79">
            <v>0</v>
          </cell>
          <cell r="BW79">
            <v>0</v>
          </cell>
          <cell r="BX79">
            <v>0</v>
          </cell>
          <cell r="BY79">
            <v>0</v>
          </cell>
          <cell r="BZ79">
            <v>0</v>
          </cell>
          <cell r="CA79">
            <v>0</v>
          </cell>
          <cell r="CB79">
            <v>0</v>
          </cell>
          <cell r="CC79">
            <v>0</v>
          </cell>
          <cell r="CD79">
            <v>0</v>
          </cell>
          <cell r="CE79">
            <v>0</v>
          </cell>
          <cell r="CF79">
            <v>0</v>
          </cell>
          <cell r="CG79">
            <v>0</v>
          </cell>
          <cell r="CH79">
            <v>0</v>
          </cell>
          <cell r="CI79">
            <v>0</v>
          </cell>
          <cell r="CJ79">
            <v>0</v>
          </cell>
          <cell r="CK79">
            <v>0</v>
          </cell>
          <cell r="CL79">
            <v>0</v>
          </cell>
          <cell r="CM79">
            <v>0</v>
          </cell>
          <cell r="CN79">
            <v>0</v>
          </cell>
          <cell r="CO79">
            <v>0</v>
          </cell>
          <cell r="CP79">
            <v>0</v>
          </cell>
          <cell r="CQ79">
            <v>0</v>
          </cell>
          <cell r="CR79">
            <v>0</v>
          </cell>
          <cell r="CS79">
            <v>0</v>
          </cell>
          <cell r="CT79">
            <v>0</v>
          </cell>
          <cell r="CU79">
            <v>0</v>
          </cell>
          <cell r="CV79">
            <v>0</v>
          </cell>
          <cell r="CW79">
            <v>0</v>
          </cell>
          <cell r="CX79">
            <v>0</v>
          </cell>
          <cell r="CY79">
            <v>0</v>
          </cell>
          <cell r="CZ79">
            <v>0</v>
          </cell>
          <cell r="DA79">
            <v>0</v>
          </cell>
          <cell r="DB79">
            <v>0</v>
          </cell>
          <cell r="DC79">
            <v>0</v>
          </cell>
          <cell r="DD79">
            <v>0</v>
          </cell>
          <cell r="DE79">
            <v>69</v>
          </cell>
          <cell r="DF79">
            <v>0</v>
          </cell>
          <cell r="DG79">
            <v>0</v>
          </cell>
          <cell r="DH79"/>
          <cell r="DI79">
            <v>0</v>
          </cell>
          <cell r="DK79" t="str">
            <v>OK</v>
          </cell>
          <cell r="DM79">
            <v>0</v>
          </cell>
          <cell r="DN79">
            <v>0</v>
          </cell>
          <cell r="DO79"/>
        </row>
        <row r="80">
          <cell r="N80">
            <v>0</v>
          </cell>
          <cell r="O80">
            <v>0</v>
          </cell>
          <cell r="P80"/>
          <cell r="Q80"/>
          <cell r="R80" t="str">
            <v>SLUDGE DRYING BED</v>
          </cell>
          <cell r="S80" t="str">
            <v>SLUDGE COATING</v>
          </cell>
          <cell r="T80"/>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cell r="BM80">
            <v>0</v>
          </cell>
          <cell r="BN80">
            <v>0</v>
          </cell>
          <cell r="BO80">
            <v>0</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0</v>
          </cell>
          <cell r="CP80">
            <v>0</v>
          </cell>
          <cell r="CQ80">
            <v>0</v>
          </cell>
          <cell r="CR80">
            <v>0</v>
          </cell>
          <cell r="CS80">
            <v>0</v>
          </cell>
          <cell r="CT80">
            <v>0</v>
          </cell>
          <cell r="CU80">
            <v>0</v>
          </cell>
          <cell r="CV80">
            <v>0</v>
          </cell>
          <cell r="CW80">
            <v>0</v>
          </cell>
          <cell r="CX80">
            <v>0</v>
          </cell>
          <cell r="CY80">
            <v>0</v>
          </cell>
          <cell r="CZ80">
            <v>0</v>
          </cell>
          <cell r="DA80">
            <v>0</v>
          </cell>
          <cell r="DB80">
            <v>0</v>
          </cell>
          <cell r="DC80">
            <v>0</v>
          </cell>
          <cell r="DD80">
            <v>0</v>
          </cell>
          <cell r="DE80">
            <v>70</v>
          </cell>
          <cell r="DF80">
            <v>0</v>
          </cell>
          <cell r="DG80">
            <v>0</v>
          </cell>
          <cell r="DH80"/>
          <cell r="DI80">
            <v>0</v>
          </cell>
          <cell r="DK80" t="str">
            <v>OK</v>
          </cell>
          <cell r="DM80">
            <v>0</v>
          </cell>
          <cell r="DN80">
            <v>0</v>
          </cell>
          <cell r="DO80"/>
        </row>
        <row r="81">
          <cell r="N81">
            <v>0</v>
          </cell>
          <cell r="O81">
            <v>0</v>
          </cell>
          <cell r="P81"/>
          <cell r="Q81"/>
          <cell r="R81" t="str">
            <v>SLUDGE DRYING BED</v>
          </cell>
          <cell r="S81" t="str">
            <v>SLUDGE GRADE</v>
          </cell>
          <cell r="T81"/>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cell r="BM81">
            <v>0</v>
          </cell>
          <cell r="BN81">
            <v>0</v>
          </cell>
          <cell r="BO81">
            <v>0</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H81">
            <v>0</v>
          </cell>
          <cell r="CI81">
            <v>0</v>
          </cell>
          <cell r="CJ81">
            <v>0</v>
          </cell>
          <cell r="CK81">
            <v>0</v>
          </cell>
          <cell r="CL81">
            <v>0</v>
          </cell>
          <cell r="CM81">
            <v>0</v>
          </cell>
          <cell r="CN81">
            <v>0</v>
          </cell>
          <cell r="CO81">
            <v>0</v>
          </cell>
          <cell r="CP81">
            <v>0</v>
          </cell>
          <cell r="CQ81">
            <v>0</v>
          </cell>
          <cell r="CR81">
            <v>0</v>
          </cell>
          <cell r="CS81">
            <v>0</v>
          </cell>
          <cell r="CT81">
            <v>0</v>
          </cell>
          <cell r="CU81">
            <v>0</v>
          </cell>
          <cell r="CV81">
            <v>0</v>
          </cell>
          <cell r="CW81">
            <v>0</v>
          </cell>
          <cell r="CX81">
            <v>0</v>
          </cell>
          <cell r="CY81">
            <v>0</v>
          </cell>
          <cell r="CZ81">
            <v>0</v>
          </cell>
          <cell r="DA81">
            <v>0</v>
          </cell>
          <cell r="DB81">
            <v>0</v>
          </cell>
          <cell r="DC81">
            <v>0</v>
          </cell>
          <cell r="DD81">
            <v>0</v>
          </cell>
          <cell r="DE81">
            <v>71</v>
          </cell>
          <cell r="DF81">
            <v>0</v>
          </cell>
          <cell r="DG81">
            <v>0</v>
          </cell>
          <cell r="DH81"/>
          <cell r="DI81">
            <v>0</v>
          </cell>
          <cell r="DK81" t="str">
            <v>OK</v>
          </cell>
          <cell r="DM81">
            <v>0</v>
          </cell>
          <cell r="DN81">
            <v>0</v>
          </cell>
          <cell r="DO81"/>
        </row>
        <row r="82">
          <cell r="N82">
            <v>0</v>
          </cell>
          <cell r="O82">
            <v>0</v>
          </cell>
          <cell r="P82"/>
          <cell r="Q82"/>
          <cell r="R82" t="str">
            <v>SLUDGE DRYING BED</v>
          </cell>
          <cell r="S82" t="str">
            <v>SLUDGE GRADE</v>
          </cell>
          <cell r="T82"/>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cell r="BM82">
            <v>0</v>
          </cell>
          <cell r="BN82">
            <v>0</v>
          </cell>
          <cell r="BO82">
            <v>0</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v>0</v>
          </cell>
          <cell r="CM82">
            <v>0</v>
          </cell>
          <cell r="CN82">
            <v>0</v>
          </cell>
          <cell r="CO82">
            <v>0</v>
          </cell>
          <cell r="CP82">
            <v>0</v>
          </cell>
          <cell r="CQ82">
            <v>0</v>
          </cell>
          <cell r="CR82">
            <v>0</v>
          </cell>
          <cell r="CS82">
            <v>0</v>
          </cell>
          <cell r="CT82">
            <v>0</v>
          </cell>
          <cell r="CU82">
            <v>0</v>
          </cell>
          <cell r="CV82">
            <v>0</v>
          </cell>
          <cell r="CW82">
            <v>0</v>
          </cell>
          <cell r="CX82">
            <v>0</v>
          </cell>
          <cell r="CY82">
            <v>0</v>
          </cell>
          <cell r="CZ82">
            <v>0</v>
          </cell>
          <cell r="DA82">
            <v>0</v>
          </cell>
          <cell r="DB82">
            <v>0</v>
          </cell>
          <cell r="DC82">
            <v>0</v>
          </cell>
          <cell r="DD82">
            <v>0</v>
          </cell>
          <cell r="DE82">
            <v>72</v>
          </cell>
          <cell r="DF82">
            <v>0</v>
          </cell>
          <cell r="DG82">
            <v>0</v>
          </cell>
          <cell r="DH82"/>
          <cell r="DI82">
            <v>0</v>
          </cell>
          <cell r="DK82" t="str">
            <v>OK</v>
          </cell>
          <cell r="DM82">
            <v>0</v>
          </cell>
          <cell r="DN82">
            <v>0</v>
          </cell>
          <cell r="DO82"/>
        </row>
        <row r="83">
          <cell r="N83">
            <v>0</v>
          </cell>
          <cell r="O83">
            <v>0</v>
          </cell>
          <cell r="P83"/>
          <cell r="Q83"/>
          <cell r="R83" t="str">
            <v>SLUDGE DRYING BED</v>
          </cell>
          <cell r="S83" t="str">
            <v>SLUDGE GRADE</v>
          </cell>
          <cell r="T83"/>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cell r="BM83">
            <v>0</v>
          </cell>
          <cell r="BN83">
            <v>0</v>
          </cell>
          <cell r="BO83">
            <v>0</v>
          </cell>
          <cell r="BP83">
            <v>0</v>
          </cell>
          <cell r="BQ83">
            <v>0</v>
          </cell>
          <cell r="BR83">
            <v>0</v>
          </cell>
          <cell r="BS83">
            <v>0</v>
          </cell>
          <cell r="BT83">
            <v>0</v>
          </cell>
          <cell r="BU83">
            <v>0</v>
          </cell>
          <cell r="BV83">
            <v>0</v>
          </cell>
          <cell r="BW83">
            <v>0</v>
          </cell>
          <cell r="BX83">
            <v>0</v>
          </cell>
          <cell r="BY83">
            <v>0</v>
          </cell>
          <cell r="BZ83">
            <v>0</v>
          </cell>
          <cell r="CA83">
            <v>0</v>
          </cell>
          <cell r="CB83">
            <v>0</v>
          </cell>
          <cell r="CC83">
            <v>0</v>
          </cell>
          <cell r="CD83">
            <v>0</v>
          </cell>
          <cell r="CE83">
            <v>0</v>
          </cell>
          <cell r="CF83">
            <v>0</v>
          </cell>
          <cell r="CG83">
            <v>0</v>
          </cell>
          <cell r="CH83">
            <v>0</v>
          </cell>
          <cell r="CI83">
            <v>0</v>
          </cell>
          <cell r="CJ83">
            <v>0</v>
          </cell>
          <cell r="CK83">
            <v>0</v>
          </cell>
          <cell r="CL83">
            <v>0</v>
          </cell>
          <cell r="CM83">
            <v>0</v>
          </cell>
          <cell r="CN83">
            <v>0</v>
          </cell>
          <cell r="CO83">
            <v>0</v>
          </cell>
          <cell r="CP83">
            <v>0</v>
          </cell>
          <cell r="CQ83">
            <v>0</v>
          </cell>
          <cell r="CR83">
            <v>0</v>
          </cell>
          <cell r="CS83">
            <v>0</v>
          </cell>
          <cell r="CT83">
            <v>0</v>
          </cell>
          <cell r="CU83">
            <v>0</v>
          </cell>
          <cell r="CV83">
            <v>0</v>
          </cell>
          <cell r="CW83">
            <v>0</v>
          </cell>
          <cell r="CX83">
            <v>0</v>
          </cell>
          <cell r="CY83">
            <v>0</v>
          </cell>
          <cell r="CZ83">
            <v>0</v>
          </cell>
          <cell r="DA83">
            <v>0</v>
          </cell>
          <cell r="DB83">
            <v>0</v>
          </cell>
          <cell r="DC83">
            <v>0</v>
          </cell>
          <cell r="DD83">
            <v>0</v>
          </cell>
          <cell r="DE83">
            <v>73</v>
          </cell>
          <cell r="DF83">
            <v>0</v>
          </cell>
          <cell r="DG83">
            <v>0</v>
          </cell>
          <cell r="DH83"/>
          <cell r="DI83">
            <v>0</v>
          </cell>
          <cell r="DK83" t="str">
            <v>OK</v>
          </cell>
          <cell r="DM83">
            <v>0</v>
          </cell>
          <cell r="DN83">
            <v>0</v>
          </cell>
          <cell r="DO83"/>
        </row>
        <row r="84">
          <cell r="N84">
            <v>0</v>
          </cell>
          <cell r="O84">
            <v>0</v>
          </cell>
          <cell r="P84"/>
          <cell r="Q84"/>
          <cell r="R84" t="str">
            <v>SLUDGE DRYING BED</v>
          </cell>
          <cell r="S84" t="str">
            <v>SLUDGE GRADE</v>
          </cell>
          <cell r="T84"/>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cell r="BM84">
            <v>0</v>
          </cell>
          <cell r="BN84">
            <v>0</v>
          </cell>
          <cell r="BO84">
            <v>0</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0</v>
          </cell>
          <cell r="CO84">
            <v>0</v>
          </cell>
          <cell r="CP84">
            <v>0</v>
          </cell>
          <cell r="CQ84">
            <v>0</v>
          </cell>
          <cell r="CR84">
            <v>0</v>
          </cell>
          <cell r="CS84">
            <v>0</v>
          </cell>
          <cell r="CT84">
            <v>0</v>
          </cell>
          <cell r="CU84">
            <v>0</v>
          </cell>
          <cell r="CV84">
            <v>0</v>
          </cell>
          <cell r="CW84">
            <v>0</v>
          </cell>
          <cell r="CX84">
            <v>0</v>
          </cell>
          <cell r="CY84">
            <v>0</v>
          </cell>
          <cell r="CZ84">
            <v>0</v>
          </cell>
          <cell r="DA84">
            <v>0</v>
          </cell>
          <cell r="DB84">
            <v>0</v>
          </cell>
          <cell r="DC84">
            <v>0</v>
          </cell>
          <cell r="DD84">
            <v>0</v>
          </cell>
          <cell r="DE84">
            <v>74</v>
          </cell>
          <cell r="DF84">
            <v>0</v>
          </cell>
          <cell r="DG84">
            <v>0</v>
          </cell>
          <cell r="DH84"/>
          <cell r="DI84">
            <v>0</v>
          </cell>
          <cell r="DK84" t="str">
            <v>OK</v>
          </cell>
          <cell r="DM84">
            <v>0</v>
          </cell>
          <cell r="DN84">
            <v>0</v>
          </cell>
          <cell r="DO84"/>
        </row>
        <row r="85">
          <cell r="N85">
            <v>0</v>
          </cell>
          <cell r="O85">
            <v>0</v>
          </cell>
          <cell r="P85"/>
          <cell r="Q85"/>
          <cell r="R85" t="str">
            <v>SLUDGE DRYING BED</v>
          </cell>
          <cell r="S85" t="str">
            <v>SLUDGE FILL</v>
          </cell>
          <cell r="T85"/>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cell r="BM85">
            <v>0</v>
          </cell>
          <cell r="BN85">
            <v>0</v>
          </cell>
          <cell r="BO85">
            <v>0</v>
          </cell>
          <cell r="BP85">
            <v>0</v>
          </cell>
          <cell r="BQ85">
            <v>0</v>
          </cell>
          <cell r="BR85">
            <v>0</v>
          </cell>
          <cell r="BS85">
            <v>0</v>
          </cell>
          <cell r="BT85">
            <v>0</v>
          </cell>
          <cell r="BU85">
            <v>0</v>
          </cell>
          <cell r="BV85">
            <v>0</v>
          </cell>
          <cell r="BW85">
            <v>0</v>
          </cell>
          <cell r="BX85">
            <v>0</v>
          </cell>
          <cell r="BY85">
            <v>0</v>
          </cell>
          <cell r="BZ85">
            <v>0</v>
          </cell>
          <cell r="CA85">
            <v>0</v>
          </cell>
          <cell r="CB85">
            <v>0</v>
          </cell>
          <cell r="CC85">
            <v>0</v>
          </cell>
          <cell r="CD85">
            <v>0</v>
          </cell>
          <cell r="CE85">
            <v>0</v>
          </cell>
          <cell r="CF85">
            <v>0</v>
          </cell>
          <cell r="CG85">
            <v>0</v>
          </cell>
          <cell r="CH85">
            <v>0</v>
          </cell>
          <cell r="CI85">
            <v>0</v>
          </cell>
          <cell r="CJ85">
            <v>0</v>
          </cell>
          <cell r="CK85">
            <v>0</v>
          </cell>
          <cell r="CL85">
            <v>0</v>
          </cell>
          <cell r="CM85">
            <v>0</v>
          </cell>
          <cell r="CN85">
            <v>0</v>
          </cell>
          <cell r="CO85">
            <v>0</v>
          </cell>
          <cell r="CP85">
            <v>0</v>
          </cell>
          <cell r="CQ85">
            <v>0</v>
          </cell>
          <cell r="CR85">
            <v>0</v>
          </cell>
          <cell r="CS85">
            <v>0</v>
          </cell>
          <cell r="CT85">
            <v>0</v>
          </cell>
          <cell r="CU85">
            <v>0</v>
          </cell>
          <cell r="CV85">
            <v>0</v>
          </cell>
          <cell r="CW85">
            <v>0</v>
          </cell>
          <cell r="CX85">
            <v>0</v>
          </cell>
          <cell r="CY85">
            <v>0</v>
          </cell>
          <cell r="CZ85">
            <v>0</v>
          </cell>
          <cell r="DA85">
            <v>0</v>
          </cell>
          <cell r="DB85">
            <v>0</v>
          </cell>
          <cell r="DC85">
            <v>0</v>
          </cell>
          <cell r="DD85">
            <v>0</v>
          </cell>
          <cell r="DE85">
            <v>75</v>
          </cell>
          <cell r="DF85">
            <v>0</v>
          </cell>
          <cell r="DG85">
            <v>0</v>
          </cell>
          <cell r="DH85"/>
          <cell r="DI85">
            <v>0</v>
          </cell>
          <cell r="DK85" t="str">
            <v>OK</v>
          </cell>
          <cell r="DM85">
            <v>0</v>
          </cell>
          <cell r="DN85">
            <v>0</v>
          </cell>
          <cell r="DO85"/>
        </row>
        <row r="86">
          <cell r="N86">
            <v>0</v>
          </cell>
          <cell r="O86">
            <v>0</v>
          </cell>
          <cell r="P86"/>
          <cell r="Q86"/>
          <cell r="R86" t="str">
            <v>LIFTING STATION</v>
          </cell>
          <cell r="S86" t="str">
            <v>LIFT FOUNDATION</v>
          </cell>
          <cell r="T86"/>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cell r="BM86">
            <v>0</v>
          </cell>
          <cell r="BN86">
            <v>0</v>
          </cell>
          <cell r="BO86">
            <v>0</v>
          </cell>
          <cell r="BP86">
            <v>0</v>
          </cell>
          <cell r="BQ86">
            <v>0</v>
          </cell>
          <cell r="BR86">
            <v>0</v>
          </cell>
          <cell r="BS86">
            <v>0</v>
          </cell>
          <cell r="BT86">
            <v>0</v>
          </cell>
          <cell r="BU86">
            <v>0</v>
          </cell>
          <cell r="BV86">
            <v>0</v>
          </cell>
          <cell r="BW86">
            <v>0</v>
          </cell>
          <cell r="BX86">
            <v>0</v>
          </cell>
          <cell r="BY86">
            <v>0</v>
          </cell>
          <cell r="BZ86">
            <v>0</v>
          </cell>
          <cell r="CA86">
            <v>0</v>
          </cell>
          <cell r="CB86">
            <v>0</v>
          </cell>
          <cell r="CC86">
            <v>0</v>
          </cell>
          <cell r="CD86">
            <v>0</v>
          </cell>
          <cell r="CE86">
            <v>0</v>
          </cell>
          <cell r="CF86">
            <v>0</v>
          </cell>
          <cell r="CG86">
            <v>0</v>
          </cell>
          <cell r="CH86">
            <v>0</v>
          </cell>
          <cell r="CI86">
            <v>0</v>
          </cell>
          <cell r="CJ86">
            <v>0</v>
          </cell>
          <cell r="CK86">
            <v>0</v>
          </cell>
          <cell r="CL86">
            <v>0</v>
          </cell>
          <cell r="CM86">
            <v>0</v>
          </cell>
          <cell r="CN86">
            <v>0</v>
          </cell>
          <cell r="CO86">
            <v>0</v>
          </cell>
          <cell r="CP86">
            <v>0</v>
          </cell>
          <cell r="CQ86">
            <v>0</v>
          </cell>
          <cell r="CR86">
            <v>0</v>
          </cell>
          <cell r="CS86">
            <v>0</v>
          </cell>
          <cell r="CT86">
            <v>0</v>
          </cell>
          <cell r="CU86">
            <v>0</v>
          </cell>
          <cell r="CV86">
            <v>0</v>
          </cell>
          <cell r="CW86">
            <v>0</v>
          </cell>
          <cell r="CX86">
            <v>0</v>
          </cell>
          <cell r="CY86">
            <v>0</v>
          </cell>
          <cell r="CZ86">
            <v>0</v>
          </cell>
          <cell r="DA86">
            <v>0</v>
          </cell>
          <cell r="DB86">
            <v>0</v>
          </cell>
          <cell r="DC86">
            <v>0</v>
          </cell>
          <cell r="DD86">
            <v>0</v>
          </cell>
          <cell r="DE86">
            <v>76</v>
          </cell>
          <cell r="DF86">
            <v>0</v>
          </cell>
          <cell r="DG86">
            <v>0</v>
          </cell>
          <cell r="DH86"/>
          <cell r="DI86">
            <v>0</v>
          </cell>
          <cell r="DK86" t="str">
            <v>OK</v>
          </cell>
          <cell r="DM86">
            <v>0</v>
          </cell>
          <cell r="DN86">
            <v>0</v>
          </cell>
          <cell r="DO86"/>
        </row>
        <row r="87">
          <cell r="N87">
            <v>0</v>
          </cell>
          <cell r="O87">
            <v>0</v>
          </cell>
          <cell r="P87"/>
          <cell r="Q87"/>
          <cell r="R87" t="str">
            <v>LIFTING STATION</v>
          </cell>
          <cell r="S87" t="str">
            <v>LIFT FOUNDATION</v>
          </cell>
          <cell r="T87"/>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cell r="BM87">
            <v>0</v>
          </cell>
          <cell r="BN87">
            <v>0</v>
          </cell>
          <cell r="BO87">
            <v>0</v>
          </cell>
          <cell r="BP87">
            <v>0</v>
          </cell>
          <cell r="BQ87">
            <v>0</v>
          </cell>
          <cell r="BR87">
            <v>0</v>
          </cell>
          <cell r="BS87">
            <v>0</v>
          </cell>
          <cell r="BT87">
            <v>0</v>
          </cell>
          <cell r="BU87">
            <v>0</v>
          </cell>
          <cell r="BV87">
            <v>0</v>
          </cell>
          <cell r="BW87">
            <v>0</v>
          </cell>
          <cell r="BX87">
            <v>0</v>
          </cell>
          <cell r="BY87">
            <v>0</v>
          </cell>
          <cell r="BZ87">
            <v>0</v>
          </cell>
          <cell r="CA87">
            <v>0</v>
          </cell>
          <cell r="CB87">
            <v>0</v>
          </cell>
          <cell r="CC87">
            <v>0</v>
          </cell>
          <cell r="CD87">
            <v>0</v>
          </cell>
          <cell r="CE87">
            <v>0</v>
          </cell>
          <cell r="CF87">
            <v>0</v>
          </cell>
          <cell r="CG87">
            <v>0</v>
          </cell>
          <cell r="CH87">
            <v>0</v>
          </cell>
          <cell r="CI87">
            <v>0</v>
          </cell>
          <cell r="CJ87">
            <v>0</v>
          </cell>
          <cell r="CK87">
            <v>0</v>
          </cell>
          <cell r="CL87">
            <v>0</v>
          </cell>
          <cell r="CM87">
            <v>0</v>
          </cell>
          <cell r="CN87">
            <v>0</v>
          </cell>
          <cell r="CO87">
            <v>0</v>
          </cell>
          <cell r="CP87">
            <v>0</v>
          </cell>
          <cell r="CQ87">
            <v>0</v>
          </cell>
          <cell r="CR87">
            <v>0</v>
          </cell>
          <cell r="CS87">
            <v>0</v>
          </cell>
          <cell r="CT87">
            <v>0</v>
          </cell>
          <cell r="CU87">
            <v>0</v>
          </cell>
          <cell r="CV87">
            <v>0</v>
          </cell>
          <cell r="CW87">
            <v>0</v>
          </cell>
          <cell r="CX87">
            <v>0</v>
          </cell>
          <cell r="CY87">
            <v>0</v>
          </cell>
          <cell r="CZ87">
            <v>0</v>
          </cell>
          <cell r="DA87">
            <v>0</v>
          </cell>
          <cell r="DB87">
            <v>0</v>
          </cell>
          <cell r="DC87">
            <v>0</v>
          </cell>
          <cell r="DD87">
            <v>0</v>
          </cell>
          <cell r="DE87">
            <v>77</v>
          </cell>
          <cell r="DF87">
            <v>0</v>
          </cell>
          <cell r="DG87">
            <v>0</v>
          </cell>
          <cell r="DH87"/>
          <cell r="DI87">
            <v>0</v>
          </cell>
          <cell r="DK87" t="str">
            <v>OK</v>
          </cell>
          <cell r="DM87">
            <v>0</v>
          </cell>
          <cell r="DN87">
            <v>0</v>
          </cell>
          <cell r="DO87"/>
        </row>
        <row r="88">
          <cell r="N88">
            <v>0</v>
          </cell>
          <cell r="O88">
            <v>0</v>
          </cell>
          <cell r="P88"/>
          <cell r="Q88"/>
          <cell r="R88" t="str">
            <v>LIFTING STATION</v>
          </cell>
          <cell r="S88" t="str">
            <v>LIFT FOUNDATION</v>
          </cell>
          <cell r="T88"/>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cell r="BM88">
            <v>0</v>
          </cell>
          <cell r="BN88">
            <v>0</v>
          </cell>
          <cell r="BO88">
            <v>0</v>
          </cell>
          <cell r="BP88">
            <v>0</v>
          </cell>
          <cell r="BQ88">
            <v>0</v>
          </cell>
          <cell r="BR88">
            <v>0</v>
          </cell>
          <cell r="BS88">
            <v>0</v>
          </cell>
          <cell r="BT88">
            <v>0</v>
          </cell>
          <cell r="BU88">
            <v>0</v>
          </cell>
          <cell r="BV88">
            <v>0</v>
          </cell>
          <cell r="BW88">
            <v>0</v>
          </cell>
          <cell r="BX88">
            <v>0</v>
          </cell>
          <cell r="BY88">
            <v>0</v>
          </cell>
          <cell r="BZ88">
            <v>0</v>
          </cell>
          <cell r="CA88">
            <v>0</v>
          </cell>
          <cell r="CB88">
            <v>0</v>
          </cell>
          <cell r="CC88">
            <v>0</v>
          </cell>
          <cell r="CD88">
            <v>0</v>
          </cell>
          <cell r="CE88">
            <v>0</v>
          </cell>
          <cell r="CF88">
            <v>0</v>
          </cell>
          <cell r="CG88">
            <v>0</v>
          </cell>
          <cell r="CH88">
            <v>0</v>
          </cell>
          <cell r="CI88">
            <v>0</v>
          </cell>
          <cell r="CJ88">
            <v>0</v>
          </cell>
          <cell r="CK88">
            <v>0</v>
          </cell>
          <cell r="CL88">
            <v>0</v>
          </cell>
          <cell r="CM88">
            <v>0</v>
          </cell>
          <cell r="CN88">
            <v>0</v>
          </cell>
          <cell r="CO88">
            <v>0</v>
          </cell>
          <cell r="CP88">
            <v>0</v>
          </cell>
          <cell r="CQ88">
            <v>0</v>
          </cell>
          <cell r="CR88">
            <v>0</v>
          </cell>
          <cell r="CS88">
            <v>0</v>
          </cell>
          <cell r="CT88">
            <v>0</v>
          </cell>
          <cell r="CU88">
            <v>0</v>
          </cell>
          <cell r="CV88">
            <v>0</v>
          </cell>
          <cell r="CW88">
            <v>0</v>
          </cell>
          <cell r="CX88">
            <v>0</v>
          </cell>
          <cell r="CY88">
            <v>0</v>
          </cell>
          <cell r="CZ88">
            <v>0</v>
          </cell>
          <cell r="DA88">
            <v>0</v>
          </cell>
          <cell r="DB88">
            <v>0</v>
          </cell>
          <cell r="DC88">
            <v>0</v>
          </cell>
          <cell r="DD88">
            <v>0</v>
          </cell>
          <cell r="DE88">
            <v>78</v>
          </cell>
          <cell r="DF88">
            <v>0</v>
          </cell>
          <cell r="DG88">
            <v>0</v>
          </cell>
          <cell r="DH88"/>
          <cell r="DI88">
            <v>0</v>
          </cell>
          <cell r="DK88" t="str">
            <v>OK</v>
          </cell>
          <cell r="DM88">
            <v>0</v>
          </cell>
          <cell r="DN88">
            <v>0</v>
          </cell>
          <cell r="DO88"/>
        </row>
        <row r="89">
          <cell r="N89">
            <v>0</v>
          </cell>
          <cell r="O89">
            <v>0</v>
          </cell>
          <cell r="P89"/>
          <cell r="Q89"/>
          <cell r="R89" t="str">
            <v>LIFTING STATION</v>
          </cell>
          <cell r="S89" t="str">
            <v>LIFT WALL</v>
          </cell>
          <cell r="T89"/>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cell r="BM89">
            <v>0</v>
          </cell>
          <cell r="BN89">
            <v>0</v>
          </cell>
          <cell r="BO89">
            <v>0</v>
          </cell>
          <cell r="BP89">
            <v>0</v>
          </cell>
          <cell r="BQ89">
            <v>0</v>
          </cell>
          <cell r="BR89">
            <v>0</v>
          </cell>
          <cell r="BS89">
            <v>0</v>
          </cell>
          <cell r="BT89">
            <v>0</v>
          </cell>
          <cell r="BU89">
            <v>0</v>
          </cell>
          <cell r="BV89">
            <v>0</v>
          </cell>
          <cell r="BW89">
            <v>0</v>
          </cell>
          <cell r="BX89">
            <v>0</v>
          </cell>
          <cell r="BY89">
            <v>0</v>
          </cell>
          <cell r="BZ89">
            <v>0</v>
          </cell>
          <cell r="CA89">
            <v>0</v>
          </cell>
          <cell r="CB89">
            <v>0</v>
          </cell>
          <cell r="CC89">
            <v>0</v>
          </cell>
          <cell r="CD89">
            <v>0</v>
          </cell>
          <cell r="CE89">
            <v>0</v>
          </cell>
          <cell r="CF89">
            <v>0</v>
          </cell>
          <cell r="CG89">
            <v>0</v>
          </cell>
          <cell r="CH89">
            <v>0</v>
          </cell>
          <cell r="CI89">
            <v>0</v>
          </cell>
          <cell r="CJ89">
            <v>0</v>
          </cell>
          <cell r="CK89">
            <v>0</v>
          </cell>
          <cell r="CL89">
            <v>0</v>
          </cell>
          <cell r="CM89">
            <v>0</v>
          </cell>
          <cell r="CN89">
            <v>0</v>
          </cell>
          <cell r="CO89">
            <v>0</v>
          </cell>
          <cell r="CP89">
            <v>0</v>
          </cell>
          <cell r="CQ89">
            <v>0</v>
          </cell>
          <cell r="CR89">
            <v>0</v>
          </cell>
          <cell r="CS89">
            <v>0</v>
          </cell>
          <cell r="CT89">
            <v>0</v>
          </cell>
          <cell r="CU89">
            <v>0</v>
          </cell>
          <cell r="CV89">
            <v>0</v>
          </cell>
          <cell r="CW89">
            <v>0</v>
          </cell>
          <cell r="CX89">
            <v>0</v>
          </cell>
          <cell r="CY89">
            <v>0</v>
          </cell>
          <cell r="CZ89">
            <v>0</v>
          </cell>
          <cell r="DA89">
            <v>0</v>
          </cell>
          <cell r="DB89">
            <v>0</v>
          </cell>
          <cell r="DC89">
            <v>0</v>
          </cell>
          <cell r="DD89">
            <v>0</v>
          </cell>
          <cell r="DE89">
            <v>79</v>
          </cell>
          <cell r="DF89">
            <v>0</v>
          </cell>
          <cell r="DG89">
            <v>0</v>
          </cell>
          <cell r="DH89"/>
          <cell r="DI89">
            <v>0</v>
          </cell>
          <cell r="DK89" t="str">
            <v>OK</v>
          </cell>
          <cell r="DM89">
            <v>0</v>
          </cell>
          <cell r="DN89">
            <v>0</v>
          </cell>
          <cell r="DO89"/>
        </row>
        <row r="90">
          <cell r="N90">
            <v>0</v>
          </cell>
          <cell r="O90">
            <v>0</v>
          </cell>
          <cell r="P90"/>
          <cell r="Q90"/>
          <cell r="R90" t="str">
            <v>LIFTING STATION</v>
          </cell>
          <cell r="S90" t="str">
            <v>LIFT WALL</v>
          </cell>
          <cell r="T90"/>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cell r="BM90">
            <v>0</v>
          </cell>
          <cell r="BN90">
            <v>0</v>
          </cell>
          <cell r="BO90">
            <v>0</v>
          </cell>
          <cell r="BP90">
            <v>0</v>
          </cell>
          <cell r="BQ90">
            <v>0</v>
          </cell>
          <cell r="BR90">
            <v>0</v>
          </cell>
          <cell r="BS90">
            <v>0</v>
          </cell>
          <cell r="BT90">
            <v>0</v>
          </cell>
          <cell r="BU90">
            <v>0</v>
          </cell>
          <cell r="BV90">
            <v>0</v>
          </cell>
          <cell r="BW90">
            <v>0</v>
          </cell>
          <cell r="BX90">
            <v>0</v>
          </cell>
          <cell r="BY90">
            <v>0</v>
          </cell>
          <cell r="BZ90">
            <v>0</v>
          </cell>
          <cell r="CA90">
            <v>0</v>
          </cell>
          <cell r="CB90">
            <v>0</v>
          </cell>
          <cell r="CC90">
            <v>0</v>
          </cell>
          <cell r="CD90">
            <v>0</v>
          </cell>
          <cell r="CE90">
            <v>0</v>
          </cell>
          <cell r="CF90">
            <v>0</v>
          </cell>
          <cell r="CG90">
            <v>0</v>
          </cell>
          <cell r="CH90">
            <v>0</v>
          </cell>
          <cell r="CI90">
            <v>0</v>
          </cell>
          <cell r="CJ90">
            <v>0</v>
          </cell>
          <cell r="CK90">
            <v>0</v>
          </cell>
          <cell r="CL90">
            <v>0</v>
          </cell>
          <cell r="CM90">
            <v>0</v>
          </cell>
          <cell r="CN90">
            <v>0</v>
          </cell>
          <cell r="CO90">
            <v>0</v>
          </cell>
          <cell r="CP90">
            <v>0</v>
          </cell>
          <cell r="CQ90">
            <v>0</v>
          </cell>
          <cell r="CR90">
            <v>0</v>
          </cell>
          <cell r="CS90">
            <v>0</v>
          </cell>
          <cell r="CT90">
            <v>0</v>
          </cell>
          <cell r="CU90">
            <v>0</v>
          </cell>
          <cell r="CV90">
            <v>0</v>
          </cell>
          <cell r="CW90">
            <v>0</v>
          </cell>
          <cell r="CX90">
            <v>0</v>
          </cell>
          <cell r="CY90">
            <v>0</v>
          </cell>
          <cell r="CZ90">
            <v>0</v>
          </cell>
          <cell r="DA90">
            <v>0</v>
          </cell>
          <cell r="DB90">
            <v>0</v>
          </cell>
          <cell r="DC90">
            <v>0</v>
          </cell>
          <cell r="DD90">
            <v>0</v>
          </cell>
          <cell r="DE90">
            <v>80</v>
          </cell>
          <cell r="DF90">
            <v>0</v>
          </cell>
          <cell r="DG90">
            <v>0</v>
          </cell>
          <cell r="DH90"/>
          <cell r="DI90">
            <v>0</v>
          </cell>
          <cell r="DK90" t="str">
            <v>OK</v>
          </cell>
          <cell r="DM90">
            <v>0</v>
          </cell>
          <cell r="DN90">
            <v>0</v>
          </cell>
          <cell r="DO90"/>
        </row>
        <row r="91">
          <cell r="N91">
            <v>0</v>
          </cell>
          <cell r="O91">
            <v>0</v>
          </cell>
          <cell r="P91"/>
          <cell r="Q91"/>
          <cell r="R91" t="str">
            <v>LIFTING STATION</v>
          </cell>
          <cell r="S91" t="str">
            <v>WATER TESTING</v>
          </cell>
          <cell r="T91"/>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cell r="BM91">
            <v>0</v>
          </cell>
          <cell r="BN91">
            <v>0</v>
          </cell>
          <cell r="BO91">
            <v>0</v>
          </cell>
          <cell r="BP91">
            <v>0</v>
          </cell>
          <cell r="BQ91">
            <v>0</v>
          </cell>
          <cell r="BR91">
            <v>0</v>
          </cell>
          <cell r="BS91">
            <v>0</v>
          </cell>
          <cell r="BT91">
            <v>0</v>
          </cell>
          <cell r="BU91">
            <v>0</v>
          </cell>
          <cell r="BV91">
            <v>0</v>
          </cell>
          <cell r="BW91">
            <v>0</v>
          </cell>
          <cell r="BX91">
            <v>0</v>
          </cell>
          <cell r="BY91">
            <v>0</v>
          </cell>
          <cell r="BZ91">
            <v>0</v>
          </cell>
          <cell r="CA91">
            <v>0</v>
          </cell>
          <cell r="CB91">
            <v>0</v>
          </cell>
          <cell r="CC91">
            <v>0</v>
          </cell>
          <cell r="CD91">
            <v>0</v>
          </cell>
          <cell r="CE91">
            <v>0</v>
          </cell>
          <cell r="CF91">
            <v>0</v>
          </cell>
          <cell r="CG91">
            <v>0</v>
          </cell>
          <cell r="CH91">
            <v>0</v>
          </cell>
          <cell r="CI91">
            <v>0</v>
          </cell>
          <cell r="CJ91">
            <v>0</v>
          </cell>
          <cell r="CK91">
            <v>0</v>
          </cell>
          <cell r="CL91">
            <v>0</v>
          </cell>
          <cell r="CM91">
            <v>0</v>
          </cell>
          <cell r="CN91">
            <v>0</v>
          </cell>
          <cell r="CO91">
            <v>0</v>
          </cell>
          <cell r="CP91">
            <v>0</v>
          </cell>
          <cell r="CQ91">
            <v>0</v>
          </cell>
          <cell r="CR91">
            <v>0</v>
          </cell>
          <cell r="CS91">
            <v>0</v>
          </cell>
          <cell r="CT91">
            <v>0</v>
          </cell>
          <cell r="CU91">
            <v>0</v>
          </cell>
          <cell r="CV91">
            <v>0</v>
          </cell>
          <cell r="CW91">
            <v>0</v>
          </cell>
          <cell r="CX91">
            <v>0</v>
          </cell>
          <cell r="CY91">
            <v>0</v>
          </cell>
          <cell r="CZ91">
            <v>0</v>
          </cell>
          <cell r="DA91">
            <v>0</v>
          </cell>
          <cell r="DB91">
            <v>0</v>
          </cell>
          <cell r="DC91">
            <v>0</v>
          </cell>
          <cell r="DD91">
            <v>0</v>
          </cell>
          <cell r="DE91">
            <v>81</v>
          </cell>
          <cell r="DF91">
            <v>0</v>
          </cell>
          <cell r="DG91">
            <v>0</v>
          </cell>
          <cell r="DH91"/>
          <cell r="DI91">
            <v>0</v>
          </cell>
          <cell r="DK91" t="str">
            <v>OK</v>
          </cell>
          <cell r="DM91">
            <v>0</v>
          </cell>
          <cell r="DN91">
            <v>0</v>
          </cell>
          <cell r="DO91"/>
        </row>
        <row r="92">
          <cell r="N92">
            <v>0</v>
          </cell>
          <cell r="O92">
            <v>0</v>
          </cell>
          <cell r="P92"/>
          <cell r="Q92"/>
          <cell r="R92" t="str">
            <v>LIFTING STATION</v>
          </cell>
          <cell r="S92" t="str">
            <v>COATING</v>
          </cell>
          <cell r="T92"/>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cell r="BM92">
            <v>0</v>
          </cell>
          <cell r="BN92">
            <v>0</v>
          </cell>
          <cell r="BO92">
            <v>0</v>
          </cell>
          <cell r="BP92">
            <v>0</v>
          </cell>
          <cell r="BQ92">
            <v>0</v>
          </cell>
          <cell r="BR92">
            <v>0</v>
          </cell>
          <cell r="BS92">
            <v>0</v>
          </cell>
          <cell r="BT92">
            <v>0</v>
          </cell>
          <cell r="BU92">
            <v>0</v>
          </cell>
          <cell r="BV92">
            <v>0</v>
          </cell>
          <cell r="BW92">
            <v>0</v>
          </cell>
          <cell r="BX92">
            <v>0</v>
          </cell>
          <cell r="BY92">
            <v>0</v>
          </cell>
          <cell r="BZ92">
            <v>0</v>
          </cell>
          <cell r="CA92">
            <v>0</v>
          </cell>
          <cell r="CB92">
            <v>0</v>
          </cell>
          <cell r="CC92">
            <v>0</v>
          </cell>
          <cell r="CD92">
            <v>0</v>
          </cell>
          <cell r="CE92">
            <v>0</v>
          </cell>
          <cell r="CF92">
            <v>0</v>
          </cell>
          <cell r="CG92">
            <v>0</v>
          </cell>
          <cell r="CH92">
            <v>0</v>
          </cell>
          <cell r="CI92">
            <v>0</v>
          </cell>
          <cell r="CJ92">
            <v>0</v>
          </cell>
          <cell r="CK92">
            <v>0</v>
          </cell>
          <cell r="CL92">
            <v>0</v>
          </cell>
          <cell r="CM92">
            <v>0</v>
          </cell>
          <cell r="CN92">
            <v>0</v>
          </cell>
          <cell r="CO92">
            <v>0</v>
          </cell>
          <cell r="CP92">
            <v>0</v>
          </cell>
          <cell r="CQ92">
            <v>0</v>
          </cell>
          <cell r="CR92">
            <v>0</v>
          </cell>
          <cell r="CS92">
            <v>0</v>
          </cell>
          <cell r="CT92">
            <v>0</v>
          </cell>
          <cell r="CU92">
            <v>0</v>
          </cell>
          <cell r="CV92">
            <v>0</v>
          </cell>
          <cell r="CW92">
            <v>0</v>
          </cell>
          <cell r="CX92">
            <v>0</v>
          </cell>
          <cell r="CY92">
            <v>0</v>
          </cell>
          <cell r="CZ92">
            <v>0</v>
          </cell>
          <cell r="DA92">
            <v>0</v>
          </cell>
          <cell r="DB92">
            <v>0</v>
          </cell>
          <cell r="DC92">
            <v>0</v>
          </cell>
          <cell r="DD92">
            <v>0</v>
          </cell>
          <cell r="DE92">
            <v>82</v>
          </cell>
          <cell r="DF92">
            <v>0</v>
          </cell>
          <cell r="DG92">
            <v>0</v>
          </cell>
          <cell r="DH92"/>
          <cell r="DI92">
            <v>0</v>
          </cell>
          <cell r="DK92" t="str">
            <v>OK</v>
          </cell>
          <cell r="DM92">
            <v>0</v>
          </cell>
          <cell r="DN92">
            <v>0</v>
          </cell>
          <cell r="DO92"/>
        </row>
        <row r="93">
          <cell r="N93">
            <v>0</v>
          </cell>
          <cell r="O93">
            <v>0</v>
          </cell>
          <cell r="P93"/>
          <cell r="Q93"/>
          <cell r="R93" t="str">
            <v>LIFTING STATION</v>
          </cell>
          <cell r="S93" t="str">
            <v>BACKFILL</v>
          </cell>
          <cell r="T93"/>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cell r="BM93">
            <v>0</v>
          </cell>
          <cell r="BN93">
            <v>0</v>
          </cell>
          <cell r="BO93">
            <v>0</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cell r="CD93">
            <v>0</v>
          </cell>
          <cell r="CE93">
            <v>0</v>
          </cell>
          <cell r="CF93">
            <v>0</v>
          </cell>
          <cell r="CG93">
            <v>0</v>
          </cell>
          <cell r="CH93">
            <v>0</v>
          </cell>
          <cell r="CI93">
            <v>0</v>
          </cell>
          <cell r="CJ93">
            <v>0</v>
          </cell>
          <cell r="CK93">
            <v>0</v>
          </cell>
          <cell r="CL93">
            <v>0</v>
          </cell>
          <cell r="CM93">
            <v>0</v>
          </cell>
          <cell r="CN93">
            <v>0</v>
          </cell>
          <cell r="CO93">
            <v>0</v>
          </cell>
          <cell r="CP93">
            <v>0</v>
          </cell>
          <cell r="CQ93">
            <v>0</v>
          </cell>
          <cell r="CR93">
            <v>0</v>
          </cell>
          <cell r="CS93">
            <v>0</v>
          </cell>
          <cell r="CT93">
            <v>0</v>
          </cell>
          <cell r="CU93">
            <v>0</v>
          </cell>
          <cell r="CV93">
            <v>0</v>
          </cell>
          <cell r="CW93">
            <v>0</v>
          </cell>
          <cell r="CX93">
            <v>0</v>
          </cell>
          <cell r="CY93">
            <v>0</v>
          </cell>
          <cell r="CZ93">
            <v>0</v>
          </cell>
          <cell r="DA93">
            <v>0</v>
          </cell>
          <cell r="DB93">
            <v>0</v>
          </cell>
          <cell r="DC93">
            <v>0</v>
          </cell>
          <cell r="DD93">
            <v>0</v>
          </cell>
          <cell r="DE93">
            <v>83</v>
          </cell>
          <cell r="DF93">
            <v>0</v>
          </cell>
          <cell r="DG93">
            <v>0</v>
          </cell>
          <cell r="DH93"/>
          <cell r="DI93">
            <v>0</v>
          </cell>
          <cell r="DK93" t="str">
            <v>OK</v>
          </cell>
          <cell r="DM93">
            <v>0</v>
          </cell>
          <cell r="DN93">
            <v>0</v>
          </cell>
          <cell r="DO93"/>
        </row>
        <row r="94">
          <cell r="N94">
            <v>0</v>
          </cell>
          <cell r="O94">
            <v>0</v>
          </cell>
          <cell r="P94"/>
          <cell r="Q94"/>
          <cell r="R94" t="str">
            <v>LIFTING STATION</v>
          </cell>
          <cell r="S94" t="str">
            <v>CONCRETE</v>
          </cell>
          <cell r="T94"/>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cell r="BM94">
            <v>0</v>
          </cell>
          <cell r="BN94">
            <v>0</v>
          </cell>
          <cell r="BO94">
            <v>0</v>
          </cell>
          <cell r="BP94">
            <v>0</v>
          </cell>
          <cell r="BQ94">
            <v>0</v>
          </cell>
          <cell r="BR94">
            <v>0</v>
          </cell>
          <cell r="BS94">
            <v>0</v>
          </cell>
          <cell r="BT94">
            <v>0</v>
          </cell>
          <cell r="BU94">
            <v>0</v>
          </cell>
          <cell r="BV94">
            <v>0</v>
          </cell>
          <cell r="BW94">
            <v>0</v>
          </cell>
          <cell r="BX94">
            <v>0</v>
          </cell>
          <cell r="BY94">
            <v>0</v>
          </cell>
          <cell r="BZ94">
            <v>0</v>
          </cell>
          <cell r="CA94">
            <v>0</v>
          </cell>
          <cell r="CB94">
            <v>0</v>
          </cell>
          <cell r="CC94">
            <v>0</v>
          </cell>
          <cell r="CD94">
            <v>0</v>
          </cell>
          <cell r="CE94">
            <v>0</v>
          </cell>
          <cell r="CF94">
            <v>0</v>
          </cell>
          <cell r="CG94">
            <v>0</v>
          </cell>
          <cell r="CH94">
            <v>0</v>
          </cell>
          <cell r="CI94">
            <v>0</v>
          </cell>
          <cell r="CJ94">
            <v>0</v>
          </cell>
          <cell r="CK94">
            <v>0</v>
          </cell>
          <cell r="CL94">
            <v>0</v>
          </cell>
          <cell r="CM94">
            <v>0</v>
          </cell>
          <cell r="CN94">
            <v>0</v>
          </cell>
          <cell r="CO94">
            <v>0</v>
          </cell>
          <cell r="CP94">
            <v>0</v>
          </cell>
          <cell r="CQ94">
            <v>0</v>
          </cell>
          <cell r="CR94">
            <v>0</v>
          </cell>
          <cell r="CS94">
            <v>0</v>
          </cell>
          <cell r="CT94">
            <v>0</v>
          </cell>
          <cell r="CU94">
            <v>0</v>
          </cell>
          <cell r="CV94">
            <v>0</v>
          </cell>
          <cell r="CW94">
            <v>0</v>
          </cell>
          <cell r="CX94">
            <v>0</v>
          </cell>
          <cell r="CY94">
            <v>0</v>
          </cell>
          <cell r="CZ94">
            <v>0</v>
          </cell>
          <cell r="DA94">
            <v>0</v>
          </cell>
          <cell r="DB94">
            <v>0</v>
          </cell>
          <cell r="DC94">
            <v>0</v>
          </cell>
          <cell r="DD94">
            <v>0</v>
          </cell>
          <cell r="DE94">
            <v>84</v>
          </cell>
          <cell r="DF94">
            <v>0</v>
          </cell>
          <cell r="DG94">
            <v>0</v>
          </cell>
          <cell r="DH94"/>
          <cell r="DI94">
            <v>0</v>
          </cell>
          <cell r="DK94" t="str">
            <v>OK</v>
          </cell>
          <cell r="DM94">
            <v>0</v>
          </cell>
          <cell r="DN94">
            <v>0</v>
          </cell>
          <cell r="DO94"/>
        </row>
        <row r="95">
          <cell r="N95">
            <v>0</v>
          </cell>
          <cell r="O95">
            <v>0</v>
          </cell>
          <cell r="P95"/>
          <cell r="Q95"/>
          <cell r="R95" t="str">
            <v>LIFTING STATION</v>
          </cell>
          <cell r="S95" t="str">
            <v>CONCRETE</v>
          </cell>
          <cell r="T95"/>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cell r="BM95">
            <v>0</v>
          </cell>
          <cell r="BN95">
            <v>0</v>
          </cell>
          <cell r="BO95">
            <v>0</v>
          </cell>
          <cell r="BP95">
            <v>0</v>
          </cell>
          <cell r="BQ95">
            <v>0</v>
          </cell>
          <cell r="BR95">
            <v>0</v>
          </cell>
          <cell r="BS95">
            <v>0</v>
          </cell>
          <cell r="BT95">
            <v>0</v>
          </cell>
          <cell r="BU95">
            <v>0</v>
          </cell>
          <cell r="BV95">
            <v>0</v>
          </cell>
          <cell r="BW95">
            <v>0</v>
          </cell>
          <cell r="BX95">
            <v>0</v>
          </cell>
          <cell r="BY95">
            <v>0</v>
          </cell>
          <cell r="BZ95">
            <v>0</v>
          </cell>
          <cell r="CA95">
            <v>0</v>
          </cell>
          <cell r="CB95">
            <v>0</v>
          </cell>
          <cell r="CC95">
            <v>0</v>
          </cell>
          <cell r="CD95">
            <v>0</v>
          </cell>
          <cell r="CE95">
            <v>0</v>
          </cell>
          <cell r="CF95">
            <v>0</v>
          </cell>
          <cell r="CG95">
            <v>0</v>
          </cell>
          <cell r="CH95">
            <v>0</v>
          </cell>
          <cell r="CI95">
            <v>0</v>
          </cell>
          <cell r="CJ95">
            <v>0</v>
          </cell>
          <cell r="CK95">
            <v>0</v>
          </cell>
          <cell r="CL95">
            <v>0</v>
          </cell>
          <cell r="CM95">
            <v>0</v>
          </cell>
          <cell r="CN95">
            <v>0</v>
          </cell>
          <cell r="CO95">
            <v>0</v>
          </cell>
          <cell r="CP95">
            <v>0</v>
          </cell>
          <cell r="CQ95">
            <v>0</v>
          </cell>
          <cell r="CR95">
            <v>0</v>
          </cell>
          <cell r="CS95">
            <v>0</v>
          </cell>
          <cell r="CT95">
            <v>0</v>
          </cell>
          <cell r="CU95">
            <v>0</v>
          </cell>
          <cell r="CV95">
            <v>0</v>
          </cell>
          <cell r="CW95">
            <v>0</v>
          </cell>
          <cell r="CX95">
            <v>0</v>
          </cell>
          <cell r="CY95">
            <v>0</v>
          </cell>
          <cell r="CZ95">
            <v>0</v>
          </cell>
          <cell r="DA95">
            <v>0</v>
          </cell>
          <cell r="DB95">
            <v>0</v>
          </cell>
          <cell r="DC95">
            <v>0</v>
          </cell>
          <cell r="DD95">
            <v>0</v>
          </cell>
          <cell r="DE95">
            <v>85</v>
          </cell>
          <cell r="DF95">
            <v>0</v>
          </cell>
          <cell r="DG95">
            <v>0</v>
          </cell>
          <cell r="DH95"/>
          <cell r="DI95">
            <v>0</v>
          </cell>
          <cell r="DK95" t="str">
            <v>OK</v>
          </cell>
          <cell r="DM95">
            <v>0</v>
          </cell>
          <cell r="DN95">
            <v>0</v>
          </cell>
          <cell r="DO95"/>
        </row>
        <row r="96">
          <cell r="N96">
            <v>0</v>
          </cell>
          <cell r="O96">
            <v>0</v>
          </cell>
          <cell r="P96"/>
          <cell r="Q96"/>
          <cell r="R96" t="str">
            <v>LIFTING STATION</v>
          </cell>
          <cell r="S96" t="str">
            <v>COATING</v>
          </cell>
          <cell r="T96"/>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cell r="BM96">
            <v>0</v>
          </cell>
          <cell r="BN96">
            <v>0</v>
          </cell>
          <cell r="BO96">
            <v>0</v>
          </cell>
          <cell r="BP96">
            <v>0</v>
          </cell>
          <cell r="BQ96">
            <v>0</v>
          </cell>
          <cell r="BR96">
            <v>0</v>
          </cell>
          <cell r="BS96">
            <v>0</v>
          </cell>
          <cell r="BT96">
            <v>0</v>
          </cell>
          <cell r="BU96">
            <v>0</v>
          </cell>
          <cell r="BV96">
            <v>0</v>
          </cell>
          <cell r="BW96">
            <v>0</v>
          </cell>
          <cell r="BX96">
            <v>0</v>
          </cell>
          <cell r="BY96">
            <v>0</v>
          </cell>
          <cell r="BZ96">
            <v>0</v>
          </cell>
          <cell r="CA96">
            <v>0</v>
          </cell>
          <cell r="CB96">
            <v>0</v>
          </cell>
          <cell r="CC96">
            <v>0</v>
          </cell>
          <cell r="CD96">
            <v>0</v>
          </cell>
          <cell r="CE96">
            <v>0</v>
          </cell>
          <cell r="CF96">
            <v>0</v>
          </cell>
          <cell r="CG96">
            <v>0</v>
          </cell>
          <cell r="CH96">
            <v>0</v>
          </cell>
          <cell r="CI96">
            <v>0</v>
          </cell>
          <cell r="CJ96">
            <v>0</v>
          </cell>
          <cell r="CK96">
            <v>0</v>
          </cell>
          <cell r="CL96">
            <v>0</v>
          </cell>
          <cell r="CM96">
            <v>0</v>
          </cell>
          <cell r="CN96">
            <v>0</v>
          </cell>
          <cell r="CO96">
            <v>0</v>
          </cell>
          <cell r="CP96">
            <v>0</v>
          </cell>
          <cell r="CQ96">
            <v>0</v>
          </cell>
          <cell r="CR96">
            <v>0</v>
          </cell>
          <cell r="CS96">
            <v>0</v>
          </cell>
          <cell r="CT96">
            <v>0</v>
          </cell>
          <cell r="CU96">
            <v>0</v>
          </cell>
          <cell r="CV96">
            <v>0</v>
          </cell>
          <cell r="CW96">
            <v>0</v>
          </cell>
          <cell r="CX96">
            <v>0</v>
          </cell>
          <cell r="CY96">
            <v>0</v>
          </cell>
          <cell r="CZ96">
            <v>0</v>
          </cell>
          <cell r="DA96">
            <v>0</v>
          </cell>
          <cell r="DB96">
            <v>0</v>
          </cell>
          <cell r="DC96">
            <v>0</v>
          </cell>
          <cell r="DD96">
            <v>0</v>
          </cell>
          <cell r="DE96">
            <v>86</v>
          </cell>
          <cell r="DF96">
            <v>0</v>
          </cell>
          <cell r="DG96">
            <v>0</v>
          </cell>
          <cell r="DH96"/>
          <cell r="DI96">
            <v>0</v>
          </cell>
          <cell r="DK96" t="str">
            <v>OK</v>
          </cell>
          <cell r="DM96">
            <v>0</v>
          </cell>
          <cell r="DN96">
            <v>0</v>
          </cell>
          <cell r="DO96"/>
        </row>
        <row r="97">
          <cell r="N97">
            <v>0</v>
          </cell>
          <cell r="O97">
            <v>0</v>
          </cell>
          <cell r="P97"/>
          <cell r="Q97"/>
          <cell r="R97" t="str">
            <v>LIFTING STATION</v>
          </cell>
          <cell r="S97" t="str">
            <v>COVERS</v>
          </cell>
          <cell r="T97"/>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cell r="BM97">
            <v>0</v>
          </cell>
          <cell r="BN97">
            <v>0</v>
          </cell>
          <cell r="BO97">
            <v>0</v>
          </cell>
          <cell r="BP97">
            <v>0</v>
          </cell>
          <cell r="BQ97">
            <v>0</v>
          </cell>
          <cell r="BR97">
            <v>0</v>
          </cell>
          <cell r="BS97">
            <v>0</v>
          </cell>
          <cell r="BT97">
            <v>0</v>
          </cell>
          <cell r="BU97">
            <v>0</v>
          </cell>
          <cell r="BV97">
            <v>0</v>
          </cell>
          <cell r="BW97">
            <v>0</v>
          </cell>
          <cell r="BX97">
            <v>0</v>
          </cell>
          <cell r="BY97">
            <v>0</v>
          </cell>
          <cell r="BZ97">
            <v>0</v>
          </cell>
          <cell r="CA97">
            <v>0</v>
          </cell>
          <cell r="CB97">
            <v>0</v>
          </cell>
          <cell r="CC97">
            <v>0</v>
          </cell>
          <cell r="CD97">
            <v>0</v>
          </cell>
          <cell r="CE97">
            <v>0</v>
          </cell>
          <cell r="CF97">
            <v>0</v>
          </cell>
          <cell r="CG97">
            <v>0</v>
          </cell>
          <cell r="CH97">
            <v>0</v>
          </cell>
          <cell r="CI97">
            <v>0</v>
          </cell>
          <cell r="CJ97">
            <v>0</v>
          </cell>
          <cell r="CK97">
            <v>0</v>
          </cell>
          <cell r="CL97">
            <v>0</v>
          </cell>
          <cell r="CM97">
            <v>0</v>
          </cell>
          <cell r="CN97">
            <v>0</v>
          </cell>
          <cell r="CO97">
            <v>0</v>
          </cell>
          <cell r="CP97">
            <v>0</v>
          </cell>
          <cell r="CQ97">
            <v>0</v>
          </cell>
          <cell r="CR97">
            <v>0</v>
          </cell>
          <cell r="CS97">
            <v>0</v>
          </cell>
          <cell r="CT97">
            <v>0</v>
          </cell>
          <cell r="CU97">
            <v>0</v>
          </cell>
          <cell r="CV97">
            <v>0</v>
          </cell>
          <cell r="CW97">
            <v>0</v>
          </cell>
          <cell r="CX97">
            <v>0</v>
          </cell>
          <cell r="CY97">
            <v>0</v>
          </cell>
          <cell r="CZ97">
            <v>0</v>
          </cell>
          <cell r="DA97">
            <v>0</v>
          </cell>
          <cell r="DB97">
            <v>0</v>
          </cell>
          <cell r="DC97">
            <v>0</v>
          </cell>
          <cell r="DD97">
            <v>0</v>
          </cell>
          <cell r="DE97">
            <v>87</v>
          </cell>
          <cell r="DF97">
            <v>0</v>
          </cell>
          <cell r="DG97">
            <v>0</v>
          </cell>
          <cell r="DH97"/>
          <cell r="DI97">
            <v>0</v>
          </cell>
          <cell r="DK97" t="str">
            <v>OK</v>
          </cell>
          <cell r="DM97">
            <v>0</v>
          </cell>
          <cell r="DN97">
            <v>0</v>
          </cell>
          <cell r="DO97"/>
        </row>
        <row r="98">
          <cell r="N98">
            <v>0</v>
          </cell>
          <cell r="O98">
            <v>0</v>
          </cell>
          <cell r="P98"/>
          <cell r="Q98"/>
          <cell r="R98" t="str">
            <v>CPI FOUNDATION</v>
          </cell>
          <cell r="S98" t="str">
            <v>CPI</v>
          </cell>
          <cell r="T98"/>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cell r="BM98">
            <v>0</v>
          </cell>
          <cell r="BN98">
            <v>0</v>
          </cell>
          <cell r="BO98">
            <v>0</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cell r="CP98">
            <v>0</v>
          </cell>
          <cell r="CQ98">
            <v>0</v>
          </cell>
          <cell r="CR98">
            <v>0</v>
          </cell>
          <cell r="CS98">
            <v>0</v>
          </cell>
          <cell r="CT98">
            <v>0</v>
          </cell>
          <cell r="CU98">
            <v>0</v>
          </cell>
          <cell r="CV98">
            <v>0</v>
          </cell>
          <cell r="CW98">
            <v>0</v>
          </cell>
          <cell r="CX98">
            <v>0</v>
          </cell>
          <cell r="CY98">
            <v>0</v>
          </cell>
          <cell r="CZ98">
            <v>0</v>
          </cell>
          <cell r="DA98">
            <v>0</v>
          </cell>
          <cell r="DB98">
            <v>0</v>
          </cell>
          <cell r="DC98">
            <v>0</v>
          </cell>
          <cell r="DD98">
            <v>0</v>
          </cell>
          <cell r="DE98">
            <v>88</v>
          </cell>
          <cell r="DF98">
            <v>0</v>
          </cell>
          <cell r="DG98">
            <v>0</v>
          </cell>
          <cell r="DH98"/>
          <cell r="DI98">
            <v>0</v>
          </cell>
          <cell r="DK98" t="str">
            <v>OK</v>
          </cell>
          <cell r="DM98">
            <v>0</v>
          </cell>
          <cell r="DN98">
            <v>0</v>
          </cell>
          <cell r="DO98"/>
        </row>
        <row r="99">
          <cell r="N99">
            <v>0</v>
          </cell>
          <cell r="O99">
            <v>0</v>
          </cell>
          <cell r="P99"/>
          <cell r="Q99"/>
          <cell r="R99" t="str">
            <v>EXTERNAL WORKS</v>
          </cell>
          <cell r="S99" t="str">
            <v>PAVING</v>
          </cell>
          <cell r="T99"/>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cell r="BM99">
            <v>0</v>
          </cell>
          <cell r="BN99">
            <v>0</v>
          </cell>
          <cell r="BO99">
            <v>0</v>
          </cell>
          <cell r="BP99">
            <v>0</v>
          </cell>
          <cell r="BQ99">
            <v>0</v>
          </cell>
          <cell r="BR99">
            <v>0</v>
          </cell>
          <cell r="BS99">
            <v>0</v>
          </cell>
          <cell r="BT99">
            <v>0</v>
          </cell>
          <cell r="BU99">
            <v>0</v>
          </cell>
          <cell r="BV99">
            <v>0</v>
          </cell>
          <cell r="BW99">
            <v>0</v>
          </cell>
          <cell r="BX99">
            <v>0</v>
          </cell>
          <cell r="BY99">
            <v>0</v>
          </cell>
          <cell r="BZ99">
            <v>0</v>
          </cell>
          <cell r="CA99">
            <v>0</v>
          </cell>
          <cell r="CB99">
            <v>0</v>
          </cell>
          <cell r="CC99">
            <v>0</v>
          </cell>
          <cell r="CD99">
            <v>0</v>
          </cell>
          <cell r="CE99">
            <v>0</v>
          </cell>
          <cell r="CF99">
            <v>0</v>
          </cell>
          <cell r="CG99">
            <v>0</v>
          </cell>
          <cell r="CH99">
            <v>0</v>
          </cell>
          <cell r="CI99">
            <v>0</v>
          </cell>
          <cell r="CJ99">
            <v>0</v>
          </cell>
          <cell r="CK99">
            <v>0</v>
          </cell>
          <cell r="CL99">
            <v>0</v>
          </cell>
          <cell r="CM99">
            <v>0</v>
          </cell>
          <cell r="CN99">
            <v>0</v>
          </cell>
          <cell r="CO99">
            <v>0</v>
          </cell>
          <cell r="CP99">
            <v>0</v>
          </cell>
          <cell r="CQ99">
            <v>0</v>
          </cell>
          <cell r="CR99">
            <v>0</v>
          </cell>
          <cell r="CS99">
            <v>0</v>
          </cell>
          <cell r="CT99">
            <v>0</v>
          </cell>
          <cell r="CU99">
            <v>0</v>
          </cell>
          <cell r="CV99">
            <v>0</v>
          </cell>
          <cell r="CW99">
            <v>0</v>
          </cell>
          <cell r="CX99">
            <v>0</v>
          </cell>
          <cell r="CY99">
            <v>0</v>
          </cell>
          <cell r="CZ99">
            <v>0</v>
          </cell>
          <cell r="DA99">
            <v>0</v>
          </cell>
          <cell r="DB99">
            <v>0</v>
          </cell>
          <cell r="DC99">
            <v>0</v>
          </cell>
          <cell r="DD99">
            <v>0</v>
          </cell>
          <cell r="DE99">
            <v>89</v>
          </cell>
          <cell r="DF99">
            <v>0</v>
          </cell>
          <cell r="DG99">
            <v>0</v>
          </cell>
          <cell r="DH99"/>
          <cell r="DI99">
            <v>0</v>
          </cell>
          <cell r="DK99" t="str">
            <v>OK</v>
          </cell>
          <cell r="DM99">
            <v>0</v>
          </cell>
          <cell r="DN99">
            <v>0</v>
          </cell>
          <cell r="DO99"/>
        </row>
        <row r="100">
          <cell r="N100">
            <v>0</v>
          </cell>
          <cell r="O100">
            <v>0</v>
          </cell>
          <cell r="P100"/>
          <cell r="Q100"/>
          <cell r="R100" t="str">
            <v>EXTERNAL WORKS</v>
          </cell>
          <cell r="S100" t="str">
            <v>PAVING</v>
          </cell>
          <cell r="T100"/>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cell r="BM100">
            <v>0</v>
          </cell>
          <cell r="BN100">
            <v>0</v>
          </cell>
          <cell r="BO100">
            <v>0</v>
          </cell>
          <cell r="BP100">
            <v>0</v>
          </cell>
          <cell r="BQ100">
            <v>0</v>
          </cell>
          <cell r="BR100">
            <v>0</v>
          </cell>
          <cell r="BS100">
            <v>0</v>
          </cell>
          <cell r="BT100">
            <v>0</v>
          </cell>
          <cell r="BU100">
            <v>0</v>
          </cell>
          <cell r="BV100">
            <v>0</v>
          </cell>
          <cell r="BW100">
            <v>0</v>
          </cell>
          <cell r="BX100">
            <v>0</v>
          </cell>
          <cell r="BY100">
            <v>0</v>
          </cell>
          <cell r="BZ100">
            <v>0</v>
          </cell>
          <cell r="CA100">
            <v>0</v>
          </cell>
          <cell r="CB100">
            <v>0</v>
          </cell>
          <cell r="CC100">
            <v>0</v>
          </cell>
          <cell r="CD100">
            <v>0</v>
          </cell>
          <cell r="CE100">
            <v>0</v>
          </cell>
          <cell r="CF100">
            <v>0</v>
          </cell>
          <cell r="CG100">
            <v>0</v>
          </cell>
          <cell r="CH100">
            <v>0</v>
          </cell>
          <cell r="CI100">
            <v>0</v>
          </cell>
          <cell r="CJ100">
            <v>0</v>
          </cell>
          <cell r="CK100">
            <v>0</v>
          </cell>
          <cell r="CL100">
            <v>0</v>
          </cell>
          <cell r="CM100">
            <v>0</v>
          </cell>
          <cell r="CN100">
            <v>0</v>
          </cell>
          <cell r="CO100">
            <v>0</v>
          </cell>
          <cell r="CP100">
            <v>0</v>
          </cell>
          <cell r="CQ100">
            <v>0</v>
          </cell>
          <cell r="CR100">
            <v>0</v>
          </cell>
          <cell r="CS100">
            <v>0</v>
          </cell>
          <cell r="CT100">
            <v>0</v>
          </cell>
          <cell r="CU100">
            <v>0</v>
          </cell>
          <cell r="CV100">
            <v>0</v>
          </cell>
          <cell r="CW100">
            <v>0</v>
          </cell>
          <cell r="CX100">
            <v>0</v>
          </cell>
          <cell r="CY100">
            <v>0</v>
          </cell>
          <cell r="CZ100">
            <v>0</v>
          </cell>
          <cell r="DA100">
            <v>0</v>
          </cell>
          <cell r="DB100">
            <v>0</v>
          </cell>
          <cell r="DC100">
            <v>0</v>
          </cell>
          <cell r="DD100">
            <v>0</v>
          </cell>
          <cell r="DE100">
            <v>90</v>
          </cell>
          <cell r="DF100">
            <v>0</v>
          </cell>
          <cell r="DG100">
            <v>0</v>
          </cell>
          <cell r="DH100"/>
          <cell r="DI100">
            <v>0</v>
          </cell>
          <cell r="DK100" t="str">
            <v>OK</v>
          </cell>
          <cell r="DM100">
            <v>0</v>
          </cell>
          <cell r="DN100">
            <v>0</v>
          </cell>
          <cell r="DO100"/>
        </row>
        <row r="101">
          <cell r="N101">
            <v>0</v>
          </cell>
          <cell r="O101">
            <v>0</v>
          </cell>
          <cell r="P101"/>
          <cell r="Q101"/>
          <cell r="R101" t="str">
            <v>EXTERNAL WORKS</v>
          </cell>
          <cell r="S101" t="str">
            <v>GRAVEL SPREAD</v>
          </cell>
          <cell r="T101"/>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cell r="BM101">
            <v>0</v>
          </cell>
          <cell r="BN101">
            <v>0</v>
          </cell>
          <cell r="BO101">
            <v>0</v>
          </cell>
          <cell r="BP101">
            <v>0</v>
          </cell>
          <cell r="BQ101">
            <v>0</v>
          </cell>
          <cell r="BR101">
            <v>0</v>
          </cell>
          <cell r="BS101">
            <v>0</v>
          </cell>
          <cell r="BT101">
            <v>0</v>
          </cell>
          <cell r="BU101">
            <v>0</v>
          </cell>
          <cell r="BV101">
            <v>0</v>
          </cell>
          <cell r="BW101">
            <v>0</v>
          </cell>
          <cell r="BX101">
            <v>0</v>
          </cell>
          <cell r="BY101">
            <v>0</v>
          </cell>
          <cell r="BZ101">
            <v>0</v>
          </cell>
          <cell r="CA101">
            <v>0</v>
          </cell>
          <cell r="CB101">
            <v>0</v>
          </cell>
          <cell r="CC101">
            <v>0</v>
          </cell>
          <cell r="CD101">
            <v>0</v>
          </cell>
          <cell r="CE101">
            <v>0</v>
          </cell>
          <cell r="CF101">
            <v>0</v>
          </cell>
          <cell r="CG101">
            <v>0</v>
          </cell>
          <cell r="CH101">
            <v>0</v>
          </cell>
          <cell r="CI101">
            <v>0</v>
          </cell>
          <cell r="CJ101">
            <v>0</v>
          </cell>
          <cell r="CK101">
            <v>0</v>
          </cell>
          <cell r="CL101">
            <v>0</v>
          </cell>
          <cell r="CM101">
            <v>0</v>
          </cell>
          <cell r="CN101">
            <v>0</v>
          </cell>
          <cell r="CO101">
            <v>0</v>
          </cell>
          <cell r="CP101">
            <v>0</v>
          </cell>
          <cell r="CQ101">
            <v>0</v>
          </cell>
          <cell r="CR101">
            <v>0</v>
          </cell>
          <cell r="CS101">
            <v>0</v>
          </cell>
          <cell r="CT101">
            <v>0</v>
          </cell>
          <cell r="CU101">
            <v>0</v>
          </cell>
          <cell r="CV101">
            <v>0</v>
          </cell>
          <cell r="CW101">
            <v>0</v>
          </cell>
          <cell r="CX101">
            <v>0</v>
          </cell>
          <cell r="CY101">
            <v>0</v>
          </cell>
          <cell r="CZ101">
            <v>0</v>
          </cell>
          <cell r="DA101">
            <v>0</v>
          </cell>
          <cell r="DB101">
            <v>0</v>
          </cell>
          <cell r="DC101">
            <v>0</v>
          </cell>
          <cell r="DD101">
            <v>0</v>
          </cell>
          <cell r="DE101">
            <v>91</v>
          </cell>
          <cell r="DF101">
            <v>0</v>
          </cell>
          <cell r="DG101">
            <v>0</v>
          </cell>
          <cell r="DH101"/>
          <cell r="DI101">
            <v>0</v>
          </cell>
          <cell r="DK101" t="str">
            <v>OK</v>
          </cell>
          <cell r="DM101">
            <v>0</v>
          </cell>
          <cell r="DN101">
            <v>0</v>
          </cell>
          <cell r="DO101"/>
        </row>
        <row r="102">
          <cell r="N102">
            <v>0</v>
          </cell>
          <cell r="O102">
            <v>0</v>
          </cell>
          <cell r="P102"/>
          <cell r="Q102"/>
          <cell r="R102" t="str">
            <v>EXTERNAL WORKS</v>
          </cell>
          <cell r="S102" t="str">
            <v>PAVING</v>
          </cell>
          <cell r="T102"/>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cell r="BM102">
            <v>0</v>
          </cell>
          <cell r="BN102">
            <v>0</v>
          </cell>
          <cell r="BO102">
            <v>0</v>
          </cell>
          <cell r="BP102">
            <v>0</v>
          </cell>
          <cell r="BQ102">
            <v>0</v>
          </cell>
          <cell r="BR102">
            <v>0</v>
          </cell>
          <cell r="BS102">
            <v>0</v>
          </cell>
          <cell r="BT102">
            <v>0</v>
          </cell>
          <cell r="BU102">
            <v>0</v>
          </cell>
          <cell r="BV102">
            <v>0</v>
          </cell>
          <cell r="BW102">
            <v>0</v>
          </cell>
          <cell r="BX102">
            <v>0</v>
          </cell>
          <cell r="BY102">
            <v>0</v>
          </cell>
          <cell r="BZ102">
            <v>0</v>
          </cell>
          <cell r="CA102">
            <v>0</v>
          </cell>
          <cell r="CB102">
            <v>0</v>
          </cell>
          <cell r="CC102">
            <v>0</v>
          </cell>
          <cell r="CD102">
            <v>0</v>
          </cell>
          <cell r="CE102">
            <v>0</v>
          </cell>
          <cell r="CF102">
            <v>0</v>
          </cell>
          <cell r="CG102">
            <v>0</v>
          </cell>
          <cell r="CH102">
            <v>0</v>
          </cell>
          <cell r="CI102">
            <v>0</v>
          </cell>
          <cell r="CJ102">
            <v>0</v>
          </cell>
          <cell r="CK102">
            <v>0</v>
          </cell>
          <cell r="CL102">
            <v>0</v>
          </cell>
          <cell r="CM102">
            <v>0</v>
          </cell>
          <cell r="CN102">
            <v>0</v>
          </cell>
          <cell r="CO102">
            <v>0</v>
          </cell>
          <cell r="CP102">
            <v>0</v>
          </cell>
          <cell r="CQ102">
            <v>0</v>
          </cell>
          <cell r="CR102">
            <v>0</v>
          </cell>
          <cell r="CS102">
            <v>0</v>
          </cell>
          <cell r="CT102">
            <v>0</v>
          </cell>
          <cell r="CU102">
            <v>0</v>
          </cell>
          <cell r="CV102">
            <v>0</v>
          </cell>
          <cell r="CW102">
            <v>0</v>
          </cell>
          <cell r="CX102">
            <v>0</v>
          </cell>
          <cell r="CY102">
            <v>0</v>
          </cell>
          <cell r="CZ102">
            <v>0</v>
          </cell>
          <cell r="DA102">
            <v>0</v>
          </cell>
          <cell r="DB102">
            <v>0</v>
          </cell>
          <cell r="DC102">
            <v>0</v>
          </cell>
          <cell r="DD102">
            <v>0</v>
          </cell>
          <cell r="DE102">
            <v>92</v>
          </cell>
          <cell r="DF102">
            <v>0</v>
          </cell>
          <cell r="DG102">
            <v>0</v>
          </cell>
          <cell r="DH102"/>
          <cell r="DI102">
            <v>0</v>
          </cell>
          <cell r="DK102" t="str">
            <v>OK</v>
          </cell>
          <cell r="DM102">
            <v>0</v>
          </cell>
          <cell r="DN102">
            <v>0</v>
          </cell>
          <cell r="DO102"/>
        </row>
        <row r="103">
          <cell r="N103">
            <v>0</v>
          </cell>
          <cell r="O103">
            <v>0</v>
          </cell>
          <cell r="P103"/>
          <cell r="Q103"/>
          <cell r="T103"/>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cell r="BM103">
            <v>0</v>
          </cell>
          <cell r="BN103">
            <v>0</v>
          </cell>
          <cell r="BO103">
            <v>0</v>
          </cell>
          <cell r="BP103">
            <v>0</v>
          </cell>
          <cell r="BQ103">
            <v>0</v>
          </cell>
          <cell r="BR103">
            <v>0</v>
          </cell>
          <cell r="BS103">
            <v>0</v>
          </cell>
          <cell r="BT103">
            <v>0</v>
          </cell>
          <cell r="BU103">
            <v>0</v>
          </cell>
          <cell r="BV103">
            <v>0</v>
          </cell>
          <cell r="BW103">
            <v>0</v>
          </cell>
          <cell r="BX103">
            <v>0</v>
          </cell>
          <cell r="BY103">
            <v>0</v>
          </cell>
          <cell r="BZ103">
            <v>0</v>
          </cell>
          <cell r="CA103">
            <v>0</v>
          </cell>
          <cell r="CB103">
            <v>0</v>
          </cell>
          <cell r="CC103">
            <v>0</v>
          </cell>
          <cell r="CD103">
            <v>0</v>
          </cell>
          <cell r="CE103">
            <v>0</v>
          </cell>
          <cell r="CF103">
            <v>0</v>
          </cell>
          <cell r="CG103">
            <v>0</v>
          </cell>
          <cell r="CH103">
            <v>0</v>
          </cell>
          <cell r="CI103">
            <v>0</v>
          </cell>
          <cell r="CJ103">
            <v>0</v>
          </cell>
          <cell r="CK103">
            <v>0</v>
          </cell>
          <cell r="CL103">
            <v>0</v>
          </cell>
          <cell r="CM103">
            <v>0</v>
          </cell>
          <cell r="CN103">
            <v>0</v>
          </cell>
          <cell r="CO103">
            <v>0</v>
          </cell>
          <cell r="CP103">
            <v>0</v>
          </cell>
          <cell r="CQ103">
            <v>0</v>
          </cell>
          <cell r="CR103">
            <v>0</v>
          </cell>
          <cell r="CS103">
            <v>0</v>
          </cell>
          <cell r="CT103">
            <v>0</v>
          </cell>
          <cell r="CU103">
            <v>0</v>
          </cell>
          <cell r="CV103">
            <v>0</v>
          </cell>
          <cell r="CW103">
            <v>0</v>
          </cell>
          <cell r="CX103">
            <v>0</v>
          </cell>
          <cell r="CY103">
            <v>0</v>
          </cell>
          <cell r="CZ103">
            <v>0</v>
          </cell>
          <cell r="DA103">
            <v>0</v>
          </cell>
          <cell r="DB103">
            <v>0</v>
          </cell>
          <cell r="DC103">
            <v>0</v>
          </cell>
          <cell r="DD103">
            <v>0</v>
          </cell>
          <cell r="DE103">
            <v>93</v>
          </cell>
          <cell r="DF103">
            <v>0</v>
          </cell>
          <cell r="DG103">
            <v>0</v>
          </cell>
          <cell r="DH103"/>
          <cell r="DI103">
            <v>0</v>
          </cell>
          <cell r="DK103" t="str">
            <v>OK</v>
          </cell>
          <cell r="DM103">
            <v>0</v>
          </cell>
          <cell r="DN103">
            <v>0</v>
          </cell>
          <cell r="DO103"/>
        </row>
        <row r="104">
          <cell r="N104">
            <v>0</v>
          </cell>
          <cell r="O104">
            <v>0</v>
          </cell>
          <cell r="P104"/>
          <cell r="Q104"/>
          <cell r="T104"/>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cell r="BM104">
            <v>0</v>
          </cell>
          <cell r="BN104">
            <v>0</v>
          </cell>
          <cell r="BO104">
            <v>0</v>
          </cell>
          <cell r="BP104">
            <v>0</v>
          </cell>
          <cell r="BQ104">
            <v>0</v>
          </cell>
          <cell r="BR104">
            <v>0</v>
          </cell>
          <cell r="BS104">
            <v>0</v>
          </cell>
          <cell r="BT104">
            <v>0</v>
          </cell>
          <cell r="BU104">
            <v>0</v>
          </cell>
          <cell r="BV104">
            <v>0</v>
          </cell>
          <cell r="BW104">
            <v>0</v>
          </cell>
          <cell r="BX104">
            <v>0</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0</v>
          </cell>
          <cell r="CP104">
            <v>0</v>
          </cell>
          <cell r="CQ104">
            <v>0</v>
          </cell>
          <cell r="CR104">
            <v>0</v>
          </cell>
          <cell r="CS104">
            <v>0</v>
          </cell>
          <cell r="CT104">
            <v>0</v>
          </cell>
          <cell r="CU104">
            <v>0</v>
          </cell>
          <cell r="CV104">
            <v>0</v>
          </cell>
          <cell r="CW104">
            <v>0</v>
          </cell>
          <cell r="CX104">
            <v>0</v>
          </cell>
          <cell r="CY104">
            <v>0</v>
          </cell>
          <cell r="CZ104">
            <v>0</v>
          </cell>
          <cell r="DA104">
            <v>0</v>
          </cell>
          <cell r="DB104">
            <v>0</v>
          </cell>
          <cell r="DC104">
            <v>0</v>
          </cell>
          <cell r="DD104">
            <v>0</v>
          </cell>
          <cell r="DE104">
            <v>94</v>
          </cell>
          <cell r="DF104">
            <v>0</v>
          </cell>
          <cell r="DG104">
            <v>0</v>
          </cell>
          <cell r="DH104"/>
          <cell r="DI104">
            <v>0</v>
          </cell>
          <cell r="DK104" t="str">
            <v>OK</v>
          </cell>
          <cell r="DM104">
            <v>0</v>
          </cell>
          <cell r="DN104">
            <v>0</v>
          </cell>
          <cell r="DO104"/>
        </row>
        <row r="105">
          <cell r="N105">
            <v>0</v>
          </cell>
          <cell r="O105">
            <v>0</v>
          </cell>
          <cell r="P105"/>
          <cell r="Q105"/>
          <cell r="T105"/>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cell r="BM105">
            <v>0</v>
          </cell>
          <cell r="BN105">
            <v>0</v>
          </cell>
          <cell r="BO105">
            <v>0</v>
          </cell>
          <cell r="BP105">
            <v>0</v>
          </cell>
          <cell r="BQ105">
            <v>0</v>
          </cell>
          <cell r="BR105">
            <v>0</v>
          </cell>
          <cell r="BS105">
            <v>0</v>
          </cell>
          <cell r="BT105">
            <v>0</v>
          </cell>
          <cell r="BU105">
            <v>0</v>
          </cell>
          <cell r="BV105">
            <v>0</v>
          </cell>
          <cell r="BW105">
            <v>0</v>
          </cell>
          <cell r="BX105">
            <v>0</v>
          </cell>
          <cell r="BY105">
            <v>0</v>
          </cell>
          <cell r="BZ105">
            <v>0</v>
          </cell>
          <cell r="CA105">
            <v>0</v>
          </cell>
          <cell r="CB105">
            <v>0</v>
          </cell>
          <cell r="CC105">
            <v>0</v>
          </cell>
          <cell r="CD105">
            <v>0</v>
          </cell>
          <cell r="CE105">
            <v>0</v>
          </cell>
          <cell r="CF105">
            <v>0</v>
          </cell>
          <cell r="CG105">
            <v>0</v>
          </cell>
          <cell r="CH105">
            <v>0</v>
          </cell>
          <cell r="CI105">
            <v>0</v>
          </cell>
          <cell r="CJ105">
            <v>0</v>
          </cell>
          <cell r="CK105">
            <v>0</v>
          </cell>
          <cell r="CL105">
            <v>0</v>
          </cell>
          <cell r="CM105">
            <v>0</v>
          </cell>
          <cell r="CN105">
            <v>0</v>
          </cell>
          <cell r="CO105">
            <v>0</v>
          </cell>
          <cell r="CP105">
            <v>0</v>
          </cell>
          <cell r="CQ105">
            <v>0</v>
          </cell>
          <cell r="CR105">
            <v>0</v>
          </cell>
          <cell r="CS105">
            <v>0</v>
          </cell>
          <cell r="CT105">
            <v>0</v>
          </cell>
          <cell r="CU105">
            <v>0</v>
          </cell>
          <cell r="CV105">
            <v>0</v>
          </cell>
          <cell r="CW105">
            <v>0</v>
          </cell>
          <cell r="CX105">
            <v>0</v>
          </cell>
          <cell r="CY105">
            <v>0</v>
          </cell>
          <cell r="CZ105">
            <v>0</v>
          </cell>
          <cell r="DA105">
            <v>0</v>
          </cell>
          <cell r="DB105">
            <v>0</v>
          </cell>
          <cell r="DC105">
            <v>0</v>
          </cell>
          <cell r="DD105">
            <v>0</v>
          </cell>
          <cell r="DE105">
            <v>95</v>
          </cell>
          <cell r="DF105">
            <v>0</v>
          </cell>
          <cell r="DG105">
            <v>0</v>
          </cell>
          <cell r="DH105"/>
          <cell r="DI105">
            <v>0</v>
          </cell>
          <cell r="DK105" t="str">
            <v>OK</v>
          </cell>
          <cell r="DM105">
            <v>0</v>
          </cell>
          <cell r="DN105">
            <v>0</v>
          </cell>
          <cell r="DO105"/>
        </row>
        <row r="106">
          <cell r="N106">
            <v>0</v>
          </cell>
          <cell r="O106">
            <v>0</v>
          </cell>
          <cell r="P106"/>
          <cell r="Q106"/>
          <cell r="T106"/>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cell r="BM106">
            <v>0</v>
          </cell>
          <cell r="BN106">
            <v>0</v>
          </cell>
          <cell r="BO106">
            <v>0</v>
          </cell>
          <cell r="BP106">
            <v>0</v>
          </cell>
          <cell r="BQ106">
            <v>0</v>
          </cell>
          <cell r="BR106">
            <v>0</v>
          </cell>
          <cell r="BS106">
            <v>0</v>
          </cell>
          <cell r="BT106">
            <v>0</v>
          </cell>
          <cell r="BU106">
            <v>0</v>
          </cell>
          <cell r="BV106">
            <v>0</v>
          </cell>
          <cell r="BW106">
            <v>0</v>
          </cell>
          <cell r="BX106">
            <v>0</v>
          </cell>
          <cell r="BY106">
            <v>0</v>
          </cell>
          <cell r="BZ106">
            <v>0</v>
          </cell>
          <cell r="CA106">
            <v>0</v>
          </cell>
          <cell r="CB106">
            <v>0</v>
          </cell>
          <cell r="CC106">
            <v>0</v>
          </cell>
          <cell r="CD106">
            <v>0</v>
          </cell>
          <cell r="CE106">
            <v>0</v>
          </cell>
          <cell r="CF106">
            <v>0</v>
          </cell>
          <cell r="CG106">
            <v>0</v>
          </cell>
          <cell r="CH106">
            <v>0</v>
          </cell>
          <cell r="CI106">
            <v>0</v>
          </cell>
          <cell r="CJ106">
            <v>0</v>
          </cell>
          <cell r="CK106">
            <v>0</v>
          </cell>
          <cell r="CL106">
            <v>0</v>
          </cell>
          <cell r="CM106">
            <v>0</v>
          </cell>
          <cell r="CN106">
            <v>0</v>
          </cell>
          <cell r="CO106">
            <v>0</v>
          </cell>
          <cell r="CP106">
            <v>0</v>
          </cell>
          <cell r="CQ106">
            <v>0</v>
          </cell>
          <cell r="CR106">
            <v>0</v>
          </cell>
          <cell r="CS106">
            <v>0</v>
          </cell>
          <cell r="CT106">
            <v>0</v>
          </cell>
          <cell r="CU106">
            <v>0</v>
          </cell>
          <cell r="CV106">
            <v>0</v>
          </cell>
          <cell r="CW106">
            <v>0</v>
          </cell>
          <cell r="CX106">
            <v>0</v>
          </cell>
          <cell r="CY106">
            <v>0</v>
          </cell>
          <cell r="CZ106">
            <v>0</v>
          </cell>
          <cell r="DA106">
            <v>0</v>
          </cell>
          <cell r="DB106">
            <v>0</v>
          </cell>
          <cell r="DC106">
            <v>0</v>
          </cell>
          <cell r="DD106">
            <v>0</v>
          </cell>
          <cell r="DE106">
            <v>96</v>
          </cell>
          <cell r="DF106">
            <v>0</v>
          </cell>
          <cell r="DG106">
            <v>0</v>
          </cell>
          <cell r="DH106"/>
          <cell r="DI106">
            <v>0</v>
          </cell>
          <cell r="DK106" t="str">
            <v>OK</v>
          </cell>
          <cell r="DM106">
            <v>0</v>
          </cell>
          <cell r="DN106">
            <v>0</v>
          </cell>
          <cell r="DO106"/>
        </row>
        <row r="107">
          <cell r="N107">
            <v>0</v>
          </cell>
          <cell r="O107">
            <v>0</v>
          </cell>
          <cell r="P107"/>
          <cell r="Q107"/>
          <cell r="T107"/>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cell r="BM107">
            <v>0</v>
          </cell>
          <cell r="BN107">
            <v>0</v>
          </cell>
          <cell r="BO107">
            <v>0</v>
          </cell>
          <cell r="BP107">
            <v>0</v>
          </cell>
          <cell r="BQ107">
            <v>0</v>
          </cell>
          <cell r="BR107">
            <v>0</v>
          </cell>
          <cell r="BS107">
            <v>0</v>
          </cell>
          <cell r="BT107">
            <v>0</v>
          </cell>
          <cell r="BU107">
            <v>0</v>
          </cell>
          <cell r="BV107">
            <v>0</v>
          </cell>
          <cell r="BW107">
            <v>0</v>
          </cell>
          <cell r="BX107">
            <v>0</v>
          </cell>
          <cell r="BY107">
            <v>0</v>
          </cell>
          <cell r="BZ107">
            <v>0</v>
          </cell>
          <cell r="CA107">
            <v>0</v>
          </cell>
          <cell r="CB107">
            <v>0</v>
          </cell>
          <cell r="CC107">
            <v>0</v>
          </cell>
          <cell r="CD107">
            <v>0</v>
          </cell>
          <cell r="CE107">
            <v>0</v>
          </cell>
          <cell r="CF107">
            <v>0</v>
          </cell>
          <cell r="CG107">
            <v>0</v>
          </cell>
          <cell r="CH107">
            <v>0</v>
          </cell>
          <cell r="CI107">
            <v>0</v>
          </cell>
          <cell r="CJ107">
            <v>0</v>
          </cell>
          <cell r="CK107">
            <v>0</v>
          </cell>
          <cell r="CL107">
            <v>0</v>
          </cell>
          <cell r="CM107">
            <v>0</v>
          </cell>
          <cell r="CN107">
            <v>0</v>
          </cell>
          <cell r="CO107">
            <v>0</v>
          </cell>
          <cell r="CP107">
            <v>0</v>
          </cell>
          <cell r="CQ107">
            <v>0</v>
          </cell>
          <cell r="CR107">
            <v>0</v>
          </cell>
          <cell r="CS107">
            <v>0</v>
          </cell>
          <cell r="CT107">
            <v>0</v>
          </cell>
          <cell r="CU107">
            <v>0</v>
          </cell>
          <cell r="CV107">
            <v>0</v>
          </cell>
          <cell r="CW107">
            <v>0</v>
          </cell>
          <cell r="CX107">
            <v>0</v>
          </cell>
          <cell r="CY107">
            <v>0</v>
          </cell>
          <cell r="CZ107">
            <v>0</v>
          </cell>
          <cell r="DA107">
            <v>0</v>
          </cell>
          <cell r="DB107">
            <v>0</v>
          </cell>
          <cell r="DC107">
            <v>0</v>
          </cell>
          <cell r="DD107">
            <v>0</v>
          </cell>
          <cell r="DE107">
            <v>97</v>
          </cell>
          <cell r="DF107">
            <v>0</v>
          </cell>
          <cell r="DG107">
            <v>0</v>
          </cell>
          <cell r="DH107"/>
          <cell r="DI107">
            <v>0</v>
          </cell>
          <cell r="DK107" t="str">
            <v>OK</v>
          </cell>
          <cell r="DM107">
            <v>0</v>
          </cell>
          <cell r="DN107">
            <v>0</v>
          </cell>
          <cell r="DO107"/>
        </row>
        <row r="108">
          <cell r="N108">
            <v>0</v>
          </cell>
          <cell r="O108">
            <v>0</v>
          </cell>
          <cell r="P108"/>
          <cell r="Q108"/>
          <cell r="T108"/>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cell r="BM108">
            <v>0</v>
          </cell>
          <cell r="BN108">
            <v>0</v>
          </cell>
          <cell r="BO108">
            <v>0</v>
          </cell>
          <cell r="BP108">
            <v>0</v>
          </cell>
          <cell r="BQ108">
            <v>0</v>
          </cell>
          <cell r="BR108">
            <v>0</v>
          </cell>
          <cell r="BS108">
            <v>0</v>
          </cell>
          <cell r="BT108">
            <v>0</v>
          </cell>
          <cell r="BU108">
            <v>0</v>
          </cell>
          <cell r="BV108">
            <v>0</v>
          </cell>
          <cell r="BW108">
            <v>0</v>
          </cell>
          <cell r="BX108">
            <v>0</v>
          </cell>
          <cell r="BY108">
            <v>0</v>
          </cell>
          <cell r="BZ108">
            <v>0</v>
          </cell>
          <cell r="CA108">
            <v>0</v>
          </cell>
          <cell r="CB108">
            <v>0</v>
          </cell>
          <cell r="CC108">
            <v>0</v>
          </cell>
          <cell r="CD108">
            <v>0</v>
          </cell>
          <cell r="CE108">
            <v>0</v>
          </cell>
          <cell r="CF108">
            <v>0</v>
          </cell>
          <cell r="CG108">
            <v>0</v>
          </cell>
          <cell r="CH108">
            <v>0</v>
          </cell>
          <cell r="CI108">
            <v>0</v>
          </cell>
          <cell r="CJ108">
            <v>0</v>
          </cell>
          <cell r="CK108">
            <v>0</v>
          </cell>
          <cell r="CL108">
            <v>0</v>
          </cell>
          <cell r="CM108">
            <v>0</v>
          </cell>
          <cell r="CN108">
            <v>0</v>
          </cell>
          <cell r="CO108">
            <v>0</v>
          </cell>
          <cell r="CP108">
            <v>0</v>
          </cell>
          <cell r="CQ108">
            <v>0</v>
          </cell>
          <cell r="CR108">
            <v>0</v>
          </cell>
          <cell r="CS108">
            <v>0</v>
          </cell>
          <cell r="CT108">
            <v>0</v>
          </cell>
          <cell r="CU108">
            <v>0</v>
          </cell>
          <cell r="CV108">
            <v>0</v>
          </cell>
          <cell r="CW108">
            <v>0</v>
          </cell>
          <cell r="CX108">
            <v>0</v>
          </cell>
          <cell r="CY108">
            <v>0</v>
          </cell>
          <cell r="CZ108">
            <v>0</v>
          </cell>
          <cell r="DA108">
            <v>0</v>
          </cell>
          <cell r="DB108">
            <v>0</v>
          </cell>
          <cell r="DC108">
            <v>0</v>
          </cell>
          <cell r="DD108">
            <v>0</v>
          </cell>
          <cell r="DE108">
            <v>98</v>
          </cell>
          <cell r="DF108">
            <v>0</v>
          </cell>
          <cell r="DG108">
            <v>0</v>
          </cell>
          <cell r="DH108"/>
          <cell r="DI108">
            <v>0</v>
          </cell>
          <cell r="DK108" t="str">
            <v>OK</v>
          </cell>
          <cell r="DM108">
            <v>0</v>
          </cell>
          <cell r="DN108">
            <v>0</v>
          </cell>
          <cell r="DO108"/>
        </row>
        <row r="109">
          <cell r="N109">
            <v>0</v>
          </cell>
          <cell r="O109">
            <v>0</v>
          </cell>
          <cell r="P109"/>
          <cell r="Q109"/>
          <cell r="T109"/>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cell r="BM109">
            <v>0</v>
          </cell>
          <cell r="BN109">
            <v>0</v>
          </cell>
          <cell r="BO109">
            <v>0</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cell r="CP109">
            <v>0</v>
          </cell>
          <cell r="CQ109">
            <v>0</v>
          </cell>
          <cell r="CR109">
            <v>0</v>
          </cell>
          <cell r="CS109">
            <v>0</v>
          </cell>
          <cell r="CT109">
            <v>0</v>
          </cell>
          <cell r="CU109">
            <v>0</v>
          </cell>
          <cell r="CV109">
            <v>0</v>
          </cell>
          <cell r="CW109">
            <v>0</v>
          </cell>
          <cell r="CX109">
            <v>0</v>
          </cell>
          <cell r="CY109">
            <v>0</v>
          </cell>
          <cell r="CZ109">
            <v>0</v>
          </cell>
          <cell r="DA109">
            <v>0</v>
          </cell>
          <cell r="DB109">
            <v>0</v>
          </cell>
          <cell r="DC109">
            <v>0</v>
          </cell>
          <cell r="DD109">
            <v>0</v>
          </cell>
          <cell r="DE109">
            <v>99</v>
          </cell>
          <cell r="DF109">
            <v>0</v>
          </cell>
          <cell r="DG109">
            <v>0</v>
          </cell>
          <cell r="DH109"/>
          <cell r="DI109">
            <v>0</v>
          </cell>
          <cell r="DK109" t="str">
            <v>OK</v>
          </cell>
          <cell r="DM109">
            <v>0</v>
          </cell>
          <cell r="DN109">
            <v>0</v>
          </cell>
          <cell r="DO109"/>
        </row>
        <row r="110">
          <cell r="N110">
            <v>0</v>
          </cell>
          <cell r="O110">
            <v>0</v>
          </cell>
          <cell r="P110"/>
          <cell r="Q110"/>
          <cell r="T110"/>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cell r="BM110">
            <v>0</v>
          </cell>
          <cell r="BN110">
            <v>0</v>
          </cell>
          <cell r="BO110">
            <v>0</v>
          </cell>
          <cell r="BP110">
            <v>0</v>
          </cell>
          <cell r="BQ110">
            <v>0</v>
          </cell>
          <cell r="BR110">
            <v>0</v>
          </cell>
          <cell r="BS110">
            <v>0</v>
          </cell>
          <cell r="BT110">
            <v>0</v>
          </cell>
          <cell r="BU110">
            <v>0</v>
          </cell>
          <cell r="BV110">
            <v>0</v>
          </cell>
          <cell r="BW110">
            <v>0</v>
          </cell>
          <cell r="BX110">
            <v>0</v>
          </cell>
          <cell r="BY110">
            <v>0</v>
          </cell>
          <cell r="BZ110">
            <v>0</v>
          </cell>
          <cell r="CA110">
            <v>0</v>
          </cell>
          <cell r="CB110">
            <v>0</v>
          </cell>
          <cell r="CC110">
            <v>0</v>
          </cell>
          <cell r="CD110">
            <v>0</v>
          </cell>
          <cell r="CE110">
            <v>0</v>
          </cell>
          <cell r="CF110">
            <v>0</v>
          </cell>
          <cell r="CG110">
            <v>0</v>
          </cell>
          <cell r="CH110">
            <v>0</v>
          </cell>
          <cell r="CI110">
            <v>0</v>
          </cell>
          <cell r="CJ110">
            <v>0</v>
          </cell>
          <cell r="CK110">
            <v>0</v>
          </cell>
          <cell r="CL110">
            <v>0</v>
          </cell>
          <cell r="CM110">
            <v>0</v>
          </cell>
          <cell r="CN110">
            <v>0</v>
          </cell>
          <cell r="CO110">
            <v>0</v>
          </cell>
          <cell r="CP110">
            <v>0</v>
          </cell>
          <cell r="CQ110">
            <v>0</v>
          </cell>
          <cell r="CR110">
            <v>0</v>
          </cell>
          <cell r="CS110">
            <v>0</v>
          </cell>
          <cell r="CT110">
            <v>0</v>
          </cell>
          <cell r="CU110">
            <v>0</v>
          </cell>
          <cell r="CV110">
            <v>0</v>
          </cell>
          <cell r="CW110">
            <v>0</v>
          </cell>
          <cell r="CX110">
            <v>0</v>
          </cell>
          <cell r="CY110">
            <v>0</v>
          </cell>
          <cell r="CZ110">
            <v>0</v>
          </cell>
          <cell r="DA110">
            <v>0</v>
          </cell>
          <cell r="DB110">
            <v>0</v>
          </cell>
          <cell r="DC110">
            <v>0</v>
          </cell>
          <cell r="DD110">
            <v>0</v>
          </cell>
          <cell r="DE110">
            <v>100</v>
          </cell>
          <cell r="DF110">
            <v>0</v>
          </cell>
          <cell r="DG110">
            <v>0</v>
          </cell>
          <cell r="DH110"/>
          <cell r="DI110">
            <v>0</v>
          </cell>
          <cell r="DK110" t="str">
            <v>OK</v>
          </cell>
          <cell r="DM110">
            <v>0</v>
          </cell>
          <cell r="DN110">
            <v>0</v>
          </cell>
          <cell r="DO110"/>
        </row>
        <row r="111">
          <cell r="N111">
            <v>0</v>
          </cell>
          <cell r="O111">
            <v>0</v>
          </cell>
          <cell r="P111"/>
          <cell r="Q111"/>
          <cell r="T111"/>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0</v>
          </cell>
          <cell r="BY111">
            <v>0</v>
          </cell>
          <cell r="BZ111">
            <v>0</v>
          </cell>
          <cell r="CA111">
            <v>0</v>
          </cell>
          <cell r="CB111">
            <v>0</v>
          </cell>
          <cell r="CC111">
            <v>0</v>
          </cell>
          <cell r="CD111">
            <v>0</v>
          </cell>
          <cell r="CE111">
            <v>0</v>
          </cell>
          <cell r="CF111">
            <v>0</v>
          </cell>
          <cell r="CG111">
            <v>0</v>
          </cell>
          <cell r="CH111">
            <v>0</v>
          </cell>
          <cell r="CI111">
            <v>0</v>
          </cell>
          <cell r="CJ111">
            <v>0</v>
          </cell>
          <cell r="CK111">
            <v>0</v>
          </cell>
          <cell r="CL111">
            <v>0</v>
          </cell>
          <cell r="CM111">
            <v>0</v>
          </cell>
          <cell r="CN111">
            <v>0</v>
          </cell>
          <cell r="CO111">
            <v>0</v>
          </cell>
          <cell r="CP111">
            <v>0</v>
          </cell>
          <cell r="CQ111">
            <v>0</v>
          </cell>
          <cell r="CR111">
            <v>0</v>
          </cell>
          <cell r="CS111">
            <v>0</v>
          </cell>
          <cell r="CT111">
            <v>0</v>
          </cell>
          <cell r="CU111">
            <v>0</v>
          </cell>
          <cell r="CV111">
            <v>0</v>
          </cell>
          <cell r="CW111">
            <v>0</v>
          </cell>
          <cell r="CX111">
            <v>0</v>
          </cell>
          <cell r="CY111">
            <v>0</v>
          </cell>
          <cell r="CZ111">
            <v>0</v>
          </cell>
          <cell r="DA111">
            <v>0</v>
          </cell>
          <cell r="DB111">
            <v>0</v>
          </cell>
          <cell r="DC111">
            <v>0</v>
          </cell>
          <cell r="DD111">
            <v>0</v>
          </cell>
          <cell r="DE111">
            <v>101</v>
          </cell>
          <cell r="DF111">
            <v>0</v>
          </cell>
          <cell r="DG111">
            <v>0</v>
          </cell>
          <cell r="DH111"/>
          <cell r="DI111">
            <v>0</v>
          </cell>
          <cell r="DK111" t="str">
            <v>OK</v>
          </cell>
          <cell r="DM111">
            <v>0</v>
          </cell>
          <cell r="DN111">
            <v>0</v>
          </cell>
          <cell r="DO111"/>
        </row>
        <row r="112">
          <cell r="N112">
            <v>0</v>
          </cell>
          <cell r="O112">
            <v>0</v>
          </cell>
          <cell r="P112"/>
          <cell r="Q112"/>
          <cell r="T112"/>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cell r="BM112">
            <v>0</v>
          </cell>
          <cell r="BN112">
            <v>0</v>
          </cell>
          <cell r="BO112">
            <v>0</v>
          </cell>
          <cell r="BP112">
            <v>0</v>
          </cell>
          <cell r="BQ112">
            <v>0</v>
          </cell>
          <cell r="BR112">
            <v>0</v>
          </cell>
          <cell r="BS112">
            <v>0</v>
          </cell>
          <cell r="BT112">
            <v>0</v>
          </cell>
          <cell r="BU112">
            <v>0</v>
          </cell>
          <cell r="BV112">
            <v>0</v>
          </cell>
          <cell r="BW112">
            <v>0</v>
          </cell>
          <cell r="BX112">
            <v>0</v>
          </cell>
          <cell r="BY112">
            <v>0</v>
          </cell>
          <cell r="BZ112">
            <v>0</v>
          </cell>
          <cell r="CA112">
            <v>0</v>
          </cell>
          <cell r="CB112">
            <v>0</v>
          </cell>
          <cell r="CC112">
            <v>0</v>
          </cell>
          <cell r="CD112">
            <v>0</v>
          </cell>
          <cell r="CE112">
            <v>0</v>
          </cell>
          <cell r="CF112">
            <v>0</v>
          </cell>
          <cell r="CG112">
            <v>0</v>
          </cell>
          <cell r="CH112">
            <v>0</v>
          </cell>
          <cell r="CI112">
            <v>0</v>
          </cell>
          <cell r="CJ112">
            <v>0</v>
          </cell>
          <cell r="CK112">
            <v>0</v>
          </cell>
          <cell r="CL112">
            <v>0</v>
          </cell>
          <cell r="CM112">
            <v>0</v>
          </cell>
          <cell r="CN112">
            <v>0</v>
          </cell>
          <cell r="CO112">
            <v>0</v>
          </cell>
          <cell r="CP112">
            <v>0</v>
          </cell>
          <cell r="CQ112">
            <v>0</v>
          </cell>
          <cell r="CR112">
            <v>0</v>
          </cell>
          <cell r="CS112">
            <v>0</v>
          </cell>
          <cell r="CT112">
            <v>0</v>
          </cell>
          <cell r="CU112">
            <v>0</v>
          </cell>
          <cell r="CV112">
            <v>0</v>
          </cell>
          <cell r="CW112">
            <v>0</v>
          </cell>
          <cell r="CX112">
            <v>0</v>
          </cell>
          <cell r="CY112">
            <v>0</v>
          </cell>
          <cell r="CZ112">
            <v>0</v>
          </cell>
          <cell r="DA112">
            <v>0</v>
          </cell>
          <cell r="DB112">
            <v>0</v>
          </cell>
          <cell r="DC112">
            <v>0</v>
          </cell>
          <cell r="DD112">
            <v>0</v>
          </cell>
          <cell r="DE112">
            <v>102</v>
          </cell>
          <cell r="DF112">
            <v>0</v>
          </cell>
          <cell r="DG112">
            <v>0</v>
          </cell>
          <cell r="DH112"/>
          <cell r="DI112">
            <v>0</v>
          </cell>
          <cell r="DK112" t="str">
            <v>OK</v>
          </cell>
          <cell r="DM112">
            <v>0</v>
          </cell>
          <cell r="DN112">
            <v>0</v>
          </cell>
          <cell r="DO112"/>
        </row>
        <row r="113">
          <cell r="N113">
            <v>0</v>
          </cell>
          <cell r="O113">
            <v>0</v>
          </cell>
          <cell r="P113"/>
          <cell r="Q113"/>
          <cell r="T113"/>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cell r="BM113">
            <v>0</v>
          </cell>
          <cell r="BN113">
            <v>0</v>
          </cell>
          <cell r="BO113">
            <v>0</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v>0</v>
          </cell>
          <cell r="CM113">
            <v>0</v>
          </cell>
          <cell r="CN113">
            <v>0</v>
          </cell>
          <cell r="CO113">
            <v>0</v>
          </cell>
          <cell r="CP113">
            <v>0</v>
          </cell>
          <cell r="CQ113">
            <v>0</v>
          </cell>
          <cell r="CR113">
            <v>0</v>
          </cell>
          <cell r="CS113">
            <v>0</v>
          </cell>
          <cell r="CT113">
            <v>0</v>
          </cell>
          <cell r="CU113">
            <v>0</v>
          </cell>
          <cell r="CV113">
            <v>0</v>
          </cell>
          <cell r="CW113">
            <v>0</v>
          </cell>
          <cell r="CX113">
            <v>0</v>
          </cell>
          <cell r="CY113">
            <v>0</v>
          </cell>
          <cell r="CZ113">
            <v>0</v>
          </cell>
          <cell r="DA113">
            <v>0</v>
          </cell>
          <cell r="DB113">
            <v>0</v>
          </cell>
          <cell r="DC113">
            <v>0</v>
          </cell>
          <cell r="DD113">
            <v>0</v>
          </cell>
          <cell r="DE113">
            <v>103</v>
          </cell>
          <cell r="DF113">
            <v>0</v>
          </cell>
          <cell r="DG113">
            <v>0</v>
          </cell>
          <cell r="DH113"/>
          <cell r="DI113">
            <v>0</v>
          </cell>
          <cell r="DK113" t="str">
            <v>OK</v>
          </cell>
          <cell r="DM113">
            <v>0</v>
          </cell>
          <cell r="DN113">
            <v>0</v>
          </cell>
          <cell r="DO113"/>
        </row>
        <row r="114">
          <cell r="N114">
            <v>0</v>
          </cell>
          <cell r="O114">
            <v>0</v>
          </cell>
          <cell r="P114"/>
          <cell r="Q114"/>
          <cell r="T114"/>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cell r="BM114">
            <v>0</v>
          </cell>
          <cell r="BN114">
            <v>0</v>
          </cell>
          <cell r="BO114">
            <v>0</v>
          </cell>
          <cell r="BP114">
            <v>0</v>
          </cell>
          <cell r="BQ114">
            <v>0</v>
          </cell>
          <cell r="BR114">
            <v>0</v>
          </cell>
          <cell r="BS114">
            <v>0</v>
          </cell>
          <cell r="BT114">
            <v>0</v>
          </cell>
          <cell r="BU114">
            <v>0</v>
          </cell>
          <cell r="BV114">
            <v>0</v>
          </cell>
          <cell r="BW114">
            <v>0</v>
          </cell>
          <cell r="BX114">
            <v>0</v>
          </cell>
          <cell r="BY114">
            <v>0</v>
          </cell>
          <cell r="BZ114">
            <v>0</v>
          </cell>
          <cell r="CA114">
            <v>0</v>
          </cell>
          <cell r="CB114">
            <v>0</v>
          </cell>
          <cell r="CC114">
            <v>0</v>
          </cell>
          <cell r="CD114">
            <v>0</v>
          </cell>
          <cell r="CE114">
            <v>0</v>
          </cell>
          <cell r="CF114">
            <v>0</v>
          </cell>
          <cell r="CG114">
            <v>0</v>
          </cell>
          <cell r="CH114">
            <v>0</v>
          </cell>
          <cell r="CI114">
            <v>0</v>
          </cell>
          <cell r="CJ114">
            <v>0</v>
          </cell>
          <cell r="CK114">
            <v>0</v>
          </cell>
          <cell r="CL114">
            <v>0</v>
          </cell>
          <cell r="CM114">
            <v>0</v>
          </cell>
          <cell r="CN114">
            <v>0</v>
          </cell>
          <cell r="CO114">
            <v>0</v>
          </cell>
          <cell r="CP114">
            <v>0</v>
          </cell>
          <cell r="CQ114">
            <v>0</v>
          </cell>
          <cell r="CR114">
            <v>0</v>
          </cell>
          <cell r="CS114">
            <v>0</v>
          </cell>
          <cell r="CT114">
            <v>0</v>
          </cell>
          <cell r="CU114">
            <v>0</v>
          </cell>
          <cell r="CV114">
            <v>0</v>
          </cell>
          <cell r="CW114">
            <v>0</v>
          </cell>
          <cell r="CX114">
            <v>0</v>
          </cell>
          <cell r="CY114">
            <v>0</v>
          </cell>
          <cell r="CZ114">
            <v>0</v>
          </cell>
          <cell r="DA114">
            <v>0</v>
          </cell>
          <cell r="DB114">
            <v>0</v>
          </cell>
          <cell r="DC114">
            <v>0</v>
          </cell>
          <cell r="DD114">
            <v>0</v>
          </cell>
          <cell r="DE114">
            <v>104</v>
          </cell>
          <cell r="DF114">
            <v>0</v>
          </cell>
          <cell r="DG114">
            <v>0</v>
          </cell>
          <cell r="DH114"/>
          <cell r="DI114">
            <v>0</v>
          </cell>
          <cell r="DK114" t="str">
            <v>OK</v>
          </cell>
          <cell r="DM114">
            <v>0</v>
          </cell>
          <cell r="DN114">
            <v>0</v>
          </cell>
          <cell r="DO114"/>
        </row>
        <row r="115">
          <cell r="N115">
            <v>0</v>
          </cell>
          <cell r="O115">
            <v>0</v>
          </cell>
          <cell r="P115"/>
          <cell r="Q115"/>
          <cell r="T115"/>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cell r="BM115">
            <v>0</v>
          </cell>
          <cell r="BN115">
            <v>0</v>
          </cell>
          <cell r="BO115">
            <v>0</v>
          </cell>
          <cell r="BP115">
            <v>0</v>
          </cell>
          <cell r="BQ115">
            <v>0</v>
          </cell>
          <cell r="BR115">
            <v>0</v>
          </cell>
          <cell r="BS115">
            <v>0</v>
          </cell>
          <cell r="BT115">
            <v>0</v>
          </cell>
          <cell r="BU115">
            <v>0</v>
          </cell>
          <cell r="BV115">
            <v>0</v>
          </cell>
          <cell r="BW115">
            <v>0</v>
          </cell>
          <cell r="BX115">
            <v>0</v>
          </cell>
          <cell r="BY115">
            <v>0</v>
          </cell>
          <cell r="BZ115">
            <v>0</v>
          </cell>
          <cell r="CA115">
            <v>0</v>
          </cell>
          <cell r="CB115">
            <v>0</v>
          </cell>
          <cell r="CC115">
            <v>0</v>
          </cell>
          <cell r="CD115">
            <v>0</v>
          </cell>
          <cell r="CE115">
            <v>0</v>
          </cell>
          <cell r="CF115">
            <v>0</v>
          </cell>
          <cell r="CG115">
            <v>0</v>
          </cell>
          <cell r="CH115">
            <v>0</v>
          </cell>
          <cell r="CI115">
            <v>0</v>
          </cell>
          <cell r="CJ115">
            <v>0</v>
          </cell>
          <cell r="CK115">
            <v>0</v>
          </cell>
          <cell r="CL115">
            <v>0</v>
          </cell>
          <cell r="CM115">
            <v>0</v>
          </cell>
          <cell r="CN115">
            <v>0</v>
          </cell>
          <cell r="CO115">
            <v>0</v>
          </cell>
          <cell r="CP115">
            <v>0</v>
          </cell>
          <cell r="CQ115">
            <v>0</v>
          </cell>
          <cell r="CR115">
            <v>0</v>
          </cell>
          <cell r="CS115">
            <v>0</v>
          </cell>
          <cell r="CT115">
            <v>0</v>
          </cell>
          <cell r="CU115">
            <v>0</v>
          </cell>
          <cell r="CV115">
            <v>0</v>
          </cell>
          <cell r="CW115">
            <v>0</v>
          </cell>
          <cell r="CX115">
            <v>0</v>
          </cell>
          <cell r="CY115">
            <v>0</v>
          </cell>
          <cell r="CZ115">
            <v>0</v>
          </cell>
          <cell r="DA115">
            <v>0</v>
          </cell>
          <cell r="DB115">
            <v>0</v>
          </cell>
          <cell r="DC115">
            <v>0</v>
          </cell>
          <cell r="DD115">
            <v>0</v>
          </cell>
          <cell r="DE115">
            <v>105</v>
          </cell>
          <cell r="DF115">
            <v>0</v>
          </cell>
          <cell r="DG115">
            <v>0</v>
          </cell>
          <cell r="DH115"/>
          <cell r="DI115">
            <v>0</v>
          </cell>
          <cell r="DK115" t="str">
            <v>OK</v>
          </cell>
          <cell r="DM115">
            <v>0</v>
          </cell>
          <cell r="DN115">
            <v>0</v>
          </cell>
          <cell r="DO115"/>
        </row>
        <row r="116">
          <cell r="N116">
            <v>0</v>
          </cell>
          <cell r="O116">
            <v>0</v>
          </cell>
          <cell r="P116"/>
          <cell r="Q116"/>
          <cell r="T116"/>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cell r="BM116">
            <v>0</v>
          </cell>
          <cell r="BN116">
            <v>0</v>
          </cell>
          <cell r="BO116">
            <v>0</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0</v>
          </cell>
          <cell r="CO116">
            <v>0</v>
          </cell>
          <cell r="CP116">
            <v>0</v>
          </cell>
          <cell r="CQ116">
            <v>0</v>
          </cell>
          <cell r="CR116">
            <v>0</v>
          </cell>
          <cell r="CS116">
            <v>0</v>
          </cell>
          <cell r="CT116">
            <v>0</v>
          </cell>
          <cell r="CU116">
            <v>0</v>
          </cell>
          <cell r="CV116">
            <v>0</v>
          </cell>
          <cell r="CW116">
            <v>0</v>
          </cell>
          <cell r="CX116">
            <v>0</v>
          </cell>
          <cell r="CY116">
            <v>0</v>
          </cell>
          <cell r="CZ116">
            <v>0</v>
          </cell>
          <cell r="DA116">
            <v>0</v>
          </cell>
          <cell r="DB116">
            <v>0</v>
          </cell>
          <cell r="DC116">
            <v>0</v>
          </cell>
          <cell r="DD116">
            <v>0</v>
          </cell>
          <cell r="DE116">
            <v>106</v>
          </cell>
          <cell r="DF116">
            <v>0</v>
          </cell>
          <cell r="DG116">
            <v>0</v>
          </cell>
          <cell r="DH116"/>
          <cell r="DI116">
            <v>0</v>
          </cell>
          <cell r="DK116" t="str">
            <v>OK</v>
          </cell>
          <cell r="DM116">
            <v>0</v>
          </cell>
          <cell r="DN116">
            <v>0</v>
          </cell>
          <cell r="DO116"/>
        </row>
        <row r="117">
          <cell r="N117">
            <v>0</v>
          </cell>
          <cell r="O117">
            <v>0</v>
          </cell>
          <cell r="P117"/>
          <cell r="Q117"/>
          <cell r="T117"/>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cell r="BM117">
            <v>0</v>
          </cell>
          <cell r="BN117">
            <v>0</v>
          </cell>
          <cell r="BO117">
            <v>0</v>
          </cell>
          <cell r="BP117">
            <v>0</v>
          </cell>
          <cell r="BQ117">
            <v>0</v>
          </cell>
          <cell r="BR117">
            <v>0</v>
          </cell>
          <cell r="BS117">
            <v>0</v>
          </cell>
          <cell r="BT117">
            <v>0</v>
          </cell>
          <cell r="BU117">
            <v>0</v>
          </cell>
          <cell r="BV117">
            <v>0</v>
          </cell>
          <cell r="BW117">
            <v>0</v>
          </cell>
          <cell r="BX117">
            <v>0</v>
          </cell>
          <cell r="BY117">
            <v>0</v>
          </cell>
          <cell r="BZ117">
            <v>0</v>
          </cell>
          <cell r="CA117">
            <v>0</v>
          </cell>
          <cell r="CB117">
            <v>0</v>
          </cell>
          <cell r="CC117">
            <v>0</v>
          </cell>
          <cell r="CD117">
            <v>0</v>
          </cell>
          <cell r="CE117">
            <v>0</v>
          </cell>
          <cell r="CF117">
            <v>0</v>
          </cell>
          <cell r="CG117">
            <v>0</v>
          </cell>
          <cell r="CH117">
            <v>0</v>
          </cell>
          <cell r="CI117">
            <v>0</v>
          </cell>
          <cell r="CJ117">
            <v>0</v>
          </cell>
          <cell r="CK117">
            <v>0</v>
          </cell>
          <cell r="CL117">
            <v>0</v>
          </cell>
          <cell r="CM117">
            <v>0</v>
          </cell>
          <cell r="CN117">
            <v>0</v>
          </cell>
          <cell r="CO117">
            <v>0</v>
          </cell>
          <cell r="CP117">
            <v>0</v>
          </cell>
          <cell r="CQ117">
            <v>0</v>
          </cell>
          <cell r="CR117">
            <v>0</v>
          </cell>
          <cell r="CS117">
            <v>0</v>
          </cell>
          <cell r="CT117">
            <v>0</v>
          </cell>
          <cell r="CU117">
            <v>0</v>
          </cell>
          <cell r="CV117">
            <v>0</v>
          </cell>
          <cell r="CW117">
            <v>0</v>
          </cell>
          <cell r="CX117">
            <v>0</v>
          </cell>
          <cell r="CY117">
            <v>0</v>
          </cell>
          <cell r="CZ117">
            <v>0</v>
          </cell>
          <cell r="DA117">
            <v>0</v>
          </cell>
          <cell r="DB117">
            <v>0</v>
          </cell>
          <cell r="DC117">
            <v>0</v>
          </cell>
          <cell r="DD117">
            <v>0</v>
          </cell>
          <cell r="DE117">
            <v>107</v>
          </cell>
          <cell r="DF117">
            <v>0</v>
          </cell>
          <cell r="DG117">
            <v>0</v>
          </cell>
          <cell r="DH117"/>
          <cell r="DI117">
            <v>0</v>
          </cell>
          <cell r="DK117" t="str">
            <v>OK</v>
          </cell>
          <cell r="DM117">
            <v>0</v>
          </cell>
          <cell r="DN117">
            <v>0</v>
          </cell>
          <cell r="DO117"/>
        </row>
        <row r="118">
          <cell r="N118">
            <v>0</v>
          </cell>
          <cell r="O118">
            <v>0</v>
          </cell>
          <cell r="P118"/>
          <cell r="Q118"/>
          <cell r="T118"/>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cell r="BM118">
            <v>0</v>
          </cell>
          <cell r="BN118">
            <v>0</v>
          </cell>
          <cell r="BO118">
            <v>0</v>
          </cell>
          <cell r="BP118">
            <v>0</v>
          </cell>
          <cell r="BQ118">
            <v>0</v>
          </cell>
          <cell r="BR118">
            <v>0</v>
          </cell>
          <cell r="BS118">
            <v>0</v>
          </cell>
          <cell r="BT118">
            <v>0</v>
          </cell>
          <cell r="BU118">
            <v>0</v>
          </cell>
          <cell r="BV118">
            <v>0</v>
          </cell>
          <cell r="BW118">
            <v>0</v>
          </cell>
          <cell r="BX118">
            <v>0</v>
          </cell>
          <cell r="BY118">
            <v>0</v>
          </cell>
          <cell r="BZ118">
            <v>0</v>
          </cell>
          <cell r="CA118">
            <v>0</v>
          </cell>
          <cell r="CB118">
            <v>0</v>
          </cell>
          <cell r="CC118">
            <v>0</v>
          </cell>
          <cell r="CD118">
            <v>0</v>
          </cell>
          <cell r="CE118">
            <v>0</v>
          </cell>
          <cell r="CF118">
            <v>0</v>
          </cell>
          <cell r="CG118">
            <v>0</v>
          </cell>
          <cell r="CH118">
            <v>0</v>
          </cell>
          <cell r="CI118">
            <v>0</v>
          </cell>
          <cell r="CJ118">
            <v>0</v>
          </cell>
          <cell r="CK118">
            <v>0</v>
          </cell>
          <cell r="CL118">
            <v>0</v>
          </cell>
          <cell r="CM118">
            <v>0</v>
          </cell>
          <cell r="CN118">
            <v>0</v>
          </cell>
          <cell r="CO118">
            <v>0</v>
          </cell>
          <cell r="CP118">
            <v>0</v>
          </cell>
          <cell r="CQ118">
            <v>0</v>
          </cell>
          <cell r="CR118">
            <v>0</v>
          </cell>
          <cell r="CS118">
            <v>0</v>
          </cell>
          <cell r="CT118">
            <v>0</v>
          </cell>
          <cell r="CU118">
            <v>0</v>
          </cell>
          <cell r="CV118">
            <v>0</v>
          </cell>
          <cell r="CW118">
            <v>0</v>
          </cell>
          <cell r="CX118">
            <v>0</v>
          </cell>
          <cell r="CY118">
            <v>0</v>
          </cell>
          <cell r="CZ118">
            <v>0</v>
          </cell>
          <cell r="DA118">
            <v>0</v>
          </cell>
          <cell r="DB118">
            <v>0</v>
          </cell>
          <cell r="DC118">
            <v>0</v>
          </cell>
          <cell r="DD118">
            <v>0</v>
          </cell>
          <cell r="DE118">
            <v>108</v>
          </cell>
          <cell r="DF118">
            <v>0</v>
          </cell>
          <cell r="DG118">
            <v>0</v>
          </cell>
          <cell r="DH118"/>
          <cell r="DI118">
            <v>0</v>
          </cell>
          <cell r="DK118" t="str">
            <v>OK</v>
          </cell>
          <cell r="DM118">
            <v>0</v>
          </cell>
          <cell r="DN118">
            <v>0</v>
          </cell>
          <cell r="DO118"/>
        </row>
        <row r="119">
          <cell r="N119">
            <v>0</v>
          </cell>
          <cell r="O119">
            <v>0</v>
          </cell>
          <cell r="P119"/>
          <cell r="Q119"/>
          <cell r="T119"/>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cell r="BM119">
            <v>0</v>
          </cell>
          <cell r="BN119">
            <v>0</v>
          </cell>
          <cell r="BO119">
            <v>0</v>
          </cell>
          <cell r="BP119">
            <v>0</v>
          </cell>
          <cell r="BQ119">
            <v>0</v>
          </cell>
          <cell r="BR119">
            <v>0</v>
          </cell>
          <cell r="BS119">
            <v>0</v>
          </cell>
          <cell r="BT119">
            <v>0</v>
          </cell>
          <cell r="BU119">
            <v>0</v>
          </cell>
          <cell r="BV119">
            <v>0</v>
          </cell>
          <cell r="BW119">
            <v>0</v>
          </cell>
          <cell r="BX119">
            <v>0</v>
          </cell>
          <cell r="BY119">
            <v>0</v>
          </cell>
          <cell r="BZ119">
            <v>0</v>
          </cell>
          <cell r="CA119">
            <v>0</v>
          </cell>
          <cell r="CB119">
            <v>0</v>
          </cell>
          <cell r="CC119">
            <v>0</v>
          </cell>
          <cell r="CD119">
            <v>0</v>
          </cell>
          <cell r="CE119">
            <v>0</v>
          </cell>
          <cell r="CF119">
            <v>0</v>
          </cell>
          <cell r="CG119">
            <v>0</v>
          </cell>
          <cell r="CH119">
            <v>0</v>
          </cell>
          <cell r="CI119">
            <v>0</v>
          </cell>
          <cell r="CJ119">
            <v>0</v>
          </cell>
          <cell r="CK119">
            <v>0</v>
          </cell>
          <cell r="CL119">
            <v>0</v>
          </cell>
          <cell r="CM119">
            <v>0</v>
          </cell>
          <cell r="CN119">
            <v>0</v>
          </cell>
          <cell r="CO119">
            <v>0</v>
          </cell>
          <cell r="CP119">
            <v>0</v>
          </cell>
          <cell r="CQ119">
            <v>0</v>
          </cell>
          <cell r="CR119">
            <v>0</v>
          </cell>
          <cell r="CS119">
            <v>0</v>
          </cell>
          <cell r="CT119">
            <v>0</v>
          </cell>
          <cell r="CU119">
            <v>0</v>
          </cell>
          <cell r="CV119">
            <v>0</v>
          </cell>
          <cell r="CW119">
            <v>0</v>
          </cell>
          <cell r="CX119">
            <v>0</v>
          </cell>
          <cell r="CY119">
            <v>0</v>
          </cell>
          <cell r="CZ119">
            <v>0</v>
          </cell>
          <cell r="DA119">
            <v>0</v>
          </cell>
          <cell r="DB119">
            <v>0</v>
          </cell>
          <cell r="DC119">
            <v>0</v>
          </cell>
          <cell r="DD119">
            <v>0</v>
          </cell>
          <cell r="DE119">
            <v>109</v>
          </cell>
          <cell r="DF119">
            <v>0</v>
          </cell>
          <cell r="DG119">
            <v>0</v>
          </cell>
          <cell r="DH119"/>
          <cell r="DI119">
            <v>0</v>
          </cell>
          <cell r="DK119" t="str">
            <v>OK</v>
          </cell>
          <cell r="DM119">
            <v>0</v>
          </cell>
          <cell r="DN119">
            <v>0</v>
          </cell>
          <cell r="DO119"/>
        </row>
        <row r="120">
          <cell r="N120">
            <v>0</v>
          </cell>
          <cell r="O120">
            <v>0</v>
          </cell>
          <cell r="P120"/>
          <cell r="Q120"/>
          <cell r="T120"/>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cell r="BM120">
            <v>0</v>
          </cell>
          <cell r="BN120">
            <v>0</v>
          </cell>
          <cell r="BO120">
            <v>0</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cell r="CP120">
            <v>0</v>
          </cell>
          <cell r="CQ120">
            <v>0</v>
          </cell>
          <cell r="CR120">
            <v>0</v>
          </cell>
          <cell r="CS120">
            <v>0</v>
          </cell>
          <cell r="CT120">
            <v>0</v>
          </cell>
          <cell r="CU120">
            <v>0</v>
          </cell>
          <cell r="CV120">
            <v>0</v>
          </cell>
          <cell r="CW120">
            <v>0</v>
          </cell>
          <cell r="CX120">
            <v>0</v>
          </cell>
          <cell r="CY120">
            <v>0</v>
          </cell>
          <cell r="CZ120">
            <v>0</v>
          </cell>
          <cell r="DA120">
            <v>0</v>
          </cell>
          <cell r="DB120">
            <v>0</v>
          </cell>
          <cell r="DC120">
            <v>0</v>
          </cell>
          <cell r="DD120">
            <v>0</v>
          </cell>
          <cell r="DE120">
            <v>110</v>
          </cell>
          <cell r="DF120">
            <v>0</v>
          </cell>
          <cell r="DG120">
            <v>0</v>
          </cell>
          <cell r="DH120"/>
          <cell r="DI120">
            <v>0</v>
          </cell>
          <cell r="DK120" t="str">
            <v>OK</v>
          </cell>
          <cell r="DM120">
            <v>0</v>
          </cell>
          <cell r="DN120">
            <v>0</v>
          </cell>
          <cell r="DO120"/>
        </row>
        <row r="121">
          <cell r="N121">
            <v>0</v>
          </cell>
          <cell r="O121">
            <v>0</v>
          </cell>
          <cell r="P121"/>
          <cell r="Q121"/>
          <cell r="T121"/>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cell r="BM121">
            <v>0</v>
          </cell>
          <cell r="BN121">
            <v>0</v>
          </cell>
          <cell r="BO121">
            <v>0</v>
          </cell>
          <cell r="BP121">
            <v>0</v>
          </cell>
          <cell r="BQ121">
            <v>0</v>
          </cell>
          <cell r="BR121">
            <v>0</v>
          </cell>
          <cell r="BS121">
            <v>0</v>
          </cell>
          <cell r="BT121">
            <v>0</v>
          </cell>
          <cell r="BU121">
            <v>0</v>
          </cell>
          <cell r="BV121">
            <v>0</v>
          </cell>
          <cell r="BW121">
            <v>0</v>
          </cell>
          <cell r="BX121">
            <v>0</v>
          </cell>
          <cell r="BY121">
            <v>0</v>
          </cell>
          <cell r="BZ121">
            <v>0</v>
          </cell>
          <cell r="CA121">
            <v>0</v>
          </cell>
          <cell r="CB121">
            <v>0</v>
          </cell>
          <cell r="CC121">
            <v>0</v>
          </cell>
          <cell r="CD121">
            <v>0</v>
          </cell>
          <cell r="CE121">
            <v>0</v>
          </cell>
          <cell r="CF121">
            <v>0</v>
          </cell>
          <cell r="CG121">
            <v>0</v>
          </cell>
          <cell r="CH121">
            <v>0</v>
          </cell>
          <cell r="CI121">
            <v>0</v>
          </cell>
          <cell r="CJ121">
            <v>0</v>
          </cell>
          <cell r="CK121">
            <v>0</v>
          </cell>
          <cell r="CL121">
            <v>0</v>
          </cell>
          <cell r="CM121">
            <v>0</v>
          </cell>
          <cell r="CN121">
            <v>0</v>
          </cell>
          <cell r="CO121">
            <v>0</v>
          </cell>
          <cell r="CP121">
            <v>0</v>
          </cell>
          <cell r="CQ121">
            <v>0</v>
          </cell>
          <cell r="CR121">
            <v>0</v>
          </cell>
          <cell r="CS121">
            <v>0</v>
          </cell>
          <cell r="CT121">
            <v>0</v>
          </cell>
          <cell r="CU121">
            <v>0</v>
          </cell>
          <cell r="CV121">
            <v>0</v>
          </cell>
          <cell r="CW121">
            <v>0</v>
          </cell>
          <cell r="CX121">
            <v>0</v>
          </cell>
          <cell r="CY121">
            <v>0</v>
          </cell>
          <cell r="CZ121">
            <v>0</v>
          </cell>
          <cell r="DA121">
            <v>0</v>
          </cell>
          <cell r="DB121">
            <v>0</v>
          </cell>
          <cell r="DC121">
            <v>0</v>
          </cell>
          <cell r="DD121">
            <v>0</v>
          </cell>
          <cell r="DE121">
            <v>111</v>
          </cell>
          <cell r="DF121">
            <v>0</v>
          </cell>
          <cell r="DG121">
            <v>0</v>
          </cell>
          <cell r="DH121"/>
          <cell r="DI121">
            <v>0</v>
          </cell>
          <cell r="DK121" t="str">
            <v>OK</v>
          </cell>
          <cell r="DM121">
            <v>0</v>
          </cell>
          <cell r="DN121">
            <v>0</v>
          </cell>
          <cell r="DO121"/>
        </row>
        <row r="122">
          <cell r="N122">
            <v>0</v>
          </cell>
          <cell r="O122">
            <v>0</v>
          </cell>
          <cell r="P122"/>
          <cell r="Q122"/>
          <cell r="T122"/>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cell r="BM122">
            <v>0</v>
          </cell>
          <cell r="BN122">
            <v>0</v>
          </cell>
          <cell r="BO122">
            <v>0</v>
          </cell>
          <cell r="BP122">
            <v>0</v>
          </cell>
          <cell r="BQ122">
            <v>0</v>
          </cell>
          <cell r="BR122">
            <v>0</v>
          </cell>
          <cell r="BS122">
            <v>0</v>
          </cell>
          <cell r="BT122">
            <v>0</v>
          </cell>
          <cell r="BU122">
            <v>0</v>
          </cell>
          <cell r="BV122">
            <v>0</v>
          </cell>
          <cell r="BW122">
            <v>0</v>
          </cell>
          <cell r="BX122">
            <v>0</v>
          </cell>
          <cell r="BY122">
            <v>0</v>
          </cell>
          <cell r="BZ122">
            <v>0</v>
          </cell>
          <cell r="CA122">
            <v>0</v>
          </cell>
          <cell r="CB122">
            <v>0</v>
          </cell>
          <cell r="CC122">
            <v>0</v>
          </cell>
          <cell r="CD122">
            <v>0</v>
          </cell>
          <cell r="CE122">
            <v>0</v>
          </cell>
          <cell r="CF122">
            <v>0</v>
          </cell>
          <cell r="CG122">
            <v>0</v>
          </cell>
          <cell r="CH122">
            <v>0</v>
          </cell>
          <cell r="CI122">
            <v>0</v>
          </cell>
          <cell r="CJ122">
            <v>0</v>
          </cell>
          <cell r="CK122">
            <v>0</v>
          </cell>
          <cell r="CL122">
            <v>0</v>
          </cell>
          <cell r="CM122">
            <v>0</v>
          </cell>
          <cell r="CN122">
            <v>0</v>
          </cell>
          <cell r="CO122">
            <v>0</v>
          </cell>
          <cell r="CP122">
            <v>0</v>
          </cell>
          <cell r="CQ122">
            <v>0</v>
          </cell>
          <cell r="CR122">
            <v>0</v>
          </cell>
          <cell r="CS122">
            <v>0</v>
          </cell>
          <cell r="CT122">
            <v>0</v>
          </cell>
          <cell r="CU122">
            <v>0</v>
          </cell>
          <cell r="CV122">
            <v>0</v>
          </cell>
          <cell r="CW122">
            <v>0</v>
          </cell>
          <cell r="CX122">
            <v>0</v>
          </cell>
          <cell r="CY122">
            <v>0</v>
          </cell>
          <cell r="CZ122">
            <v>0</v>
          </cell>
          <cell r="DA122">
            <v>0</v>
          </cell>
          <cell r="DB122">
            <v>0</v>
          </cell>
          <cell r="DC122">
            <v>0</v>
          </cell>
          <cell r="DD122">
            <v>0</v>
          </cell>
          <cell r="DE122">
            <v>112</v>
          </cell>
          <cell r="DF122">
            <v>0</v>
          </cell>
          <cell r="DG122">
            <v>0</v>
          </cell>
          <cell r="DH122"/>
          <cell r="DI122">
            <v>0</v>
          </cell>
          <cell r="DK122" t="str">
            <v>OK</v>
          </cell>
          <cell r="DM122">
            <v>0</v>
          </cell>
          <cell r="DN122">
            <v>0</v>
          </cell>
          <cell r="DO122"/>
        </row>
        <row r="123">
          <cell r="N123">
            <v>0</v>
          </cell>
          <cell r="O123">
            <v>0</v>
          </cell>
          <cell r="P123"/>
          <cell r="Q123"/>
          <cell r="T123"/>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cell r="BM123">
            <v>0</v>
          </cell>
          <cell r="BN123">
            <v>0</v>
          </cell>
          <cell r="BO123">
            <v>0</v>
          </cell>
          <cell r="BP123">
            <v>0</v>
          </cell>
          <cell r="BQ123">
            <v>0</v>
          </cell>
          <cell r="BR123">
            <v>0</v>
          </cell>
          <cell r="BS123">
            <v>0</v>
          </cell>
          <cell r="BT123">
            <v>0</v>
          </cell>
          <cell r="BU123">
            <v>0</v>
          </cell>
          <cell r="BV123">
            <v>0</v>
          </cell>
          <cell r="BW123">
            <v>0</v>
          </cell>
          <cell r="BX123">
            <v>0</v>
          </cell>
          <cell r="BY123">
            <v>0</v>
          </cell>
          <cell r="BZ123">
            <v>0</v>
          </cell>
          <cell r="CA123">
            <v>0</v>
          </cell>
          <cell r="CB123">
            <v>0</v>
          </cell>
          <cell r="CC123">
            <v>0</v>
          </cell>
          <cell r="CD123">
            <v>0</v>
          </cell>
          <cell r="CE123">
            <v>0</v>
          </cell>
          <cell r="CF123">
            <v>0</v>
          </cell>
          <cell r="CG123">
            <v>0</v>
          </cell>
          <cell r="CH123">
            <v>0</v>
          </cell>
          <cell r="CI123">
            <v>0</v>
          </cell>
          <cell r="CJ123">
            <v>0</v>
          </cell>
          <cell r="CK123">
            <v>0</v>
          </cell>
          <cell r="CL123">
            <v>0</v>
          </cell>
          <cell r="CM123">
            <v>0</v>
          </cell>
          <cell r="CN123">
            <v>0</v>
          </cell>
          <cell r="CO123">
            <v>0</v>
          </cell>
          <cell r="CP123">
            <v>0</v>
          </cell>
          <cell r="CQ123">
            <v>0</v>
          </cell>
          <cell r="CR123">
            <v>0</v>
          </cell>
          <cell r="CS123">
            <v>0</v>
          </cell>
          <cell r="CT123">
            <v>0</v>
          </cell>
          <cell r="CU123">
            <v>0</v>
          </cell>
          <cell r="CV123">
            <v>0</v>
          </cell>
          <cell r="CW123">
            <v>0</v>
          </cell>
          <cell r="CX123">
            <v>0</v>
          </cell>
          <cell r="CY123">
            <v>0</v>
          </cell>
          <cell r="CZ123">
            <v>0</v>
          </cell>
          <cell r="DA123">
            <v>0</v>
          </cell>
          <cell r="DB123">
            <v>0</v>
          </cell>
          <cell r="DC123">
            <v>0</v>
          </cell>
          <cell r="DD123">
            <v>0</v>
          </cell>
          <cell r="DE123">
            <v>113</v>
          </cell>
          <cell r="DF123">
            <v>0</v>
          </cell>
          <cell r="DG123">
            <v>0</v>
          </cell>
          <cell r="DH123"/>
          <cell r="DI123">
            <v>0</v>
          </cell>
          <cell r="DK123" t="str">
            <v>OK</v>
          </cell>
          <cell r="DM123">
            <v>0</v>
          </cell>
          <cell r="DN123">
            <v>0</v>
          </cell>
          <cell r="DO123"/>
        </row>
        <row r="124">
          <cell r="N124">
            <v>0</v>
          </cell>
          <cell r="O124">
            <v>0</v>
          </cell>
          <cell r="P124"/>
          <cell r="Q124"/>
          <cell r="T124"/>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cell r="BM124">
            <v>0</v>
          </cell>
          <cell r="BN124">
            <v>0</v>
          </cell>
          <cell r="BO124">
            <v>0</v>
          </cell>
          <cell r="BP124">
            <v>0</v>
          </cell>
          <cell r="BQ124">
            <v>0</v>
          </cell>
          <cell r="BR124">
            <v>0</v>
          </cell>
          <cell r="BS124">
            <v>0</v>
          </cell>
          <cell r="BT124">
            <v>0</v>
          </cell>
          <cell r="BU124">
            <v>0</v>
          </cell>
          <cell r="BV124">
            <v>0</v>
          </cell>
          <cell r="BW124">
            <v>0</v>
          </cell>
          <cell r="BX124">
            <v>0</v>
          </cell>
          <cell r="BY124">
            <v>0</v>
          </cell>
          <cell r="BZ124">
            <v>0</v>
          </cell>
          <cell r="CA124">
            <v>0</v>
          </cell>
          <cell r="CB124">
            <v>0</v>
          </cell>
          <cell r="CC124">
            <v>0</v>
          </cell>
          <cell r="CD124">
            <v>0</v>
          </cell>
          <cell r="CE124">
            <v>0</v>
          </cell>
          <cell r="CF124">
            <v>0</v>
          </cell>
          <cell r="CG124">
            <v>0</v>
          </cell>
          <cell r="CH124">
            <v>0</v>
          </cell>
          <cell r="CI124">
            <v>0</v>
          </cell>
          <cell r="CJ124">
            <v>0</v>
          </cell>
          <cell r="CK124">
            <v>0</v>
          </cell>
          <cell r="CL124">
            <v>0</v>
          </cell>
          <cell r="CM124">
            <v>0</v>
          </cell>
          <cell r="CN124">
            <v>0</v>
          </cell>
          <cell r="CO124">
            <v>0</v>
          </cell>
          <cell r="CP124">
            <v>0</v>
          </cell>
          <cell r="CQ124">
            <v>0</v>
          </cell>
          <cell r="CR124">
            <v>0</v>
          </cell>
          <cell r="CS124">
            <v>0</v>
          </cell>
          <cell r="CT124">
            <v>0</v>
          </cell>
          <cell r="CU124">
            <v>0</v>
          </cell>
          <cell r="CV124">
            <v>0</v>
          </cell>
          <cell r="CW124">
            <v>0</v>
          </cell>
          <cell r="CX124">
            <v>0</v>
          </cell>
          <cell r="CY124">
            <v>0</v>
          </cell>
          <cell r="CZ124">
            <v>0</v>
          </cell>
          <cell r="DA124">
            <v>0</v>
          </cell>
          <cell r="DB124">
            <v>0</v>
          </cell>
          <cell r="DC124">
            <v>0</v>
          </cell>
          <cell r="DD124">
            <v>0</v>
          </cell>
          <cell r="DE124">
            <v>114</v>
          </cell>
          <cell r="DF124">
            <v>0</v>
          </cell>
          <cell r="DG124">
            <v>0</v>
          </cell>
          <cell r="DH124"/>
          <cell r="DI124">
            <v>0</v>
          </cell>
          <cell r="DK124" t="str">
            <v>OK</v>
          </cell>
          <cell r="DM124">
            <v>0</v>
          </cell>
          <cell r="DN124">
            <v>0</v>
          </cell>
          <cell r="DO124"/>
        </row>
        <row r="125">
          <cell r="N125">
            <v>0</v>
          </cell>
          <cell r="O125">
            <v>0</v>
          </cell>
          <cell r="P125"/>
          <cell r="Q125"/>
          <cell r="T125"/>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cell r="BM125">
            <v>0</v>
          </cell>
          <cell r="BN125">
            <v>0</v>
          </cell>
          <cell r="BO125">
            <v>0</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115</v>
          </cell>
          <cell r="DF125">
            <v>0</v>
          </cell>
          <cell r="DG125">
            <v>0</v>
          </cell>
          <cell r="DH125"/>
          <cell r="DI125">
            <v>0</v>
          </cell>
          <cell r="DK125" t="str">
            <v>OK</v>
          </cell>
          <cell r="DM125">
            <v>0</v>
          </cell>
          <cell r="DN125">
            <v>0</v>
          </cell>
          <cell r="DO125"/>
        </row>
        <row r="126">
          <cell r="N126">
            <v>0</v>
          </cell>
          <cell r="O126">
            <v>0</v>
          </cell>
          <cell r="P126"/>
          <cell r="Q126"/>
          <cell r="T126"/>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cell r="BM126">
            <v>0</v>
          </cell>
          <cell r="BN126">
            <v>0</v>
          </cell>
          <cell r="BO126">
            <v>0</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0</v>
          </cell>
          <cell r="CQ126">
            <v>0</v>
          </cell>
          <cell r="CR126">
            <v>0</v>
          </cell>
          <cell r="CS126">
            <v>0</v>
          </cell>
          <cell r="CT126">
            <v>0</v>
          </cell>
          <cell r="CU126">
            <v>0</v>
          </cell>
          <cell r="CV126">
            <v>0</v>
          </cell>
          <cell r="CW126">
            <v>0</v>
          </cell>
          <cell r="CX126">
            <v>0</v>
          </cell>
          <cell r="CY126">
            <v>0</v>
          </cell>
          <cell r="CZ126">
            <v>0</v>
          </cell>
          <cell r="DA126">
            <v>0</v>
          </cell>
          <cell r="DB126">
            <v>0</v>
          </cell>
          <cell r="DC126">
            <v>0</v>
          </cell>
          <cell r="DD126">
            <v>0</v>
          </cell>
          <cell r="DE126">
            <v>116</v>
          </cell>
          <cell r="DF126">
            <v>0</v>
          </cell>
          <cell r="DG126">
            <v>0</v>
          </cell>
          <cell r="DH126"/>
          <cell r="DI126">
            <v>0</v>
          </cell>
          <cell r="DK126" t="str">
            <v>OK</v>
          </cell>
          <cell r="DM126">
            <v>0</v>
          </cell>
          <cell r="DN126">
            <v>0</v>
          </cell>
          <cell r="DO126"/>
        </row>
        <row r="127">
          <cell r="N127">
            <v>0</v>
          </cell>
          <cell r="O127">
            <v>0</v>
          </cell>
          <cell r="P127"/>
          <cell r="Q127"/>
          <cell r="T127"/>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cell r="BM127">
            <v>0</v>
          </cell>
          <cell r="BN127">
            <v>0</v>
          </cell>
          <cell r="BO127">
            <v>0</v>
          </cell>
          <cell r="BP127">
            <v>0</v>
          </cell>
          <cell r="BQ127">
            <v>0</v>
          </cell>
          <cell r="BR127">
            <v>0</v>
          </cell>
          <cell r="BS127">
            <v>0</v>
          </cell>
          <cell r="BT127">
            <v>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v>0</v>
          </cell>
          <cell r="CM127">
            <v>0</v>
          </cell>
          <cell r="CN127">
            <v>0</v>
          </cell>
          <cell r="CO127">
            <v>0</v>
          </cell>
          <cell r="CP127">
            <v>0</v>
          </cell>
          <cell r="CQ127">
            <v>0</v>
          </cell>
          <cell r="CR127">
            <v>0</v>
          </cell>
          <cell r="CS127">
            <v>0</v>
          </cell>
          <cell r="CT127">
            <v>0</v>
          </cell>
          <cell r="CU127">
            <v>0</v>
          </cell>
          <cell r="CV127">
            <v>0</v>
          </cell>
          <cell r="CW127">
            <v>0</v>
          </cell>
          <cell r="CX127">
            <v>0</v>
          </cell>
          <cell r="CY127">
            <v>0</v>
          </cell>
          <cell r="CZ127">
            <v>0</v>
          </cell>
          <cell r="DA127">
            <v>0</v>
          </cell>
          <cell r="DB127">
            <v>0</v>
          </cell>
          <cell r="DC127">
            <v>0</v>
          </cell>
          <cell r="DD127">
            <v>0</v>
          </cell>
          <cell r="DE127">
            <v>117</v>
          </cell>
          <cell r="DF127">
            <v>0</v>
          </cell>
          <cell r="DG127">
            <v>0</v>
          </cell>
          <cell r="DH127"/>
          <cell r="DI127">
            <v>0</v>
          </cell>
          <cell r="DK127" t="str">
            <v>OK</v>
          </cell>
          <cell r="DM127">
            <v>0</v>
          </cell>
          <cell r="DN127">
            <v>0</v>
          </cell>
          <cell r="DO127"/>
        </row>
        <row r="128">
          <cell r="N128">
            <v>0</v>
          </cell>
          <cell r="O128">
            <v>0</v>
          </cell>
          <cell r="P128"/>
          <cell r="Q128"/>
          <cell r="T128"/>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cell r="BM128">
            <v>0</v>
          </cell>
          <cell r="BN128">
            <v>0</v>
          </cell>
          <cell r="BO128">
            <v>0</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0</v>
          </cell>
          <cell r="CP128">
            <v>0</v>
          </cell>
          <cell r="CQ128">
            <v>0</v>
          </cell>
          <cell r="CR128">
            <v>0</v>
          </cell>
          <cell r="CS128">
            <v>0</v>
          </cell>
          <cell r="CT128">
            <v>0</v>
          </cell>
          <cell r="CU128">
            <v>0</v>
          </cell>
          <cell r="CV128">
            <v>0</v>
          </cell>
          <cell r="CW128">
            <v>0</v>
          </cell>
          <cell r="CX128">
            <v>0</v>
          </cell>
          <cell r="CY128">
            <v>0</v>
          </cell>
          <cell r="CZ128">
            <v>0</v>
          </cell>
          <cell r="DA128">
            <v>0</v>
          </cell>
          <cell r="DB128">
            <v>0</v>
          </cell>
          <cell r="DC128">
            <v>0</v>
          </cell>
          <cell r="DD128">
            <v>0</v>
          </cell>
          <cell r="DE128">
            <v>118</v>
          </cell>
          <cell r="DF128">
            <v>0</v>
          </cell>
          <cell r="DG128">
            <v>0</v>
          </cell>
          <cell r="DH128"/>
          <cell r="DI128">
            <v>0</v>
          </cell>
          <cell r="DK128" t="str">
            <v>OK</v>
          </cell>
          <cell r="DM128">
            <v>0</v>
          </cell>
          <cell r="DN128">
            <v>0</v>
          </cell>
          <cell r="DO128"/>
        </row>
        <row r="129">
          <cell r="N129">
            <v>0</v>
          </cell>
          <cell r="O129">
            <v>0</v>
          </cell>
          <cell r="P129"/>
          <cell r="Q129"/>
          <cell r="T129"/>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cell r="BM129">
            <v>0</v>
          </cell>
          <cell r="BN129">
            <v>0</v>
          </cell>
          <cell r="BO129">
            <v>0</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v>0</v>
          </cell>
          <cell r="CE129">
            <v>0</v>
          </cell>
          <cell r="CF129">
            <v>0</v>
          </cell>
          <cell r="CG129">
            <v>0</v>
          </cell>
          <cell r="CH129">
            <v>0</v>
          </cell>
          <cell r="CI129">
            <v>0</v>
          </cell>
          <cell r="CJ129">
            <v>0</v>
          </cell>
          <cell r="CK129">
            <v>0</v>
          </cell>
          <cell r="CL129">
            <v>0</v>
          </cell>
          <cell r="CM129">
            <v>0</v>
          </cell>
          <cell r="CN129">
            <v>0</v>
          </cell>
          <cell r="CO129">
            <v>0</v>
          </cell>
          <cell r="CP129">
            <v>0</v>
          </cell>
          <cell r="CQ129">
            <v>0</v>
          </cell>
          <cell r="CR129">
            <v>0</v>
          </cell>
          <cell r="CS129">
            <v>0</v>
          </cell>
          <cell r="CT129">
            <v>0</v>
          </cell>
          <cell r="CU129">
            <v>0</v>
          </cell>
          <cell r="CV129">
            <v>0</v>
          </cell>
          <cell r="CW129">
            <v>0</v>
          </cell>
          <cell r="CX129">
            <v>0</v>
          </cell>
          <cell r="CY129">
            <v>0</v>
          </cell>
          <cell r="CZ129">
            <v>0</v>
          </cell>
          <cell r="DA129">
            <v>0</v>
          </cell>
          <cell r="DB129">
            <v>0</v>
          </cell>
          <cell r="DC129">
            <v>0</v>
          </cell>
          <cell r="DD129">
            <v>0</v>
          </cell>
          <cell r="DE129">
            <v>119</v>
          </cell>
          <cell r="DF129">
            <v>0</v>
          </cell>
          <cell r="DG129">
            <v>0</v>
          </cell>
          <cell r="DH129"/>
          <cell r="DI129">
            <v>0</v>
          </cell>
          <cell r="DK129" t="str">
            <v>OK</v>
          </cell>
          <cell r="DM129">
            <v>0</v>
          </cell>
          <cell r="DN129">
            <v>0</v>
          </cell>
          <cell r="DO129"/>
        </row>
        <row r="130">
          <cell r="N130">
            <v>0</v>
          </cell>
          <cell r="O130">
            <v>0</v>
          </cell>
          <cell r="P130"/>
          <cell r="Q130"/>
          <cell r="T130"/>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cell r="BM130">
            <v>0</v>
          </cell>
          <cell r="BN130">
            <v>0</v>
          </cell>
          <cell r="BO130">
            <v>0</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C130">
            <v>0</v>
          </cell>
          <cell r="CD130">
            <v>0</v>
          </cell>
          <cell r="CE130">
            <v>0</v>
          </cell>
          <cell r="CF130">
            <v>0</v>
          </cell>
          <cell r="CG130">
            <v>0</v>
          </cell>
          <cell r="CH130">
            <v>0</v>
          </cell>
          <cell r="CI130">
            <v>0</v>
          </cell>
          <cell r="CJ130">
            <v>0</v>
          </cell>
          <cell r="CK130">
            <v>0</v>
          </cell>
          <cell r="CL130">
            <v>0</v>
          </cell>
          <cell r="CM130">
            <v>0</v>
          </cell>
          <cell r="CN130">
            <v>0</v>
          </cell>
          <cell r="CO130">
            <v>0</v>
          </cell>
          <cell r="CP130">
            <v>0</v>
          </cell>
          <cell r="CQ130">
            <v>0</v>
          </cell>
          <cell r="CR130">
            <v>0</v>
          </cell>
          <cell r="CS130">
            <v>0</v>
          </cell>
          <cell r="CT130">
            <v>0</v>
          </cell>
          <cell r="CU130">
            <v>0</v>
          </cell>
          <cell r="CV130">
            <v>0</v>
          </cell>
          <cell r="CW130">
            <v>0</v>
          </cell>
          <cell r="CX130">
            <v>0</v>
          </cell>
          <cell r="CY130">
            <v>0</v>
          </cell>
          <cell r="CZ130">
            <v>0</v>
          </cell>
          <cell r="DA130">
            <v>0</v>
          </cell>
          <cell r="DB130">
            <v>0</v>
          </cell>
          <cell r="DC130">
            <v>0</v>
          </cell>
          <cell r="DD130">
            <v>0</v>
          </cell>
          <cell r="DE130">
            <v>120</v>
          </cell>
          <cell r="DF130">
            <v>0</v>
          </cell>
          <cell r="DG130">
            <v>0</v>
          </cell>
          <cell r="DH130"/>
          <cell r="DI130">
            <v>0</v>
          </cell>
          <cell r="DK130" t="str">
            <v>OK</v>
          </cell>
          <cell r="DM130">
            <v>0</v>
          </cell>
          <cell r="DN130">
            <v>0</v>
          </cell>
          <cell r="DO130"/>
        </row>
        <row r="131">
          <cell r="N131">
            <v>0</v>
          </cell>
          <cell r="O131">
            <v>0</v>
          </cell>
          <cell r="P131"/>
          <cell r="Q131"/>
          <cell r="T131"/>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cell r="BM131">
            <v>0</v>
          </cell>
          <cell r="BN131">
            <v>0</v>
          </cell>
          <cell r="BO131">
            <v>0</v>
          </cell>
          <cell r="BP131">
            <v>0</v>
          </cell>
          <cell r="BQ131">
            <v>0</v>
          </cell>
          <cell r="BR131">
            <v>0</v>
          </cell>
          <cell r="BS131">
            <v>0</v>
          </cell>
          <cell r="BT131">
            <v>0</v>
          </cell>
          <cell r="BU131">
            <v>0</v>
          </cell>
          <cell r="BV131">
            <v>0</v>
          </cell>
          <cell r="BW131">
            <v>0</v>
          </cell>
          <cell r="BX131">
            <v>0</v>
          </cell>
          <cell r="BY131">
            <v>0</v>
          </cell>
          <cell r="BZ131">
            <v>0</v>
          </cell>
          <cell r="CA131">
            <v>0</v>
          </cell>
          <cell r="CB131">
            <v>0</v>
          </cell>
          <cell r="CC131">
            <v>0</v>
          </cell>
          <cell r="CD131">
            <v>0</v>
          </cell>
          <cell r="CE131">
            <v>0</v>
          </cell>
          <cell r="CF131">
            <v>0</v>
          </cell>
          <cell r="CG131">
            <v>0</v>
          </cell>
          <cell r="CH131">
            <v>0</v>
          </cell>
          <cell r="CI131">
            <v>0</v>
          </cell>
          <cell r="CJ131">
            <v>0</v>
          </cell>
          <cell r="CK131">
            <v>0</v>
          </cell>
          <cell r="CL131">
            <v>0</v>
          </cell>
          <cell r="CM131">
            <v>0</v>
          </cell>
          <cell r="CN131">
            <v>0</v>
          </cell>
          <cell r="CO131">
            <v>0</v>
          </cell>
          <cell r="CP131">
            <v>0</v>
          </cell>
          <cell r="CQ131">
            <v>0</v>
          </cell>
          <cell r="CR131">
            <v>0</v>
          </cell>
          <cell r="CS131">
            <v>0</v>
          </cell>
          <cell r="CT131">
            <v>0</v>
          </cell>
          <cell r="CU131">
            <v>0</v>
          </cell>
          <cell r="CV131">
            <v>0</v>
          </cell>
          <cell r="CW131">
            <v>0</v>
          </cell>
          <cell r="CX131">
            <v>0</v>
          </cell>
          <cell r="CY131">
            <v>0</v>
          </cell>
          <cell r="CZ131">
            <v>0</v>
          </cell>
          <cell r="DA131">
            <v>0</v>
          </cell>
          <cell r="DB131">
            <v>0</v>
          </cell>
          <cell r="DC131">
            <v>0</v>
          </cell>
          <cell r="DD131">
            <v>0</v>
          </cell>
          <cell r="DE131">
            <v>121</v>
          </cell>
          <cell r="DF131">
            <v>0</v>
          </cell>
          <cell r="DG131">
            <v>0</v>
          </cell>
          <cell r="DH131"/>
          <cell r="DI131">
            <v>0</v>
          </cell>
          <cell r="DK131" t="str">
            <v>OK</v>
          </cell>
          <cell r="DM131">
            <v>0</v>
          </cell>
          <cell r="DN131">
            <v>0</v>
          </cell>
          <cell r="DO131"/>
        </row>
        <row r="132">
          <cell r="N132">
            <v>0</v>
          </cell>
          <cell r="O132">
            <v>0</v>
          </cell>
          <cell r="P132"/>
          <cell r="Q132"/>
          <cell r="T132"/>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cell r="BM132">
            <v>0</v>
          </cell>
          <cell r="BN132">
            <v>0</v>
          </cell>
          <cell r="BO132">
            <v>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I132">
            <v>0</v>
          </cell>
          <cell r="CJ132">
            <v>0</v>
          </cell>
          <cell r="CK132">
            <v>0</v>
          </cell>
          <cell r="CL132">
            <v>0</v>
          </cell>
          <cell r="CM132">
            <v>0</v>
          </cell>
          <cell r="CN132">
            <v>0</v>
          </cell>
          <cell r="CO132">
            <v>0</v>
          </cell>
          <cell r="CP132">
            <v>0</v>
          </cell>
          <cell r="CQ132">
            <v>0</v>
          </cell>
          <cell r="CR132">
            <v>0</v>
          </cell>
          <cell r="CS132">
            <v>0</v>
          </cell>
          <cell r="CT132">
            <v>0</v>
          </cell>
          <cell r="CU132">
            <v>0</v>
          </cell>
          <cell r="CV132">
            <v>0</v>
          </cell>
          <cell r="CW132">
            <v>0</v>
          </cell>
          <cell r="CX132">
            <v>0</v>
          </cell>
          <cell r="CY132">
            <v>0</v>
          </cell>
          <cell r="CZ132">
            <v>0</v>
          </cell>
          <cell r="DA132">
            <v>0</v>
          </cell>
          <cell r="DB132">
            <v>0</v>
          </cell>
          <cell r="DC132">
            <v>0</v>
          </cell>
          <cell r="DD132">
            <v>0</v>
          </cell>
          <cell r="DE132">
            <v>122</v>
          </cell>
          <cell r="DF132">
            <v>0</v>
          </cell>
          <cell r="DG132">
            <v>0</v>
          </cell>
          <cell r="DH132"/>
          <cell r="DI132">
            <v>0</v>
          </cell>
          <cell r="DK132" t="str">
            <v>OK</v>
          </cell>
          <cell r="DM132">
            <v>0</v>
          </cell>
          <cell r="DN132">
            <v>0</v>
          </cell>
          <cell r="DO132"/>
        </row>
        <row r="133">
          <cell r="N133">
            <v>0</v>
          </cell>
          <cell r="O133">
            <v>0</v>
          </cell>
          <cell r="P133"/>
          <cell r="Q133"/>
          <cell r="T133"/>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cell r="BM133">
            <v>0</v>
          </cell>
          <cell r="BN133">
            <v>0</v>
          </cell>
          <cell r="BO133">
            <v>0</v>
          </cell>
          <cell r="BP133">
            <v>0</v>
          </cell>
          <cell r="BQ133">
            <v>0</v>
          </cell>
          <cell r="BR133">
            <v>0</v>
          </cell>
          <cell r="BS133">
            <v>0</v>
          </cell>
          <cell r="BT133">
            <v>0</v>
          </cell>
          <cell r="BU133">
            <v>0</v>
          </cell>
          <cell r="BV133">
            <v>0</v>
          </cell>
          <cell r="BW133">
            <v>0</v>
          </cell>
          <cell r="BX133">
            <v>0</v>
          </cell>
          <cell r="BY133">
            <v>0</v>
          </cell>
          <cell r="BZ133">
            <v>0</v>
          </cell>
          <cell r="CA133">
            <v>0</v>
          </cell>
          <cell r="CB133">
            <v>0</v>
          </cell>
          <cell r="CC133">
            <v>0</v>
          </cell>
          <cell r="CD133">
            <v>0</v>
          </cell>
          <cell r="CE133">
            <v>0</v>
          </cell>
          <cell r="CF133">
            <v>0</v>
          </cell>
          <cell r="CG133">
            <v>0</v>
          </cell>
          <cell r="CH133">
            <v>0</v>
          </cell>
          <cell r="CI133">
            <v>0</v>
          </cell>
          <cell r="CJ133">
            <v>0</v>
          </cell>
          <cell r="CK133">
            <v>0</v>
          </cell>
          <cell r="CL133">
            <v>0</v>
          </cell>
          <cell r="CM133">
            <v>0</v>
          </cell>
          <cell r="CN133">
            <v>0</v>
          </cell>
          <cell r="CO133">
            <v>0</v>
          </cell>
          <cell r="CP133">
            <v>0</v>
          </cell>
          <cell r="CQ133">
            <v>0</v>
          </cell>
          <cell r="CR133">
            <v>0</v>
          </cell>
          <cell r="CS133">
            <v>0</v>
          </cell>
          <cell r="CT133">
            <v>0</v>
          </cell>
          <cell r="CU133">
            <v>0</v>
          </cell>
          <cell r="CV133">
            <v>0</v>
          </cell>
          <cell r="CW133">
            <v>0</v>
          </cell>
          <cell r="CX133">
            <v>0</v>
          </cell>
          <cell r="CY133">
            <v>0</v>
          </cell>
          <cell r="CZ133">
            <v>0</v>
          </cell>
          <cell r="DA133">
            <v>0</v>
          </cell>
          <cell r="DB133">
            <v>0</v>
          </cell>
          <cell r="DC133">
            <v>0</v>
          </cell>
          <cell r="DD133">
            <v>0</v>
          </cell>
          <cell r="DE133">
            <v>123</v>
          </cell>
          <cell r="DF133">
            <v>0</v>
          </cell>
          <cell r="DG133">
            <v>0</v>
          </cell>
          <cell r="DH133"/>
          <cell r="DI133">
            <v>0</v>
          </cell>
          <cell r="DK133" t="str">
            <v>OK</v>
          </cell>
          <cell r="DM133">
            <v>0</v>
          </cell>
          <cell r="DN133">
            <v>0</v>
          </cell>
          <cell r="DO133"/>
        </row>
        <row r="134">
          <cell r="N134">
            <v>0</v>
          </cell>
          <cell r="O134">
            <v>0</v>
          </cell>
          <cell r="P134"/>
          <cell r="Q134"/>
          <cell r="T134"/>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cell r="BM134">
            <v>0</v>
          </cell>
          <cell r="BN134">
            <v>0</v>
          </cell>
          <cell r="BO134">
            <v>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0</v>
          </cell>
          <cell r="CG134">
            <v>0</v>
          </cell>
          <cell r="CH134">
            <v>0</v>
          </cell>
          <cell r="CI134">
            <v>0</v>
          </cell>
          <cell r="CJ134">
            <v>0</v>
          </cell>
          <cell r="CK134">
            <v>0</v>
          </cell>
          <cell r="CL134">
            <v>0</v>
          </cell>
          <cell r="CM134">
            <v>0</v>
          </cell>
          <cell r="CN134">
            <v>0</v>
          </cell>
          <cell r="CO134">
            <v>0</v>
          </cell>
          <cell r="CP134">
            <v>0</v>
          </cell>
          <cell r="CQ134">
            <v>0</v>
          </cell>
          <cell r="CR134">
            <v>0</v>
          </cell>
          <cell r="CS134">
            <v>0</v>
          </cell>
          <cell r="CT134">
            <v>0</v>
          </cell>
          <cell r="CU134">
            <v>0</v>
          </cell>
          <cell r="CV134">
            <v>0</v>
          </cell>
          <cell r="CW134">
            <v>0</v>
          </cell>
          <cell r="CX134">
            <v>0</v>
          </cell>
          <cell r="CY134">
            <v>0</v>
          </cell>
          <cell r="CZ134">
            <v>0</v>
          </cell>
          <cell r="DA134">
            <v>0</v>
          </cell>
          <cell r="DB134">
            <v>0</v>
          </cell>
          <cell r="DC134">
            <v>0</v>
          </cell>
          <cell r="DD134">
            <v>0</v>
          </cell>
          <cell r="DE134">
            <v>124</v>
          </cell>
          <cell r="DF134">
            <v>0</v>
          </cell>
          <cell r="DG134">
            <v>0</v>
          </cell>
          <cell r="DH134"/>
          <cell r="DI134">
            <v>0</v>
          </cell>
          <cell r="DK134" t="str">
            <v>OK</v>
          </cell>
          <cell r="DM134">
            <v>0</v>
          </cell>
          <cell r="DN134">
            <v>0</v>
          </cell>
          <cell r="DO134"/>
        </row>
        <row r="135">
          <cell r="N135">
            <v>0</v>
          </cell>
          <cell r="O135">
            <v>0</v>
          </cell>
          <cell r="P135"/>
          <cell r="Q135"/>
          <cell r="T135"/>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cell r="BM135">
            <v>0</v>
          </cell>
          <cell r="BN135">
            <v>0</v>
          </cell>
          <cell r="BO135">
            <v>0</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N135">
            <v>0</v>
          </cell>
          <cell r="CO135">
            <v>0</v>
          </cell>
          <cell r="CP135">
            <v>0</v>
          </cell>
          <cell r="CQ135">
            <v>0</v>
          </cell>
          <cell r="CR135">
            <v>0</v>
          </cell>
          <cell r="CS135">
            <v>0</v>
          </cell>
          <cell r="CT135">
            <v>0</v>
          </cell>
          <cell r="CU135">
            <v>0</v>
          </cell>
          <cell r="CV135">
            <v>0</v>
          </cell>
          <cell r="CW135">
            <v>0</v>
          </cell>
          <cell r="CX135">
            <v>0</v>
          </cell>
          <cell r="CY135">
            <v>0</v>
          </cell>
          <cell r="CZ135">
            <v>0</v>
          </cell>
          <cell r="DA135">
            <v>0</v>
          </cell>
          <cell r="DB135">
            <v>0</v>
          </cell>
          <cell r="DC135">
            <v>0</v>
          </cell>
          <cell r="DD135">
            <v>0</v>
          </cell>
          <cell r="DE135">
            <v>125</v>
          </cell>
          <cell r="DF135">
            <v>0</v>
          </cell>
          <cell r="DG135">
            <v>0</v>
          </cell>
          <cell r="DH135"/>
          <cell r="DI135">
            <v>0</v>
          </cell>
          <cell r="DK135" t="str">
            <v>OK</v>
          </cell>
          <cell r="DM135">
            <v>0</v>
          </cell>
          <cell r="DN135">
            <v>0</v>
          </cell>
          <cell r="DO135"/>
        </row>
        <row r="136">
          <cell r="N136">
            <v>0</v>
          </cell>
          <cell r="O136">
            <v>0</v>
          </cell>
          <cell r="P136"/>
          <cell r="Q136"/>
          <cell r="T136"/>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cell r="BM136">
            <v>0</v>
          </cell>
          <cell r="BN136">
            <v>0</v>
          </cell>
          <cell r="BO136">
            <v>0</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0</v>
          </cell>
          <cell r="CQ136">
            <v>0</v>
          </cell>
          <cell r="CR136">
            <v>0</v>
          </cell>
          <cell r="CS136">
            <v>0</v>
          </cell>
          <cell r="CT136">
            <v>0</v>
          </cell>
          <cell r="CU136">
            <v>0</v>
          </cell>
          <cell r="CV136">
            <v>0</v>
          </cell>
          <cell r="CW136">
            <v>0</v>
          </cell>
          <cell r="CX136">
            <v>0</v>
          </cell>
          <cell r="CY136">
            <v>0</v>
          </cell>
          <cell r="CZ136">
            <v>0</v>
          </cell>
          <cell r="DA136">
            <v>0</v>
          </cell>
          <cell r="DB136">
            <v>0</v>
          </cell>
          <cell r="DC136">
            <v>0</v>
          </cell>
          <cell r="DD136">
            <v>0</v>
          </cell>
          <cell r="DE136">
            <v>126</v>
          </cell>
          <cell r="DF136">
            <v>0</v>
          </cell>
          <cell r="DG136">
            <v>0</v>
          </cell>
          <cell r="DH136"/>
          <cell r="DI136">
            <v>0</v>
          </cell>
          <cell r="DK136" t="str">
            <v>OK</v>
          </cell>
          <cell r="DM136">
            <v>0</v>
          </cell>
          <cell r="DN136">
            <v>0</v>
          </cell>
          <cell r="DO136"/>
        </row>
        <row r="137">
          <cell r="N137">
            <v>0</v>
          </cell>
          <cell r="O137">
            <v>0</v>
          </cell>
          <cell r="P137"/>
          <cell r="Q137"/>
          <cell r="T137"/>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cell r="BM137">
            <v>0</v>
          </cell>
          <cell r="BN137">
            <v>0</v>
          </cell>
          <cell r="BO137">
            <v>0</v>
          </cell>
          <cell r="BP137">
            <v>0</v>
          </cell>
          <cell r="BQ137">
            <v>0</v>
          </cell>
          <cell r="BR137">
            <v>0</v>
          </cell>
          <cell r="BS137">
            <v>0</v>
          </cell>
          <cell r="BT137">
            <v>0</v>
          </cell>
          <cell r="BU137">
            <v>0</v>
          </cell>
          <cell r="BV137">
            <v>0</v>
          </cell>
          <cell r="BW137">
            <v>0</v>
          </cell>
          <cell r="BX137">
            <v>0</v>
          </cell>
          <cell r="BY137">
            <v>0</v>
          </cell>
          <cell r="BZ137">
            <v>0</v>
          </cell>
          <cell r="CA137">
            <v>0</v>
          </cell>
          <cell r="CB137">
            <v>0</v>
          </cell>
          <cell r="CC137">
            <v>0</v>
          </cell>
          <cell r="CD137">
            <v>0</v>
          </cell>
          <cell r="CE137">
            <v>0</v>
          </cell>
          <cell r="CF137">
            <v>0</v>
          </cell>
          <cell r="CG137">
            <v>0</v>
          </cell>
          <cell r="CH137">
            <v>0</v>
          </cell>
          <cell r="CI137">
            <v>0</v>
          </cell>
          <cell r="CJ137">
            <v>0</v>
          </cell>
          <cell r="CK137">
            <v>0</v>
          </cell>
          <cell r="CL137">
            <v>0</v>
          </cell>
          <cell r="CM137">
            <v>0</v>
          </cell>
          <cell r="CN137">
            <v>0</v>
          </cell>
          <cell r="CO137">
            <v>0</v>
          </cell>
          <cell r="CP137">
            <v>0</v>
          </cell>
          <cell r="CQ137">
            <v>0</v>
          </cell>
          <cell r="CR137">
            <v>0</v>
          </cell>
          <cell r="CS137">
            <v>0</v>
          </cell>
          <cell r="CT137">
            <v>0</v>
          </cell>
          <cell r="CU137">
            <v>0</v>
          </cell>
          <cell r="CV137">
            <v>0</v>
          </cell>
          <cell r="CW137">
            <v>0</v>
          </cell>
          <cell r="CX137">
            <v>0</v>
          </cell>
          <cell r="CY137">
            <v>0</v>
          </cell>
          <cell r="CZ137">
            <v>0</v>
          </cell>
          <cell r="DA137">
            <v>0</v>
          </cell>
          <cell r="DB137">
            <v>0</v>
          </cell>
          <cell r="DC137">
            <v>0</v>
          </cell>
          <cell r="DD137">
            <v>0</v>
          </cell>
          <cell r="DE137">
            <v>127</v>
          </cell>
          <cell r="DF137">
            <v>0</v>
          </cell>
          <cell r="DG137">
            <v>0</v>
          </cell>
          <cell r="DH137"/>
          <cell r="DI137">
            <v>0</v>
          </cell>
          <cell r="DK137" t="str">
            <v>OK</v>
          </cell>
          <cell r="DM137">
            <v>0</v>
          </cell>
          <cell r="DN137">
            <v>0</v>
          </cell>
          <cell r="DO137"/>
        </row>
        <row r="138">
          <cell r="N138">
            <v>0</v>
          </cell>
          <cell r="O138">
            <v>0</v>
          </cell>
          <cell r="P138"/>
          <cell r="Q138"/>
          <cell r="T138"/>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cell r="BM138">
            <v>0</v>
          </cell>
          <cell r="BN138">
            <v>0</v>
          </cell>
          <cell r="BO138">
            <v>0</v>
          </cell>
          <cell r="BP138">
            <v>0</v>
          </cell>
          <cell r="BQ138">
            <v>0</v>
          </cell>
          <cell r="BR138">
            <v>0</v>
          </cell>
          <cell r="BS138">
            <v>0</v>
          </cell>
          <cell r="BT138">
            <v>0</v>
          </cell>
          <cell r="BU138">
            <v>0</v>
          </cell>
          <cell r="BV138">
            <v>0</v>
          </cell>
          <cell r="BW138">
            <v>0</v>
          </cell>
          <cell r="BX138">
            <v>0</v>
          </cell>
          <cell r="BY138">
            <v>0</v>
          </cell>
          <cell r="BZ138">
            <v>0</v>
          </cell>
          <cell r="CA138">
            <v>0</v>
          </cell>
          <cell r="CB138">
            <v>0</v>
          </cell>
          <cell r="CC138">
            <v>0</v>
          </cell>
          <cell r="CD138">
            <v>0</v>
          </cell>
          <cell r="CE138">
            <v>0</v>
          </cell>
          <cell r="CF138">
            <v>0</v>
          </cell>
          <cell r="CG138">
            <v>0</v>
          </cell>
          <cell r="CH138">
            <v>0</v>
          </cell>
          <cell r="CI138">
            <v>0</v>
          </cell>
          <cell r="CJ138">
            <v>0</v>
          </cell>
          <cell r="CK138">
            <v>0</v>
          </cell>
          <cell r="CL138">
            <v>0</v>
          </cell>
          <cell r="CM138">
            <v>0</v>
          </cell>
          <cell r="CN138">
            <v>0</v>
          </cell>
          <cell r="CO138">
            <v>0</v>
          </cell>
          <cell r="CP138">
            <v>0</v>
          </cell>
          <cell r="CQ138">
            <v>0</v>
          </cell>
          <cell r="CR138">
            <v>0</v>
          </cell>
          <cell r="CS138">
            <v>0</v>
          </cell>
          <cell r="CT138">
            <v>0</v>
          </cell>
          <cell r="CU138">
            <v>0</v>
          </cell>
          <cell r="CV138">
            <v>0</v>
          </cell>
          <cell r="CW138">
            <v>0</v>
          </cell>
          <cell r="CX138">
            <v>0</v>
          </cell>
          <cell r="CY138">
            <v>0</v>
          </cell>
          <cell r="CZ138">
            <v>0</v>
          </cell>
          <cell r="DA138">
            <v>0</v>
          </cell>
          <cell r="DB138">
            <v>0</v>
          </cell>
          <cell r="DC138">
            <v>0</v>
          </cell>
          <cell r="DD138">
            <v>0</v>
          </cell>
          <cell r="DE138">
            <v>128</v>
          </cell>
          <cell r="DF138">
            <v>0</v>
          </cell>
          <cell r="DG138">
            <v>0</v>
          </cell>
          <cell r="DH138"/>
          <cell r="DI138">
            <v>0</v>
          </cell>
          <cell r="DK138" t="str">
            <v>OK</v>
          </cell>
          <cell r="DM138">
            <v>0</v>
          </cell>
          <cell r="DN138">
            <v>0</v>
          </cell>
          <cell r="DO138"/>
        </row>
        <row r="139">
          <cell r="N139">
            <v>0</v>
          </cell>
          <cell r="O139">
            <v>0</v>
          </cell>
          <cell r="P139"/>
          <cell r="Q139"/>
          <cell r="T139"/>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cell r="BM139">
            <v>0</v>
          </cell>
          <cell r="BN139">
            <v>0</v>
          </cell>
          <cell r="BO139">
            <v>0</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v>0</v>
          </cell>
          <cell r="CL139">
            <v>0</v>
          </cell>
          <cell r="CM139">
            <v>0</v>
          </cell>
          <cell r="CN139">
            <v>0</v>
          </cell>
          <cell r="CO139">
            <v>0</v>
          </cell>
          <cell r="CP139">
            <v>0</v>
          </cell>
          <cell r="CQ139">
            <v>0</v>
          </cell>
          <cell r="CR139">
            <v>0</v>
          </cell>
          <cell r="CS139">
            <v>0</v>
          </cell>
          <cell r="CT139">
            <v>0</v>
          </cell>
          <cell r="CU139">
            <v>0</v>
          </cell>
          <cell r="CV139">
            <v>0</v>
          </cell>
          <cell r="CW139">
            <v>0</v>
          </cell>
          <cell r="CX139">
            <v>0</v>
          </cell>
          <cell r="CY139">
            <v>0</v>
          </cell>
          <cell r="CZ139">
            <v>0</v>
          </cell>
          <cell r="DA139">
            <v>0</v>
          </cell>
          <cell r="DB139">
            <v>0</v>
          </cell>
          <cell r="DC139">
            <v>0</v>
          </cell>
          <cell r="DD139">
            <v>0</v>
          </cell>
          <cell r="DE139">
            <v>129</v>
          </cell>
          <cell r="DF139">
            <v>0</v>
          </cell>
          <cell r="DG139">
            <v>0</v>
          </cell>
          <cell r="DH139"/>
          <cell r="DI139">
            <v>0</v>
          </cell>
          <cell r="DK139" t="str">
            <v>OK</v>
          </cell>
          <cell r="DM139">
            <v>0</v>
          </cell>
          <cell r="DN139">
            <v>0</v>
          </cell>
          <cell r="DO139"/>
        </row>
        <row r="140">
          <cell r="N140">
            <v>0</v>
          </cell>
          <cell r="O140">
            <v>0</v>
          </cell>
          <cell r="P140"/>
          <cell r="Q140"/>
          <cell r="T140"/>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cell r="BM140">
            <v>0</v>
          </cell>
          <cell r="BN140">
            <v>0</v>
          </cell>
          <cell r="BO140">
            <v>0</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v>0</v>
          </cell>
          <cell r="CM140">
            <v>0</v>
          </cell>
          <cell r="CN140">
            <v>0</v>
          </cell>
          <cell r="CO140">
            <v>0</v>
          </cell>
          <cell r="CP140">
            <v>0</v>
          </cell>
          <cell r="CQ140">
            <v>0</v>
          </cell>
          <cell r="CR140">
            <v>0</v>
          </cell>
          <cell r="CS140">
            <v>0</v>
          </cell>
          <cell r="CT140">
            <v>0</v>
          </cell>
          <cell r="CU140">
            <v>0</v>
          </cell>
          <cell r="CV140">
            <v>0</v>
          </cell>
          <cell r="CW140">
            <v>0</v>
          </cell>
          <cell r="CX140">
            <v>0</v>
          </cell>
          <cell r="CY140">
            <v>0</v>
          </cell>
          <cell r="CZ140">
            <v>0</v>
          </cell>
          <cell r="DA140">
            <v>0</v>
          </cell>
          <cell r="DB140">
            <v>0</v>
          </cell>
          <cell r="DC140">
            <v>0</v>
          </cell>
          <cell r="DD140">
            <v>0</v>
          </cell>
          <cell r="DE140">
            <v>130</v>
          </cell>
          <cell r="DF140">
            <v>0</v>
          </cell>
          <cell r="DG140">
            <v>0</v>
          </cell>
          <cell r="DH140"/>
          <cell r="DI140">
            <v>0</v>
          </cell>
          <cell r="DK140" t="str">
            <v>OK</v>
          </cell>
          <cell r="DM140">
            <v>0</v>
          </cell>
          <cell r="DN140">
            <v>0</v>
          </cell>
          <cell r="DO140"/>
        </row>
        <row r="141">
          <cell r="N141">
            <v>0</v>
          </cell>
          <cell r="O141">
            <v>0</v>
          </cell>
          <cell r="P141"/>
          <cell r="Q141"/>
          <cell r="T141"/>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cell r="BM141">
            <v>0</v>
          </cell>
          <cell r="BN141">
            <v>0</v>
          </cell>
          <cell r="BO141">
            <v>0</v>
          </cell>
          <cell r="BP141">
            <v>0</v>
          </cell>
          <cell r="BQ141">
            <v>0</v>
          </cell>
          <cell r="BR141">
            <v>0</v>
          </cell>
          <cell r="BS141">
            <v>0</v>
          </cell>
          <cell r="BT141">
            <v>0</v>
          </cell>
          <cell r="BU141">
            <v>0</v>
          </cell>
          <cell r="BV141">
            <v>0</v>
          </cell>
          <cell r="BW141">
            <v>0</v>
          </cell>
          <cell r="BX141">
            <v>0</v>
          </cell>
          <cell r="BY141">
            <v>0</v>
          </cell>
          <cell r="BZ141">
            <v>0</v>
          </cell>
          <cell r="CA141">
            <v>0</v>
          </cell>
          <cell r="CB141">
            <v>0</v>
          </cell>
          <cell r="CC141">
            <v>0</v>
          </cell>
          <cell r="CD141">
            <v>0</v>
          </cell>
          <cell r="CE141">
            <v>0</v>
          </cell>
          <cell r="CF141">
            <v>0</v>
          </cell>
          <cell r="CG141">
            <v>0</v>
          </cell>
          <cell r="CH141">
            <v>0</v>
          </cell>
          <cell r="CI141">
            <v>0</v>
          </cell>
          <cell r="CJ141">
            <v>0</v>
          </cell>
          <cell r="CK141">
            <v>0</v>
          </cell>
          <cell r="CL141">
            <v>0</v>
          </cell>
          <cell r="CM141">
            <v>0</v>
          </cell>
          <cell r="CN141">
            <v>0</v>
          </cell>
          <cell r="CO141">
            <v>0</v>
          </cell>
          <cell r="CP141">
            <v>0</v>
          </cell>
          <cell r="CQ141">
            <v>0</v>
          </cell>
          <cell r="CR141">
            <v>0</v>
          </cell>
          <cell r="CS141">
            <v>0</v>
          </cell>
          <cell r="CT141">
            <v>0</v>
          </cell>
          <cell r="CU141">
            <v>0</v>
          </cell>
          <cell r="CV141">
            <v>0</v>
          </cell>
          <cell r="CW141">
            <v>0</v>
          </cell>
          <cell r="CX141">
            <v>0</v>
          </cell>
          <cell r="CY141">
            <v>0</v>
          </cell>
          <cell r="CZ141">
            <v>0</v>
          </cell>
          <cell r="DA141">
            <v>0</v>
          </cell>
          <cell r="DB141">
            <v>0</v>
          </cell>
          <cell r="DC141">
            <v>0</v>
          </cell>
          <cell r="DD141">
            <v>0</v>
          </cell>
          <cell r="DE141">
            <v>131</v>
          </cell>
          <cell r="DF141">
            <v>0</v>
          </cell>
          <cell r="DG141">
            <v>0</v>
          </cell>
          <cell r="DH141"/>
          <cell r="DI141">
            <v>0</v>
          </cell>
          <cell r="DK141" t="str">
            <v>OK</v>
          </cell>
          <cell r="DM141">
            <v>0</v>
          </cell>
          <cell r="DN141">
            <v>0</v>
          </cell>
          <cell r="DO141"/>
        </row>
        <row r="142">
          <cell r="N142">
            <v>0</v>
          </cell>
          <cell r="O142">
            <v>0</v>
          </cell>
          <cell r="P142"/>
          <cell r="Q142"/>
          <cell r="T142"/>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cell r="BM142">
            <v>0</v>
          </cell>
          <cell r="BN142">
            <v>0</v>
          </cell>
          <cell r="BO142">
            <v>0</v>
          </cell>
          <cell r="BP142">
            <v>0</v>
          </cell>
          <cell r="BQ142">
            <v>0</v>
          </cell>
          <cell r="BR142">
            <v>0</v>
          </cell>
          <cell r="BS142">
            <v>0</v>
          </cell>
          <cell r="BT142">
            <v>0</v>
          </cell>
          <cell r="BU142">
            <v>0</v>
          </cell>
          <cell r="BV142">
            <v>0</v>
          </cell>
          <cell r="BW142">
            <v>0</v>
          </cell>
          <cell r="BX142">
            <v>0</v>
          </cell>
          <cell r="BY142">
            <v>0</v>
          </cell>
          <cell r="BZ142">
            <v>0</v>
          </cell>
          <cell r="CA142">
            <v>0</v>
          </cell>
          <cell r="CB142">
            <v>0</v>
          </cell>
          <cell r="CC142">
            <v>0</v>
          </cell>
          <cell r="CD142">
            <v>0</v>
          </cell>
          <cell r="CE142">
            <v>0</v>
          </cell>
          <cell r="CF142">
            <v>0</v>
          </cell>
          <cell r="CG142">
            <v>0</v>
          </cell>
          <cell r="CH142">
            <v>0</v>
          </cell>
          <cell r="CI142">
            <v>0</v>
          </cell>
          <cell r="CJ142">
            <v>0</v>
          </cell>
          <cell r="CK142">
            <v>0</v>
          </cell>
          <cell r="CL142">
            <v>0</v>
          </cell>
          <cell r="CM142">
            <v>0</v>
          </cell>
          <cell r="CN142">
            <v>0</v>
          </cell>
          <cell r="CO142">
            <v>0</v>
          </cell>
          <cell r="CP142">
            <v>0</v>
          </cell>
          <cell r="CQ142">
            <v>0</v>
          </cell>
          <cell r="CR142">
            <v>0</v>
          </cell>
          <cell r="CS142">
            <v>0</v>
          </cell>
          <cell r="CT142">
            <v>0</v>
          </cell>
          <cell r="CU142">
            <v>0</v>
          </cell>
          <cell r="CV142">
            <v>0</v>
          </cell>
          <cell r="CW142">
            <v>0</v>
          </cell>
          <cell r="CX142">
            <v>0</v>
          </cell>
          <cell r="CY142">
            <v>0</v>
          </cell>
          <cell r="CZ142">
            <v>0</v>
          </cell>
          <cell r="DA142">
            <v>0</v>
          </cell>
          <cell r="DB142">
            <v>0</v>
          </cell>
          <cell r="DC142">
            <v>0</v>
          </cell>
          <cell r="DD142">
            <v>0</v>
          </cell>
          <cell r="DE142">
            <v>132</v>
          </cell>
          <cell r="DF142">
            <v>0</v>
          </cell>
          <cell r="DG142">
            <v>0</v>
          </cell>
          <cell r="DH142"/>
          <cell r="DI142">
            <v>0</v>
          </cell>
          <cell r="DK142" t="str">
            <v>OK</v>
          </cell>
          <cell r="DM142">
            <v>0</v>
          </cell>
          <cell r="DN142">
            <v>0</v>
          </cell>
          <cell r="DO142"/>
        </row>
        <row r="143">
          <cell r="N143">
            <v>0</v>
          </cell>
          <cell r="O143">
            <v>0</v>
          </cell>
          <cell r="P143"/>
          <cell r="Q143"/>
          <cell r="T143"/>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cell r="BM143">
            <v>0</v>
          </cell>
          <cell r="BN143">
            <v>0</v>
          </cell>
          <cell r="BO143">
            <v>0</v>
          </cell>
          <cell r="BP143">
            <v>0</v>
          </cell>
          <cell r="BQ143">
            <v>0</v>
          </cell>
          <cell r="BR143">
            <v>0</v>
          </cell>
          <cell r="BS143">
            <v>0</v>
          </cell>
          <cell r="BT143">
            <v>0</v>
          </cell>
          <cell r="BU143">
            <v>0</v>
          </cell>
          <cell r="BV143">
            <v>0</v>
          </cell>
          <cell r="BW143">
            <v>0</v>
          </cell>
          <cell r="BX143">
            <v>0</v>
          </cell>
          <cell r="BY143">
            <v>0</v>
          </cell>
          <cell r="BZ143">
            <v>0</v>
          </cell>
          <cell r="CA143">
            <v>0</v>
          </cell>
          <cell r="CB143">
            <v>0</v>
          </cell>
          <cell r="CC143">
            <v>0</v>
          </cell>
          <cell r="CD143">
            <v>0</v>
          </cell>
          <cell r="CE143">
            <v>0</v>
          </cell>
          <cell r="CF143">
            <v>0</v>
          </cell>
          <cell r="CG143">
            <v>0</v>
          </cell>
          <cell r="CH143">
            <v>0</v>
          </cell>
          <cell r="CI143">
            <v>0</v>
          </cell>
          <cell r="CJ143">
            <v>0</v>
          </cell>
          <cell r="CK143">
            <v>0</v>
          </cell>
          <cell r="CL143">
            <v>0</v>
          </cell>
          <cell r="CM143">
            <v>0</v>
          </cell>
          <cell r="CN143">
            <v>0</v>
          </cell>
          <cell r="CO143">
            <v>0</v>
          </cell>
          <cell r="CP143">
            <v>0</v>
          </cell>
          <cell r="CQ143">
            <v>0</v>
          </cell>
          <cell r="CR143">
            <v>0</v>
          </cell>
          <cell r="CS143">
            <v>0</v>
          </cell>
          <cell r="CT143">
            <v>0</v>
          </cell>
          <cell r="CU143">
            <v>0</v>
          </cell>
          <cell r="CV143">
            <v>0</v>
          </cell>
          <cell r="CW143">
            <v>0</v>
          </cell>
          <cell r="CX143">
            <v>0</v>
          </cell>
          <cell r="CY143">
            <v>0</v>
          </cell>
          <cell r="CZ143">
            <v>0</v>
          </cell>
          <cell r="DA143">
            <v>0</v>
          </cell>
          <cell r="DB143">
            <v>0</v>
          </cell>
          <cell r="DC143">
            <v>0</v>
          </cell>
          <cell r="DD143">
            <v>0</v>
          </cell>
          <cell r="DE143">
            <v>133</v>
          </cell>
          <cell r="DF143">
            <v>0</v>
          </cell>
          <cell r="DG143">
            <v>0</v>
          </cell>
          <cell r="DH143"/>
          <cell r="DI143">
            <v>0</v>
          </cell>
          <cell r="DK143" t="str">
            <v>OK</v>
          </cell>
          <cell r="DM143">
            <v>0</v>
          </cell>
          <cell r="DN143">
            <v>0</v>
          </cell>
          <cell r="DO143"/>
        </row>
        <row r="144">
          <cell r="N144">
            <v>0</v>
          </cell>
          <cell r="O144">
            <v>0</v>
          </cell>
          <cell r="P144"/>
          <cell r="Q144"/>
          <cell r="T144"/>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cell r="BM144">
            <v>0</v>
          </cell>
          <cell r="BN144">
            <v>0</v>
          </cell>
          <cell r="BO144">
            <v>0</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v>0</v>
          </cell>
          <cell r="CM144">
            <v>0</v>
          </cell>
          <cell r="CN144">
            <v>0</v>
          </cell>
          <cell r="CO144">
            <v>0</v>
          </cell>
          <cell r="CP144">
            <v>0</v>
          </cell>
          <cell r="CQ144">
            <v>0</v>
          </cell>
          <cell r="CR144">
            <v>0</v>
          </cell>
          <cell r="CS144">
            <v>0</v>
          </cell>
          <cell r="CT144">
            <v>0</v>
          </cell>
          <cell r="CU144">
            <v>0</v>
          </cell>
          <cell r="CV144">
            <v>0</v>
          </cell>
          <cell r="CW144">
            <v>0</v>
          </cell>
          <cell r="CX144">
            <v>0</v>
          </cell>
          <cell r="CY144">
            <v>0</v>
          </cell>
          <cell r="CZ144">
            <v>0</v>
          </cell>
          <cell r="DA144">
            <v>0</v>
          </cell>
          <cell r="DB144">
            <v>0</v>
          </cell>
          <cell r="DC144">
            <v>0</v>
          </cell>
          <cell r="DD144">
            <v>0</v>
          </cell>
          <cell r="DE144">
            <v>134</v>
          </cell>
          <cell r="DF144">
            <v>0</v>
          </cell>
          <cell r="DG144">
            <v>0</v>
          </cell>
          <cell r="DH144"/>
          <cell r="DI144">
            <v>0</v>
          </cell>
          <cell r="DK144" t="str">
            <v>OK</v>
          </cell>
          <cell r="DM144">
            <v>0</v>
          </cell>
          <cell r="DN144">
            <v>0</v>
          </cell>
          <cell r="DO144"/>
        </row>
        <row r="145">
          <cell r="N145">
            <v>0</v>
          </cell>
          <cell r="O145">
            <v>0</v>
          </cell>
          <cell r="P145"/>
          <cell r="Q145"/>
          <cell r="T145"/>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cell r="BM145">
            <v>0</v>
          </cell>
          <cell r="BN145">
            <v>0</v>
          </cell>
          <cell r="BO145">
            <v>0</v>
          </cell>
          <cell r="BP145">
            <v>0</v>
          </cell>
          <cell r="BQ145">
            <v>0</v>
          </cell>
          <cell r="BR145">
            <v>0</v>
          </cell>
          <cell r="BS145">
            <v>0</v>
          </cell>
          <cell r="BT145">
            <v>0</v>
          </cell>
          <cell r="BU145">
            <v>0</v>
          </cell>
          <cell r="BV145">
            <v>0</v>
          </cell>
          <cell r="BW145">
            <v>0</v>
          </cell>
          <cell r="BX145">
            <v>0</v>
          </cell>
          <cell r="BY145">
            <v>0</v>
          </cell>
          <cell r="BZ145">
            <v>0</v>
          </cell>
          <cell r="CA145">
            <v>0</v>
          </cell>
          <cell r="CB145">
            <v>0</v>
          </cell>
          <cell r="CC145">
            <v>0</v>
          </cell>
          <cell r="CD145">
            <v>0</v>
          </cell>
          <cell r="CE145">
            <v>0</v>
          </cell>
          <cell r="CF145">
            <v>0</v>
          </cell>
          <cell r="CG145">
            <v>0</v>
          </cell>
          <cell r="CH145">
            <v>0</v>
          </cell>
          <cell r="CI145">
            <v>0</v>
          </cell>
          <cell r="CJ145">
            <v>0</v>
          </cell>
          <cell r="CK145">
            <v>0</v>
          </cell>
          <cell r="CL145">
            <v>0</v>
          </cell>
          <cell r="CM145">
            <v>0</v>
          </cell>
          <cell r="CN145">
            <v>0</v>
          </cell>
          <cell r="CO145">
            <v>0</v>
          </cell>
          <cell r="CP145">
            <v>0</v>
          </cell>
          <cell r="CQ145">
            <v>0</v>
          </cell>
          <cell r="CR145">
            <v>0</v>
          </cell>
          <cell r="CS145">
            <v>0</v>
          </cell>
          <cell r="CT145">
            <v>0</v>
          </cell>
          <cell r="CU145">
            <v>0</v>
          </cell>
          <cell r="CV145">
            <v>0</v>
          </cell>
          <cell r="CW145">
            <v>0</v>
          </cell>
          <cell r="CX145">
            <v>0</v>
          </cell>
          <cell r="CY145">
            <v>0</v>
          </cell>
          <cell r="CZ145">
            <v>0</v>
          </cell>
          <cell r="DA145">
            <v>0</v>
          </cell>
          <cell r="DB145">
            <v>0</v>
          </cell>
          <cell r="DC145">
            <v>0</v>
          </cell>
          <cell r="DD145">
            <v>0</v>
          </cell>
          <cell r="DE145">
            <v>135</v>
          </cell>
          <cell r="DF145">
            <v>0</v>
          </cell>
          <cell r="DG145">
            <v>0</v>
          </cell>
          <cell r="DH145"/>
          <cell r="DI145">
            <v>0</v>
          </cell>
          <cell r="DK145" t="str">
            <v>OK</v>
          </cell>
          <cell r="DM145">
            <v>0</v>
          </cell>
          <cell r="DN145">
            <v>0</v>
          </cell>
          <cell r="DO145"/>
        </row>
        <row r="146">
          <cell r="N146">
            <v>0</v>
          </cell>
          <cell r="O146">
            <v>0</v>
          </cell>
          <cell r="P146"/>
          <cell r="Q146"/>
          <cell r="T146"/>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cell r="BM146">
            <v>0</v>
          </cell>
          <cell r="BN146">
            <v>0</v>
          </cell>
          <cell r="BO146">
            <v>0</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N146">
            <v>0</v>
          </cell>
          <cell r="CO146">
            <v>0</v>
          </cell>
          <cell r="CP146">
            <v>0</v>
          </cell>
          <cell r="CQ146">
            <v>0</v>
          </cell>
          <cell r="CR146">
            <v>0</v>
          </cell>
          <cell r="CS146">
            <v>0</v>
          </cell>
          <cell r="CT146">
            <v>0</v>
          </cell>
          <cell r="CU146">
            <v>0</v>
          </cell>
          <cell r="CV146">
            <v>0</v>
          </cell>
          <cell r="CW146">
            <v>0</v>
          </cell>
          <cell r="CX146">
            <v>0</v>
          </cell>
          <cell r="CY146">
            <v>0</v>
          </cell>
          <cell r="CZ146">
            <v>0</v>
          </cell>
          <cell r="DA146">
            <v>0</v>
          </cell>
          <cell r="DB146">
            <v>0</v>
          </cell>
          <cell r="DC146">
            <v>0</v>
          </cell>
          <cell r="DD146">
            <v>0</v>
          </cell>
          <cell r="DE146">
            <v>136</v>
          </cell>
          <cell r="DF146">
            <v>0</v>
          </cell>
          <cell r="DG146">
            <v>0</v>
          </cell>
          <cell r="DH146"/>
          <cell r="DI146">
            <v>0</v>
          </cell>
          <cell r="DK146" t="str">
            <v>OK</v>
          </cell>
          <cell r="DM146">
            <v>0</v>
          </cell>
          <cell r="DN146">
            <v>0</v>
          </cell>
          <cell r="DO146"/>
        </row>
        <row r="147">
          <cell r="N147">
            <v>0</v>
          </cell>
          <cell r="O147">
            <v>0</v>
          </cell>
          <cell r="P147"/>
          <cell r="Q147"/>
          <cell r="T147"/>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cell r="BM147">
            <v>0</v>
          </cell>
          <cell r="BN147">
            <v>0</v>
          </cell>
          <cell r="BO147">
            <v>0</v>
          </cell>
          <cell r="BP147">
            <v>0</v>
          </cell>
          <cell r="BQ147">
            <v>0</v>
          </cell>
          <cell r="BR147">
            <v>0</v>
          </cell>
          <cell r="BS147">
            <v>0</v>
          </cell>
          <cell r="BT147">
            <v>0</v>
          </cell>
          <cell r="BU147">
            <v>0</v>
          </cell>
          <cell r="BV147">
            <v>0</v>
          </cell>
          <cell r="BW147">
            <v>0</v>
          </cell>
          <cell r="BX147">
            <v>0</v>
          </cell>
          <cell r="BY147">
            <v>0</v>
          </cell>
          <cell r="BZ147">
            <v>0</v>
          </cell>
          <cell r="CA147">
            <v>0</v>
          </cell>
          <cell r="CB147">
            <v>0</v>
          </cell>
          <cell r="CC147">
            <v>0</v>
          </cell>
          <cell r="CD147">
            <v>0</v>
          </cell>
          <cell r="CE147">
            <v>0</v>
          </cell>
          <cell r="CF147">
            <v>0</v>
          </cell>
          <cell r="CG147">
            <v>0</v>
          </cell>
          <cell r="CH147">
            <v>0</v>
          </cell>
          <cell r="CI147">
            <v>0</v>
          </cell>
          <cell r="CJ147">
            <v>0</v>
          </cell>
          <cell r="CK147">
            <v>0</v>
          </cell>
          <cell r="CL147">
            <v>0</v>
          </cell>
          <cell r="CM147">
            <v>0</v>
          </cell>
          <cell r="CN147">
            <v>0</v>
          </cell>
          <cell r="CO147">
            <v>0</v>
          </cell>
          <cell r="CP147">
            <v>0</v>
          </cell>
          <cell r="CQ147">
            <v>0</v>
          </cell>
          <cell r="CR147">
            <v>0</v>
          </cell>
          <cell r="CS147">
            <v>0</v>
          </cell>
          <cell r="CT147">
            <v>0</v>
          </cell>
          <cell r="CU147">
            <v>0</v>
          </cell>
          <cell r="CV147">
            <v>0</v>
          </cell>
          <cell r="CW147">
            <v>0</v>
          </cell>
          <cell r="CX147">
            <v>0</v>
          </cell>
          <cell r="CY147">
            <v>0</v>
          </cell>
          <cell r="CZ147">
            <v>0</v>
          </cell>
          <cell r="DA147">
            <v>0</v>
          </cell>
          <cell r="DB147">
            <v>0</v>
          </cell>
          <cell r="DC147">
            <v>0</v>
          </cell>
          <cell r="DD147">
            <v>0</v>
          </cell>
          <cell r="DE147">
            <v>137</v>
          </cell>
          <cell r="DF147">
            <v>0</v>
          </cell>
          <cell r="DG147">
            <v>0</v>
          </cell>
          <cell r="DH147"/>
          <cell r="DI147">
            <v>0</v>
          </cell>
          <cell r="DK147" t="str">
            <v>OK</v>
          </cell>
          <cell r="DM147">
            <v>0</v>
          </cell>
          <cell r="DN147">
            <v>0</v>
          </cell>
          <cell r="DO147"/>
        </row>
        <row r="148">
          <cell r="N148">
            <v>0</v>
          </cell>
          <cell r="O148">
            <v>0</v>
          </cell>
          <cell r="P148"/>
          <cell r="Q148"/>
          <cell r="T148"/>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cell r="BM148">
            <v>0</v>
          </cell>
          <cell r="BN148">
            <v>0</v>
          </cell>
          <cell r="BO148">
            <v>0</v>
          </cell>
          <cell r="BP148">
            <v>0</v>
          </cell>
          <cell r="BQ148">
            <v>0</v>
          </cell>
          <cell r="BR148">
            <v>0</v>
          </cell>
          <cell r="BS148">
            <v>0</v>
          </cell>
          <cell r="BT148">
            <v>0</v>
          </cell>
          <cell r="BU148">
            <v>0</v>
          </cell>
          <cell r="BV148">
            <v>0</v>
          </cell>
          <cell r="BW148">
            <v>0</v>
          </cell>
          <cell r="BX148">
            <v>0</v>
          </cell>
          <cell r="BY148">
            <v>0</v>
          </cell>
          <cell r="BZ148">
            <v>0</v>
          </cell>
          <cell r="CA148">
            <v>0</v>
          </cell>
          <cell r="CB148">
            <v>0</v>
          </cell>
          <cell r="CC148">
            <v>0</v>
          </cell>
          <cell r="CD148">
            <v>0</v>
          </cell>
          <cell r="CE148">
            <v>0</v>
          </cell>
          <cell r="CF148">
            <v>0</v>
          </cell>
          <cell r="CG148">
            <v>0</v>
          </cell>
          <cell r="CH148">
            <v>0</v>
          </cell>
          <cell r="CI148">
            <v>0</v>
          </cell>
          <cell r="CJ148">
            <v>0</v>
          </cell>
          <cell r="CK148">
            <v>0</v>
          </cell>
          <cell r="CL148">
            <v>0</v>
          </cell>
          <cell r="CM148">
            <v>0</v>
          </cell>
          <cell r="CN148">
            <v>0</v>
          </cell>
          <cell r="CO148">
            <v>0</v>
          </cell>
          <cell r="CP148">
            <v>0</v>
          </cell>
          <cell r="CQ148">
            <v>0</v>
          </cell>
          <cell r="CR148">
            <v>0</v>
          </cell>
          <cell r="CS148">
            <v>0</v>
          </cell>
          <cell r="CT148">
            <v>0</v>
          </cell>
          <cell r="CU148">
            <v>0</v>
          </cell>
          <cell r="CV148">
            <v>0</v>
          </cell>
          <cell r="CW148">
            <v>0</v>
          </cell>
          <cell r="CX148">
            <v>0</v>
          </cell>
          <cell r="CY148">
            <v>0</v>
          </cell>
          <cell r="CZ148">
            <v>0</v>
          </cell>
          <cell r="DA148">
            <v>0</v>
          </cell>
          <cell r="DB148">
            <v>0</v>
          </cell>
          <cell r="DC148">
            <v>0</v>
          </cell>
          <cell r="DD148">
            <v>0</v>
          </cell>
          <cell r="DE148">
            <v>138</v>
          </cell>
          <cell r="DF148">
            <v>0</v>
          </cell>
          <cell r="DG148">
            <v>0</v>
          </cell>
          <cell r="DH148"/>
          <cell r="DI148">
            <v>0</v>
          </cell>
          <cell r="DK148" t="str">
            <v>OK</v>
          </cell>
          <cell r="DM148">
            <v>0</v>
          </cell>
          <cell r="DN148">
            <v>0</v>
          </cell>
          <cell r="DO148"/>
        </row>
        <row r="149">
          <cell r="N149">
            <v>0</v>
          </cell>
          <cell r="O149">
            <v>0</v>
          </cell>
          <cell r="P149"/>
          <cell r="Q149"/>
          <cell r="T149"/>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cell r="BM149">
            <v>0</v>
          </cell>
          <cell r="BN149">
            <v>0</v>
          </cell>
          <cell r="BO149">
            <v>0</v>
          </cell>
          <cell r="BP149">
            <v>0</v>
          </cell>
          <cell r="BQ149">
            <v>0</v>
          </cell>
          <cell r="BR149">
            <v>0</v>
          </cell>
          <cell r="BS149">
            <v>0</v>
          </cell>
          <cell r="BT149">
            <v>0</v>
          </cell>
          <cell r="BU149">
            <v>0</v>
          </cell>
          <cell r="BV149">
            <v>0</v>
          </cell>
          <cell r="BW149">
            <v>0</v>
          </cell>
          <cell r="BX149">
            <v>0</v>
          </cell>
          <cell r="BY149">
            <v>0</v>
          </cell>
          <cell r="BZ149">
            <v>0</v>
          </cell>
          <cell r="CA149">
            <v>0</v>
          </cell>
          <cell r="CB149">
            <v>0</v>
          </cell>
          <cell r="CC149">
            <v>0</v>
          </cell>
          <cell r="CD149">
            <v>0</v>
          </cell>
          <cell r="CE149">
            <v>0</v>
          </cell>
          <cell r="CF149">
            <v>0</v>
          </cell>
          <cell r="CG149">
            <v>0</v>
          </cell>
          <cell r="CH149">
            <v>0</v>
          </cell>
          <cell r="CI149">
            <v>0</v>
          </cell>
          <cell r="CJ149">
            <v>0</v>
          </cell>
          <cell r="CK149">
            <v>0</v>
          </cell>
          <cell r="CL149">
            <v>0</v>
          </cell>
          <cell r="CM149">
            <v>0</v>
          </cell>
          <cell r="CN149">
            <v>0</v>
          </cell>
          <cell r="CO149">
            <v>0</v>
          </cell>
          <cell r="CP149">
            <v>0</v>
          </cell>
          <cell r="CQ149">
            <v>0</v>
          </cell>
          <cell r="CR149">
            <v>0</v>
          </cell>
          <cell r="CS149">
            <v>0</v>
          </cell>
          <cell r="CT149">
            <v>0</v>
          </cell>
          <cell r="CU149">
            <v>0</v>
          </cell>
          <cell r="CV149">
            <v>0</v>
          </cell>
          <cell r="CW149">
            <v>0</v>
          </cell>
          <cell r="CX149">
            <v>0</v>
          </cell>
          <cell r="CY149">
            <v>0</v>
          </cell>
          <cell r="CZ149">
            <v>0</v>
          </cell>
          <cell r="DA149">
            <v>0</v>
          </cell>
          <cell r="DB149">
            <v>0</v>
          </cell>
          <cell r="DC149">
            <v>0</v>
          </cell>
          <cell r="DD149">
            <v>0</v>
          </cell>
          <cell r="DE149">
            <v>139</v>
          </cell>
          <cell r="DF149">
            <v>0</v>
          </cell>
          <cell r="DG149">
            <v>0</v>
          </cell>
          <cell r="DH149"/>
          <cell r="DI149">
            <v>0</v>
          </cell>
          <cell r="DK149" t="str">
            <v>OK</v>
          </cell>
          <cell r="DM149">
            <v>0</v>
          </cell>
          <cell r="DN149">
            <v>0</v>
          </cell>
          <cell r="DO149"/>
        </row>
        <row r="150">
          <cell r="N150">
            <v>0</v>
          </cell>
          <cell r="O150">
            <v>0</v>
          </cell>
          <cell r="P150"/>
          <cell r="Q150"/>
          <cell r="T150"/>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cell r="BM150">
            <v>0</v>
          </cell>
          <cell r="BN150">
            <v>0</v>
          </cell>
          <cell r="BO150">
            <v>0</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v>0</v>
          </cell>
          <cell r="CM150">
            <v>0</v>
          </cell>
          <cell r="CN150">
            <v>0</v>
          </cell>
          <cell r="CO150">
            <v>0</v>
          </cell>
          <cell r="CP150">
            <v>0</v>
          </cell>
          <cell r="CQ150">
            <v>0</v>
          </cell>
          <cell r="CR150">
            <v>0</v>
          </cell>
          <cell r="CS150">
            <v>0</v>
          </cell>
          <cell r="CT150">
            <v>0</v>
          </cell>
          <cell r="CU150">
            <v>0</v>
          </cell>
          <cell r="CV150">
            <v>0</v>
          </cell>
          <cell r="CW150">
            <v>0</v>
          </cell>
          <cell r="CX150">
            <v>0</v>
          </cell>
          <cell r="CY150">
            <v>0</v>
          </cell>
          <cell r="CZ150">
            <v>0</v>
          </cell>
          <cell r="DA150">
            <v>0</v>
          </cell>
          <cell r="DB150">
            <v>0</v>
          </cell>
          <cell r="DC150">
            <v>0</v>
          </cell>
          <cell r="DD150">
            <v>0</v>
          </cell>
          <cell r="DE150">
            <v>140</v>
          </cell>
          <cell r="DF150">
            <v>0</v>
          </cell>
          <cell r="DG150">
            <v>0</v>
          </cell>
          <cell r="DH150"/>
          <cell r="DI150">
            <v>0</v>
          </cell>
          <cell r="DK150" t="str">
            <v>OK</v>
          </cell>
          <cell r="DM150">
            <v>0</v>
          </cell>
          <cell r="DN150">
            <v>0</v>
          </cell>
          <cell r="DO150"/>
        </row>
        <row r="151">
          <cell r="N151">
            <v>0</v>
          </cell>
          <cell r="O151">
            <v>0</v>
          </cell>
          <cell r="P151"/>
          <cell r="Q151"/>
          <cell r="T151"/>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cell r="BM151">
            <v>0</v>
          </cell>
          <cell r="BN151">
            <v>0</v>
          </cell>
          <cell r="BO151">
            <v>0</v>
          </cell>
          <cell r="BP151">
            <v>0</v>
          </cell>
          <cell r="BQ151">
            <v>0</v>
          </cell>
          <cell r="BR151">
            <v>0</v>
          </cell>
          <cell r="BS151">
            <v>0</v>
          </cell>
          <cell r="BT151">
            <v>0</v>
          </cell>
          <cell r="BU151">
            <v>0</v>
          </cell>
          <cell r="BV151">
            <v>0</v>
          </cell>
          <cell r="BW151">
            <v>0</v>
          </cell>
          <cell r="BX151">
            <v>0</v>
          </cell>
          <cell r="BY151">
            <v>0</v>
          </cell>
          <cell r="BZ151">
            <v>0</v>
          </cell>
          <cell r="CA151">
            <v>0</v>
          </cell>
          <cell r="CB151">
            <v>0</v>
          </cell>
          <cell r="CC151">
            <v>0</v>
          </cell>
          <cell r="CD151">
            <v>0</v>
          </cell>
          <cell r="CE151">
            <v>0</v>
          </cell>
          <cell r="CF151">
            <v>0</v>
          </cell>
          <cell r="CG151">
            <v>0</v>
          </cell>
          <cell r="CH151">
            <v>0</v>
          </cell>
          <cell r="CI151">
            <v>0</v>
          </cell>
          <cell r="CJ151">
            <v>0</v>
          </cell>
          <cell r="CK151">
            <v>0</v>
          </cell>
          <cell r="CL151">
            <v>0</v>
          </cell>
          <cell r="CM151">
            <v>0</v>
          </cell>
          <cell r="CN151">
            <v>0</v>
          </cell>
          <cell r="CO151">
            <v>0</v>
          </cell>
          <cell r="CP151">
            <v>0</v>
          </cell>
          <cell r="CQ151">
            <v>0</v>
          </cell>
          <cell r="CR151">
            <v>0</v>
          </cell>
          <cell r="CS151">
            <v>0</v>
          </cell>
          <cell r="CT151">
            <v>0</v>
          </cell>
          <cell r="CU151">
            <v>0</v>
          </cell>
          <cell r="CV151">
            <v>0</v>
          </cell>
          <cell r="CW151">
            <v>0</v>
          </cell>
          <cell r="CX151">
            <v>0</v>
          </cell>
          <cell r="CY151">
            <v>0</v>
          </cell>
          <cell r="CZ151">
            <v>0</v>
          </cell>
          <cell r="DA151">
            <v>0</v>
          </cell>
          <cell r="DB151">
            <v>0</v>
          </cell>
          <cell r="DC151">
            <v>0</v>
          </cell>
          <cell r="DD151">
            <v>0</v>
          </cell>
          <cell r="DE151">
            <v>141</v>
          </cell>
          <cell r="DF151">
            <v>0</v>
          </cell>
          <cell r="DG151">
            <v>0</v>
          </cell>
          <cell r="DH151"/>
          <cell r="DI151">
            <v>0</v>
          </cell>
          <cell r="DK151" t="str">
            <v>OK</v>
          </cell>
          <cell r="DM151">
            <v>0</v>
          </cell>
          <cell r="DN151">
            <v>0</v>
          </cell>
          <cell r="DO151"/>
        </row>
        <row r="152">
          <cell r="N152">
            <v>0</v>
          </cell>
          <cell r="O152">
            <v>0</v>
          </cell>
          <cell r="P152"/>
          <cell r="Q152"/>
          <cell r="T152"/>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cell r="BM152">
            <v>0</v>
          </cell>
          <cell r="BN152">
            <v>0</v>
          </cell>
          <cell r="BO152">
            <v>0</v>
          </cell>
          <cell r="BP152">
            <v>0</v>
          </cell>
          <cell r="BQ152">
            <v>0</v>
          </cell>
          <cell r="BR152">
            <v>0</v>
          </cell>
          <cell r="BS152">
            <v>0</v>
          </cell>
          <cell r="BT152">
            <v>0</v>
          </cell>
          <cell r="BU152">
            <v>0</v>
          </cell>
          <cell r="BV152">
            <v>0</v>
          </cell>
          <cell r="BW152">
            <v>0</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0</v>
          </cell>
          <cell r="CN152">
            <v>0</v>
          </cell>
          <cell r="CO152">
            <v>0</v>
          </cell>
          <cell r="CP152">
            <v>0</v>
          </cell>
          <cell r="CQ152">
            <v>0</v>
          </cell>
          <cell r="CR152">
            <v>0</v>
          </cell>
          <cell r="CS152">
            <v>0</v>
          </cell>
          <cell r="CT152">
            <v>0</v>
          </cell>
          <cell r="CU152">
            <v>0</v>
          </cell>
          <cell r="CV152">
            <v>0</v>
          </cell>
          <cell r="CW152">
            <v>0</v>
          </cell>
          <cell r="CX152">
            <v>0</v>
          </cell>
          <cell r="CY152">
            <v>0</v>
          </cell>
          <cell r="CZ152">
            <v>0</v>
          </cell>
          <cell r="DA152">
            <v>0</v>
          </cell>
          <cell r="DB152">
            <v>0</v>
          </cell>
          <cell r="DC152">
            <v>0</v>
          </cell>
          <cell r="DD152">
            <v>0</v>
          </cell>
          <cell r="DE152">
            <v>142</v>
          </cell>
          <cell r="DF152">
            <v>0</v>
          </cell>
          <cell r="DG152">
            <v>0</v>
          </cell>
          <cell r="DH152"/>
          <cell r="DI152">
            <v>0</v>
          </cell>
          <cell r="DK152" t="str">
            <v>OK</v>
          </cell>
          <cell r="DM152">
            <v>0</v>
          </cell>
          <cell r="DN152">
            <v>0</v>
          </cell>
          <cell r="DO152"/>
        </row>
        <row r="153">
          <cell r="N153">
            <v>0</v>
          </cell>
          <cell r="O153">
            <v>0</v>
          </cell>
          <cell r="P153"/>
          <cell r="Q153"/>
          <cell r="T153"/>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cell r="BM153">
            <v>0</v>
          </cell>
          <cell r="BN153">
            <v>0</v>
          </cell>
          <cell r="BO153">
            <v>0</v>
          </cell>
          <cell r="BP153">
            <v>0</v>
          </cell>
          <cell r="BQ153">
            <v>0</v>
          </cell>
          <cell r="BR153">
            <v>0</v>
          </cell>
          <cell r="BS153">
            <v>0</v>
          </cell>
          <cell r="BT153">
            <v>0</v>
          </cell>
          <cell r="BU153">
            <v>0</v>
          </cell>
          <cell r="BV153">
            <v>0</v>
          </cell>
          <cell r="BW153">
            <v>0</v>
          </cell>
          <cell r="BX153">
            <v>0</v>
          </cell>
          <cell r="BY153">
            <v>0</v>
          </cell>
          <cell r="BZ153">
            <v>0</v>
          </cell>
          <cell r="CA153">
            <v>0</v>
          </cell>
          <cell r="CB153">
            <v>0</v>
          </cell>
          <cell r="CC153">
            <v>0</v>
          </cell>
          <cell r="CD153">
            <v>0</v>
          </cell>
          <cell r="CE153">
            <v>0</v>
          </cell>
          <cell r="CF153">
            <v>0</v>
          </cell>
          <cell r="CG153">
            <v>0</v>
          </cell>
          <cell r="CH153">
            <v>0</v>
          </cell>
          <cell r="CI153">
            <v>0</v>
          </cell>
          <cell r="CJ153">
            <v>0</v>
          </cell>
          <cell r="CK153">
            <v>0</v>
          </cell>
          <cell r="CL153">
            <v>0</v>
          </cell>
          <cell r="CM153">
            <v>0</v>
          </cell>
          <cell r="CN153">
            <v>0</v>
          </cell>
          <cell r="CO153">
            <v>0</v>
          </cell>
          <cell r="CP153">
            <v>0</v>
          </cell>
          <cell r="CQ153">
            <v>0</v>
          </cell>
          <cell r="CR153">
            <v>0</v>
          </cell>
          <cell r="CS153">
            <v>0</v>
          </cell>
          <cell r="CT153">
            <v>0</v>
          </cell>
          <cell r="CU153">
            <v>0</v>
          </cell>
          <cell r="CV153">
            <v>0</v>
          </cell>
          <cell r="CW153">
            <v>0</v>
          </cell>
          <cell r="CX153">
            <v>0</v>
          </cell>
          <cell r="CY153">
            <v>0</v>
          </cell>
          <cell r="CZ153">
            <v>0</v>
          </cell>
          <cell r="DA153">
            <v>0</v>
          </cell>
          <cell r="DB153">
            <v>0</v>
          </cell>
          <cell r="DC153">
            <v>0</v>
          </cell>
          <cell r="DD153">
            <v>0</v>
          </cell>
          <cell r="DE153">
            <v>143</v>
          </cell>
          <cell r="DF153">
            <v>0</v>
          </cell>
          <cell r="DG153">
            <v>0</v>
          </cell>
          <cell r="DH153"/>
          <cell r="DI153">
            <v>0</v>
          </cell>
          <cell r="DK153" t="str">
            <v>OK</v>
          </cell>
          <cell r="DM153">
            <v>0</v>
          </cell>
          <cell r="DN153">
            <v>0</v>
          </cell>
          <cell r="DO153"/>
        </row>
        <row r="154">
          <cell r="N154">
            <v>0</v>
          </cell>
          <cell r="O154">
            <v>0</v>
          </cell>
          <cell r="P154"/>
          <cell r="Q154"/>
          <cell r="T154"/>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cell r="BM154">
            <v>0</v>
          </cell>
          <cell r="BN154">
            <v>0</v>
          </cell>
          <cell r="BO154">
            <v>0</v>
          </cell>
          <cell r="BP154">
            <v>0</v>
          </cell>
          <cell r="BQ154">
            <v>0</v>
          </cell>
          <cell r="BR154">
            <v>0</v>
          </cell>
          <cell r="BS154">
            <v>0</v>
          </cell>
          <cell r="BT154">
            <v>0</v>
          </cell>
          <cell r="BU154">
            <v>0</v>
          </cell>
          <cell r="BV154">
            <v>0</v>
          </cell>
          <cell r="BW154">
            <v>0</v>
          </cell>
          <cell r="BX154">
            <v>0</v>
          </cell>
          <cell r="BY154">
            <v>0</v>
          </cell>
          <cell r="BZ154">
            <v>0</v>
          </cell>
          <cell r="CA154">
            <v>0</v>
          </cell>
          <cell r="CB154">
            <v>0</v>
          </cell>
          <cell r="CC154">
            <v>0</v>
          </cell>
          <cell r="CD154">
            <v>0</v>
          </cell>
          <cell r="CE154">
            <v>0</v>
          </cell>
          <cell r="CF154">
            <v>0</v>
          </cell>
          <cell r="CG154">
            <v>0</v>
          </cell>
          <cell r="CH154">
            <v>0</v>
          </cell>
          <cell r="CI154">
            <v>0</v>
          </cell>
          <cell r="CJ154">
            <v>0</v>
          </cell>
          <cell r="CK154">
            <v>0</v>
          </cell>
          <cell r="CL154">
            <v>0</v>
          </cell>
          <cell r="CM154">
            <v>0</v>
          </cell>
          <cell r="CN154">
            <v>0</v>
          </cell>
          <cell r="CO154">
            <v>0</v>
          </cell>
          <cell r="CP154">
            <v>0</v>
          </cell>
          <cell r="CQ154">
            <v>0</v>
          </cell>
          <cell r="CR154">
            <v>0</v>
          </cell>
          <cell r="CS154">
            <v>0</v>
          </cell>
          <cell r="CT154">
            <v>0</v>
          </cell>
          <cell r="CU154">
            <v>0</v>
          </cell>
          <cell r="CV154">
            <v>0</v>
          </cell>
          <cell r="CW154">
            <v>0</v>
          </cell>
          <cell r="CX154">
            <v>0</v>
          </cell>
          <cell r="CY154">
            <v>0</v>
          </cell>
          <cell r="CZ154">
            <v>0</v>
          </cell>
          <cell r="DA154">
            <v>0</v>
          </cell>
          <cell r="DB154">
            <v>0</v>
          </cell>
          <cell r="DC154">
            <v>0</v>
          </cell>
          <cell r="DD154">
            <v>0</v>
          </cell>
          <cell r="DE154">
            <v>144</v>
          </cell>
          <cell r="DF154">
            <v>0</v>
          </cell>
          <cell r="DG154">
            <v>0</v>
          </cell>
          <cell r="DH154"/>
          <cell r="DI154">
            <v>0</v>
          </cell>
          <cell r="DK154" t="str">
            <v>OK</v>
          </cell>
          <cell r="DM154">
            <v>0</v>
          </cell>
          <cell r="DN154">
            <v>0</v>
          </cell>
          <cell r="DO154"/>
        </row>
        <row r="155">
          <cell r="N155">
            <v>0</v>
          </cell>
          <cell r="O155">
            <v>0</v>
          </cell>
          <cell r="P155"/>
          <cell r="Q155"/>
          <cell r="T155"/>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cell r="BM155">
            <v>0</v>
          </cell>
          <cell r="BN155">
            <v>0</v>
          </cell>
          <cell r="BO155">
            <v>0</v>
          </cell>
          <cell r="BP155">
            <v>0</v>
          </cell>
          <cell r="BQ155">
            <v>0</v>
          </cell>
          <cell r="BR155">
            <v>0</v>
          </cell>
          <cell r="BS155">
            <v>0</v>
          </cell>
          <cell r="BT155">
            <v>0</v>
          </cell>
          <cell r="BU155">
            <v>0</v>
          </cell>
          <cell r="BV155">
            <v>0</v>
          </cell>
          <cell r="BW155">
            <v>0</v>
          </cell>
          <cell r="BX155">
            <v>0</v>
          </cell>
          <cell r="BY155">
            <v>0</v>
          </cell>
          <cell r="BZ155">
            <v>0</v>
          </cell>
          <cell r="CA155">
            <v>0</v>
          </cell>
          <cell r="CB155">
            <v>0</v>
          </cell>
          <cell r="CC155">
            <v>0</v>
          </cell>
          <cell r="CD155">
            <v>0</v>
          </cell>
          <cell r="CE155">
            <v>0</v>
          </cell>
          <cell r="CF155">
            <v>0</v>
          </cell>
          <cell r="CG155">
            <v>0</v>
          </cell>
          <cell r="CH155">
            <v>0</v>
          </cell>
          <cell r="CI155">
            <v>0</v>
          </cell>
          <cell r="CJ155">
            <v>0</v>
          </cell>
          <cell r="CK155">
            <v>0</v>
          </cell>
          <cell r="CL155">
            <v>0</v>
          </cell>
          <cell r="CM155">
            <v>0</v>
          </cell>
          <cell r="CN155">
            <v>0</v>
          </cell>
          <cell r="CO155">
            <v>0</v>
          </cell>
          <cell r="CP155">
            <v>0</v>
          </cell>
          <cell r="CQ155">
            <v>0</v>
          </cell>
          <cell r="CR155">
            <v>0</v>
          </cell>
          <cell r="CS155">
            <v>0</v>
          </cell>
          <cell r="CT155">
            <v>0</v>
          </cell>
          <cell r="CU155">
            <v>0</v>
          </cell>
          <cell r="CV155">
            <v>0</v>
          </cell>
          <cell r="CW155">
            <v>0</v>
          </cell>
          <cell r="CX155">
            <v>0</v>
          </cell>
          <cell r="CY155">
            <v>0</v>
          </cell>
          <cell r="CZ155">
            <v>0</v>
          </cell>
          <cell r="DA155">
            <v>0</v>
          </cell>
          <cell r="DB155">
            <v>0</v>
          </cell>
          <cell r="DC155">
            <v>0</v>
          </cell>
          <cell r="DD155">
            <v>0</v>
          </cell>
          <cell r="DE155">
            <v>145</v>
          </cell>
          <cell r="DF155">
            <v>0</v>
          </cell>
          <cell r="DG155">
            <v>0</v>
          </cell>
          <cell r="DH155"/>
          <cell r="DI155">
            <v>0</v>
          </cell>
          <cell r="DK155" t="str">
            <v>OK</v>
          </cell>
          <cell r="DM155">
            <v>0</v>
          </cell>
          <cell r="DN155">
            <v>0</v>
          </cell>
          <cell r="DO155"/>
        </row>
        <row r="156">
          <cell r="N156">
            <v>0</v>
          </cell>
          <cell r="O156">
            <v>0</v>
          </cell>
          <cell r="P156"/>
          <cell r="Q156"/>
          <cell r="T156"/>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cell r="BM156">
            <v>0</v>
          </cell>
          <cell r="BN156">
            <v>0</v>
          </cell>
          <cell r="BO156">
            <v>0</v>
          </cell>
          <cell r="BP156">
            <v>0</v>
          </cell>
          <cell r="BQ156">
            <v>0</v>
          </cell>
          <cell r="BR156">
            <v>0</v>
          </cell>
          <cell r="BS156">
            <v>0</v>
          </cell>
          <cell r="BT156">
            <v>0</v>
          </cell>
          <cell r="BU156">
            <v>0</v>
          </cell>
          <cell r="BV156">
            <v>0</v>
          </cell>
          <cell r="BW156">
            <v>0</v>
          </cell>
          <cell r="BX156">
            <v>0</v>
          </cell>
          <cell r="BY156">
            <v>0</v>
          </cell>
          <cell r="BZ156">
            <v>0</v>
          </cell>
          <cell r="CA156">
            <v>0</v>
          </cell>
          <cell r="CB156">
            <v>0</v>
          </cell>
          <cell r="CC156">
            <v>0</v>
          </cell>
          <cell r="CD156">
            <v>0</v>
          </cell>
          <cell r="CE156">
            <v>0</v>
          </cell>
          <cell r="CF156">
            <v>0</v>
          </cell>
          <cell r="CG156">
            <v>0</v>
          </cell>
          <cell r="CH156">
            <v>0</v>
          </cell>
          <cell r="CI156">
            <v>0</v>
          </cell>
          <cell r="CJ156">
            <v>0</v>
          </cell>
          <cell r="CK156">
            <v>0</v>
          </cell>
          <cell r="CL156">
            <v>0</v>
          </cell>
          <cell r="CM156">
            <v>0</v>
          </cell>
          <cell r="CN156">
            <v>0</v>
          </cell>
          <cell r="CO156">
            <v>0</v>
          </cell>
          <cell r="CP156">
            <v>0</v>
          </cell>
          <cell r="CQ156">
            <v>0</v>
          </cell>
          <cell r="CR156">
            <v>0</v>
          </cell>
          <cell r="CS156">
            <v>0</v>
          </cell>
          <cell r="CT156">
            <v>0</v>
          </cell>
          <cell r="CU156">
            <v>0</v>
          </cell>
          <cell r="CV156">
            <v>0</v>
          </cell>
          <cell r="CW156">
            <v>0</v>
          </cell>
          <cell r="CX156">
            <v>0</v>
          </cell>
          <cell r="CY156">
            <v>0</v>
          </cell>
          <cell r="CZ156">
            <v>0</v>
          </cell>
          <cell r="DA156">
            <v>0</v>
          </cell>
          <cell r="DB156">
            <v>0</v>
          </cell>
          <cell r="DC156">
            <v>0</v>
          </cell>
          <cell r="DD156">
            <v>0</v>
          </cell>
          <cell r="DE156">
            <v>146</v>
          </cell>
          <cell r="DF156">
            <v>0</v>
          </cell>
          <cell r="DG156">
            <v>0</v>
          </cell>
          <cell r="DH156"/>
          <cell r="DI156">
            <v>0</v>
          </cell>
          <cell r="DK156" t="str">
            <v>OK</v>
          </cell>
          <cell r="DM156">
            <v>0</v>
          </cell>
          <cell r="DN156">
            <v>0</v>
          </cell>
          <cell r="DO156"/>
        </row>
        <row r="157">
          <cell r="N157">
            <v>0</v>
          </cell>
          <cell r="O157">
            <v>0</v>
          </cell>
          <cell r="P157"/>
          <cell r="Q157"/>
          <cell r="T157"/>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cell r="BM157">
            <v>0</v>
          </cell>
          <cell r="BN157">
            <v>0</v>
          </cell>
          <cell r="BO157">
            <v>0</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C157">
            <v>0</v>
          </cell>
          <cell r="CD157">
            <v>0</v>
          </cell>
          <cell r="CE157">
            <v>0</v>
          </cell>
          <cell r="CF157">
            <v>0</v>
          </cell>
          <cell r="CG157">
            <v>0</v>
          </cell>
          <cell r="CH157">
            <v>0</v>
          </cell>
          <cell r="CI157">
            <v>0</v>
          </cell>
          <cell r="CJ157">
            <v>0</v>
          </cell>
          <cell r="CK157">
            <v>0</v>
          </cell>
          <cell r="CL157">
            <v>0</v>
          </cell>
          <cell r="CM157">
            <v>0</v>
          </cell>
          <cell r="CN157">
            <v>0</v>
          </cell>
          <cell r="CO157">
            <v>0</v>
          </cell>
          <cell r="CP157">
            <v>0</v>
          </cell>
          <cell r="CQ157">
            <v>0</v>
          </cell>
          <cell r="CR157">
            <v>0</v>
          </cell>
          <cell r="CS157">
            <v>0</v>
          </cell>
          <cell r="CT157">
            <v>0</v>
          </cell>
          <cell r="CU157">
            <v>0</v>
          </cell>
          <cell r="CV157">
            <v>0</v>
          </cell>
          <cell r="CW157">
            <v>0</v>
          </cell>
          <cell r="CX157">
            <v>0</v>
          </cell>
          <cell r="CY157">
            <v>0</v>
          </cell>
          <cell r="CZ157">
            <v>0</v>
          </cell>
          <cell r="DA157">
            <v>0</v>
          </cell>
          <cell r="DB157">
            <v>0</v>
          </cell>
          <cell r="DC157">
            <v>0</v>
          </cell>
          <cell r="DD157">
            <v>0</v>
          </cell>
          <cell r="DE157">
            <v>147</v>
          </cell>
          <cell r="DF157">
            <v>0</v>
          </cell>
          <cell r="DG157">
            <v>0</v>
          </cell>
          <cell r="DH157"/>
          <cell r="DI157">
            <v>0</v>
          </cell>
          <cell r="DK157" t="str">
            <v>OK</v>
          </cell>
          <cell r="DM157">
            <v>0</v>
          </cell>
          <cell r="DN157">
            <v>0</v>
          </cell>
          <cell r="DO157"/>
        </row>
        <row r="158">
          <cell r="N158">
            <v>0</v>
          </cell>
          <cell r="O158">
            <v>0</v>
          </cell>
          <cell r="P158"/>
          <cell r="Q158"/>
          <cell r="T158"/>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cell r="BM158">
            <v>0</v>
          </cell>
          <cell r="BN158">
            <v>0</v>
          </cell>
          <cell r="BO158">
            <v>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cell r="CE158">
            <v>0</v>
          </cell>
          <cell r="CF158">
            <v>0</v>
          </cell>
          <cell r="CG158">
            <v>0</v>
          </cell>
          <cell r="CH158">
            <v>0</v>
          </cell>
          <cell r="CI158">
            <v>0</v>
          </cell>
          <cell r="CJ158">
            <v>0</v>
          </cell>
          <cell r="CK158">
            <v>0</v>
          </cell>
          <cell r="CL158">
            <v>0</v>
          </cell>
          <cell r="CM158">
            <v>0</v>
          </cell>
          <cell r="CN158">
            <v>0</v>
          </cell>
          <cell r="CO158">
            <v>0</v>
          </cell>
          <cell r="CP158">
            <v>0</v>
          </cell>
          <cell r="CQ158">
            <v>0</v>
          </cell>
          <cell r="CR158">
            <v>0</v>
          </cell>
          <cell r="CS158">
            <v>0</v>
          </cell>
          <cell r="CT158">
            <v>0</v>
          </cell>
          <cell r="CU158">
            <v>0</v>
          </cell>
          <cell r="CV158">
            <v>0</v>
          </cell>
          <cell r="CW158">
            <v>0</v>
          </cell>
          <cell r="CX158">
            <v>0</v>
          </cell>
          <cell r="CY158">
            <v>0</v>
          </cell>
          <cell r="CZ158">
            <v>0</v>
          </cell>
          <cell r="DA158">
            <v>0</v>
          </cell>
          <cell r="DB158">
            <v>0</v>
          </cell>
          <cell r="DC158">
            <v>0</v>
          </cell>
          <cell r="DD158">
            <v>0</v>
          </cell>
          <cell r="DE158">
            <v>148</v>
          </cell>
          <cell r="DF158">
            <v>0</v>
          </cell>
          <cell r="DG158">
            <v>0</v>
          </cell>
          <cell r="DH158"/>
          <cell r="DI158">
            <v>0</v>
          </cell>
          <cell r="DK158" t="str">
            <v>OK</v>
          </cell>
          <cell r="DM158">
            <v>0</v>
          </cell>
          <cell r="DN158">
            <v>0</v>
          </cell>
          <cell r="DO158"/>
        </row>
        <row r="159">
          <cell r="N159">
            <v>0</v>
          </cell>
          <cell r="O159">
            <v>0</v>
          </cell>
          <cell r="P159"/>
          <cell r="Q159"/>
          <cell r="T159"/>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cell r="BM159">
            <v>0</v>
          </cell>
          <cell r="BN159">
            <v>0</v>
          </cell>
          <cell r="BO159">
            <v>0</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cell r="CE159">
            <v>0</v>
          </cell>
          <cell r="CF159">
            <v>0</v>
          </cell>
          <cell r="CG159">
            <v>0</v>
          </cell>
          <cell r="CH159">
            <v>0</v>
          </cell>
          <cell r="CI159">
            <v>0</v>
          </cell>
          <cell r="CJ159">
            <v>0</v>
          </cell>
          <cell r="CK159">
            <v>0</v>
          </cell>
          <cell r="CL159">
            <v>0</v>
          </cell>
          <cell r="CM159">
            <v>0</v>
          </cell>
          <cell r="CN159">
            <v>0</v>
          </cell>
          <cell r="CO159">
            <v>0</v>
          </cell>
          <cell r="CP159">
            <v>0</v>
          </cell>
          <cell r="CQ159">
            <v>0</v>
          </cell>
          <cell r="CR159">
            <v>0</v>
          </cell>
          <cell r="CS159">
            <v>0</v>
          </cell>
          <cell r="CT159">
            <v>0</v>
          </cell>
          <cell r="CU159">
            <v>0</v>
          </cell>
          <cell r="CV159">
            <v>0</v>
          </cell>
          <cell r="CW159">
            <v>0</v>
          </cell>
          <cell r="CX159">
            <v>0</v>
          </cell>
          <cell r="CY159">
            <v>0</v>
          </cell>
          <cell r="CZ159">
            <v>0</v>
          </cell>
          <cell r="DA159">
            <v>0</v>
          </cell>
          <cell r="DB159">
            <v>0</v>
          </cell>
          <cell r="DC159">
            <v>0</v>
          </cell>
          <cell r="DD159">
            <v>0</v>
          </cell>
          <cell r="DE159">
            <v>149</v>
          </cell>
          <cell r="DF159">
            <v>0</v>
          </cell>
          <cell r="DG159">
            <v>0</v>
          </cell>
          <cell r="DH159"/>
          <cell r="DI159">
            <v>0</v>
          </cell>
          <cell r="DK159" t="str">
            <v>OK</v>
          </cell>
          <cell r="DM159">
            <v>0</v>
          </cell>
          <cell r="DN159">
            <v>0</v>
          </cell>
          <cell r="DO159"/>
        </row>
        <row r="160">
          <cell r="N160">
            <v>0</v>
          </cell>
          <cell r="O160">
            <v>0</v>
          </cell>
          <cell r="P160"/>
          <cell r="Q160"/>
          <cell r="T160"/>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cell r="BM160">
            <v>0</v>
          </cell>
          <cell r="BN160">
            <v>0</v>
          </cell>
          <cell r="BO160">
            <v>0</v>
          </cell>
          <cell r="BP160">
            <v>0</v>
          </cell>
          <cell r="BQ160">
            <v>0</v>
          </cell>
          <cell r="BR160">
            <v>0</v>
          </cell>
          <cell r="BS160">
            <v>0</v>
          </cell>
          <cell r="BT160">
            <v>0</v>
          </cell>
          <cell r="BU160">
            <v>0</v>
          </cell>
          <cell r="BV160">
            <v>0</v>
          </cell>
          <cell r="BW160">
            <v>0</v>
          </cell>
          <cell r="BX160">
            <v>0</v>
          </cell>
          <cell r="BY160">
            <v>0</v>
          </cell>
          <cell r="BZ160">
            <v>0</v>
          </cell>
          <cell r="CA160">
            <v>0</v>
          </cell>
          <cell r="CB160">
            <v>0</v>
          </cell>
          <cell r="CC160">
            <v>0</v>
          </cell>
          <cell r="CD160">
            <v>0</v>
          </cell>
          <cell r="CE160">
            <v>0</v>
          </cell>
          <cell r="CF160">
            <v>0</v>
          </cell>
          <cell r="CG160">
            <v>0</v>
          </cell>
          <cell r="CH160">
            <v>0</v>
          </cell>
          <cell r="CI160">
            <v>0</v>
          </cell>
          <cell r="CJ160">
            <v>0</v>
          </cell>
          <cell r="CK160">
            <v>0</v>
          </cell>
          <cell r="CL160">
            <v>0</v>
          </cell>
          <cell r="CM160">
            <v>0</v>
          </cell>
          <cell r="CN160">
            <v>0</v>
          </cell>
          <cell r="CO160">
            <v>0</v>
          </cell>
          <cell r="CP160">
            <v>0</v>
          </cell>
          <cell r="CQ160">
            <v>0</v>
          </cell>
          <cell r="CR160">
            <v>0</v>
          </cell>
          <cell r="CS160">
            <v>0</v>
          </cell>
          <cell r="CT160">
            <v>0</v>
          </cell>
          <cell r="CU160">
            <v>0</v>
          </cell>
          <cell r="CV160">
            <v>0</v>
          </cell>
          <cell r="CW160">
            <v>0</v>
          </cell>
          <cell r="CX160">
            <v>0</v>
          </cell>
          <cell r="CY160">
            <v>0</v>
          </cell>
          <cell r="CZ160">
            <v>0</v>
          </cell>
          <cell r="DA160">
            <v>0</v>
          </cell>
          <cell r="DB160">
            <v>0</v>
          </cell>
          <cell r="DC160">
            <v>0</v>
          </cell>
          <cell r="DD160">
            <v>0</v>
          </cell>
          <cell r="DE160">
            <v>150</v>
          </cell>
          <cell r="DF160">
            <v>0</v>
          </cell>
          <cell r="DG160">
            <v>0</v>
          </cell>
          <cell r="DH160"/>
          <cell r="DI160">
            <v>0</v>
          </cell>
          <cell r="DK160" t="str">
            <v>OK</v>
          </cell>
          <cell r="DM160">
            <v>0</v>
          </cell>
          <cell r="DN160">
            <v>0</v>
          </cell>
          <cell r="DO160"/>
        </row>
        <row r="161">
          <cell r="N161">
            <v>0</v>
          </cell>
          <cell r="O161">
            <v>0</v>
          </cell>
          <cell r="P161"/>
          <cell r="Q161"/>
          <cell r="T161"/>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cell r="BM161">
            <v>0</v>
          </cell>
          <cell r="BN161">
            <v>0</v>
          </cell>
          <cell r="BO161">
            <v>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cell r="CD161">
            <v>0</v>
          </cell>
          <cell r="CE161">
            <v>0</v>
          </cell>
          <cell r="CF161">
            <v>0</v>
          </cell>
          <cell r="CG161">
            <v>0</v>
          </cell>
          <cell r="CH161">
            <v>0</v>
          </cell>
          <cell r="CI161">
            <v>0</v>
          </cell>
          <cell r="CJ161">
            <v>0</v>
          </cell>
          <cell r="CK161">
            <v>0</v>
          </cell>
          <cell r="CL161">
            <v>0</v>
          </cell>
          <cell r="CM161">
            <v>0</v>
          </cell>
          <cell r="CN161">
            <v>0</v>
          </cell>
          <cell r="CO161">
            <v>0</v>
          </cell>
          <cell r="CP161">
            <v>0</v>
          </cell>
          <cell r="CQ161">
            <v>0</v>
          </cell>
          <cell r="CR161">
            <v>0</v>
          </cell>
          <cell r="CS161">
            <v>0</v>
          </cell>
          <cell r="CT161">
            <v>0</v>
          </cell>
          <cell r="CU161">
            <v>0</v>
          </cell>
          <cell r="CV161">
            <v>0</v>
          </cell>
          <cell r="CW161">
            <v>0</v>
          </cell>
          <cell r="CX161">
            <v>0</v>
          </cell>
          <cell r="CY161">
            <v>0</v>
          </cell>
          <cell r="CZ161">
            <v>0</v>
          </cell>
          <cell r="DA161">
            <v>0</v>
          </cell>
          <cell r="DB161">
            <v>0</v>
          </cell>
          <cell r="DC161">
            <v>0</v>
          </cell>
          <cell r="DD161">
            <v>0</v>
          </cell>
          <cell r="DE161">
            <v>151</v>
          </cell>
          <cell r="DF161">
            <v>0</v>
          </cell>
          <cell r="DG161">
            <v>0</v>
          </cell>
          <cell r="DH161"/>
          <cell r="DI161">
            <v>0</v>
          </cell>
          <cell r="DK161" t="str">
            <v>OK</v>
          </cell>
          <cell r="DM161">
            <v>0</v>
          </cell>
          <cell r="DN161">
            <v>0</v>
          </cell>
          <cell r="DO161"/>
        </row>
        <row r="162">
          <cell r="N162">
            <v>0</v>
          </cell>
          <cell r="O162">
            <v>0</v>
          </cell>
          <cell r="P162"/>
          <cell r="Q162"/>
          <cell r="T162"/>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cell r="BM162">
            <v>0</v>
          </cell>
          <cell r="BN162">
            <v>0</v>
          </cell>
          <cell r="BO162">
            <v>0</v>
          </cell>
          <cell r="BP162">
            <v>0</v>
          </cell>
          <cell r="BQ162">
            <v>0</v>
          </cell>
          <cell r="BR162">
            <v>0</v>
          </cell>
          <cell r="BS162">
            <v>0</v>
          </cell>
          <cell r="BT162">
            <v>0</v>
          </cell>
          <cell r="BU162">
            <v>0</v>
          </cell>
          <cell r="BV162">
            <v>0</v>
          </cell>
          <cell r="BW162">
            <v>0</v>
          </cell>
          <cell r="BX162">
            <v>0</v>
          </cell>
          <cell r="BY162">
            <v>0</v>
          </cell>
          <cell r="BZ162">
            <v>0</v>
          </cell>
          <cell r="CA162">
            <v>0</v>
          </cell>
          <cell r="CB162">
            <v>0</v>
          </cell>
          <cell r="CC162">
            <v>0</v>
          </cell>
          <cell r="CD162">
            <v>0</v>
          </cell>
          <cell r="CE162">
            <v>0</v>
          </cell>
          <cell r="CF162">
            <v>0</v>
          </cell>
          <cell r="CG162">
            <v>0</v>
          </cell>
          <cell r="CH162">
            <v>0</v>
          </cell>
          <cell r="CI162">
            <v>0</v>
          </cell>
          <cell r="CJ162">
            <v>0</v>
          </cell>
          <cell r="CK162">
            <v>0</v>
          </cell>
          <cell r="CL162">
            <v>0</v>
          </cell>
          <cell r="CM162">
            <v>0</v>
          </cell>
          <cell r="CN162">
            <v>0</v>
          </cell>
          <cell r="CO162">
            <v>0</v>
          </cell>
          <cell r="CP162">
            <v>0</v>
          </cell>
          <cell r="CQ162">
            <v>0</v>
          </cell>
          <cell r="CR162">
            <v>0</v>
          </cell>
          <cell r="CS162">
            <v>0</v>
          </cell>
          <cell r="CT162">
            <v>0</v>
          </cell>
          <cell r="CU162">
            <v>0</v>
          </cell>
          <cell r="CV162">
            <v>0</v>
          </cell>
          <cell r="CW162">
            <v>0</v>
          </cell>
          <cell r="CX162">
            <v>0</v>
          </cell>
          <cell r="CY162">
            <v>0</v>
          </cell>
          <cell r="CZ162">
            <v>0</v>
          </cell>
          <cell r="DA162">
            <v>0</v>
          </cell>
          <cell r="DB162">
            <v>0</v>
          </cell>
          <cell r="DC162">
            <v>0</v>
          </cell>
          <cell r="DD162">
            <v>0</v>
          </cell>
          <cell r="DE162">
            <v>152</v>
          </cell>
          <cell r="DF162">
            <v>0</v>
          </cell>
          <cell r="DG162">
            <v>0</v>
          </cell>
          <cell r="DH162"/>
          <cell r="DI162">
            <v>0</v>
          </cell>
          <cell r="DK162" t="str">
            <v>OK</v>
          </cell>
          <cell r="DM162">
            <v>0</v>
          </cell>
          <cell r="DN162">
            <v>0</v>
          </cell>
          <cell r="DO162"/>
        </row>
        <row r="163">
          <cell r="N163">
            <v>0</v>
          </cell>
          <cell r="O163">
            <v>0</v>
          </cell>
          <cell r="P163"/>
          <cell r="Q163"/>
          <cell r="T163"/>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cell r="BM163">
            <v>0</v>
          </cell>
          <cell r="BN163">
            <v>0</v>
          </cell>
          <cell r="BO163">
            <v>0</v>
          </cell>
          <cell r="BP163">
            <v>0</v>
          </cell>
          <cell r="BQ163">
            <v>0</v>
          </cell>
          <cell r="BR163">
            <v>0</v>
          </cell>
          <cell r="BS163">
            <v>0</v>
          </cell>
          <cell r="BT163">
            <v>0</v>
          </cell>
          <cell r="BU163">
            <v>0</v>
          </cell>
          <cell r="BV163">
            <v>0</v>
          </cell>
          <cell r="BW163">
            <v>0</v>
          </cell>
          <cell r="BX163">
            <v>0</v>
          </cell>
          <cell r="BY163">
            <v>0</v>
          </cell>
          <cell r="BZ163">
            <v>0</v>
          </cell>
          <cell r="CA163">
            <v>0</v>
          </cell>
          <cell r="CB163">
            <v>0</v>
          </cell>
          <cell r="CC163">
            <v>0</v>
          </cell>
          <cell r="CD163">
            <v>0</v>
          </cell>
          <cell r="CE163">
            <v>0</v>
          </cell>
          <cell r="CF163">
            <v>0</v>
          </cell>
          <cell r="CG163">
            <v>0</v>
          </cell>
          <cell r="CH163">
            <v>0</v>
          </cell>
          <cell r="CI163">
            <v>0</v>
          </cell>
          <cell r="CJ163">
            <v>0</v>
          </cell>
          <cell r="CK163">
            <v>0</v>
          </cell>
          <cell r="CL163">
            <v>0</v>
          </cell>
          <cell r="CM163">
            <v>0</v>
          </cell>
          <cell r="CN163">
            <v>0</v>
          </cell>
          <cell r="CO163">
            <v>0</v>
          </cell>
          <cell r="CP163">
            <v>0</v>
          </cell>
          <cell r="CQ163">
            <v>0</v>
          </cell>
          <cell r="CR163">
            <v>0</v>
          </cell>
          <cell r="CS163">
            <v>0</v>
          </cell>
          <cell r="CT163">
            <v>0</v>
          </cell>
          <cell r="CU163">
            <v>0</v>
          </cell>
          <cell r="CV163">
            <v>0</v>
          </cell>
          <cell r="CW163">
            <v>0</v>
          </cell>
          <cell r="CX163">
            <v>0</v>
          </cell>
          <cell r="CY163">
            <v>0</v>
          </cell>
          <cell r="CZ163">
            <v>0</v>
          </cell>
          <cell r="DA163">
            <v>0</v>
          </cell>
          <cell r="DB163">
            <v>0</v>
          </cell>
          <cell r="DC163">
            <v>0</v>
          </cell>
          <cell r="DD163">
            <v>0</v>
          </cell>
          <cell r="DE163">
            <v>153</v>
          </cell>
          <cell r="DF163">
            <v>0</v>
          </cell>
          <cell r="DG163">
            <v>0</v>
          </cell>
          <cell r="DH163"/>
          <cell r="DI163">
            <v>0</v>
          </cell>
          <cell r="DK163" t="str">
            <v>OK</v>
          </cell>
          <cell r="DM163">
            <v>0</v>
          </cell>
          <cell r="DN163">
            <v>0</v>
          </cell>
          <cell r="DO163"/>
        </row>
        <row r="164">
          <cell r="N164">
            <v>0</v>
          </cell>
          <cell r="O164">
            <v>0</v>
          </cell>
          <cell r="P164"/>
          <cell r="Q164"/>
          <cell r="T164"/>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cell r="BM164">
            <v>0</v>
          </cell>
          <cell r="BN164">
            <v>0</v>
          </cell>
          <cell r="BO164">
            <v>0</v>
          </cell>
          <cell r="BP164">
            <v>0</v>
          </cell>
          <cell r="BQ164">
            <v>0</v>
          </cell>
          <cell r="BR164">
            <v>0</v>
          </cell>
          <cell r="BS164">
            <v>0</v>
          </cell>
          <cell r="BT164">
            <v>0</v>
          </cell>
          <cell r="BU164">
            <v>0</v>
          </cell>
          <cell r="BV164">
            <v>0</v>
          </cell>
          <cell r="BW164">
            <v>0</v>
          </cell>
          <cell r="BX164">
            <v>0</v>
          </cell>
          <cell r="BY164">
            <v>0</v>
          </cell>
          <cell r="BZ164">
            <v>0</v>
          </cell>
          <cell r="CA164">
            <v>0</v>
          </cell>
          <cell r="CB164">
            <v>0</v>
          </cell>
          <cell r="CC164">
            <v>0</v>
          </cell>
          <cell r="CD164">
            <v>0</v>
          </cell>
          <cell r="CE164">
            <v>0</v>
          </cell>
          <cell r="CF164">
            <v>0</v>
          </cell>
          <cell r="CG164">
            <v>0</v>
          </cell>
          <cell r="CH164">
            <v>0</v>
          </cell>
          <cell r="CI164">
            <v>0</v>
          </cell>
          <cell r="CJ164">
            <v>0</v>
          </cell>
          <cell r="CK164">
            <v>0</v>
          </cell>
          <cell r="CL164">
            <v>0</v>
          </cell>
          <cell r="CM164">
            <v>0</v>
          </cell>
          <cell r="CN164">
            <v>0</v>
          </cell>
          <cell r="CO164">
            <v>0</v>
          </cell>
          <cell r="CP164">
            <v>0</v>
          </cell>
          <cell r="CQ164">
            <v>0</v>
          </cell>
          <cell r="CR164">
            <v>0</v>
          </cell>
          <cell r="CS164">
            <v>0</v>
          </cell>
          <cell r="CT164">
            <v>0</v>
          </cell>
          <cell r="CU164">
            <v>0</v>
          </cell>
          <cell r="CV164">
            <v>0</v>
          </cell>
          <cell r="CW164">
            <v>0</v>
          </cell>
          <cell r="CX164">
            <v>0</v>
          </cell>
          <cell r="CY164">
            <v>0</v>
          </cell>
          <cell r="CZ164">
            <v>0</v>
          </cell>
          <cell r="DA164">
            <v>0</v>
          </cell>
          <cell r="DB164">
            <v>0</v>
          </cell>
          <cell r="DC164">
            <v>0</v>
          </cell>
          <cell r="DD164">
            <v>0</v>
          </cell>
          <cell r="DE164">
            <v>154</v>
          </cell>
          <cell r="DF164">
            <v>0</v>
          </cell>
          <cell r="DG164">
            <v>0</v>
          </cell>
          <cell r="DH164"/>
          <cell r="DI164">
            <v>0</v>
          </cell>
          <cell r="DK164" t="str">
            <v>OK</v>
          </cell>
          <cell r="DM164">
            <v>0</v>
          </cell>
          <cell r="DN164">
            <v>0</v>
          </cell>
          <cell r="DO164"/>
        </row>
        <row r="165">
          <cell r="N165">
            <v>0</v>
          </cell>
          <cell r="O165">
            <v>0</v>
          </cell>
          <cell r="P165"/>
          <cell r="Q165"/>
          <cell r="T165"/>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cell r="BM165">
            <v>0</v>
          </cell>
          <cell r="BN165">
            <v>0</v>
          </cell>
          <cell r="BO165">
            <v>0</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cell r="CD165">
            <v>0</v>
          </cell>
          <cell r="CE165">
            <v>0</v>
          </cell>
          <cell r="CF165">
            <v>0</v>
          </cell>
          <cell r="CG165">
            <v>0</v>
          </cell>
          <cell r="CH165">
            <v>0</v>
          </cell>
          <cell r="CI165">
            <v>0</v>
          </cell>
          <cell r="CJ165">
            <v>0</v>
          </cell>
          <cell r="CK165">
            <v>0</v>
          </cell>
          <cell r="CL165">
            <v>0</v>
          </cell>
          <cell r="CM165">
            <v>0</v>
          </cell>
          <cell r="CN165">
            <v>0</v>
          </cell>
          <cell r="CO165">
            <v>0</v>
          </cell>
          <cell r="CP165">
            <v>0</v>
          </cell>
          <cell r="CQ165">
            <v>0</v>
          </cell>
          <cell r="CR165">
            <v>0</v>
          </cell>
          <cell r="CS165">
            <v>0</v>
          </cell>
          <cell r="CT165">
            <v>0</v>
          </cell>
          <cell r="CU165">
            <v>0</v>
          </cell>
          <cell r="CV165">
            <v>0</v>
          </cell>
          <cell r="CW165">
            <v>0</v>
          </cell>
          <cell r="CX165">
            <v>0</v>
          </cell>
          <cell r="CY165">
            <v>0</v>
          </cell>
          <cell r="CZ165">
            <v>0</v>
          </cell>
          <cell r="DA165">
            <v>0</v>
          </cell>
          <cell r="DB165">
            <v>0</v>
          </cell>
          <cell r="DC165">
            <v>0</v>
          </cell>
          <cell r="DD165">
            <v>0</v>
          </cell>
          <cell r="DE165">
            <v>155</v>
          </cell>
          <cell r="DF165">
            <v>0</v>
          </cell>
          <cell r="DG165">
            <v>0</v>
          </cell>
          <cell r="DH165"/>
          <cell r="DI165">
            <v>0</v>
          </cell>
          <cell r="DK165" t="str">
            <v>OK</v>
          </cell>
          <cell r="DM165">
            <v>0</v>
          </cell>
          <cell r="DN165">
            <v>0</v>
          </cell>
          <cell r="DO165"/>
        </row>
        <row r="166">
          <cell r="N166">
            <v>0</v>
          </cell>
          <cell r="O166">
            <v>0</v>
          </cell>
          <cell r="P166"/>
          <cell r="Q166"/>
          <cell r="T166"/>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cell r="BM166">
            <v>0</v>
          </cell>
          <cell r="BN166">
            <v>0</v>
          </cell>
          <cell r="BO166">
            <v>0</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cell r="CD166">
            <v>0</v>
          </cell>
          <cell r="CE166">
            <v>0</v>
          </cell>
          <cell r="CF166">
            <v>0</v>
          </cell>
          <cell r="CG166">
            <v>0</v>
          </cell>
          <cell r="CH166">
            <v>0</v>
          </cell>
          <cell r="CI166">
            <v>0</v>
          </cell>
          <cell r="CJ166">
            <v>0</v>
          </cell>
          <cell r="CK166">
            <v>0</v>
          </cell>
          <cell r="CL166">
            <v>0</v>
          </cell>
          <cell r="CM166">
            <v>0</v>
          </cell>
          <cell r="CN166">
            <v>0</v>
          </cell>
          <cell r="CO166">
            <v>0</v>
          </cell>
          <cell r="CP166">
            <v>0</v>
          </cell>
          <cell r="CQ166">
            <v>0</v>
          </cell>
          <cell r="CR166">
            <v>0</v>
          </cell>
          <cell r="CS166">
            <v>0</v>
          </cell>
          <cell r="CT166">
            <v>0</v>
          </cell>
          <cell r="CU166">
            <v>0</v>
          </cell>
          <cell r="CV166">
            <v>0</v>
          </cell>
          <cell r="CW166">
            <v>0</v>
          </cell>
          <cell r="CX166">
            <v>0</v>
          </cell>
          <cell r="CY166">
            <v>0</v>
          </cell>
          <cell r="CZ166">
            <v>0</v>
          </cell>
          <cell r="DA166">
            <v>0</v>
          </cell>
          <cell r="DB166">
            <v>0</v>
          </cell>
          <cell r="DC166">
            <v>0</v>
          </cell>
          <cell r="DD166">
            <v>0</v>
          </cell>
          <cell r="DE166">
            <v>156</v>
          </cell>
          <cell r="DF166">
            <v>0</v>
          </cell>
          <cell r="DG166">
            <v>0</v>
          </cell>
          <cell r="DH166"/>
          <cell r="DI166">
            <v>0</v>
          </cell>
          <cell r="DK166" t="str">
            <v>OK</v>
          </cell>
          <cell r="DM166">
            <v>0</v>
          </cell>
          <cell r="DN166">
            <v>0</v>
          </cell>
          <cell r="DO166"/>
        </row>
        <row r="167">
          <cell r="N167">
            <v>0</v>
          </cell>
          <cell r="O167">
            <v>0</v>
          </cell>
          <cell r="P167"/>
          <cell r="Q167"/>
          <cell r="T167"/>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cell r="BM167">
            <v>0</v>
          </cell>
          <cell r="BN167">
            <v>0</v>
          </cell>
          <cell r="BO167">
            <v>0</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N167">
            <v>0</v>
          </cell>
          <cell r="CO167">
            <v>0</v>
          </cell>
          <cell r="CP167">
            <v>0</v>
          </cell>
          <cell r="CQ167">
            <v>0</v>
          </cell>
          <cell r="CR167">
            <v>0</v>
          </cell>
          <cell r="CS167">
            <v>0</v>
          </cell>
          <cell r="CT167">
            <v>0</v>
          </cell>
          <cell r="CU167">
            <v>0</v>
          </cell>
          <cell r="CV167">
            <v>0</v>
          </cell>
          <cell r="CW167">
            <v>0</v>
          </cell>
          <cell r="CX167">
            <v>0</v>
          </cell>
          <cell r="CY167">
            <v>0</v>
          </cell>
          <cell r="CZ167">
            <v>0</v>
          </cell>
          <cell r="DA167">
            <v>0</v>
          </cell>
          <cell r="DB167">
            <v>0</v>
          </cell>
          <cell r="DC167">
            <v>0</v>
          </cell>
          <cell r="DD167">
            <v>0</v>
          </cell>
          <cell r="DE167">
            <v>157</v>
          </cell>
          <cell r="DF167">
            <v>0</v>
          </cell>
          <cell r="DG167">
            <v>0</v>
          </cell>
          <cell r="DH167"/>
          <cell r="DI167">
            <v>0</v>
          </cell>
          <cell r="DK167" t="str">
            <v>OK</v>
          </cell>
          <cell r="DM167">
            <v>0</v>
          </cell>
          <cell r="DN167">
            <v>0</v>
          </cell>
          <cell r="DO167"/>
        </row>
        <row r="168">
          <cell r="N168">
            <v>0</v>
          </cell>
          <cell r="O168">
            <v>0</v>
          </cell>
          <cell r="P168"/>
          <cell r="Q168"/>
          <cell r="T168"/>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cell r="BM168">
            <v>0</v>
          </cell>
          <cell r="BN168">
            <v>0</v>
          </cell>
          <cell r="BO168">
            <v>0</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cell r="CE168">
            <v>0</v>
          </cell>
          <cell r="CF168">
            <v>0</v>
          </cell>
          <cell r="CG168">
            <v>0</v>
          </cell>
          <cell r="CH168">
            <v>0</v>
          </cell>
          <cell r="CI168">
            <v>0</v>
          </cell>
          <cell r="CJ168">
            <v>0</v>
          </cell>
          <cell r="CK168">
            <v>0</v>
          </cell>
          <cell r="CL168">
            <v>0</v>
          </cell>
          <cell r="CM168">
            <v>0</v>
          </cell>
          <cell r="CN168">
            <v>0</v>
          </cell>
          <cell r="CO168">
            <v>0</v>
          </cell>
          <cell r="CP168">
            <v>0</v>
          </cell>
          <cell r="CQ168">
            <v>0</v>
          </cell>
          <cell r="CR168">
            <v>0</v>
          </cell>
          <cell r="CS168">
            <v>0</v>
          </cell>
          <cell r="CT168">
            <v>0</v>
          </cell>
          <cell r="CU168">
            <v>0</v>
          </cell>
          <cell r="CV168">
            <v>0</v>
          </cell>
          <cell r="CW168">
            <v>0</v>
          </cell>
          <cell r="CX168">
            <v>0</v>
          </cell>
          <cell r="CY168">
            <v>0</v>
          </cell>
          <cell r="CZ168">
            <v>0</v>
          </cell>
          <cell r="DA168">
            <v>0</v>
          </cell>
          <cell r="DB168">
            <v>0</v>
          </cell>
          <cell r="DC168">
            <v>0</v>
          </cell>
          <cell r="DD168">
            <v>0</v>
          </cell>
          <cell r="DE168">
            <v>158</v>
          </cell>
          <cell r="DF168">
            <v>0</v>
          </cell>
          <cell r="DG168">
            <v>0</v>
          </cell>
          <cell r="DH168"/>
          <cell r="DI168">
            <v>0</v>
          </cell>
          <cell r="DK168" t="str">
            <v>OK</v>
          </cell>
          <cell r="DM168">
            <v>0</v>
          </cell>
          <cell r="DN168">
            <v>0</v>
          </cell>
          <cell r="DO168"/>
        </row>
        <row r="169">
          <cell r="N169">
            <v>0</v>
          </cell>
          <cell r="O169">
            <v>0</v>
          </cell>
          <cell r="P169"/>
          <cell r="Q169"/>
          <cell r="T169"/>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cell r="BM169">
            <v>0</v>
          </cell>
          <cell r="BN169">
            <v>0</v>
          </cell>
          <cell r="BO169">
            <v>0</v>
          </cell>
          <cell r="BP169">
            <v>0</v>
          </cell>
          <cell r="BQ169">
            <v>0</v>
          </cell>
          <cell r="BR169">
            <v>0</v>
          </cell>
          <cell r="BS169">
            <v>0</v>
          </cell>
          <cell r="BT169">
            <v>0</v>
          </cell>
          <cell r="BU169">
            <v>0</v>
          </cell>
          <cell r="BV169">
            <v>0</v>
          </cell>
          <cell r="BW169">
            <v>0</v>
          </cell>
          <cell r="BX169">
            <v>0</v>
          </cell>
          <cell r="BY169">
            <v>0</v>
          </cell>
          <cell r="BZ169">
            <v>0</v>
          </cell>
          <cell r="CA169">
            <v>0</v>
          </cell>
          <cell r="CB169">
            <v>0</v>
          </cell>
          <cell r="CC169">
            <v>0</v>
          </cell>
          <cell r="CD169">
            <v>0</v>
          </cell>
          <cell r="CE169">
            <v>0</v>
          </cell>
          <cell r="CF169">
            <v>0</v>
          </cell>
          <cell r="CG169">
            <v>0</v>
          </cell>
          <cell r="CH169">
            <v>0</v>
          </cell>
          <cell r="CI169">
            <v>0</v>
          </cell>
          <cell r="CJ169">
            <v>0</v>
          </cell>
          <cell r="CK169">
            <v>0</v>
          </cell>
          <cell r="CL169">
            <v>0</v>
          </cell>
          <cell r="CM169">
            <v>0</v>
          </cell>
          <cell r="CN169">
            <v>0</v>
          </cell>
          <cell r="CO169">
            <v>0</v>
          </cell>
          <cell r="CP169">
            <v>0</v>
          </cell>
          <cell r="CQ169">
            <v>0</v>
          </cell>
          <cell r="CR169">
            <v>0</v>
          </cell>
          <cell r="CS169">
            <v>0</v>
          </cell>
          <cell r="CT169">
            <v>0</v>
          </cell>
          <cell r="CU169">
            <v>0</v>
          </cell>
          <cell r="CV169">
            <v>0</v>
          </cell>
          <cell r="CW169">
            <v>0</v>
          </cell>
          <cell r="CX169">
            <v>0</v>
          </cell>
          <cell r="CY169">
            <v>0</v>
          </cell>
          <cell r="CZ169">
            <v>0</v>
          </cell>
          <cell r="DA169">
            <v>0</v>
          </cell>
          <cell r="DB169">
            <v>0</v>
          </cell>
          <cell r="DC169">
            <v>0</v>
          </cell>
          <cell r="DD169">
            <v>0</v>
          </cell>
          <cell r="DE169">
            <v>159</v>
          </cell>
          <cell r="DF169">
            <v>0</v>
          </cell>
          <cell r="DG169">
            <v>0</v>
          </cell>
          <cell r="DH169"/>
          <cell r="DI169">
            <v>0</v>
          </cell>
          <cell r="DK169" t="str">
            <v>OK</v>
          </cell>
          <cell r="DM169">
            <v>0</v>
          </cell>
          <cell r="DN169">
            <v>0</v>
          </cell>
          <cell r="DO169"/>
        </row>
        <row r="170">
          <cell r="N170">
            <v>0</v>
          </cell>
          <cell r="O170">
            <v>0</v>
          </cell>
          <cell r="P170"/>
          <cell r="Q170"/>
          <cell r="T170"/>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cell r="BM170">
            <v>0</v>
          </cell>
          <cell r="BN170">
            <v>0</v>
          </cell>
          <cell r="BO170">
            <v>0</v>
          </cell>
          <cell r="BP170">
            <v>0</v>
          </cell>
          <cell r="BQ170">
            <v>0</v>
          </cell>
          <cell r="BR170">
            <v>0</v>
          </cell>
          <cell r="BS170">
            <v>0</v>
          </cell>
          <cell r="BT170">
            <v>0</v>
          </cell>
          <cell r="BU170">
            <v>0</v>
          </cell>
          <cell r="BV170">
            <v>0</v>
          </cell>
          <cell r="BW170">
            <v>0</v>
          </cell>
          <cell r="BX170">
            <v>0</v>
          </cell>
          <cell r="BY170">
            <v>0</v>
          </cell>
          <cell r="BZ170">
            <v>0</v>
          </cell>
          <cell r="CA170">
            <v>0</v>
          </cell>
          <cell r="CB170">
            <v>0</v>
          </cell>
          <cell r="CC170">
            <v>0</v>
          </cell>
          <cell r="CD170">
            <v>0</v>
          </cell>
          <cell r="CE170">
            <v>0</v>
          </cell>
          <cell r="CF170">
            <v>0</v>
          </cell>
          <cell r="CG170">
            <v>0</v>
          </cell>
          <cell r="CH170">
            <v>0</v>
          </cell>
          <cell r="CI170">
            <v>0</v>
          </cell>
          <cell r="CJ170">
            <v>0</v>
          </cell>
          <cell r="CK170">
            <v>0</v>
          </cell>
          <cell r="CL170">
            <v>0</v>
          </cell>
          <cell r="CM170">
            <v>0</v>
          </cell>
          <cell r="CN170">
            <v>0</v>
          </cell>
          <cell r="CO170">
            <v>0</v>
          </cell>
          <cell r="CP170">
            <v>0</v>
          </cell>
          <cell r="CQ170">
            <v>0</v>
          </cell>
          <cell r="CR170">
            <v>0</v>
          </cell>
          <cell r="CS170">
            <v>0</v>
          </cell>
          <cell r="CT170">
            <v>0</v>
          </cell>
          <cell r="CU170">
            <v>0</v>
          </cell>
          <cell r="CV170">
            <v>0</v>
          </cell>
          <cell r="CW170">
            <v>0</v>
          </cell>
          <cell r="CX170">
            <v>0</v>
          </cell>
          <cell r="CY170">
            <v>0</v>
          </cell>
          <cell r="CZ170">
            <v>0</v>
          </cell>
          <cell r="DA170">
            <v>0</v>
          </cell>
          <cell r="DB170">
            <v>0</v>
          </cell>
          <cell r="DC170">
            <v>0</v>
          </cell>
          <cell r="DD170">
            <v>0</v>
          </cell>
          <cell r="DE170">
            <v>160</v>
          </cell>
          <cell r="DF170">
            <v>0</v>
          </cell>
          <cell r="DG170">
            <v>0</v>
          </cell>
          <cell r="DH170"/>
          <cell r="DI170">
            <v>0</v>
          </cell>
          <cell r="DK170" t="str">
            <v>OK</v>
          </cell>
          <cell r="DM170">
            <v>0</v>
          </cell>
          <cell r="DN170">
            <v>0</v>
          </cell>
          <cell r="DO170"/>
        </row>
        <row r="171">
          <cell r="N171">
            <v>0</v>
          </cell>
          <cell r="O171">
            <v>0</v>
          </cell>
          <cell r="P171"/>
          <cell r="Q171"/>
          <cell r="T171"/>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cell r="BM171">
            <v>0</v>
          </cell>
          <cell r="BN171">
            <v>0</v>
          </cell>
          <cell r="BO171">
            <v>0</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cell r="CE171">
            <v>0</v>
          </cell>
          <cell r="CF171">
            <v>0</v>
          </cell>
          <cell r="CG171">
            <v>0</v>
          </cell>
          <cell r="CH171">
            <v>0</v>
          </cell>
          <cell r="CI171">
            <v>0</v>
          </cell>
          <cell r="CJ171">
            <v>0</v>
          </cell>
          <cell r="CK171">
            <v>0</v>
          </cell>
          <cell r="CL171">
            <v>0</v>
          </cell>
          <cell r="CM171">
            <v>0</v>
          </cell>
          <cell r="CN171">
            <v>0</v>
          </cell>
          <cell r="CO171">
            <v>0</v>
          </cell>
          <cell r="CP171">
            <v>0</v>
          </cell>
          <cell r="CQ171">
            <v>0</v>
          </cell>
          <cell r="CR171">
            <v>0</v>
          </cell>
          <cell r="CS171">
            <v>0</v>
          </cell>
          <cell r="CT171">
            <v>0</v>
          </cell>
          <cell r="CU171">
            <v>0</v>
          </cell>
          <cell r="CV171">
            <v>0</v>
          </cell>
          <cell r="CW171">
            <v>0</v>
          </cell>
          <cell r="CX171">
            <v>0</v>
          </cell>
          <cell r="CY171">
            <v>0</v>
          </cell>
          <cell r="CZ171">
            <v>0</v>
          </cell>
          <cell r="DA171">
            <v>0</v>
          </cell>
          <cell r="DB171">
            <v>0</v>
          </cell>
          <cell r="DC171">
            <v>0</v>
          </cell>
          <cell r="DD171">
            <v>0</v>
          </cell>
          <cell r="DE171">
            <v>161</v>
          </cell>
          <cell r="DF171">
            <v>0</v>
          </cell>
          <cell r="DG171">
            <v>0</v>
          </cell>
          <cell r="DH171"/>
          <cell r="DI171">
            <v>0</v>
          </cell>
          <cell r="DK171" t="str">
            <v>OK</v>
          </cell>
          <cell r="DM171">
            <v>0</v>
          </cell>
          <cell r="DN171">
            <v>0</v>
          </cell>
          <cell r="DO171"/>
        </row>
        <row r="172">
          <cell r="N172">
            <v>0</v>
          </cell>
          <cell r="O172">
            <v>0</v>
          </cell>
          <cell r="P172"/>
          <cell r="Q172"/>
          <cell r="T172"/>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cell r="BM172">
            <v>0</v>
          </cell>
          <cell r="BN172">
            <v>0</v>
          </cell>
          <cell r="BO172">
            <v>0</v>
          </cell>
          <cell r="BP172">
            <v>0</v>
          </cell>
          <cell r="BQ172">
            <v>0</v>
          </cell>
          <cell r="BR172">
            <v>0</v>
          </cell>
          <cell r="BS172">
            <v>0</v>
          </cell>
          <cell r="BT172">
            <v>0</v>
          </cell>
          <cell r="BU172">
            <v>0</v>
          </cell>
          <cell r="BV172">
            <v>0</v>
          </cell>
          <cell r="BW172">
            <v>0</v>
          </cell>
          <cell r="BX172">
            <v>0</v>
          </cell>
          <cell r="BY172">
            <v>0</v>
          </cell>
          <cell r="BZ172">
            <v>0</v>
          </cell>
          <cell r="CA172">
            <v>0</v>
          </cell>
          <cell r="CB172">
            <v>0</v>
          </cell>
          <cell r="CC172">
            <v>0</v>
          </cell>
          <cell r="CD172">
            <v>0</v>
          </cell>
          <cell r="CE172">
            <v>0</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0</v>
          </cell>
          <cell r="CW172">
            <v>0</v>
          </cell>
          <cell r="CX172">
            <v>0</v>
          </cell>
          <cell r="CY172">
            <v>0</v>
          </cell>
          <cell r="CZ172">
            <v>0</v>
          </cell>
          <cell r="DA172">
            <v>0</v>
          </cell>
          <cell r="DB172">
            <v>0</v>
          </cell>
          <cell r="DC172">
            <v>0</v>
          </cell>
          <cell r="DD172">
            <v>0</v>
          </cell>
          <cell r="DE172">
            <v>162</v>
          </cell>
          <cell r="DF172">
            <v>0</v>
          </cell>
          <cell r="DG172">
            <v>0</v>
          </cell>
          <cell r="DH172"/>
          <cell r="DI172">
            <v>0</v>
          </cell>
          <cell r="DK172" t="str">
            <v>OK</v>
          </cell>
          <cell r="DM172">
            <v>0</v>
          </cell>
          <cell r="DN172">
            <v>0</v>
          </cell>
          <cell r="DO172"/>
        </row>
        <row r="173">
          <cell r="N173">
            <v>0</v>
          </cell>
          <cell r="O173">
            <v>0</v>
          </cell>
          <cell r="P173"/>
          <cell r="Q173"/>
          <cell r="T173"/>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cell r="BM173">
            <v>0</v>
          </cell>
          <cell r="BN173">
            <v>0</v>
          </cell>
          <cell r="BO173">
            <v>0</v>
          </cell>
          <cell r="BP173">
            <v>0</v>
          </cell>
          <cell r="BQ173">
            <v>0</v>
          </cell>
          <cell r="BR173">
            <v>0</v>
          </cell>
          <cell r="BS173">
            <v>0</v>
          </cell>
          <cell r="BT173">
            <v>0</v>
          </cell>
          <cell r="BU173">
            <v>0</v>
          </cell>
          <cell r="BV173">
            <v>0</v>
          </cell>
          <cell r="BW173">
            <v>0</v>
          </cell>
          <cell r="BX173">
            <v>0</v>
          </cell>
          <cell r="BY173">
            <v>0</v>
          </cell>
          <cell r="BZ173">
            <v>0</v>
          </cell>
          <cell r="CA173">
            <v>0</v>
          </cell>
          <cell r="CB173">
            <v>0</v>
          </cell>
          <cell r="CC173">
            <v>0</v>
          </cell>
          <cell r="CD173">
            <v>0</v>
          </cell>
          <cell r="CE173">
            <v>0</v>
          </cell>
          <cell r="CF173">
            <v>0</v>
          </cell>
          <cell r="CG173">
            <v>0</v>
          </cell>
          <cell r="CH173">
            <v>0</v>
          </cell>
          <cell r="CI173">
            <v>0</v>
          </cell>
          <cell r="CJ173">
            <v>0</v>
          </cell>
          <cell r="CK173">
            <v>0</v>
          </cell>
          <cell r="CL173">
            <v>0</v>
          </cell>
          <cell r="CM173">
            <v>0</v>
          </cell>
          <cell r="CN173">
            <v>0</v>
          </cell>
          <cell r="CO173">
            <v>0</v>
          </cell>
          <cell r="CP173">
            <v>0</v>
          </cell>
          <cell r="CQ173">
            <v>0</v>
          </cell>
          <cell r="CR173">
            <v>0</v>
          </cell>
          <cell r="CS173">
            <v>0</v>
          </cell>
          <cell r="CT173">
            <v>0</v>
          </cell>
          <cell r="CU173">
            <v>0</v>
          </cell>
          <cell r="CV173">
            <v>0</v>
          </cell>
          <cell r="CW173">
            <v>0</v>
          </cell>
          <cell r="CX173">
            <v>0</v>
          </cell>
          <cell r="CY173">
            <v>0</v>
          </cell>
          <cell r="CZ173">
            <v>0</v>
          </cell>
          <cell r="DA173">
            <v>0</v>
          </cell>
          <cell r="DB173">
            <v>0</v>
          </cell>
          <cell r="DC173">
            <v>0</v>
          </cell>
          <cell r="DD173">
            <v>0</v>
          </cell>
          <cell r="DE173">
            <v>163</v>
          </cell>
          <cell r="DF173">
            <v>0</v>
          </cell>
          <cell r="DG173">
            <v>0</v>
          </cell>
          <cell r="DH173"/>
          <cell r="DI173">
            <v>0</v>
          </cell>
          <cell r="DK173" t="str">
            <v>OK</v>
          </cell>
          <cell r="DM173">
            <v>0</v>
          </cell>
          <cell r="DN173">
            <v>0</v>
          </cell>
          <cell r="DO173"/>
        </row>
        <row r="174">
          <cell r="N174">
            <v>0</v>
          </cell>
          <cell r="O174">
            <v>0</v>
          </cell>
          <cell r="P174"/>
          <cell r="Q174"/>
          <cell r="T174"/>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cell r="BM174">
            <v>0</v>
          </cell>
          <cell r="BN174">
            <v>0</v>
          </cell>
          <cell r="BO174">
            <v>0</v>
          </cell>
          <cell r="BP174">
            <v>0</v>
          </cell>
          <cell r="BQ174">
            <v>0</v>
          </cell>
          <cell r="BR174">
            <v>0</v>
          </cell>
          <cell r="BS174">
            <v>0</v>
          </cell>
          <cell r="BT174">
            <v>0</v>
          </cell>
          <cell r="BU174">
            <v>0</v>
          </cell>
          <cell r="BV174">
            <v>0</v>
          </cell>
          <cell r="BW174">
            <v>0</v>
          </cell>
          <cell r="BX174">
            <v>0</v>
          </cell>
          <cell r="BY174">
            <v>0</v>
          </cell>
          <cell r="BZ174">
            <v>0</v>
          </cell>
          <cell r="CA174">
            <v>0</v>
          </cell>
          <cell r="CB174">
            <v>0</v>
          </cell>
          <cell r="CC174">
            <v>0</v>
          </cell>
          <cell r="CD174">
            <v>0</v>
          </cell>
          <cell r="CE174">
            <v>0</v>
          </cell>
          <cell r="CF174">
            <v>0</v>
          </cell>
          <cell r="CG174">
            <v>0</v>
          </cell>
          <cell r="CH174">
            <v>0</v>
          </cell>
          <cell r="CI174">
            <v>0</v>
          </cell>
          <cell r="CJ174">
            <v>0</v>
          </cell>
          <cell r="CK174">
            <v>0</v>
          </cell>
          <cell r="CL174">
            <v>0</v>
          </cell>
          <cell r="CM174">
            <v>0</v>
          </cell>
          <cell r="CN174">
            <v>0</v>
          </cell>
          <cell r="CO174">
            <v>0</v>
          </cell>
          <cell r="CP174">
            <v>0</v>
          </cell>
          <cell r="CQ174">
            <v>0</v>
          </cell>
          <cell r="CR174">
            <v>0</v>
          </cell>
          <cell r="CS174">
            <v>0</v>
          </cell>
          <cell r="CT174">
            <v>0</v>
          </cell>
          <cell r="CU174">
            <v>0</v>
          </cell>
          <cell r="CV174">
            <v>0</v>
          </cell>
          <cell r="CW174">
            <v>0</v>
          </cell>
          <cell r="CX174">
            <v>0</v>
          </cell>
          <cell r="CY174">
            <v>0</v>
          </cell>
          <cell r="CZ174">
            <v>0</v>
          </cell>
          <cell r="DA174">
            <v>0</v>
          </cell>
          <cell r="DB174">
            <v>0</v>
          </cell>
          <cell r="DC174">
            <v>0</v>
          </cell>
          <cell r="DD174">
            <v>0</v>
          </cell>
          <cell r="DE174">
            <v>164</v>
          </cell>
          <cell r="DF174">
            <v>0</v>
          </cell>
          <cell r="DG174">
            <v>0</v>
          </cell>
          <cell r="DH174"/>
          <cell r="DI174">
            <v>0</v>
          </cell>
          <cell r="DK174" t="str">
            <v>OK</v>
          </cell>
          <cell r="DM174">
            <v>0</v>
          </cell>
          <cell r="DN174">
            <v>0</v>
          </cell>
          <cell r="DO174"/>
        </row>
        <row r="175">
          <cell r="N175">
            <v>0</v>
          </cell>
          <cell r="O175">
            <v>0</v>
          </cell>
          <cell r="P175"/>
          <cell r="Q175"/>
          <cell r="T175"/>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cell r="BM175">
            <v>0</v>
          </cell>
          <cell r="BN175">
            <v>0</v>
          </cell>
          <cell r="BO175">
            <v>0</v>
          </cell>
          <cell r="BP175">
            <v>0</v>
          </cell>
          <cell r="BQ175">
            <v>0</v>
          </cell>
          <cell r="BR175">
            <v>0</v>
          </cell>
          <cell r="BS175">
            <v>0</v>
          </cell>
          <cell r="BT175">
            <v>0</v>
          </cell>
          <cell r="BU175">
            <v>0</v>
          </cell>
          <cell r="BV175">
            <v>0</v>
          </cell>
          <cell r="BW175">
            <v>0</v>
          </cell>
          <cell r="BX175">
            <v>0</v>
          </cell>
          <cell r="BY175">
            <v>0</v>
          </cell>
          <cell r="BZ175">
            <v>0</v>
          </cell>
          <cell r="CA175">
            <v>0</v>
          </cell>
          <cell r="CB175">
            <v>0</v>
          </cell>
          <cell r="CC175">
            <v>0</v>
          </cell>
          <cell r="CD175">
            <v>0</v>
          </cell>
          <cell r="CE175">
            <v>0</v>
          </cell>
          <cell r="CF175">
            <v>0</v>
          </cell>
          <cell r="CG175">
            <v>0</v>
          </cell>
          <cell r="CH175">
            <v>0</v>
          </cell>
          <cell r="CI175">
            <v>0</v>
          </cell>
          <cell r="CJ175">
            <v>0</v>
          </cell>
          <cell r="CK175">
            <v>0</v>
          </cell>
          <cell r="CL175">
            <v>0</v>
          </cell>
          <cell r="CM175">
            <v>0</v>
          </cell>
          <cell r="CN175">
            <v>0</v>
          </cell>
          <cell r="CO175">
            <v>0</v>
          </cell>
          <cell r="CP175">
            <v>0</v>
          </cell>
          <cell r="CQ175">
            <v>0</v>
          </cell>
          <cell r="CR175">
            <v>0</v>
          </cell>
          <cell r="CS175">
            <v>0</v>
          </cell>
          <cell r="CT175">
            <v>0</v>
          </cell>
          <cell r="CU175">
            <v>0</v>
          </cell>
          <cell r="CV175">
            <v>0</v>
          </cell>
          <cell r="CW175">
            <v>0</v>
          </cell>
          <cell r="CX175">
            <v>0</v>
          </cell>
          <cell r="CY175">
            <v>0</v>
          </cell>
          <cell r="CZ175">
            <v>0</v>
          </cell>
          <cell r="DA175">
            <v>0</v>
          </cell>
          <cell r="DB175">
            <v>0</v>
          </cell>
          <cell r="DC175">
            <v>0</v>
          </cell>
          <cell r="DD175">
            <v>0</v>
          </cell>
          <cell r="DE175">
            <v>165</v>
          </cell>
          <cell r="DF175">
            <v>0</v>
          </cell>
          <cell r="DG175">
            <v>0</v>
          </cell>
          <cell r="DH175"/>
          <cell r="DI175">
            <v>0</v>
          </cell>
          <cell r="DK175" t="str">
            <v>OK</v>
          </cell>
          <cell r="DM175">
            <v>0</v>
          </cell>
          <cell r="DN175">
            <v>0</v>
          </cell>
          <cell r="DO175"/>
        </row>
        <row r="176">
          <cell r="N176">
            <v>0</v>
          </cell>
          <cell r="O176">
            <v>0</v>
          </cell>
          <cell r="P176"/>
          <cell r="Q176"/>
          <cell r="T176"/>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cell r="BM176">
            <v>0</v>
          </cell>
          <cell r="BN176">
            <v>0</v>
          </cell>
          <cell r="BO176">
            <v>0</v>
          </cell>
          <cell r="BP176">
            <v>0</v>
          </cell>
          <cell r="BQ176">
            <v>0</v>
          </cell>
          <cell r="BR176">
            <v>0</v>
          </cell>
          <cell r="BS176">
            <v>0</v>
          </cell>
          <cell r="BT176">
            <v>0</v>
          </cell>
          <cell r="BU176">
            <v>0</v>
          </cell>
          <cell r="BV176">
            <v>0</v>
          </cell>
          <cell r="BW176">
            <v>0</v>
          </cell>
          <cell r="BX176">
            <v>0</v>
          </cell>
          <cell r="BY176">
            <v>0</v>
          </cell>
          <cell r="BZ176">
            <v>0</v>
          </cell>
          <cell r="CA176">
            <v>0</v>
          </cell>
          <cell r="CB176">
            <v>0</v>
          </cell>
          <cell r="CC176">
            <v>0</v>
          </cell>
          <cell r="CD176">
            <v>0</v>
          </cell>
          <cell r="CE176">
            <v>0</v>
          </cell>
          <cell r="CF176">
            <v>0</v>
          </cell>
          <cell r="CG176">
            <v>0</v>
          </cell>
          <cell r="CH176">
            <v>0</v>
          </cell>
          <cell r="CI176">
            <v>0</v>
          </cell>
          <cell r="CJ176">
            <v>0</v>
          </cell>
          <cell r="CK176">
            <v>0</v>
          </cell>
          <cell r="CL176">
            <v>0</v>
          </cell>
          <cell r="CM176">
            <v>0</v>
          </cell>
          <cell r="CN176">
            <v>0</v>
          </cell>
          <cell r="CO176">
            <v>0</v>
          </cell>
          <cell r="CP176">
            <v>0</v>
          </cell>
          <cell r="CQ176">
            <v>0</v>
          </cell>
          <cell r="CR176">
            <v>0</v>
          </cell>
          <cell r="CS176">
            <v>0</v>
          </cell>
          <cell r="CT176">
            <v>0</v>
          </cell>
          <cell r="CU176">
            <v>0</v>
          </cell>
          <cell r="CV176">
            <v>0</v>
          </cell>
          <cell r="CW176">
            <v>0</v>
          </cell>
          <cell r="CX176">
            <v>0</v>
          </cell>
          <cell r="CY176">
            <v>0</v>
          </cell>
          <cell r="CZ176">
            <v>0</v>
          </cell>
          <cell r="DA176">
            <v>0</v>
          </cell>
          <cell r="DB176">
            <v>0</v>
          </cell>
          <cell r="DC176">
            <v>0</v>
          </cell>
          <cell r="DD176">
            <v>0</v>
          </cell>
          <cell r="DE176">
            <v>166</v>
          </cell>
          <cell r="DF176">
            <v>0</v>
          </cell>
          <cell r="DG176">
            <v>0</v>
          </cell>
          <cell r="DH176"/>
          <cell r="DI176">
            <v>0</v>
          </cell>
          <cell r="DK176" t="str">
            <v>OK</v>
          </cell>
          <cell r="DM176">
            <v>0</v>
          </cell>
          <cell r="DN176">
            <v>0</v>
          </cell>
          <cell r="DO176"/>
        </row>
        <row r="177">
          <cell r="N177">
            <v>0</v>
          </cell>
          <cell r="O177">
            <v>0</v>
          </cell>
          <cell r="P177"/>
          <cell r="Q177"/>
          <cell r="T177"/>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cell r="BM177">
            <v>0</v>
          </cell>
          <cell r="BN177">
            <v>0</v>
          </cell>
          <cell r="BO177">
            <v>0</v>
          </cell>
          <cell r="BP177">
            <v>0</v>
          </cell>
          <cell r="BQ177">
            <v>0</v>
          </cell>
          <cell r="BR177">
            <v>0</v>
          </cell>
          <cell r="BS177">
            <v>0</v>
          </cell>
          <cell r="BT177">
            <v>0</v>
          </cell>
          <cell r="BU177">
            <v>0</v>
          </cell>
          <cell r="BV177">
            <v>0</v>
          </cell>
          <cell r="BW177">
            <v>0</v>
          </cell>
          <cell r="BX177">
            <v>0</v>
          </cell>
          <cell r="BY177">
            <v>0</v>
          </cell>
          <cell r="BZ177">
            <v>0</v>
          </cell>
          <cell r="CA177">
            <v>0</v>
          </cell>
          <cell r="CB177">
            <v>0</v>
          </cell>
          <cell r="CC177">
            <v>0</v>
          </cell>
          <cell r="CD177">
            <v>0</v>
          </cell>
          <cell r="CE177">
            <v>0</v>
          </cell>
          <cell r="CF177">
            <v>0</v>
          </cell>
          <cell r="CG177">
            <v>0</v>
          </cell>
          <cell r="CH177">
            <v>0</v>
          </cell>
          <cell r="CI177">
            <v>0</v>
          </cell>
          <cell r="CJ177">
            <v>0</v>
          </cell>
          <cell r="CK177">
            <v>0</v>
          </cell>
          <cell r="CL177">
            <v>0</v>
          </cell>
          <cell r="CM177">
            <v>0</v>
          </cell>
          <cell r="CN177">
            <v>0</v>
          </cell>
          <cell r="CO177">
            <v>0</v>
          </cell>
          <cell r="CP177">
            <v>0</v>
          </cell>
          <cell r="CQ177">
            <v>0</v>
          </cell>
          <cell r="CR177">
            <v>0</v>
          </cell>
          <cell r="CS177">
            <v>0</v>
          </cell>
          <cell r="CT177">
            <v>0</v>
          </cell>
          <cell r="CU177">
            <v>0</v>
          </cell>
          <cell r="CV177">
            <v>0</v>
          </cell>
          <cell r="CW177">
            <v>0</v>
          </cell>
          <cell r="CX177">
            <v>0</v>
          </cell>
          <cell r="CY177">
            <v>0</v>
          </cell>
          <cell r="CZ177">
            <v>0</v>
          </cell>
          <cell r="DA177">
            <v>0</v>
          </cell>
          <cell r="DB177">
            <v>0</v>
          </cell>
          <cell r="DC177">
            <v>0</v>
          </cell>
          <cell r="DD177">
            <v>0</v>
          </cell>
          <cell r="DE177">
            <v>167</v>
          </cell>
          <cell r="DF177">
            <v>0</v>
          </cell>
          <cell r="DG177">
            <v>0</v>
          </cell>
          <cell r="DH177"/>
          <cell r="DI177">
            <v>0</v>
          </cell>
          <cell r="DK177" t="str">
            <v>OK</v>
          </cell>
          <cell r="DM177">
            <v>0</v>
          </cell>
          <cell r="DN177">
            <v>0</v>
          </cell>
          <cell r="DO177"/>
        </row>
        <row r="178">
          <cell r="N178">
            <v>0</v>
          </cell>
          <cell r="O178">
            <v>0</v>
          </cell>
          <cell r="P178"/>
          <cell r="Q178"/>
          <cell r="T178"/>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cell r="BM178">
            <v>0</v>
          </cell>
          <cell r="BN178">
            <v>0</v>
          </cell>
          <cell r="BO178">
            <v>0</v>
          </cell>
          <cell r="BP178">
            <v>0</v>
          </cell>
          <cell r="BQ178">
            <v>0</v>
          </cell>
          <cell r="BR178">
            <v>0</v>
          </cell>
          <cell r="BS178">
            <v>0</v>
          </cell>
          <cell r="BT178">
            <v>0</v>
          </cell>
          <cell r="BU178">
            <v>0</v>
          </cell>
          <cell r="BV178">
            <v>0</v>
          </cell>
          <cell r="BW178">
            <v>0</v>
          </cell>
          <cell r="BX178">
            <v>0</v>
          </cell>
          <cell r="BY178">
            <v>0</v>
          </cell>
          <cell r="BZ178">
            <v>0</v>
          </cell>
          <cell r="CA178">
            <v>0</v>
          </cell>
          <cell r="CB178">
            <v>0</v>
          </cell>
          <cell r="CC178">
            <v>0</v>
          </cell>
          <cell r="CD178">
            <v>0</v>
          </cell>
          <cell r="CE178">
            <v>0</v>
          </cell>
          <cell r="CF178">
            <v>0</v>
          </cell>
          <cell r="CG178">
            <v>0</v>
          </cell>
          <cell r="CH178">
            <v>0</v>
          </cell>
          <cell r="CI178">
            <v>0</v>
          </cell>
          <cell r="CJ178">
            <v>0</v>
          </cell>
          <cell r="CK178">
            <v>0</v>
          </cell>
          <cell r="CL178">
            <v>0</v>
          </cell>
          <cell r="CM178">
            <v>0</v>
          </cell>
          <cell r="CN178">
            <v>0</v>
          </cell>
          <cell r="CO178">
            <v>0</v>
          </cell>
          <cell r="CP178">
            <v>0</v>
          </cell>
          <cell r="CQ178">
            <v>0</v>
          </cell>
          <cell r="CR178">
            <v>0</v>
          </cell>
          <cell r="CS178">
            <v>0</v>
          </cell>
          <cell r="CT178">
            <v>0</v>
          </cell>
          <cell r="CU178">
            <v>0</v>
          </cell>
          <cell r="CV178">
            <v>0</v>
          </cell>
          <cell r="CW178">
            <v>0</v>
          </cell>
          <cell r="CX178">
            <v>0</v>
          </cell>
          <cell r="CY178">
            <v>0</v>
          </cell>
          <cell r="CZ178">
            <v>0</v>
          </cell>
          <cell r="DA178">
            <v>0</v>
          </cell>
          <cell r="DB178">
            <v>0</v>
          </cell>
          <cell r="DC178">
            <v>0</v>
          </cell>
          <cell r="DD178">
            <v>0</v>
          </cell>
          <cell r="DE178">
            <v>168</v>
          </cell>
          <cell r="DF178">
            <v>0</v>
          </cell>
          <cell r="DG178">
            <v>0</v>
          </cell>
          <cell r="DH178"/>
          <cell r="DI178">
            <v>0</v>
          </cell>
          <cell r="DK178" t="str">
            <v>OK</v>
          </cell>
          <cell r="DM178">
            <v>0</v>
          </cell>
          <cell r="DN178">
            <v>0</v>
          </cell>
          <cell r="DO178"/>
        </row>
        <row r="179">
          <cell r="N179">
            <v>0</v>
          </cell>
          <cell r="O179">
            <v>0</v>
          </cell>
          <cell r="P179"/>
          <cell r="Q179"/>
          <cell r="T179"/>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cell r="BM179">
            <v>0</v>
          </cell>
          <cell r="BN179">
            <v>0</v>
          </cell>
          <cell r="BO179">
            <v>0</v>
          </cell>
          <cell r="BP179">
            <v>0</v>
          </cell>
          <cell r="BQ179">
            <v>0</v>
          </cell>
          <cell r="BR179">
            <v>0</v>
          </cell>
          <cell r="BS179">
            <v>0</v>
          </cell>
          <cell r="BT179">
            <v>0</v>
          </cell>
          <cell r="BU179">
            <v>0</v>
          </cell>
          <cell r="BV179">
            <v>0</v>
          </cell>
          <cell r="BW179">
            <v>0</v>
          </cell>
          <cell r="BX179">
            <v>0</v>
          </cell>
          <cell r="BY179">
            <v>0</v>
          </cell>
          <cell r="BZ179">
            <v>0</v>
          </cell>
          <cell r="CA179">
            <v>0</v>
          </cell>
          <cell r="CB179">
            <v>0</v>
          </cell>
          <cell r="CC179">
            <v>0</v>
          </cell>
          <cell r="CD179">
            <v>0</v>
          </cell>
          <cell r="CE179">
            <v>0</v>
          </cell>
          <cell r="CF179">
            <v>0</v>
          </cell>
          <cell r="CG179">
            <v>0</v>
          </cell>
          <cell r="CH179">
            <v>0</v>
          </cell>
          <cell r="CI179">
            <v>0</v>
          </cell>
          <cell r="CJ179">
            <v>0</v>
          </cell>
          <cell r="CK179">
            <v>0</v>
          </cell>
          <cell r="CL179">
            <v>0</v>
          </cell>
          <cell r="CM179">
            <v>0</v>
          </cell>
          <cell r="CN179">
            <v>0</v>
          </cell>
          <cell r="CO179">
            <v>0</v>
          </cell>
          <cell r="CP179">
            <v>0</v>
          </cell>
          <cell r="CQ179">
            <v>0</v>
          </cell>
          <cell r="CR179">
            <v>0</v>
          </cell>
          <cell r="CS179">
            <v>0</v>
          </cell>
          <cell r="CT179">
            <v>0</v>
          </cell>
          <cell r="CU179">
            <v>0</v>
          </cell>
          <cell r="CV179">
            <v>0</v>
          </cell>
          <cell r="CW179">
            <v>0</v>
          </cell>
          <cell r="CX179">
            <v>0</v>
          </cell>
          <cell r="CY179">
            <v>0</v>
          </cell>
          <cell r="CZ179">
            <v>0</v>
          </cell>
          <cell r="DA179">
            <v>0</v>
          </cell>
          <cell r="DB179">
            <v>0</v>
          </cell>
          <cell r="DC179">
            <v>0</v>
          </cell>
          <cell r="DD179">
            <v>0</v>
          </cell>
          <cell r="DE179">
            <v>169</v>
          </cell>
          <cell r="DF179">
            <v>0</v>
          </cell>
          <cell r="DG179">
            <v>0</v>
          </cell>
          <cell r="DH179"/>
          <cell r="DI179">
            <v>0</v>
          </cell>
          <cell r="DK179" t="str">
            <v>OK</v>
          </cell>
          <cell r="DM179">
            <v>0</v>
          </cell>
          <cell r="DN179">
            <v>0</v>
          </cell>
          <cell r="DO179"/>
        </row>
        <row r="180">
          <cell r="N180">
            <v>0</v>
          </cell>
          <cell r="O180">
            <v>0</v>
          </cell>
          <cell r="P180"/>
          <cell r="Q180"/>
          <cell r="T180"/>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cell r="BM180">
            <v>0</v>
          </cell>
          <cell r="BN180">
            <v>0</v>
          </cell>
          <cell r="BO180">
            <v>0</v>
          </cell>
          <cell r="BP180">
            <v>0</v>
          </cell>
          <cell r="BQ180">
            <v>0</v>
          </cell>
          <cell r="BR180">
            <v>0</v>
          </cell>
          <cell r="BS180">
            <v>0</v>
          </cell>
          <cell r="BT180">
            <v>0</v>
          </cell>
          <cell r="BU180">
            <v>0</v>
          </cell>
          <cell r="BV180">
            <v>0</v>
          </cell>
          <cell r="BW180">
            <v>0</v>
          </cell>
          <cell r="BX180">
            <v>0</v>
          </cell>
          <cell r="BY180">
            <v>0</v>
          </cell>
          <cell r="BZ180">
            <v>0</v>
          </cell>
          <cell r="CA180">
            <v>0</v>
          </cell>
          <cell r="CB180">
            <v>0</v>
          </cell>
          <cell r="CC180">
            <v>0</v>
          </cell>
          <cell r="CD180">
            <v>0</v>
          </cell>
          <cell r="CE180">
            <v>0</v>
          </cell>
          <cell r="CF180">
            <v>0</v>
          </cell>
          <cell r="CG180">
            <v>0</v>
          </cell>
          <cell r="CH180">
            <v>0</v>
          </cell>
          <cell r="CI180">
            <v>0</v>
          </cell>
          <cell r="CJ180">
            <v>0</v>
          </cell>
          <cell r="CK180">
            <v>0</v>
          </cell>
          <cell r="CL180">
            <v>0</v>
          </cell>
          <cell r="CM180">
            <v>0</v>
          </cell>
          <cell r="CN180">
            <v>0</v>
          </cell>
          <cell r="CO180">
            <v>0</v>
          </cell>
          <cell r="CP180">
            <v>0</v>
          </cell>
          <cell r="CQ180">
            <v>0</v>
          </cell>
          <cell r="CR180">
            <v>0</v>
          </cell>
          <cell r="CS180">
            <v>0</v>
          </cell>
          <cell r="CT180">
            <v>0</v>
          </cell>
          <cell r="CU180">
            <v>0</v>
          </cell>
          <cell r="CV180">
            <v>0</v>
          </cell>
          <cell r="CW180">
            <v>0</v>
          </cell>
          <cell r="CX180">
            <v>0</v>
          </cell>
          <cell r="CY180">
            <v>0</v>
          </cell>
          <cell r="CZ180">
            <v>0</v>
          </cell>
          <cell r="DA180">
            <v>0</v>
          </cell>
          <cell r="DB180">
            <v>0</v>
          </cell>
          <cell r="DC180">
            <v>0</v>
          </cell>
          <cell r="DD180">
            <v>0</v>
          </cell>
          <cell r="DE180">
            <v>170</v>
          </cell>
          <cell r="DF180">
            <v>0</v>
          </cell>
          <cell r="DG180">
            <v>0</v>
          </cell>
          <cell r="DH180"/>
          <cell r="DI180">
            <v>0</v>
          </cell>
          <cell r="DK180" t="str">
            <v>OK</v>
          </cell>
          <cell r="DM180">
            <v>0</v>
          </cell>
          <cell r="DN180">
            <v>0</v>
          </cell>
          <cell r="DO180"/>
        </row>
        <row r="181">
          <cell r="N181">
            <v>0</v>
          </cell>
          <cell r="O181">
            <v>0</v>
          </cell>
          <cell r="P181"/>
          <cell r="Q181"/>
          <cell r="T181"/>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cell r="BM181">
            <v>0</v>
          </cell>
          <cell r="BN181">
            <v>0</v>
          </cell>
          <cell r="BO181">
            <v>0</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cell r="CE181">
            <v>0</v>
          </cell>
          <cell r="CF181">
            <v>0</v>
          </cell>
          <cell r="CG181">
            <v>0</v>
          </cell>
          <cell r="CH181">
            <v>0</v>
          </cell>
          <cell r="CI181">
            <v>0</v>
          </cell>
          <cell r="CJ181">
            <v>0</v>
          </cell>
          <cell r="CK181">
            <v>0</v>
          </cell>
          <cell r="CL181">
            <v>0</v>
          </cell>
          <cell r="CM181">
            <v>0</v>
          </cell>
          <cell r="CN181">
            <v>0</v>
          </cell>
          <cell r="CO181">
            <v>0</v>
          </cell>
          <cell r="CP181">
            <v>0</v>
          </cell>
          <cell r="CQ181">
            <v>0</v>
          </cell>
          <cell r="CR181">
            <v>0</v>
          </cell>
          <cell r="CS181">
            <v>0</v>
          </cell>
          <cell r="CT181">
            <v>0</v>
          </cell>
          <cell r="CU181">
            <v>0</v>
          </cell>
          <cell r="CV181">
            <v>0</v>
          </cell>
          <cell r="CW181">
            <v>0</v>
          </cell>
          <cell r="CX181">
            <v>0</v>
          </cell>
          <cell r="CY181">
            <v>0</v>
          </cell>
          <cell r="CZ181">
            <v>0</v>
          </cell>
          <cell r="DA181">
            <v>0</v>
          </cell>
          <cell r="DB181">
            <v>0</v>
          </cell>
          <cell r="DC181">
            <v>0</v>
          </cell>
          <cell r="DD181">
            <v>0</v>
          </cell>
          <cell r="DE181">
            <v>171</v>
          </cell>
          <cell r="DF181">
            <v>0</v>
          </cell>
          <cell r="DG181">
            <v>0</v>
          </cell>
          <cell r="DH181"/>
          <cell r="DI181">
            <v>0</v>
          </cell>
          <cell r="DK181" t="str">
            <v>OK</v>
          </cell>
          <cell r="DM181">
            <v>0</v>
          </cell>
          <cell r="DN181">
            <v>0</v>
          </cell>
          <cell r="DO181"/>
        </row>
        <row r="182">
          <cell r="N182">
            <v>0</v>
          </cell>
          <cell r="O182">
            <v>0</v>
          </cell>
          <cell r="P182"/>
          <cell r="Q182"/>
          <cell r="T182"/>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cell r="BM182">
            <v>0</v>
          </cell>
          <cell r="BN182">
            <v>0</v>
          </cell>
          <cell r="BO182">
            <v>0</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v>0</v>
          </cell>
          <cell r="CM182">
            <v>0</v>
          </cell>
          <cell r="CN182">
            <v>0</v>
          </cell>
          <cell r="CO182">
            <v>0</v>
          </cell>
          <cell r="CP182">
            <v>0</v>
          </cell>
          <cell r="CQ182">
            <v>0</v>
          </cell>
          <cell r="CR182">
            <v>0</v>
          </cell>
          <cell r="CS182">
            <v>0</v>
          </cell>
          <cell r="CT182">
            <v>0</v>
          </cell>
          <cell r="CU182">
            <v>0</v>
          </cell>
          <cell r="CV182">
            <v>0</v>
          </cell>
          <cell r="CW182">
            <v>0</v>
          </cell>
          <cell r="CX182">
            <v>0</v>
          </cell>
          <cell r="CY182">
            <v>0</v>
          </cell>
          <cell r="CZ182">
            <v>0</v>
          </cell>
          <cell r="DA182">
            <v>0</v>
          </cell>
          <cell r="DB182">
            <v>0</v>
          </cell>
          <cell r="DC182">
            <v>0</v>
          </cell>
          <cell r="DD182">
            <v>0</v>
          </cell>
          <cell r="DE182">
            <v>172</v>
          </cell>
          <cell r="DF182">
            <v>0</v>
          </cell>
          <cell r="DG182">
            <v>0</v>
          </cell>
          <cell r="DH182"/>
          <cell r="DI182">
            <v>0</v>
          </cell>
          <cell r="DK182" t="str">
            <v>OK</v>
          </cell>
          <cell r="DM182">
            <v>0</v>
          </cell>
          <cell r="DN182">
            <v>0</v>
          </cell>
          <cell r="DO182"/>
        </row>
        <row r="183">
          <cell r="N183">
            <v>0</v>
          </cell>
          <cell r="O183">
            <v>0</v>
          </cell>
          <cell r="P183"/>
          <cell r="Q183"/>
          <cell r="T183"/>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cell r="BM183">
            <v>0</v>
          </cell>
          <cell r="BN183">
            <v>0</v>
          </cell>
          <cell r="BO183">
            <v>0</v>
          </cell>
          <cell r="BP183">
            <v>0</v>
          </cell>
          <cell r="BQ183">
            <v>0</v>
          </cell>
          <cell r="BR183">
            <v>0</v>
          </cell>
          <cell r="BS183">
            <v>0</v>
          </cell>
          <cell r="BT183">
            <v>0</v>
          </cell>
          <cell r="BU183">
            <v>0</v>
          </cell>
          <cell r="BV183">
            <v>0</v>
          </cell>
          <cell r="BW183">
            <v>0</v>
          </cell>
          <cell r="BX183">
            <v>0</v>
          </cell>
          <cell r="BY183">
            <v>0</v>
          </cell>
          <cell r="BZ183">
            <v>0</v>
          </cell>
          <cell r="CA183">
            <v>0</v>
          </cell>
          <cell r="CB183">
            <v>0</v>
          </cell>
          <cell r="CC183">
            <v>0</v>
          </cell>
          <cell r="CD183">
            <v>0</v>
          </cell>
          <cell r="CE183">
            <v>0</v>
          </cell>
          <cell r="CF183">
            <v>0</v>
          </cell>
          <cell r="CG183">
            <v>0</v>
          </cell>
          <cell r="CH183">
            <v>0</v>
          </cell>
          <cell r="CI183">
            <v>0</v>
          </cell>
          <cell r="CJ183">
            <v>0</v>
          </cell>
          <cell r="CK183">
            <v>0</v>
          </cell>
          <cell r="CL183">
            <v>0</v>
          </cell>
          <cell r="CM183">
            <v>0</v>
          </cell>
          <cell r="CN183">
            <v>0</v>
          </cell>
          <cell r="CO183">
            <v>0</v>
          </cell>
          <cell r="CP183">
            <v>0</v>
          </cell>
          <cell r="CQ183">
            <v>0</v>
          </cell>
          <cell r="CR183">
            <v>0</v>
          </cell>
          <cell r="CS183">
            <v>0</v>
          </cell>
          <cell r="CT183">
            <v>0</v>
          </cell>
          <cell r="CU183">
            <v>0</v>
          </cell>
          <cell r="CV183">
            <v>0</v>
          </cell>
          <cell r="CW183">
            <v>0</v>
          </cell>
          <cell r="CX183">
            <v>0</v>
          </cell>
          <cell r="CY183">
            <v>0</v>
          </cell>
          <cell r="CZ183">
            <v>0</v>
          </cell>
          <cell r="DA183">
            <v>0</v>
          </cell>
          <cell r="DB183">
            <v>0</v>
          </cell>
          <cell r="DC183">
            <v>0</v>
          </cell>
          <cell r="DD183">
            <v>0</v>
          </cell>
          <cell r="DE183">
            <v>173</v>
          </cell>
          <cell r="DF183">
            <v>0</v>
          </cell>
          <cell r="DG183">
            <v>0</v>
          </cell>
          <cell r="DH183"/>
          <cell r="DI183">
            <v>0</v>
          </cell>
          <cell r="DK183" t="str">
            <v>OK</v>
          </cell>
          <cell r="DM183">
            <v>0</v>
          </cell>
          <cell r="DN183">
            <v>0</v>
          </cell>
          <cell r="DO183"/>
        </row>
        <row r="184">
          <cell r="N184">
            <v>0</v>
          </cell>
          <cell r="O184">
            <v>0</v>
          </cell>
          <cell r="P184"/>
          <cell r="Q184"/>
          <cell r="T184"/>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cell r="BM184">
            <v>0</v>
          </cell>
          <cell r="BN184">
            <v>0</v>
          </cell>
          <cell r="BO184">
            <v>0</v>
          </cell>
          <cell r="BP184">
            <v>0</v>
          </cell>
          <cell r="BQ184">
            <v>0</v>
          </cell>
          <cell r="BR184">
            <v>0</v>
          </cell>
          <cell r="BS184">
            <v>0</v>
          </cell>
          <cell r="BT184">
            <v>0</v>
          </cell>
          <cell r="BU184">
            <v>0</v>
          </cell>
          <cell r="BV184">
            <v>0</v>
          </cell>
          <cell r="BW184">
            <v>0</v>
          </cell>
          <cell r="BX184">
            <v>0</v>
          </cell>
          <cell r="BY184">
            <v>0</v>
          </cell>
          <cell r="BZ184">
            <v>0</v>
          </cell>
          <cell r="CA184">
            <v>0</v>
          </cell>
          <cell r="CB184">
            <v>0</v>
          </cell>
          <cell r="CC184">
            <v>0</v>
          </cell>
          <cell r="CD184">
            <v>0</v>
          </cell>
          <cell r="CE184">
            <v>0</v>
          </cell>
          <cell r="CF184">
            <v>0</v>
          </cell>
          <cell r="CG184">
            <v>0</v>
          </cell>
          <cell r="CH184">
            <v>0</v>
          </cell>
          <cell r="CI184">
            <v>0</v>
          </cell>
          <cell r="CJ184">
            <v>0</v>
          </cell>
          <cell r="CK184">
            <v>0</v>
          </cell>
          <cell r="CL184">
            <v>0</v>
          </cell>
          <cell r="CM184">
            <v>0</v>
          </cell>
          <cell r="CN184">
            <v>0</v>
          </cell>
          <cell r="CO184">
            <v>0</v>
          </cell>
          <cell r="CP184">
            <v>0</v>
          </cell>
          <cell r="CQ184">
            <v>0</v>
          </cell>
          <cell r="CR184">
            <v>0</v>
          </cell>
          <cell r="CS184">
            <v>0</v>
          </cell>
          <cell r="CT184">
            <v>0</v>
          </cell>
          <cell r="CU184">
            <v>0</v>
          </cell>
          <cell r="CV184">
            <v>0</v>
          </cell>
          <cell r="CW184">
            <v>0</v>
          </cell>
          <cell r="CX184">
            <v>0</v>
          </cell>
          <cell r="CY184">
            <v>0</v>
          </cell>
          <cell r="CZ184">
            <v>0</v>
          </cell>
          <cell r="DA184">
            <v>0</v>
          </cell>
          <cell r="DB184">
            <v>0</v>
          </cell>
          <cell r="DC184">
            <v>0</v>
          </cell>
          <cell r="DD184">
            <v>0</v>
          </cell>
          <cell r="DE184">
            <v>174</v>
          </cell>
          <cell r="DF184">
            <v>0</v>
          </cell>
          <cell r="DG184">
            <v>0</v>
          </cell>
          <cell r="DH184"/>
          <cell r="DI184">
            <v>0</v>
          </cell>
          <cell r="DK184" t="str">
            <v>OK</v>
          </cell>
          <cell r="DM184">
            <v>0</v>
          </cell>
          <cell r="DN184">
            <v>0</v>
          </cell>
          <cell r="DO184"/>
        </row>
        <row r="185">
          <cell r="N185">
            <v>0</v>
          </cell>
          <cell r="O185">
            <v>0</v>
          </cell>
          <cell r="P185"/>
          <cell r="Q185"/>
          <cell r="T185"/>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cell r="BM185">
            <v>0</v>
          </cell>
          <cell r="BN185">
            <v>0</v>
          </cell>
          <cell r="BO185">
            <v>0</v>
          </cell>
          <cell r="BP185">
            <v>0</v>
          </cell>
          <cell r="BQ185">
            <v>0</v>
          </cell>
          <cell r="BR185">
            <v>0</v>
          </cell>
          <cell r="BS185">
            <v>0</v>
          </cell>
          <cell r="BT185">
            <v>0</v>
          </cell>
          <cell r="BU185">
            <v>0</v>
          </cell>
          <cell r="BV185">
            <v>0</v>
          </cell>
          <cell r="BW185">
            <v>0</v>
          </cell>
          <cell r="BX185">
            <v>0</v>
          </cell>
          <cell r="BY185">
            <v>0</v>
          </cell>
          <cell r="BZ185">
            <v>0</v>
          </cell>
          <cell r="CA185">
            <v>0</v>
          </cell>
          <cell r="CB185">
            <v>0</v>
          </cell>
          <cell r="CC185">
            <v>0</v>
          </cell>
          <cell r="CD185">
            <v>0</v>
          </cell>
          <cell r="CE185">
            <v>0</v>
          </cell>
          <cell r="CF185">
            <v>0</v>
          </cell>
          <cell r="CG185">
            <v>0</v>
          </cell>
          <cell r="CH185">
            <v>0</v>
          </cell>
          <cell r="CI185">
            <v>0</v>
          </cell>
          <cell r="CJ185">
            <v>0</v>
          </cell>
          <cell r="CK185">
            <v>0</v>
          </cell>
          <cell r="CL185">
            <v>0</v>
          </cell>
          <cell r="CM185">
            <v>0</v>
          </cell>
          <cell r="CN185">
            <v>0</v>
          </cell>
          <cell r="CO185">
            <v>0</v>
          </cell>
          <cell r="CP185">
            <v>0</v>
          </cell>
          <cell r="CQ185">
            <v>0</v>
          </cell>
          <cell r="CR185">
            <v>0</v>
          </cell>
          <cell r="CS185">
            <v>0</v>
          </cell>
          <cell r="CT185">
            <v>0</v>
          </cell>
          <cell r="CU185">
            <v>0</v>
          </cell>
          <cell r="CV185">
            <v>0</v>
          </cell>
          <cell r="CW185">
            <v>0</v>
          </cell>
          <cell r="CX185">
            <v>0</v>
          </cell>
          <cell r="CY185">
            <v>0</v>
          </cell>
          <cell r="CZ185">
            <v>0</v>
          </cell>
          <cell r="DA185">
            <v>0</v>
          </cell>
          <cell r="DB185">
            <v>0</v>
          </cell>
          <cell r="DC185">
            <v>0</v>
          </cell>
          <cell r="DD185">
            <v>0</v>
          </cell>
          <cell r="DE185">
            <v>175</v>
          </cell>
          <cell r="DF185">
            <v>0</v>
          </cell>
          <cell r="DG185">
            <v>0</v>
          </cell>
          <cell r="DH185"/>
          <cell r="DI185">
            <v>0</v>
          </cell>
          <cell r="DK185" t="str">
            <v>OK</v>
          </cell>
          <cell r="DM185">
            <v>0</v>
          </cell>
          <cell r="DN185">
            <v>0</v>
          </cell>
          <cell r="DO185"/>
        </row>
        <row r="186">
          <cell r="N186">
            <v>0</v>
          </cell>
          <cell r="O186">
            <v>0</v>
          </cell>
          <cell r="P186"/>
          <cell r="Q186"/>
          <cell r="T186"/>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cell r="BM186">
            <v>0</v>
          </cell>
          <cell r="BN186">
            <v>0</v>
          </cell>
          <cell r="BO186">
            <v>0</v>
          </cell>
          <cell r="BP186">
            <v>0</v>
          </cell>
          <cell r="BQ186">
            <v>0</v>
          </cell>
          <cell r="BR186">
            <v>0</v>
          </cell>
          <cell r="BS186">
            <v>0</v>
          </cell>
          <cell r="BT186">
            <v>0</v>
          </cell>
          <cell r="BU186">
            <v>0</v>
          </cell>
          <cell r="BV186">
            <v>0</v>
          </cell>
          <cell r="BW186">
            <v>0</v>
          </cell>
          <cell r="BX186">
            <v>0</v>
          </cell>
          <cell r="BY186">
            <v>0</v>
          </cell>
          <cell r="BZ186">
            <v>0</v>
          </cell>
          <cell r="CA186">
            <v>0</v>
          </cell>
          <cell r="CB186">
            <v>0</v>
          </cell>
          <cell r="CC186">
            <v>0</v>
          </cell>
          <cell r="CD186">
            <v>0</v>
          </cell>
          <cell r="CE186">
            <v>0</v>
          </cell>
          <cell r="CF186">
            <v>0</v>
          </cell>
          <cell r="CG186">
            <v>0</v>
          </cell>
          <cell r="CH186">
            <v>0</v>
          </cell>
          <cell r="CI186">
            <v>0</v>
          </cell>
          <cell r="CJ186">
            <v>0</v>
          </cell>
          <cell r="CK186">
            <v>0</v>
          </cell>
          <cell r="CL186">
            <v>0</v>
          </cell>
          <cell r="CM186">
            <v>0</v>
          </cell>
          <cell r="CN186">
            <v>0</v>
          </cell>
          <cell r="CO186">
            <v>0</v>
          </cell>
          <cell r="CP186">
            <v>0</v>
          </cell>
          <cell r="CQ186">
            <v>0</v>
          </cell>
          <cell r="CR186">
            <v>0</v>
          </cell>
          <cell r="CS186">
            <v>0</v>
          </cell>
          <cell r="CT186">
            <v>0</v>
          </cell>
          <cell r="CU186">
            <v>0</v>
          </cell>
          <cell r="CV186">
            <v>0</v>
          </cell>
          <cell r="CW186">
            <v>0</v>
          </cell>
          <cell r="CX186">
            <v>0</v>
          </cell>
          <cell r="CY186">
            <v>0</v>
          </cell>
          <cell r="CZ186">
            <v>0</v>
          </cell>
          <cell r="DA186">
            <v>0</v>
          </cell>
          <cell r="DB186">
            <v>0</v>
          </cell>
          <cell r="DC186">
            <v>0</v>
          </cell>
          <cell r="DD186">
            <v>0</v>
          </cell>
          <cell r="DE186">
            <v>176</v>
          </cell>
          <cell r="DF186">
            <v>0</v>
          </cell>
          <cell r="DG186">
            <v>0</v>
          </cell>
          <cell r="DH186"/>
          <cell r="DI186">
            <v>0</v>
          </cell>
          <cell r="DK186" t="str">
            <v>OK</v>
          </cell>
          <cell r="DM186">
            <v>0</v>
          </cell>
          <cell r="DN186">
            <v>0</v>
          </cell>
          <cell r="DO186"/>
        </row>
        <row r="187">
          <cell r="N187">
            <v>0</v>
          </cell>
          <cell r="O187">
            <v>0</v>
          </cell>
          <cell r="P187"/>
          <cell r="Q187"/>
          <cell r="T187"/>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cell r="BM187">
            <v>0</v>
          </cell>
          <cell r="BN187">
            <v>0</v>
          </cell>
          <cell r="BO187">
            <v>0</v>
          </cell>
          <cell r="BP187">
            <v>0</v>
          </cell>
          <cell r="BQ187">
            <v>0</v>
          </cell>
          <cell r="BR187">
            <v>0</v>
          </cell>
          <cell r="BS187">
            <v>0</v>
          </cell>
          <cell r="BT187">
            <v>0</v>
          </cell>
          <cell r="BU187">
            <v>0</v>
          </cell>
          <cell r="BV187">
            <v>0</v>
          </cell>
          <cell r="BW187">
            <v>0</v>
          </cell>
          <cell r="BX187">
            <v>0</v>
          </cell>
          <cell r="BY187">
            <v>0</v>
          </cell>
          <cell r="BZ187">
            <v>0</v>
          </cell>
          <cell r="CA187">
            <v>0</v>
          </cell>
          <cell r="CB187">
            <v>0</v>
          </cell>
          <cell r="CC187">
            <v>0</v>
          </cell>
          <cell r="CD187">
            <v>0</v>
          </cell>
          <cell r="CE187">
            <v>0</v>
          </cell>
          <cell r="CF187">
            <v>0</v>
          </cell>
          <cell r="CG187">
            <v>0</v>
          </cell>
          <cell r="CH187">
            <v>0</v>
          </cell>
          <cell r="CI187">
            <v>0</v>
          </cell>
          <cell r="CJ187">
            <v>0</v>
          </cell>
          <cell r="CK187">
            <v>0</v>
          </cell>
          <cell r="CL187">
            <v>0</v>
          </cell>
          <cell r="CM187">
            <v>0</v>
          </cell>
          <cell r="CN187">
            <v>0</v>
          </cell>
          <cell r="CO187">
            <v>0</v>
          </cell>
          <cell r="CP187">
            <v>0</v>
          </cell>
          <cell r="CQ187">
            <v>0</v>
          </cell>
          <cell r="CR187">
            <v>0</v>
          </cell>
          <cell r="CS187">
            <v>0</v>
          </cell>
          <cell r="CT187">
            <v>0</v>
          </cell>
          <cell r="CU187">
            <v>0</v>
          </cell>
          <cell r="CV187">
            <v>0</v>
          </cell>
          <cell r="CW187">
            <v>0</v>
          </cell>
          <cell r="CX187">
            <v>0</v>
          </cell>
          <cell r="CY187">
            <v>0</v>
          </cell>
          <cell r="CZ187">
            <v>0</v>
          </cell>
          <cell r="DA187">
            <v>0</v>
          </cell>
          <cell r="DB187">
            <v>0</v>
          </cell>
          <cell r="DC187">
            <v>0</v>
          </cell>
          <cell r="DD187">
            <v>0</v>
          </cell>
          <cell r="DE187">
            <v>177</v>
          </cell>
          <cell r="DF187">
            <v>0</v>
          </cell>
          <cell r="DG187">
            <v>0</v>
          </cell>
          <cell r="DH187"/>
          <cell r="DI187">
            <v>0</v>
          </cell>
          <cell r="DK187" t="str">
            <v>OK</v>
          </cell>
          <cell r="DM187">
            <v>0</v>
          </cell>
          <cell r="DN187">
            <v>0</v>
          </cell>
          <cell r="DO187"/>
        </row>
        <row r="188">
          <cell r="N188">
            <v>0</v>
          </cell>
          <cell r="O188">
            <v>0</v>
          </cell>
          <cell r="P188"/>
          <cell r="Q188"/>
          <cell r="T188"/>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cell r="BM188">
            <v>0</v>
          </cell>
          <cell r="BN188">
            <v>0</v>
          </cell>
          <cell r="BO188">
            <v>0</v>
          </cell>
          <cell r="BP188">
            <v>0</v>
          </cell>
          <cell r="BQ188">
            <v>0</v>
          </cell>
          <cell r="BR188">
            <v>0</v>
          </cell>
          <cell r="BS188">
            <v>0</v>
          </cell>
          <cell r="BT188">
            <v>0</v>
          </cell>
          <cell r="BU188">
            <v>0</v>
          </cell>
          <cell r="BV188">
            <v>0</v>
          </cell>
          <cell r="BW188">
            <v>0</v>
          </cell>
          <cell r="BX188">
            <v>0</v>
          </cell>
          <cell r="BY188">
            <v>0</v>
          </cell>
          <cell r="BZ188">
            <v>0</v>
          </cell>
          <cell r="CA188">
            <v>0</v>
          </cell>
          <cell r="CB188">
            <v>0</v>
          </cell>
          <cell r="CC188">
            <v>0</v>
          </cell>
          <cell r="CD188">
            <v>0</v>
          </cell>
          <cell r="CE188">
            <v>0</v>
          </cell>
          <cell r="CF188">
            <v>0</v>
          </cell>
          <cell r="CG188">
            <v>0</v>
          </cell>
          <cell r="CH188">
            <v>0</v>
          </cell>
          <cell r="CI188">
            <v>0</v>
          </cell>
          <cell r="CJ188">
            <v>0</v>
          </cell>
          <cell r="CK188">
            <v>0</v>
          </cell>
          <cell r="CL188">
            <v>0</v>
          </cell>
          <cell r="CM188">
            <v>0</v>
          </cell>
          <cell r="CN188">
            <v>0</v>
          </cell>
          <cell r="CO188">
            <v>0</v>
          </cell>
          <cell r="CP188">
            <v>0</v>
          </cell>
          <cell r="CQ188">
            <v>0</v>
          </cell>
          <cell r="CR188">
            <v>0</v>
          </cell>
          <cell r="CS188">
            <v>0</v>
          </cell>
          <cell r="CT188">
            <v>0</v>
          </cell>
          <cell r="CU188">
            <v>0</v>
          </cell>
          <cell r="CV188">
            <v>0</v>
          </cell>
          <cell r="CW188">
            <v>0</v>
          </cell>
          <cell r="CX188">
            <v>0</v>
          </cell>
          <cell r="CY188">
            <v>0</v>
          </cell>
          <cell r="CZ188">
            <v>0</v>
          </cell>
          <cell r="DA188">
            <v>0</v>
          </cell>
          <cell r="DB188">
            <v>0</v>
          </cell>
          <cell r="DC188">
            <v>0</v>
          </cell>
          <cell r="DD188">
            <v>0</v>
          </cell>
          <cell r="DE188">
            <v>178</v>
          </cell>
          <cell r="DF188">
            <v>0</v>
          </cell>
          <cell r="DG188">
            <v>0</v>
          </cell>
          <cell r="DH188"/>
          <cell r="DI188">
            <v>0</v>
          </cell>
          <cell r="DK188" t="str">
            <v>OK</v>
          </cell>
          <cell r="DM188">
            <v>0</v>
          </cell>
          <cell r="DN188">
            <v>0</v>
          </cell>
          <cell r="DO188"/>
        </row>
        <row r="189">
          <cell r="N189">
            <v>0</v>
          </cell>
          <cell r="O189">
            <v>0</v>
          </cell>
          <cell r="P189"/>
          <cell r="Q189"/>
          <cell r="T189"/>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cell r="BM189">
            <v>0</v>
          </cell>
          <cell r="BN189">
            <v>0</v>
          </cell>
          <cell r="BO189">
            <v>0</v>
          </cell>
          <cell r="BP189">
            <v>0</v>
          </cell>
          <cell r="BQ189">
            <v>0</v>
          </cell>
          <cell r="BR189">
            <v>0</v>
          </cell>
          <cell r="BS189">
            <v>0</v>
          </cell>
          <cell r="BT189">
            <v>0</v>
          </cell>
          <cell r="BU189">
            <v>0</v>
          </cell>
          <cell r="BV189">
            <v>0</v>
          </cell>
          <cell r="BW189">
            <v>0</v>
          </cell>
          <cell r="BX189">
            <v>0</v>
          </cell>
          <cell r="BY189">
            <v>0</v>
          </cell>
          <cell r="BZ189">
            <v>0</v>
          </cell>
          <cell r="CA189">
            <v>0</v>
          </cell>
          <cell r="CB189">
            <v>0</v>
          </cell>
          <cell r="CC189">
            <v>0</v>
          </cell>
          <cell r="CD189">
            <v>0</v>
          </cell>
          <cell r="CE189">
            <v>0</v>
          </cell>
          <cell r="CF189">
            <v>0</v>
          </cell>
          <cell r="CG189">
            <v>0</v>
          </cell>
          <cell r="CH189">
            <v>0</v>
          </cell>
          <cell r="CI189">
            <v>0</v>
          </cell>
          <cell r="CJ189">
            <v>0</v>
          </cell>
          <cell r="CK189">
            <v>0</v>
          </cell>
          <cell r="CL189">
            <v>0</v>
          </cell>
          <cell r="CM189">
            <v>0</v>
          </cell>
          <cell r="CN189">
            <v>0</v>
          </cell>
          <cell r="CO189">
            <v>0</v>
          </cell>
          <cell r="CP189">
            <v>0</v>
          </cell>
          <cell r="CQ189">
            <v>0</v>
          </cell>
          <cell r="CR189">
            <v>0</v>
          </cell>
          <cell r="CS189">
            <v>0</v>
          </cell>
          <cell r="CT189">
            <v>0</v>
          </cell>
          <cell r="CU189">
            <v>0</v>
          </cell>
          <cell r="CV189">
            <v>0</v>
          </cell>
          <cell r="CW189">
            <v>0</v>
          </cell>
          <cell r="CX189">
            <v>0</v>
          </cell>
          <cell r="CY189">
            <v>0</v>
          </cell>
          <cell r="CZ189">
            <v>0</v>
          </cell>
          <cell r="DA189">
            <v>0</v>
          </cell>
          <cell r="DB189">
            <v>0</v>
          </cell>
          <cell r="DC189">
            <v>0</v>
          </cell>
          <cell r="DD189">
            <v>0</v>
          </cell>
          <cell r="DE189">
            <v>179</v>
          </cell>
          <cell r="DF189">
            <v>0</v>
          </cell>
          <cell r="DG189">
            <v>0</v>
          </cell>
          <cell r="DH189"/>
          <cell r="DI189">
            <v>0</v>
          </cell>
          <cell r="DK189" t="str">
            <v>OK</v>
          </cell>
          <cell r="DM189">
            <v>0</v>
          </cell>
          <cell r="DN189">
            <v>0</v>
          </cell>
          <cell r="DO189"/>
        </row>
        <row r="190">
          <cell r="N190">
            <v>0</v>
          </cell>
          <cell r="O190">
            <v>0</v>
          </cell>
          <cell r="P190"/>
          <cell r="Q190"/>
          <cell r="T190"/>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0</v>
          </cell>
          <cell r="BY190">
            <v>0</v>
          </cell>
          <cell r="BZ190">
            <v>0</v>
          </cell>
          <cell r="CA190">
            <v>0</v>
          </cell>
          <cell r="CB190">
            <v>0</v>
          </cell>
          <cell r="CC190">
            <v>0</v>
          </cell>
          <cell r="CD190">
            <v>0</v>
          </cell>
          <cell r="CE190">
            <v>0</v>
          </cell>
          <cell r="CF190">
            <v>0</v>
          </cell>
          <cell r="CG190">
            <v>0</v>
          </cell>
          <cell r="CH190">
            <v>0</v>
          </cell>
          <cell r="CI190">
            <v>0</v>
          </cell>
          <cell r="CJ190">
            <v>0</v>
          </cell>
          <cell r="CK190">
            <v>0</v>
          </cell>
          <cell r="CL190">
            <v>0</v>
          </cell>
          <cell r="CM190">
            <v>0</v>
          </cell>
          <cell r="CN190">
            <v>0</v>
          </cell>
          <cell r="CO190">
            <v>0</v>
          </cell>
          <cell r="CP190">
            <v>0</v>
          </cell>
          <cell r="CQ190">
            <v>0</v>
          </cell>
          <cell r="CR190">
            <v>0</v>
          </cell>
          <cell r="CS190">
            <v>0</v>
          </cell>
          <cell r="CT190">
            <v>0</v>
          </cell>
          <cell r="CU190">
            <v>0</v>
          </cell>
          <cell r="CV190">
            <v>0</v>
          </cell>
          <cell r="CW190">
            <v>0</v>
          </cell>
          <cell r="CX190">
            <v>0</v>
          </cell>
          <cell r="CY190">
            <v>0</v>
          </cell>
          <cell r="CZ190">
            <v>0</v>
          </cell>
          <cell r="DA190">
            <v>0</v>
          </cell>
          <cell r="DB190">
            <v>0</v>
          </cell>
          <cell r="DC190">
            <v>0</v>
          </cell>
          <cell r="DD190">
            <v>0</v>
          </cell>
          <cell r="DE190">
            <v>180</v>
          </cell>
          <cell r="DF190">
            <v>0</v>
          </cell>
          <cell r="DG190">
            <v>0</v>
          </cell>
          <cell r="DH190"/>
          <cell r="DI190">
            <v>0</v>
          </cell>
          <cell r="DK190" t="str">
            <v>OK</v>
          </cell>
          <cell r="DM190">
            <v>0</v>
          </cell>
          <cell r="DN190">
            <v>0</v>
          </cell>
          <cell r="DO190"/>
        </row>
        <row r="191">
          <cell r="N191">
            <v>0</v>
          </cell>
          <cell r="O191">
            <v>0</v>
          </cell>
          <cell r="P191"/>
          <cell r="Q191"/>
          <cell r="T191"/>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cell r="BM191">
            <v>0</v>
          </cell>
          <cell r="BN191">
            <v>0</v>
          </cell>
          <cell r="BO191">
            <v>0</v>
          </cell>
          <cell r="BP191">
            <v>0</v>
          </cell>
          <cell r="BQ191">
            <v>0</v>
          </cell>
          <cell r="BR191">
            <v>0</v>
          </cell>
          <cell r="BS191">
            <v>0</v>
          </cell>
          <cell r="BT191">
            <v>0</v>
          </cell>
          <cell r="BU191">
            <v>0</v>
          </cell>
          <cell r="BV191">
            <v>0</v>
          </cell>
          <cell r="BW191">
            <v>0</v>
          </cell>
          <cell r="BX191">
            <v>0</v>
          </cell>
          <cell r="BY191">
            <v>0</v>
          </cell>
          <cell r="BZ191">
            <v>0</v>
          </cell>
          <cell r="CA191">
            <v>0</v>
          </cell>
          <cell r="CB191">
            <v>0</v>
          </cell>
          <cell r="CC191">
            <v>0</v>
          </cell>
          <cell r="CD191">
            <v>0</v>
          </cell>
          <cell r="CE191">
            <v>0</v>
          </cell>
          <cell r="CF191">
            <v>0</v>
          </cell>
          <cell r="CG191">
            <v>0</v>
          </cell>
          <cell r="CH191">
            <v>0</v>
          </cell>
          <cell r="CI191">
            <v>0</v>
          </cell>
          <cell r="CJ191">
            <v>0</v>
          </cell>
          <cell r="CK191">
            <v>0</v>
          </cell>
          <cell r="CL191">
            <v>0</v>
          </cell>
          <cell r="CM191">
            <v>0</v>
          </cell>
          <cell r="CN191">
            <v>0</v>
          </cell>
          <cell r="CO191">
            <v>0</v>
          </cell>
          <cell r="CP191">
            <v>0</v>
          </cell>
          <cell r="CQ191">
            <v>0</v>
          </cell>
          <cell r="CR191">
            <v>0</v>
          </cell>
          <cell r="CS191">
            <v>0</v>
          </cell>
          <cell r="CT191">
            <v>0</v>
          </cell>
          <cell r="CU191">
            <v>0</v>
          </cell>
          <cell r="CV191">
            <v>0</v>
          </cell>
          <cell r="CW191">
            <v>0</v>
          </cell>
          <cell r="CX191">
            <v>0</v>
          </cell>
          <cell r="CY191">
            <v>0</v>
          </cell>
          <cell r="CZ191">
            <v>0</v>
          </cell>
          <cell r="DA191">
            <v>0</v>
          </cell>
          <cell r="DB191">
            <v>0</v>
          </cell>
          <cell r="DC191">
            <v>0</v>
          </cell>
          <cell r="DD191">
            <v>0</v>
          </cell>
          <cell r="DE191">
            <v>181</v>
          </cell>
          <cell r="DF191">
            <v>0</v>
          </cell>
          <cell r="DG191">
            <v>0</v>
          </cell>
          <cell r="DH191"/>
          <cell r="DI191">
            <v>0</v>
          </cell>
          <cell r="DK191" t="str">
            <v>OK</v>
          </cell>
          <cell r="DM191">
            <v>0</v>
          </cell>
          <cell r="DN191">
            <v>0</v>
          </cell>
          <cell r="DO191"/>
        </row>
        <row r="192">
          <cell r="N192">
            <v>0</v>
          </cell>
          <cell r="O192">
            <v>0</v>
          </cell>
          <cell r="P192"/>
          <cell r="Q192"/>
          <cell r="T192"/>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cell r="BM192">
            <v>0</v>
          </cell>
          <cell r="BN192">
            <v>0</v>
          </cell>
          <cell r="BO192">
            <v>0</v>
          </cell>
          <cell r="BP192">
            <v>0</v>
          </cell>
          <cell r="BQ192">
            <v>0</v>
          </cell>
          <cell r="BR192">
            <v>0</v>
          </cell>
          <cell r="BS192">
            <v>0</v>
          </cell>
          <cell r="BT192">
            <v>0</v>
          </cell>
          <cell r="BU192">
            <v>0</v>
          </cell>
          <cell r="BV192">
            <v>0</v>
          </cell>
          <cell r="BW192">
            <v>0</v>
          </cell>
          <cell r="BX192">
            <v>0</v>
          </cell>
          <cell r="BY192">
            <v>0</v>
          </cell>
          <cell r="BZ192">
            <v>0</v>
          </cell>
          <cell r="CA192">
            <v>0</v>
          </cell>
          <cell r="CB192">
            <v>0</v>
          </cell>
          <cell r="CC192">
            <v>0</v>
          </cell>
          <cell r="CD192">
            <v>0</v>
          </cell>
          <cell r="CE192">
            <v>0</v>
          </cell>
          <cell r="CF192">
            <v>0</v>
          </cell>
          <cell r="CG192">
            <v>0</v>
          </cell>
          <cell r="CH192">
            <v>0</v>
          </cell>
          <cell r="CI192">
            <v>0</v>
          </cell>
          <cell r="CJ192">
            <v>0</v>
          </cell>
          <cell r="CK192">
            <v>0</v>
          </cell>
          <cell r="CL192">
            <v>0</v>
          </cell>
          <cell r="CM192">
            <v>0</v>
          </cell>
          <cell r="CN192">
            <v>0</v>
          </cell>
          <cell r="CO192">
            <v>0</v>
          </cell>
          <cell r="CP192">
            <v>0</v>
          </cell>
          <cell r="CQ192">
            <v>0</v>
          </cell>
          <cell r="CR192">
            <v>0</v>
          </cell>
          <cell r="CS192">
            <v>0</v>
          </cell>
          <cell r="CT192">
            <v>0</v>
          </cell>
          <cell r="CU192">
            <v>0</v>
          </cell>
          <cell r="CV192">
            <v>0</v>
          </cell>
          <cell r="CW192">
            <v>0</v>
          </cell>
          <cell r="CX192">
            <v>0</v>
          </cell>
          <cell r="CY192">
            <v>0</v>
          </cell>
          <cell r="CZ192">
            <v>0</v>
          </cell>
          <cell r="DA192">
            <v>0</v>
          </cell>
          <cell r="DB192">
            <v>0</v>
          </cell>
          <cell r="DC192">
            <v>0</v>
          </cell>
          <cell r="DD192">
            <v>0</v>
          </cell>
          <cell r="DE192">
            <v>182</v>
          </cell>
          <cell r="DF192">
            <v>0</v>
          </cell>
          <cell r="DG192">
            <v>0</v>
          </cell>
          <cell r="DH192"/>
          <cell r="DI192">
            <v>0</v>
          </cell>
          <cell r="DK192" t="str">
            <v>OK</v>
          </cell>
          <cell r="DM192">
            <v>0</v>
          </cell>
          <cell r="DN192">
            <v>0</v>
          </cell>
          <cell r="DO192"/>
        </row>
        <row r="193">
          <cell r="N193">
            <v>0</v>
          </cell>
          <cell r="O193">
            <v>0</v>
          </cell>
          <cell r="P193"/>
          <cell r="Q193"/>
          <cell r="T193"/>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cell r="BM193">
            <v>0</v>
          </cell>
          <cell r="BN193">
            <v>0</v>
          </cell>
          <cell r="BO193">
            <v>0</v>
          </cell>
          <cell r="BP193">
            <v>0</v>
          </cell>
          <cell r="BQ193">
            <v>0</v>
          </cell>
          <cell r="BR193">
            <v>0</v>
          </cell>
          <cell r="BS193">
            <v>0</v>
          </cell>
          <cell r="BT193">
            <v>0</v>
          </cell>
          <cell r="BU193">
            <v>0</v>
          </cell>
          <cell r="BV193">
            <v>0</v>
          </cell>
          <cell r="BW193">
            <v>0</v>
          </cell>
          <cell r="BX193">
            <v>0</v>
          </cell>
          <cell r="BY193">
            <v>0</v>
          </cell>
          <cell r="BZ193">
            <v>0</v>
          </cell>
          <cell r="CA193">
            <v>0</v>
          </cell>
          <cell r="CB193">
            <v>0</v>
          </cell>
          <cell r="CC193">
            <v>0</v>
          </cell>
          <cell r="CD193">
            <v>0</v>
          </cell>
          <cell r="CE193">
            <v>0</v>
          </cell>
          <cell r="CF193">
            <v>0</v>
          </cell>
          <cell r="CG193">
            <v>0</v>
          </cell>
          <cell r="CH193">
            <v>0</v>
          </cell>
          <cell r="CI193">
            <v>0</v>
          </cell>
          <cell r="CJ193">
            <v>0</v>
          </cell>
          <cell r="CK193">
            <v>0</v>
          </cell>
          <cell r="CL193">
            <v>0</v>
          </cell>
          <cell r="CM193">
            <v>0</v>
          </cell>
          <cell r="CN193">
            <v>0</v>
          </cell>
          <cell r="CO193">
            <v>0</v>
          </cell>
          <cell r="CP193">
            <v>0</v>
          </cell>
          <cell r="CQ193">
            <v>0</v>
          </cell>
          <cell r="CR193">
            <v>0</v>
          </cell>
          <cell r="CS193">
            <v>0</v>
          </cell>
          <cell r="CT193">
            <v>0</v>
          </cell>
          <cell r="CU193">
            <v>0</v>
          </cell>
          <cell r="CV193">
            <v>0</v>
          </cell>
          <cell r="CW193">
            <v>0</v>
          </cell>
          <cell r="CX193">
            <v>0</v>
          </cell>
          <cell r="CY193">
            <v>0</v>
          </cell>
          <cell r="CZ193">
            <v>0</v>
          </cell>
          <cell r="DA193">
            <v>0</v>
          </cell>
          <cell r="DB193">
            <v>0</v>
          </cell>
          <cell r="DC193">
            <v>0</v>
          </cell>
          <cell r="DD193">
            <v>0</v>
          </cell>
          <cell r="DE193">
            <v>183</v>
          </cell>
          <cell r="DF193">
            <v>0</v>
          </cell>
          <cell r="DG193">
            <v>0</v>
          </cell>
          <cell r="DH193"/>
          <cell r="DI193">
            <v>0</v>
          </cell>
          <cell r="DK193" t="str">
            <v>OK</v>
          </cell>
          <cell r="DM193">
            <v>0</v>
          </cell>
          <cell r="DN193">
            <v>0</v>
          </cell>
          <cell r="DO193"/>
        </row>
        <row r="194">
          <cell r="N194">
            <v>0</v>
          </cell>
          <cell r="O194">
            <v>0</v>
          </cell>
          <cell r="P194"/>
          <cell r="Q194"/>
          <cell r="T194"/>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cell r="BM194">
            <v>0</v>
          </cell>
          <cell r="BN194">
            <v>0</v>
          </cell>
          <cell r="BO194">
            <v>0</v>
          </cell>
          <cell r="BP194">
            <v>0</v>
          </cell>
          <cell r="BQ194">
            <v>0</v>
          </cell>
          <cell r="BR194">
            <v>0</v>
          </cell>
          <cell r="BS194">
            <v>0</v>
          </cell>
          <cell r="BT194">
            <v>0</v>
          </cell>
          <cell r="BU194">
            <v>0</v>
          </cell>
          <cell r="BV194">
            <v>0</v>
          </cell>
          <cell r="BW194">
            <v>0</v>
          </cell>
          <cell r="BX194">
            <v>0</v>
          </cell>
          <cell r="BY194">
            <v>0</v>
          </cell>
          <cell r="BZ194">
            <v>0</v>
          </cell>
          <cell r="CA194">
            <v>0</v>
          </cell>
          <cell r="CB194">
            <v>0</v>
          </cell>
          <cell r="CC194">
            <v>0</v>
          </cell>
          <cell r="CD194">
            <v>0</v>
          </cell>
          <cell r="CE194">
            <v>0</v>
          </cell>
          <cell r="CF194">
            <v>0</v>
          </cell>
          <cell r="CG194">
            <v>0</v>
          </cell>
          <cell r="CH194">
            <v>0</v>
          </cell>
          <cell r="CI194">
            <v>0</v>
          </cell>
          <cell r="CJ194">
            <v>0</v>
          </cell>
          <cell r="CK194">
            <v>0</v>
          </cell>
          <cell r="CL194">
            <v>0</v>
          </cell>
          <cell r="CM194">
            <v>0</v>
          </cell>
          <cell r="CN194">
            <v>0</v>
          </cell>
          <cell r="CO194">
            <v>0</v>
          </cell>
          <cell r="CP194">
            <v>0</v>
          </cell>
          <cell r="CQ194">
            <v>0</v>
          </cell>
          <cell r="CR194">
            <v>0</v>
          </cell>
          <cell r="CS194">
            <v>0</v>
          </cell>
          <cell r="CT194">
            <v>0</v>
          </cell>
          <cell r="CU194">
            <v>0</v>
          </cell>
          <cell r="CV194">
            <v>0</v>
          </cell>
          <cell r="CW194">
            <v>0</v>
          </cell>
          <cell r="CX194">
            <v>0</v>
          </cell>
          <cell r="CY194">
            <v>0</v>
          </cell>
          <cell r="CZ194">
            <v>0</v>
          </cell>
          <cell r="DA194">
            <v>0</v>
          </cell>
          <cell r="DB194">
            <v>0</v>
          </cell>
          <cell r="DC194">
            <v>0</v>
          </cell>
          <cell r="DD194">
            <v>0</v>
          </cell>
          <cell r="DE194">
            <v>184</v>
          </cell>
          <cell r="DF194">
            <v>0</v>
          </cell>
          <cell r="DG194">
            <v>0</v>
          </cell>
          <cell r="DH194"/>
          <cell r="DI194">
            <v>0</v>
          </cell>
          <cell r="DK194" t="str">
            <v>OK</v>
          </cell>
          <cell r="DM194">
            <v>0</v>
          </cell>
          <cell r="DN194">
            <v>0</v>
          </cell>
          <cell r="DO194"/>
        </row>
        <row r="195">
          <cell r="N195">
            <v>0</v>
          </cell>
          <cell r="O195">
            <v>0</v>
          </cell>
          <cell r="P195"/>
          <cell r="Q195"/>
          <cell r="T195"/>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cell r="BM195">
            <v>0</v>
          </cell>
          <cell r="BN195">
            <v>0</v>
          </cell>
          <cell r="BO195">
            <v>0</v>
          </cell>
          <cell r="BP195">
            <v>0</v>
          </cell>
          <cell r="BQ195">
            <v>0</v>
          </cell>
          <cell r="BR195">
            <v>0</v>
          </cell>
          <cell r="BS195">
            <v>0</v>
          </cell>
          <cell r="BT195">
            <v>0</v>
          </cell>
          <cell r="BU195">
            <v>0</v>
          </cell>
          <cell r="BV195">
            <v>0</v>
          </cell>
          <cell r="BW195">
            <v>0</v>
          </cell>
          <cell r="BX195">
            <v>0</v>
          </cell>
          <cell r="BY195">
            <v>0</v>
          </cell>
          <cell r="BZ195">
            <v>0</v>
          </cell>
          <cell r="CA195">
            <v>0</v>
          </cell>
          <cell r="CB195">
            <v>0</v>
          </cell>
          <cell r="CC195">
            <v>0</v>
          </cell>
          <cell r="CD195">
            <v>0</v>
          </cell>
          <cell r="CE195">
            <v>0</v>
          </cell>
          <cell r="CF195">
            <v>0</v>
          </cell>
          <cell r="CG195">
            <v>0</v>
          </cell>
          <cell r="CH195">
            <v>0</v>
          </cell>
          <cell r="CI195">
            <v>0</v>
          </cell>
          <cell r="CJ195">
            <v>0</v>
          </cell>
          <cell r="CK195">
            <v>0</v>
          </cell>
          <cell r="CL195">
            <v>0</v>
          </cell>
          <cell r="CM195">
            <v>0</v>
          </cell>
          <cell r="CN195">
            <v>0</v>
          </cell>
          <cell r="CO195">
            <v>0</v>
          </cell>
          <cell r="CP195">
            <v>0</v>
          </cell>
          <cell r="CQ195">
            <v>0</v>
          </cell>
          <cell r="CR195">
            <v>0</v>
          </cell>
          <cell r="CS195">
            <v>0</v>
          </cell>
          <cell r="CT195">
            <v>0</v>
          </cell>
          <cell r="CU195">
            <v>0</v>
          </cell>
          <cell r="CV195">
            <v>0</v>
          </cell>
          <cell r="CW195">
            <v>0</v>
          </cell>
          <cell r="CX195">
            <v>0</v>
          </cell>
          <cell r="CY195">
            <v>0</v>
          </cell>
          <cell r="CZ195">
            <v>0</v>
          </cell>
          <cell r="DA195">
            <v>0</v>
          </cell>
          <cell r="DB195">
            <v>0</v>
          </cell>
          <cell r="DC195">
            <v>0</v>
          </cell>
          <cell r="DD195">
            <v>0</v>
          </cell>
          <cell r="DE195">
            <v>185</v>
          </cell>
          <cell r="DF195">
            <v>0</v>
          </cell>
          <cell r="DG195">
            <v>0</v>
          </cell>
          <cell r="DH195"/>
          <cell r="DI195">
            <v>0</v>
          </cell>
          <cell r="DK195" t="str">
            <v>OK</v>
          </cell>
          <cell r="DM195">
            <v>0</v>
          </cell>
          <cell r="DN195">
            <v>0</v>
          </cell>
          <cell r="DO195"/>
        </row>
        <row r="196">
          <cell r="N196">
            <v>0</v>
          </cell>
          <cell r="O196">
            <v>0</v>
          </cell>
          <cell r="P196"/>
          <cell r="Q196"/>
          <cell r="T196"/>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cell r="BM196">
            <v>0</v>
          </cell>
          <cell r="BN196">
            <v>0</v>
          </cell>
          <cell r="BO196">
            <v>0</v>
          </cell>
          <cell r="BP196">
            <v>0</v>
          </cell>
          <cell r="BQ196">
            <v>0</v>
          </cell>
          <cell r="BR196">
            <v>0</v>
          </cell>
          <cell r="BS196">
            <v>0</v>
          </cell>
          <cell r="BT196">
            <v>0</v>
          </cell>
          <cell r="BU196">
            <v>0</v>
          </cell>
          <cell r="BV196">
            <v>0</v>
          </cell>
          <cell r="BW196">
            <v>0</v>
          </cell>
          <cell r="BX196">
            <v>0</v>
          </cell>
          <cell r="BY196">
            <v>0</v>
          </cell>
          <cell r="BZ196">
            <v>0</v>
          </cell>
          <cell r="CA196">
            <v>0</v>
          </cell>
          <cell r="CB196">
            <v>0</v>
          </cell>
          <cell r="CC196">
            <v>0</v>
          </cell>
          <cell r="CD196">
            <v>0</v>
          </cell>
          <cell r="CE196">
            <v>0</v>
          </cell>
          <cell r="CF196">
            <v>0</v>
          </cell>
          <cell r="CG196">
            <v>0</v>
          </cell>
          <cell r="CH196">
            <v>0</v>
          </cell>
          <cell r="CI196">
            <v>0</v>
          </cell>
          <cell r="CJ196">
            <v>0</v>
          </cell>
          <cell r="CK196">
            <v>0</v>
          </cell>
          <cell r="CL196">
            <v>0</v>
          </cell>
          <cell r="CM196">
            <v>0</v>
          </cell>
          <cell r="CN196">
            <v>0</v>
          </cell>
          <cell r="CO196">
            <v>0</v>
          </cell>
          <cell r="CP196">
            <v>0</v>
          </cell>
          <cell r="CQ196">
            <v>0</v>
          </cell>
          <cell r="CR196">
            <v>0</v>
          </cell>
          <cell r="CS196">
            <v>0</v>
          </cell>
          <cell r="CT196">
            <v>0</v>
          </cell>
          <cell r="CU196">
            <v>0</v>
          </cell>
          <cell r="CV196">
            <v>0</v>
          </cell>
          <cell r="CW196">
            <v>0</v>
          </cell>
          <cell r="CX196">
            <v>0</v>
          </cell>
          <cell r="CY196">
            <v>0</v>
          </cell>
          <cell r="CZ196">
            <v>0</v>
          </cell>
          <cell r="DA196">
            <v>0</v>
          </cell>
          <cell r="DB196">
            <v>0</v>
          </cell>
          <cell r="DC196">
            <v>0</v>
          </cell>
          <cell r="DD196">
            <v>0</v>
          </cell>
          <cell r="DE196">
            <v>186</v>
          </cell>
          <cell r="DF196">
            <v>0</v>
          </cell>
          <cell r="DG196">
            <v>0</v>
          </cell>
          <cell r="DH196"/>
          <cell r="DI196">
            <v>0</v>
          </cell>
          <cell r="DK196" t="str">
            <v>OK</v>
          </cell>
          <cell r="DM196">
            <v>0</v>
          </cell>
          <cell r="DN196">
            <v>0</v>
          </cell>
          <cell r="DO196"/>
        </row>
        <row r="197">
          <cell r="N197">
            <v>0</v>
          </cell>
          <cell r="O197">
            <v>0</v>
          </cell>
          <cell r="P197"/>
          <cell r="Q197"/>
          <cell r="T197"/>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cell r="BM197">
            <v>0</v>
          </cell>
          <cell r="BN197">
            <v>0</v>
          </cell>
          <cell r="BO197">
            <v>0</v>
          </cell>
          <cell r="BP197">
            <v>0</v>
          </cell>
          <cell r="BQ197">
            <v>0</v>
          </cell>
          <cell r="BR197">
            <v>0</v>
          </cell>
          <cell r="BS197">
            <v>0</v>
          </cell>
          <cell r="BT197">
            <v>0</v>
          </cell>
          <cell r="BU197">
            <v>0</v>
          </cell>
          <cell r="BV197">
            <v>0</v>
          </cell>
          <cell r="BW197">
            <v>0</v>
          </cell>
          <cell r="BX197">
            <v>0</v>
          </cell>
          <cell r="BY197">
            <v>0</v>
          </cell>
          <cell r="BZ197">
            <v>0</v>
          </cell>
          <cell r="CA197">
            <v>0</v>
          </cell>
          <cell r="CB197">
            <v>0</v>
          </cell>
          <cell r="CC197">
            <v>0</v>
          </cell>
          <cell r="CD197">
            <v>0</v>
          </cell>
          <cell r="CE197">
            <v>0</v>
          </cell>
          <cell r="CF197">
            <v>0</v>
          </cell>
          <cell r="CG197">
            <v>0</v>
          </cell>
          <cell r="CH197">
            <v>0</v>
          </cell>
          <cell r="CI197">
            <v>0</v>
          </cell>
          <cell r="CJ197">
            <v>0</v>
          </cell>
          <cell r="CK197">
            <v>0</v>
          </cell>
          <cell r="CL197">
            <v>0</v>
          </cell>
          <cell r="CM197">
            <v>0</v>
          </cell>
          <cell r="CN197">
            <v>0</v>
          </cell>
          <cell r="CO197">
            <v>0</v>
          </cell>
          <cell r="CP197">
            <v>0</v>
          </cell>
          <cell r="CQ197">
            <v>0</v>
          </cell>
          <cell r="CR197">
            <v>0</v>
          </cell>
          <cell r="CS197">
            <v>0</v>
          </cell>
          <cell r="CT197">
            <v>0</v>
          </cell>
          <cell r="CU197">
            <v>0</v>
          </cell>
          <cell r="CV197">
            <v>0</v>
          </cell>
          <cell r="CW197">
            <v>0</v>
          </cell>
          <cell r="CX197">
            <v>0</v>
          </cell>
          <cell r="CY197">
            <v>0</v>
          </cell>
          <cell r="CZ197">
            <v>0</v>
          </cell>
          <cell r="DA197">
            <v>0</v>
          </cell>
          <cell r="DB197">
            <v>0</v>
          </cell>
          <cell r="DC197">
            <v>0</v>
          </cell>
          <cell r="DD197">
            <v>0</v>
          </cell>
          <cell r="DE197">
            <v>187</v>
          </cell>
          <cell r="DF197">
            <v>0</v>
          </cell>
          <cell r="DG197">
            <v>0</v>
          </cell>
          <cell r="DH197"/>
          <cell r="DI197">
            <v>0</v>
          </cell>
          <cell r="DK197" t="str">
            <v>OK</v>
          </cell>
          <cell r="DM197">
            <v>0</v>
          </cell>
          <cell r="DN197">
            <v>0</v>
          </cell>
          <cell r="DO197"/>
        </row>
        <row r="198">
          <cell r="N198">
            <v>0</v>
          </cell>
          <cell r="O198">
            <v>0</v>
          </cell>
          <cell r="P198"/>
          <cell r="Q198"/>
          <cell r="T198"/>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cell r="BM198">
            <v>0</v>
          </cell>
          <cell r="BN198">
            <v>0</v>
          </cell>
          <cell r="BO198">
            <v>0</v>
          </cell>
          <cell r="BP198">
            <v>0</v>
          </cell>
          <cell r="BQ198">
            <v>0</v>
          </cell>
          <cell r="BR198">
            <v>0</v>
          </cell>
          <cell r="BS198">
            <v>0</v>
          </cell>
          <cell r="BT198">
            <v>0</v>
          </cell>
          <cell r="BU198">
            <v>0</v>
          </cell>
          <cell r="BV198">
            <v>0</v>
          </cell>
          <cell r="BW198">
            <v>0</v>
          </cell>
          <cell r="BX198">
            <v>0</v>
          </cell>
          <cell r="BY198">
            <v>0</v>
          </cell>
          <cell r="BZ198">
            <v>0</v>
          </cell>
          <cell r="CA198">
            <v>0</v>
          </cell>
          <cell r="CB198">
            <v>0</v>
          </cell>
          <cell r="CC198">
            <v>0</v>
          </cell>
          <cell r="CD198">
            <v>0</v>
          </cell>
          <cell r="CE198">
            <v>0</v>
          </cell>
          <cell r="CF198">
            <v>0</v>
          </cell>
          <cell r="CG198">
            <v>0</v>
          </cell>
          <cell r="CH198">
            <v>0</v>
          </cell>
          <cell r="CI198">
            <v>0</v>
          </cell>
          <cell r="CJ198">
            <v>0</v>
          </cell>
          <cell r="CK198">
            <v>0</v>
          </cell>
          <cell r="CL198">
            <v>0</v>
          </cell>
          <cell r="CM198">
            <v>0</v>
          </cell>
          <cell r="CN198">
            <v>0</v>
          </cell>
          <cell r="CO198">
            <v>0</v>
          </cell>
          <cell r="CP198">
            <v>0</v>
          </cell>
          <cell r="CQ198">
            <v>0</v>
          </cell>
          <cell r="CR198">
            <v>0</v>
          </cell>
          <cell r="CS198">
            <v>0</v>
          </cell>
          <cell r="CT198">
            <v>0</v>
          </cell>
          <cell r="CU198">
            <v>0</v>
          </cell>
          <cell r="CV198">
            <v>0</v>
          </cell>
          <cell r="CW198">
            <v>0</v>
          </cell>
          <cell r="CX198">
            <v>0</v>
          </cell>
          <cell r="CY198">
            <v>0</v>
          </cell>
          <cell r="CZ198">
            <v>0</v>
          </cell>
          <cell r="DA198">
            <v>0</v>
          </cell>
          <cell r="DB198">
            <v>0</v>
          </cell>
          <cell r="DC198">
            <v>0</v>
          </cell>
          <cell r="DD198">
            <v>0</v>
          </cell>
          <cell r="DE198">
            <v>188</v>
          </cell>
          <cell r="DF198">
            <v>0</v>
          </cell>
          <cell r="DG198">
            <v>0</v>
          </cell>
          <cell r="DH198"/>
          <cell r="DI198">
            <v>0</v>
          </cell>
          <cell r="DK198" t="str">
            <v>OK</v>
          </cell>
          <cell r="DM198">
            <v>0</v>
          </cell>
          <cell r="DN198">
            <v>0</v>
          </cell>
          <cell r="DO198"/>
        </row>
        <row r="199">
          <cell r="N199">
            <v>0</v>
          </cell>
          <cell r="O199">
            <v>0</v>
          </cell>
          <cell r="P199"/>
          <cell r="Q199"/>
          <cell r="T199"/>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cell r="BM199">
            <v>0</v>
          </cell>
          <cell r="BN199">
            <v>0</v>
          </cell>
          <cell r="BO199">
            <v>0</v>
          </cell>
          <cell r="BP199">
            <v>0</v>
          </cell>
          <cell r="BQ199">
            <v>0</v>
          </cell>
          <cell r="BR199">
            <v>0</v>
          </cell>
          <cell r="BS199">
            <v>0</v>
          </cell>
          <cell r="BT199">
            <v>0</v>
          </cell>
          <cell r="BU199">
            <v>0</v>
          </cell>
          <cell r="BV199">
            <v>0</v>
          </cell>
          <cell r="BW199">
            <v>0</v>
          </cell>
          <cell r="BX199">
            <v>0</v>
          </cell>
          <cell r="BY199">
            <v>0</v>
          </cell>
          <cell r="BZ199">
            <v>0</v>
          </cell>
          <cell r="CA199">
            <v>0</v>
          </cell>
          <cell r="CB199">
            <v>0</v>
          </cell>
          <cell r="CC199">
            <v>0</v>
          </cell>
          <cell r="CD199">
            <v>0</v>
          </cell>
          <cell r="CE199">
            <v>0</v>
          </cell>
          <cell r="CF199">
            <v>0</v>
          </cell>
          <cell r="CG199">
            <v>0</v>
          </cell>
          <cell r="CH199">
            <v>0</v>
          </cell>
          <cell r="CI199">
            <v>0</v>
          </cell>
          <cell r="CJ199">
            <v>0</v>
          </cell>
          <cell r="CK199">
            <v>0</v>
          </cell>
          <cell r="CL199">
            <v>0</v>
          </cell>
          <cell r="CM199">
            <v>0</v>
          </cell>
          <cell r="CN199">
            <v>0</v>
          </cell>
          <cell r="CO199">
            <v>0</v>
          </cell>
          <cell r="CP199">
            <v>0</v>
          </cell>
          <cell r="CQ199">
            <v>0</v>
          </cell>
          <cell r="CR199">
            <v>0</v>
          </cell>
          <cell r="CS199">
            <v>0</v>
          </cell>
          <cell r="CT199">
            <v>0</v>
          </cell>
          <cell r="CU199">
            <v>0</v>
          </cell>
          <cell r="CV199">
            <v>0</v>
          </cell>
          <cell r="CW199">
            <v>0</v>
          </cell>
          <cell r="CX199">
            <v>0</v>
          </cell>
          <cell r="CY199">
            <v>0</v>
          </cell>
          <cell r="CZ199">
            <v>0</v>
          </cell>
          <cell r="DA199">
            <v>0</v>
          </cell>
          <cell r="DB199">
            <v>0</v>
          </cell>
          <cell r="DC199">
            <v>0</v>
          </cell>
          <cell r="DD199">
            <v>0</v>
          </cell>
          <cell r="DE199">
            <v>189</v>
          </cell>
          <cell r="DF199">
            <v>0</v>
          </cell>
          <cell r="DG199">
            <v>0</v>
          </cell>
          <cell r="DH199"/>
          <cell r="DI199">
            <v>0</v>
          </cell>
          <cell r="DK199" t="str">
            <v>OK</v>
          </cell>
          <cell r="DM199">
            <v>0</v>
          </cell>
          <cell r="DN199">
            <v>0</v>
          </cell>
          <cell r="DO199"/>
        </row>
        <row r="200">
          <cell r="N200">
            <v>0</v>
          </cell>
          <cell r="O200">
            <v>0</v>
          </cell>
          <cell r="P200"/>
          <cell r="Q200"/>
          <cell r="T200"/>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cell r="BM200">
            <v>0</v>
          </cell>
          <cell r="BN200">
            <v>0</v>
          </cell>
          <cell r="BO200">
            <v>0</v>
          </cell>
          <cell r="BP200">
            <v>0</v>
          </cell>
          <cell r="BQ200">
            <v>0</v>
          </cell>
          <cell r="BR200">
            <v>0</v>
          </cell>
          <cell r="BS200">
            <v>0</v>
          </cell>
          <cell r="BT200">
            <v>0</v>
          </cell>
          <cell r="BU200">
            <v>0</v>
          </cell>
          <cell r="BV200">
            <v>0</v>
          </cell>
          <cell r="BW200">
            <v>0</v>
          </cell>
          <cell r="BX200">
            <v>0</v>
          </cell>
          <cell r="BY200">
            <v>0</v>
          </cell>
          <cell r="BZ200">
            <v>0</v>
          </cell>
          <cell r="CA200">
            <v>0</v>
          </cell>
          <cell r="CB200">
            <v>0</v>
          </cell>
          <cell r="CC200">
            <v>0</v>
          </cell>
          <cell r="CD200">
            <v>0</v>
          </cell>
          <cell r="CE200">
            <v>0</v>
          </cell>
          <cell r="CF200">
            <v>0</v>
          </cell>
          <cell r="CG200">
            <v>0</v>
          </cell>
          <cell r="CH200">
            <v>0</v>
          </cell>
          <cell r="CI200">
            <v>0</v>
          </cell>
          <cell r="CJ200">
            <v>0</v>
          </cell>
          <cell r="CK200">
            <v>0</v>
          </cell>
          <cell r="CL200">
            <v>0</v>
          </cell>
          <cell r="CM200">
            <v>0</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190</v>
          </cell>
          <cell r="DF200">
            <v>0</v>
          </cell>
          <cell r="DG200">
            <v>0</v>
          </cell>
          <cell r="DH200"/>
          <cell r="DI200">
            <v>0</v>
          </cell>
          <cell r="DK200" t="str">
            <v>OK</v>
          </cell>
          <cell r="DM200">
            <v>0</v>
          </cell>
          <cell r="DN200">
            <v>0</v>
          </cell>
          <cell r="DO200"/>
        </row>
        <row r="201">
          <cell r="N201">
            <v>0</v>
          </cell>
          <cell r="O201">
            <v>0</v>
          </cell>
          <cell r="P201"/>
          <cell r="Q201"/>
          <cell r="T201"/>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cell r="BM201">
            <v>0</v>
          </cell>
          <cell r="BN201">
            <v>0</v>
          </cell>
          <cell r="BO201">
            <v>0</v>
          </cell>
          <cell r="BP201">
            <v>0</v>
          </cell>
          <cell r="BQ201">
            <v>0</v>
          </cell>
          <cell r="BR201">
            <v>0</v>
          </cell>
          <cell r="BS201">
            <v>0</v>
          </cell>
          <cell r="BT201">
            <v>0</v>
          </cell>
          <cell r="BU201">
            <v>0</v>
          </cell>
          <cell r="BV201">
            <v>0</v>
          </cell>
          <cell r="BW201">
            <v>0</v>
          </cell>
          <cell r="BX201">
            <v>0</v>
          </cell>
          <cell r="BY201">
            <v>0</v>
          </cell>
          <cell r="BZ201">
            <v>0</v>
          </cell>
          <cell r="CA201">
            <v>0</v>
          </cell>
          <cell r="CB201">
            <v>0</v>
          </cell>
          <cell r="CC201">
            <v>0</v>
          </cell>
          <cell r="CD201">
            <v>0</v>
          </cell>
          <cell r="CE201">
            <v>0</v>
          </cell>
          <cell r="CF201">
            <v>0</v>
          </cell>
          <cell r="CG201">
            <v>0</v>
          </cell>
          <cell r="CH201">
            <v>0</v>
          </cell>
          <cell r="CI201">
            <v>0</v>
          </cell>
          <cell r="CJ201">
            <v>0</v>
          </cell>
          <cell r="CK201">
            <v>0</v>
          </cell>
          <cell r="CL201">
            <v>0</v>
          </cell>
          <cell r="CM201">
            <v>0</v>
          </cell>
          <cell r="CN201">
            <v>0</v>
          </cell>
          <cell r="CO201">
            <v>0</v>
          </cell>
          <cell r="CP201">
            <v>0</v>
          </cell>
          <cell r="CQ201">
            <v>0</v>
          </cell>
          <cell r="CR201">
            <v>0</v>
          </cell>
          <cell r="CS201">
            <v>0</v>
          </cell>
          <cell r="CT201">
            <v>0</v>
          </cell>
          <cell r="CU201">
            <v>0</v>
          </cell>
          <cell r="CV201">
            <v>0</v>
          </cell>
          <cell r="CW201">
            <v>0</v>
          </cell>
          <cell r="CX201">
            <v>0</v>
          </cell>
          <cell r="CY201">
            <v>0</v>
          </cell>
          <cell r="CZ201">
            <v>0</v>
          </cell>
          <cell r="DA201">
            <v>0</v>
          </cell>
          <cell r="DB201">
            <v>0</v>
          </cell>
          <cell r="DC201">
            <v>0</v>
          </cell>
          <cell r="DD201">
            <v>0</v>
          </cell>
          <cell r="DE201">
            <v>191</v>
          </cell>
          <cell r="DF201">
            <v>0</v>
          </cell>
          <cell r="DG201">
            <v>0</v>
          </cell>
          <cell r="DH201"/>
          <cell r="DI201">
            <v>0</v>
          </cell>
          <cell r="DK201" t="str">
            <v>OK</v>
          </cell>
          <cell r="DM201">
            <v>0</v>
          </cell>
          <cell r="DN201">
            <v>0</v>
          </cell>
          <cell r="DO201"/>
        </row>
        <row r="202">
          <cell r="N202">
            <v>0</v>
          </cell>
          <cell r="O202">
            <v>0</v>
          </cell>
          <cell r="P202"/>
          <cell r="Q202"/>
          <cell r="T202"/>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cell r="BM202">
            <v>0</v>
          </cell>
          <cell r="BN202">
            <v>0</v>
          </cell>
          <cell r="BO202">
            <v>0</v>
          </cell>
          <cell r="BP202">
            <v>0</v>
          </cell>
          <cell r="BQ202">
            <v>0</v>
          </cell>
          <cell r="BR202">
            <v>0</v>
          </cell>
          <cell r="BS202">
            <v>0</v>
          </cell>
          <cell r="BT202">
            <v>0</v>
          </cell>
          <cell r="BU202">
            <v>0</v>
          </cell>
          <cell r="BV202">
            <v>0</v>
          </cell>
          <cell r="BW202">
            <v>0</v>
          </cell>
          <cell r="BX202">
            <v>0</v>
          </cell>
          <cell r="BY202">
            <v>0</v>
          </cell>
          <cell r="BZ202">
            <v>0</v>
          </cell>
          <cell r="CA202">
            <v>0</v>
          </cell>
          <cell r="CB202">
            <v>0</v>
          </cell>
          <cell r="CC202">
            <v>0</v>
          </cell>
          <cell r="CD202">
            <v>0</v>
          </cell>
          <cell r="CE202">
            <v>0</v>
          </cell>
          <cell r="CF202">
            <v>0</v>
          </cell>
          <cell r="CG202">
            <v>0</v>
          </cell>
          <cell r="CH202">
            <v>0</v>
          </cell>
          <cell r="CI202">
            <v>0</v>
          </cell>
          <cell r="CJ202">
            <v>0</v>
          </cell>
          <cell r="CK202">
            <v>0</v>
          </cell>
          <cell r="CL202">
            <v>0</v>
          </cell>
          <cell r="CM202">
            <v>0</v>
          </cell>
          <cell r="CN202">
            <v>0</v>
          </cell>
          <cell r="CO202">
            <v>0</v>
          </cell>
          <cell r="CP202">
            <v>0</v>
          </cell>
          <cell r="CQ202">
            <v>0</v>
          </cell>
          <cell r="CR202">
            <v>0</v>
          </cell>
          <cell r="CS202">
            <v>0</v>
          </cell>
          <cell r="CT202">
            <v>0</v>
          </cell>
          <cell r="CU202">
            <v>0</v>
          </cell>
          <cell r="CV202">
            <v>0</v>
          </cell>
          <cell r="CW202">
            <v>0</v>
          </cell>
          <cell r="CX202">
            <v>0</v>
          </cell>
          <cell r="CY202">
            <v>0</v>
          </cell>
          <cell r="CZ202">
            <v>0</v>
          </cell>
          <cell r="DA202">
            <v>0</v>
          </cell>
          <cell r="DB202">
            <v>0</v>
          </cell>
          <cell r="DC202">
            <v>0</v>
          </cell>
          <cell r="DD202">
            <v>0</v>
          </cell>
          <cell r="DE202">
            <v>192</v>
          </cell>
          <cell r="DF202">
            <v>0</v>
          </cell>
          <cell r="DG202">
            <v>0</v>
          </cell>
          <cell r="DH202"/>
          <cell r="DI202">
            <v>0</v>
          </cell>
          <cell r="DK202" t="str">
            <v>OK</v>
          </cell>
          <cell r="DM202">
            <v>0</v>
          </cell>
          <cell r="DN202">
            <v>0</v>
          </cell>
          <cell r="DO202"/>
        </row>
        <row r="203">
          <cell r="N203">
            <v>0</v>
          </cell>
          <cell r="O203">
            <v>0</v>
          </cell>
          <cell r="P203"/>
          <cell r="Q203"/>
          <cell r="T203"/>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cell r="BM203">
            <v>0</v>
          </cell>
          <cell r="BN203">
            <v>0</v>
          </cell>
          <cell r="BO203">
            <v>0</v>
          </cell>
          <cell r="BP203">
            <v>0</v>
          </cell>
          <cell r="BQ203">
            <v>0</v>
          </cell>
          <cell r="BR203">
            <v>0</v>
          </cell>
          <cell r="BS203">
            <v>0</v>
          </cell>
          <cell r="BT203">
            <v>0</v>
          </cell>
          <cell r="BU203">
            <v>0</v>
          </cell>
          <cell r="BV203">
            <v>0</v>
          </cell>
          <cell r="BW203">
            <v>0</v>
          </cell>
          <cell r="BX203">
            <v>0</v>
          </cell>
          <cell r="BY203">
            <v>0</v>
          </cell>
          <cell r="BZ203">
            <v>0</v>
          </cell>
          <cell r="CA203">
            <v>0</v>
          </cell>
          <cell r="CB203">
            <v>0</v>
          </cell>
          <cell r="CC203">
            <v>0</v>
          </cell>
          <cell r="CD203">
            <v>0</v>
          </cell>
          <cell r="CE203">
            <v>0</v>
          </cell>
          <cell r="CF203">
            <v>0</v>
          </cell>
          <cell r="CG203">
            <v>0</v>
          </cell>
          <cell r="CH203">
            <v>0</v>
          </cell>
          <cell r="CI203">
            <v>0</v>
          </cell>
          <cell r="CJ203">
            <v>0</v>
          </cell>
          <cell r="CK203">
            <v>0</v>
          </cell>
          <cell r="CL203">
            <v>0</v>
          </cell>
          <cell r="CM203">
            <v>0</v>
          </cell>
          <cell r="CN203">
            <v>0</v>
          </cell>
          <cell r="CO203">
            <v>0</v>
          </cell>
          <cell r="CP203">
            <v>0</v>
          </cell>
          <cell r="CQ203">
            <v>0</v>
          </cell>
          <cell r="CR203">
            <v>0</v>
          </cell>
          <cell r="CS203">
            <v>0</v>
          </cell>
          <cell r="CT203">
            <v>0</v>
          </cell>
          <cell r="CU203">
            <v>0</v>
          </cell>
          <cell r="CV203">
            <v>0</v>
          </cell>
          <cell r="CW203">
            <v>0</v>
          </cell>
          <cell r="CX203">
            <v>0</v>
          </cell>
          <cell r="CY203">
            <v>0</v>
          </cell>
          <cell r="CZ203">
            <v>0</v>
          </cell>
          <cell r="DA203">
            <v>0</v>
          </cell>
          <cell r="DB203">
            <v>0</v>
          </cell>
          <cell r="DC203">
            <v>0</v>
          </cell>
          <cell r="DD203">
            <v>0</v>
          </cell>
          <cell r="DE203">
            <v>193</v>
          </cell>
          <cell r="DF203">
            <v>0</v>
          </cell>
          <cell r="DG203">
            <v>0</v>
          </cell>
          <cell r="DH203"/>
          <cell r="DI203">
            <v>0</v>
          </cell>
          <cell r="DK203" t="str">
            <v>OK</v>
          </cell>
          <cell r="DM203">
            <v>0</v>
          </cell>
          <cell r="DN203">
            <v>0</v>
          </cell>
          <cell r="DO203"/>
        </row>
        <row r="204">
          <cell r="N204">
            <v>0</v>
          </cell>
          <cell r="O204">
            <v>0</v>
          </cell>
          <cell r="P204"/>
          <cell r="Q204"/>
          <cell r="T204"/>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cell r="BM204">
            <v>0</v>
          </cell>
          <cell r="BN204">
            <v>0</v>
          </cell>
          <cell r="BO204">
            <v>0</v>
          </cell>
          <cell r="BP204">
            <v>0</v>
          </cell>
          <cell r="BQ204">
            <v>0</v>
          </cell>
          <cell r="BR204">
            <v>0</v>
          </cell>
          <cell r="BS204">
            <v>0</v>
          </cell>
          <cell r="BT204">
            <v>0</v>
          </cell>
          <cell r="BU204">
            <v>0</v>
          </cell>
          <cell r="BV204">
            <v>0</v>
          </cell>
          <cell r="BW204">
            <v>0</v>
          </cell>
          <cell r="BX204">
            <v>0</v>
          </cell>
          <cell r="BY204">
            <v>0</v>
          </cell>
          <cell r="BZ204">
            <v>0</v>
          </cell>
          <cell r="CA204">
            <v>0</v>
          </cell>
          <cell r="CB204">
            <v>0</v>
          </cell>
          <cell r="CC204">
            <v>0</v>
          </cell>
          <cell r="CD204">
            <v>0</v>
          </cell>
          <cell r="CE204">
            <v>0</v>
          </cell>
          <cell r="CF204">
            <v>0</v>
          </cell>
          <cell r="CG204">
            <v>0</v>
          </cell>
          <cell r="CH204">
            <v>0</v>
          </cell>
          <cell r="CI204">
            <v>0</v>
          </cell>
          <cell r="CJ204">
            <v>0</v>
          </cell>
          <cell r="CK204">
            <v>0</v>
          </cell>
          <cell r="CL204">
            <v>0</v>
          </cell>
          <cell r="CM204">
            <v>0</v>
          </cell>
          <cell r="CN204">
            <v>0</v>
          </cell>
          <cell r="CO204">
            <v>0</v>
          </cell>
          <cell r="CP204">
            <v>0</v>
          </cell>
          <cell r="CQ204">
            <v>0</v>
          </cell>
          <cell r="CR204">
            <v>0</v>
          </cell>
          <cell r="CS204">
            <v>0</v>
          </cell>
          <cell r="CT204">
            <v>0</v>
          </cell>
          <cell r="CU204">
            <v>0</v>
          </cell>
          <cell r="CV204">
            <v>0</v>
          </cell>
          <cell r="CW204">
            <v>0</v>
          </cell>
          <cell r="CX204">
            <v>0</v>
          </cell>
          <cell r="CY204">
            <v>0</v>
          </cell>
          <cell r="CZ204">
            <v>0</v>
          </cell>
          <cell r="DA204">
            <v>0</v>
          </cell>
          <cell r="DB204">
            <v>0</v>
          </cell>
          <cell r="DC204">
            <v>0</v>
          </cell>
          <cell r="DD204">
            <v>0</v>
          </cell>
          <cell r="DE204">
            <v>194</v>
          </cell>
          <cell r="DF204">
            <v>0</v>
          </cell>
          <cell r="DG204">
            <v>0</v>
          </cell>
          <cell r="DH204"/>
          <cell r="DI204">
            <v>0</v>
          </cell>
          <cell r="DK204" t="str">
            <v>OK</v>
          </cell>
          <cell r="DM204">
            <v>0</v>
          </cell>
          <cell r="DN204">
            <v>0</v>
          </cell>
          <cell r="DO204"/>
        </row>
        <row r="205">
          <cell r="N205">
            <v>0</v>
          </cell>
          <cell r="O205">
            <v>0</v>
          </cell>
          <cell r="P205"/>
          <cell r="Q205"/>
          <cell r="T205"/>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cell r="BM205">
            <v>0</v>
          </cell>
          <cell r="BN205">
            <v>0</v>
          </cell>
          <cell r="BO205">
            <v>0</v>
          </cell>
          <cell r="BP205">
            <v>0</v>
          </cell>
          <cell r="BQ205">
            <v>0</v>
          </cell>
          <cell r="BR205">
            <v>0</v>
          </cell>
          <cell r="BS205">
            <v>0</v>
          </cell>
          <cell r="BT205">
            <v>0</v>
          </cell>
          <cell r="BU205">
            <v>0</v>
          </cell>
          <cell r="BV205">
            <v>0</v>
          </cell>
          <cell r="BW205">
            <v>0</v>
          </cell>
          <cell r="BX205">
            <v>0</v>
          </cell>
          <cell r="BY205">
            <v>0</v>
          </cell>
          <cell r="BZ205">
            <v>0</v>
          </cell>
          <cell r="CA205">
            <v>0</v>
          </cell>
          <cell r="CB205">
            <v>0</v>
          </cell>
          <cell r="CC205">
            <v>0</v>
          </cell>
          <cell r="CD205">
            <v>0</v>
          </cell>
          <cell r="CE205">
            <v>0</v>
          </cell>
          <cell r="CF205">
            <v>0</v>
          </cell>
          <cell r="CG205">
            <v>0</v>
          </cell>
          <cell r="CH205">
            <v>0</v>
          </cell>
          <cell r="CI205">
            <v>0</v>
          </cell>
          <cell r="CJ205">
            <v>0</v>
          </cell>
          <cell r="CK205">
            <v>0</v>
          </cell>
          <cell r="CL205">
            <v>0</v>
          </cell>
          <cell r="CM205">
            <v>0</v>
          </cell>
          <cell r="CN205">
            <v>0</v>
          </cell>
          <cell r="CO205">
            <v>0</v>
          </cell>
          <cell r="CP205">
            <v>0</v>
          </cell>
          <cell r="CQ205">
            <v>0</v>
          </cell>
          <cell r="CR205">
            <v>0</v>
          </cell>
          <cell r="CS205">
            <v>0</v>
          </cell>
          <cell r="CT205">
            <v>0</v>
          </cell>
          <cell r="CU205">
            <v>0</v>
          </cell>
          <cell r="CV205">
            <v>0</v>
          </cell>
          <cell r="CW205">
            <v>0</v>
          </cell>
          <cell r="CX205">
            <v>0</v>
          </cell>
          <cell r="CY205">
            <v>0</v>
          </cell>
          <cell r="CZ205">
            <v>0</v>
          </cell>
          <cell r="DA205">
            <v>0</v>
          </cell>
          <cell r="DB205">
            <v>0</v>
          </cell>
          <cell r="DC205">
            <v>0</v>
          </cell>
          <cell r="DD205">
            <v>0</v>
          </cell>
          <cell r="DE205">
            <v>195</v>
          </cell>
          <cell r="DF205">
            <v>0</v>
          </cell>
          <cell r="DG205">
            <v>0</v>
          </cell>
          <cell r="DH205"/>
          <cell r="DI205">
            <v>0</v>
          </cell>
          <cell r="DK205" t="str">
            <v>OK</v>
          </cell>
          <cell r="DM205">
            <v>0</v>
          </cell>
          <cell r="DN205">
            <v>0</v>
          </cell>
          <cell r="DO205"/>
        </row>
        <row r="206">
          <cell r="N206">
            <v>0</v>
          </cell>
          <cell r="O206">
            <v>0</v>
          </cell>
          <cell r="P206"/>
          <cell r="Q206"/>
          <cell r="T206"/>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cell r="BM206">
            <v>0</v>
          </cell>
          <cell r="BN206">
            <v>0</v>
          </cell>
          <cell r="BO206">
            <v>0</v>
          </cell>
          <cell r="BP206">
            <v>0</v>
          </cell>
          <cell r="BQ206">
            <v>0</v>
          </cell>
          <cell r="BR206">
            <v>0</v>
          </cell>
          <cell r="BS206">
            <v>0</v>
          </cell>
          <cell r="BT206">
            <v>0</v>
          </cell>
          <cell r="BU206">
            <v>0</v>
          </cell>
          <cell r="BV206">
            <v>0</v>
          </cell>
          <cell r="BW206">
            <v>0</v>
          </cell>
          <cell r="BX206">
            <v>0</v>
          </cell>
          <cell r="BY206">
            <v>0</v>
          </cell>
          <cell r="BZ206">
            <v>0</v>
          </cell>
          <cell r="CA206">
            <v>0</v>
          </cell>
          <cell r="CB206">
            <v>0</v>
          </cell>
          <cell r="CC206">
            <v>0</v>
          </cell>
          <cell r="CD206">
            <v>0</v>
          </cell>
          <cell r="CE206">
            <v>0</v>
          </cell>
          <cell r="CF206">
            <v>0</v>
          </cell>
          <cell r="CG206">
            <v>0</v>
          </cell>
          <cell r="CH206">
            <v>0</v>
          </cell>
          <cell r="CI206">
            <v>0</v>
          </cell>
          <cell r="CJ206">
            <v>0</v>
          </cell>
          <cell r="CK206">
            <v>0</v>
          </cell>
          <cell r="CL206">
            <v>0</v>
          </cell>
          <cell r="CM206">
            <v>0</v>
          </cell>
          <cell r="CN206">
            <v>0</v>
          </cell>
          <cell r="CO206">
            <v>0</v>
          </cell>
          <cell r="CP206">
            <v>0</v>
          </cell>
          <cell r="CQ206">
            <v>0</v>
          </cell>
          <cell r="CR206">
            <v>0</v>
          </cell>
          <cell r="CS206">
            <v>0</v>
          </cell>
          <cell r="CT206">
            <v>0</v>
          </cell>
          <cell r="CU206">
            <v>0</v>
          </cell>
          <cell r="CV206">
            <v>0</v>
          </cell>
          <cell r="CW206">
            <v>0</v>
          </cell>
          <cell r="CX206">
            <v>0</v>
          </cell>
          <cell r="CY206">
            <v>0</v>
          </cell>
          <cell r="CZ206">
            <v>0</v>
          </cell>
          <cell r="DA206">
            <v>0</v>
          </cell>
          <cell r="DB206">
            <v>0</v>
          </cell>
          <cell r="DC206">
            <v>0</v>
          </cell>
          <cell r="DD206">
            <v>0</v>
          </cell>
          <cell r="DE206">
            <v>196</v>
          </cell>
          <cell r="DF206">
            <v>0</v>
          </cell>
          <cell r="DG206">
            <v>0</v>
          </cell>
          <cell r="DH206"/>
          <cell r="DI206">
            <v>0</v>
          </cell>
          <cell r="DK206" t="str">
            <v>OK</v>
          </cell>
          <cell r="DM206">
            <v>0</v>
          </cell>
          <cell r="DN206">
            <v>0</v>
          </cell>
          <cell r="DO206"/>
        </row>
        <row r="207">
          <cell r="N207">
            <v>0</v>
          </cell>
          <cell r="O207">
            <v>0</v>
          </cell>
          <cell r="P207"/>
          <cell r="Q207"/>
          <cell r="T207"/>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cell r="BM207">
            <v>0</v>
          </cell>
          <cell r="BN207">
            <v>0</v>
          </cell>
          <cell r="BO207">
            <v>0</v>
          </cell>
          <cell r="BP207">
            <v>0</v>
          </cell>
          <cell r="BQ207">
            <v>0</v>
          </cell>
          <cell r="BR207">
            <v>0</v>
          </cell>
          <cell r="BS207">
            <v>0</v>
          </cell>
          <cell r="BT207">
            <v>0</v>
          </cell>
          <cell r="BU207">
            <v>0</v>
          </cell>
          <cell r="BV207">
            <v>0</v>
          </cell>
          <cell r="BW207">
            <v>0</v>
          </cell>
          <cell r="BX207">
            <v>0</v>
          </cell>
          <cell r="BY207">
            <v>0</v>
          </cell>
          <cell r="BZ207">
            <v>0</v>
          </cell>
          <cell r="CA207">
            <v>0</v>
          </cell>
          <cell r="CB207">
            <v>0</v>
          </cell>
          <cell r="CC207">
            <v>0</v>
          </cell>
          <cell r="CD207">
            <v>0</v>
          </cell>
          <cell r="CE207">
            <v>0</v>
          </cell>
          <cell r="CF207">
            <v>0</v>
          </cell>
          <cell r="CG207">
            <v>0</v>
          </cell>
          <cell r="CH207">
            <v>0</v>
          </cell>
          <cell r="CI207">
            <v>0</v>
          </cell>
          <cell r="CJ207">
            <v>0</v>
          </cell>
          <cell r="CK207">
            <v>0</v>
          </cell>
          <cell r="CL207">
            <v>0</v>
          </cell>
          <cell r="CM207">
            <v>0</v>
          </cell>
          <cell r="CN207">
            <v>0</v>
          </cell>
          <cell r="CO207">
            <v>0</v>
          </cell>
          <cell r="CP207">
            <v>0</v>
          </cell>
          <cell r="CQ207">
            <v>0</v>
          </cell>
          <cell r="CR207">
            <v>0</v>
          </cell>
          <cell r="CS207">
            <v>0</v>
          </cell>
          <cell r="CT207">
            <v>0</v>
          </cell>
          <cell r="CU207">
            <v>0</v>
          </cell>
          <cell r="CV207">
            <v>0</v>
          </cell>
          <cell r="CW207">
            <v>0</v>
          </cell>
          <cell r="CX207">
            <v>0</v>
          </cell>
          <cell r="CY207">
            <v>0</v>
          </cell>
          <cell r="CZ207">
            <v>0</v>
          </cell>
          <cell r="DA207">
            <v>0</v>
          </cell>
          <cell r="DB207">
            <v>0</v>
          </cell>
          <cell r="DC207">
            <v>0</v>
          </cell>
          <cell r="DD207">
            <v>0</v>
          </cell>
          <cell r="DE207">
            <v>197</v>
          </cell>
          <cell r="DF207">
            <v>0</v>
          </cell>
          <cell r="DG207">
            <v>0</v>
          </cell>
          <cell r="DH207"/>
          <cell r="DI207">
            <v>0</v>
          </cell>
          <cell r="DK207" t="str">
            <v>OK</v>
          </cell>
          <cell r="DM207">
            <v>0</v>
          </cell>
          <cell r="DN207">
            <v>0</v>
          </cell>
          <cell r="DO207"/>
        </row>
        <row r="208">
          <cell r="N208">
            <v>0</v>
          </cell>
          <cell r="O208">
            <v>0</v>
          </cell>
          <cell r="P208"/>
          <cell r="Q208"/>
          <cell r="T208"/>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cell r="BM208">
            <v>0</v>
          </cell>
          <cell r="BN208">
            <v>0</v>
          </cell>
          <cell r="BO208">
            <v>0</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v>0</v>
          </cell>
          <cell r="CM208">
            <v>0</v>
          </cell>
          <cell r="CN208">
            <v>0</v>
          </cell>
          <cell r="CO208">
            <v>0</v>
          </cell>
          <cell r="CP208">
            <v>0</v>
          </cell>
          <cell r="CQ208">
            <v>0</v>
          </cell>
          <cell r="CR208">
            <v>0</v>
          </cell>
          <cell r="CS208">
            <v>0</v>
          </cell>
          <cell r="CT208">
            <v>0</v>
          </cell>
          <cell r="CU208">
            <v>0</v>
          </cell>
          <cell r="CV208">
            <v>0</v>
          </cell>
          <cell r="CW208">
            <v>0</v>
          </cell>
          <cell r="CX208">
            <v>0</v>
          </cell>
          <cell r="CY208">
            <v>0</v>
          </cell>
          <cell r="CZ208">
            <v>0</v>
          </cell>
          <cell r="DA208">
            <v>0</v>
          </cell>
          <cell r="DB208">
            <v>0</v>
          </cell>
          <cell r="DC208">
            <v>0</v>
          </cell>
          <cell r="DD208">
            <v>0</v>
          </cell>
          <cell r="DE208">
            <v>198</v>
          </cell>
          <cell r="DF208">
            <v>0</v>
          </cell>
          <cell r="DG208">
            <v>0</v>
          </cell>
          <cell r="DH208"/>
          <cell r="DI208">
            <v>0</v>
          </cell>
          <cell r="DK208" t="str">
            <v>OK</v>
          </cell>
          <cell r="DM208">
            <v>0</v>
          </cell>
          <cell r="DN208">
            <v>0</v>
          </cell>
          <cell r="DO208"/>
        </row>
        <row r="209">
          <cell r="N209">
            <v>0</v>
          </cell>
          <cell r="O209">
            <v>0</v>
          </cell>
          <cell r="P209"/>
          <cell r="Q209"/>
          <cell r="T209"/>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cell r="BM209">
            <v>0</v>
          </cell>
          <cell r="BN209">
            <v>0</v>
          </cell>
          <cell r="BO209">
            <v>0</v>
          </cell>
          <cell r="BP209">
            <v>0</v>
          </cell>
          <cell r="BQ209">
            <v>0</v>
          </cell>
          <cell r="BR209">
            <v>0</v>
          </cell>
          <cell r="BS209">
            <v>0</v>
          </cell>
          <cell r="BT209">
            <v>0</v>
          </cell>
          <cell r="BU209">
            <v>0</v>
          </cell>
          <cell r="BV209">
            <v>0</v>
          </cell>
          <cell r="BW209">
            <v>0</v>
          </cell>
          <cell r="BX209">
            <v>0</v>
          </cell>
          <cell r="BY209">
            <v>0</v>
          </cell>
          <cell r="BZ209">
            <v>0</v>
          </cell>
          <cell r="CA209">
            <v>0</v>
          </cell>
          <cell r="CB209">
            <v>0</v>
          </cell>
          <cell r="CC209">
            <v>0</v>
          </cell>
          <cell r="CD209">
            <v>0</v>
          </cell>
          <cell r="CE209">
            <v>0</v>
          </cell>
          <cell r="CF209">
            <v>0</v>
          </cell>
          <cell r="CG209">
            <v>0</v>
          </cell>
          <cell r="CH209">
            <v>0</v>
          </cell>
          <cell r="CI209">
            <v>0</v>
          </cell>
          <cell r="CJ209">
            <v>0</v>
          </cell>
          <cell r="CK209">
            <v>0</v>
          </cell>
          <cell r="CL209">
            <v>0</v>
          </cell>
          <cell r="CM209">
            <v>0</v>
          </cell>
          <cell r="CN209">
            <v>0</v>
          </cell>
          <cell r="CO209">
            <v>0</v>
          </cell>
          <cell r="CP209">
            <v>0</v>
          </cell>
          <cell r="CQ209">
            <v>0</v>
          </cell>
          <cell r="CR209">
            <v>0</v>
          </cell>
          <cell r="CS209">
            <v>0</v>
          </cell>
          <cell r="CT209">
            <v>0</v>
          </cell>
          <cell r="CU209">
            <v>0</v>
          </cell>
          <cell r="CV209">
            <v>0</v>
          </cell>
          <cell r="CW209">
            <v>0</v>
          </cell>
          <cell r="CX209">
            <v>0</v>
          </cell>
          <cell r="CY209">
            <v>0</v>
          </cell>
          <cell r="CZ209">
            <v>0</v>
          </cell>
          <cell r="DA209">
            <v>0</v>
          </cell>
          <cell r="DB209">
            <v>0</v>
          </cell>
          <cell r="DC209">
            <v>0</v>
          </cell>
          <cell r="DD209">
            <v>0</v>
          </cell>
          <cell r="DE209">
            <v>199</v>
          </cell>
          <cell r="DF209">
            <v>0</v>
          </cell>
          <cell r="DG209">
            <v>0</v>
          </cell>
          <cell r="DH209"/>
          <cell r="DI209">
            <v>0</v>
          </cell>
          <cell r="DK209" t="str">
            <v>OK</v>
          </cell>
          <cell r="DM209">
            <v>0</v>
          </cell>
          <cell r="DN209">
            <v>0</v>
          </cell>
          <cell r="DO209"/>
        </row>
        <row r="210">
          <cell r="N210">
            <v>0</v>
          </cell>
          <cell r="O210">
            <v>0</v>
          </cell>
          <cell r="P210"/>
          <cell r="Q210"/>
          <cell r="T210"/>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cell r="BM210">
            <v>0</v>
          </cell>
          <cell r="BN210">
            <v>0</v>
          </cell>
          <cell r="BO210">
            <v>0</v>
          </cell>
          <cell r="BP210">
            <v>0</v>
          </cell>
          <cell r="BQ210">
            <v>0</v>
          </cell>
          <cell r="BR210">
            <v>0</v>
          </cell>
          <cell r="BS210">
            <v>0</v>
          </cell>
          <cell r="BT210">
            <v>0</v>
          </cell>
          <cell r="BU210">
            <v>0</v>
          </cell>
          <cell r="BV210">
            <v>0</v>
          </cell>
          <cell r="BW210">
            <v>0</v>
          </cell>
          <cell r="BX210">
            <v>0</v>
          </cell>
          <cell r="BY210">
            <v>0</v>
          </cell>
          <cell r="BZ210">
            <v>0</v>
          </cell>
          <cell r="CA210">
            <v>0</v>
          </cell>
          <cell r="CB210">
            <v>0</v>
          </cell>
          <cell r="CC210">
            <v>0</v>
          </cell>
          <cell r="CD210">
            <v>0</v>
          </cell>
          <cell r="CE210">
            <v>0</v>
          </cell>
          <cell r="CF210">
            <v>0</v>
          </cell>
          <cell r="CG210">
            <v>0</v>
          </cell>
          <cell r="CH210">
            <v>0</v>
          </cell>
          <cell r="CI210">
            <v>0</v>
          </cell>
          <cell r="CJ210">
            <v>0</v>
          </cell>
          <cell r="CK210">
            <v>0</v>
          </cell>
          <cell r="CL210">
            <v>0</v>
          </cell>
          <cell r="CM210">
            <v>0</v>
          </cell>
          <cell r="CN210">
            <v>0</v>
          </cell>
          <cell r="CO210">
            <v>0</v>
          </cell>
          <cell r="CP210">
            <v>0</v>
          </cell>
          <cell r="CQ210">
            <v>0</v>
          </cell>
          <cell r="CR210">
            <v>0</v>
          </cell>
          <cell r="CS210">
            <v>0</v>
          </cell>
          <cell r="CT210">
            <v>0</v>
          </cell>
          <cell r="CU210">
            <v>0</v>
          </cell>
          <cell r="CV210">
            <v>0</v>
          </cell>
          <cell r="CW210">
            <v>0</v>
          </cell>
          <cell r="CX210">
            <v>0</v>
          </cell>
          <cell r="CY210">
            <v>0</v>
          </cell>
          <cell r="CZ210">
            <v>0</v>
          </cell>
          <cell r="DA210">
            <v>0</v>
          </cell>
          <cell r="DB210">
            <v>0</v>
          </cell>
          <cell r="DC210">
            <v>0</v>
          </cell>
          <cell r="DD210">
            <v>0</v>
          </cell>
          <cell r="DE210">
            <v>200</v>
          </cell>
          <cell r="DF210">
            <v>0</v>
          </cell>
          <cell r="DG210">
            <v>0</v>
          </cell>
          <cell r="DH210"/>
          <cell r="DI210">
            <v>0</v>
          </cell>
          <cell r="DK210" t="str">
            <v>OK</v>
          </cell>
          <cell r="DM210">
            <v>0</v>
          </cell>
          <cell r="DN210">
            <v>0</v>
          </cell>
          <cell r="DO210"/>
        </row>
        <row r="211">
          <cell r="N211">
            <v>0</v>
          </cell>
          <cell r="O211">
            <v>0</v>
          </cell>
          <cell r="P211"/>
          <cell r="Q211"/>
          <cell r="T211"/>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cell r="BM211">
            <v>0</v>
          </cell>
          <cell r="BN211">
            <v>0</v>
          </cell>
          <cell r="BO211">
            <v>0</v>
          </cell>
          <cell r="BP211">
            <v>0</v>
          </cell>
          <cell r="BQ211">
            <v>0</v>
          </cell>
          <cell r="BR211">
            <v>0</v>
          </cell>
          <cell r="BS211">
            <v>0</v>
          </cell>
          <cell r="BT211">
            <v>0</v>
          </cell>
          <cell r="BU211">
            <v>0</v>
          </cell>
          <cell r="BV211">
            <v>0</v>
          </cell>
          <cell r="BW211">
            <v>0</v>
          </cell>
          <cell r="BX211">
            <v>0</v>
          </cell>
          <cell r="BY211">
            <v>0</v>
          </cell>
          <cell r="BZ211">
            <v>0</v>
          </cell>
          <cell r="CA211">
            <v>0</v>
          </cell>
          <cell r="CB211">
            <v>0</v>
          </cell>
          <cell r="CC211">
            <v>0</v>
          </cell>
          <cell r="CD211">
            <v>0</v>
          </cell>
          <cell r="CE211">
            <v>0</v>
          </cell>
          <cell r="CF211">
            <v>0</v>
          </cell>
          <cell r="CG211">
            <v>0</v>
          </cell>
          <cell r="CH211">
            <v>0</v>
          </cell>
          <cell r="CI211">
            <v>0</v>
          </cell>
          <cell r="CJ211">
            <v>0</v>
          </cell>
          <cell r="CK211">
            <v>0</v>
          </cell>
          <cell r="CL211">
            <v>0</v>
          </cell>
          <cell r="CM211">
            <v>0</v>
          </cell>
          <cell r="CN211">
            <v>0</v>
          </cell>
          <cell r="CO211">
            <v>0</v>
          </cell>
          <cell r="CP211">
            <v>0</v>
          </cell>
          <cell r="CQ211">
            <v>0</v>
          </cell>
          <cell r="CR211">
            <v>0</v>
          </cell>
          <cell r="CS211">
            <v>0</v>
          </cell>
          <cell r="CT211">
            <v>0</v>
          </cell>
          <cell r="CU211">
            <v>0</v>
          </cell>
          <cell r="CV211">
            <v>0</v>
          </cell>
          <cell r="CW211">
            <v>0</v>
          </cell>
          <cell r="CX211">
            <v>0</v>
          </cell>
          <cell r="CY211">
            <v>0</v>
          </cell>
          <cell r="CZ211">
            <v>0</v>
          </cell>
          <cell r="DA211">
            <v>0</v>
          </cell>
          <cell r="DB211">
            <v>0</v>
          </cell>
          <cell r="DC211">
            <v>0</v>
          </cell>
          <cell r="DD211">
            <v>0</v>
          </cell>
          <cell r="DE211">
            <v>201</v>
          </cell>
          <cell r="DF211">
            <v>0</v>
          </cell>
          <cell r="DG211">
            <v>0</v>
          </cell>
          <cell r="DH211"/>
          <cell r="DI211">
            <v>0</v>
          </cell>
          <cell r="DK211" t="str">
            <v>OK</v>
          </cell>
          <cell r="DM211">
            <v>0</v>
          </cell>
          <cell r="DN211">
            <v>0</v>
          </cell>
          <cell r="DO211"/>
        </row>
        <row r="212">
          <cell r="N212">
            <v>0</v>
          </cell>
          <cell r="O212">
            <v>0</v>
          </cell>
          <cell r="P212"/>
          <cell r="Q212"/>
          <cell r="T212"/>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cell r="BM212">
            <v>0</v>
          </cell>
          <cell r="BN212">
            <v>0</v>
          </cell>
          <cell r="BO212">
            <v>0</v>
          </cell>
          <cell r="BP212">
            <v>0</v>
          </cell>
          <cell r="BQ212">
            <v>0</v>
          </cell>
          <cell r="BR212">
            <v>0</v>
          </cell>
          <cell r="BS212">
            <v>0</v>
          </cell>
          <cell r="BT212">
            <v>0</v>
          </cell>
          <cell r="BU212">
            <v>0</v>
          </cell>
          <cell r="BV212">
            <v>0</v>
          </cell>
          <cell r="BW212">
            <v>0</v>
          </cell>
          <cell r="BX212">
            <v>0</v>
          </cell>
          <cell r="BY212">
            <v>0</v>
          </cell>
          <cell r="BZ212">
            <v>0</v>
          </cell>
          <cell r="CA212">
            <v>0</v>
          </cell>
          <cell r="CB212">
            <v>0</v>
          </cell>
          <cell r="CC212">
            <v>0</v>
          </cell>
          <cell r="CD212">
            <v>0</v>
          </cell>
          <cell r="CE212">
            <v>0</v>
          </cell>
          <cell r="CF212">
            <v>0</v>
          </cell>
          <cell r="CG212">
            <v>0</v>
          </cell>
          <cell r="CH212">
            <v>0</v>
          </cell>
          <cell r="CI212">
            <v>0</v>
          </cell>
          <cell r="CJ212">
            <v>0</v>
          </cell>
          <cell r="CK212">
            <v>0</v>
          </cell>
          <cell r="CL212">
            <v>0</v>
          </cell>
          <cell r="CM212">
            <v>0</v>
          </cell>
          <cell r="CN212">
            <v>0</v>
          </cell>
          <cell r="CO212">
            <v>0</v>
          </cell>
          <cell r="CP212">
            <v>0</v>
          </cell>
          <cell r="CQ212">
            <v>0</v>
          </cell>
          <cell r="CR212">
            <v>0</v>
          </cell>
          <cell r="CS212">
            <v>0</v>
          </cell>
          <cell r="CT212">
            <v>0</v>
          </cell>
          <cell r="CU212">
            <v>0</v>
          </cell>
          <cell r="CV212">
            <v>0</v>
          </cell>
          <cell r="CW212">
            <v>0</v>
          </cell>
          <cell r="CX212">
            <v>0</v>
          </cell>
          <cell r="CY212">
            <v>0</v>
          </cell>
          <cell r="CZ212">
            <v>0</v>
          </cell>
          <cell r="DA212">
            <v>0</v>
          </cell>
          <cell r="DB212">
            <v>0</v>
          </cell>
          <cell r="DC212">
            <v>0</v>
          </cell>
          <cell r="DD212">
            <v>0</v>
          </cell>
          <cell r="DE212">
            <v>202</v>
          </cell>
          <cell r="DF212">
            <v>0</v>
          </cell>
          <cell r="DG212">
            <v>0</v>
          </cell>
          <cell r="DH212"/>
          <cell r="DI212">
            <v>0</v>
          </cell>
          <cell r="DK212" t="str">
            <v>OK</v>
          </cell>
          <cell r="DM212">
            <v>0</v>
          </cell>
          <cell r="DN212">
            <v>0</v>
          </cell>
          <cell r="DO212"/>
        </row>
        <row r="213">
          <cell r="N213">
            <v>0</v>
          </cell>
          <cell r="O213">
            <v>0</v>
          </cell>
          <cell r="P213"/>
          <cell r="Q213"/>
          <cell r="T213"/>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cell r="BM213">
            <v>0</v>
          </cell>
          <cell r="BN213">
            <v>0</v>
          </cell>
          <cell r="BO213">
            <v>0</v>
          </cell>
          <cell r="BP213">
            <v>0</v>
          </cell>
          <cell r="BQ213">
            <v>0</v>
          </cell>
          <cell r="BR213">
            <v>0</v>
          </cell>
          <cell r="BS213">
            <v>0</v>
          </cell>
          <cell r="BT213">
            <v>0</v>
          </cell>
          <cell r="BU213">
            <v>0</v>
          </cell>
          <cell r="BV213">
            <v>0</v>
          </cell>
          <cell r="BW213">
            <v>0</v>
          </cell>
          <cell r="BX213">
            <v>0</v>
          </cell>
          <cell r="BY213">
            <v>0</v>
          </cell>
          <cell r="BZ213">
            <v>0</v>
          </cell>
          <cell r="CA213">
            <v>0</v>
          </cell>
          <cell r="CB213">
            <v>0</v>
          </cell>
          <cell r="CC213">
            <v>0</v>
          </cell>
          <cell r="CD213">
            <v>0</v>
          </cell>
          <cell r="CE213">
            <v>0</v>
          </cell>
          <cell r="CF213">
            <v>0</v>
          </cell>
          <cell r="CG213">
            <v>0</v>
          </cell>
          <cell r="CH213">
            <v>0</v>
          </cell>
          <cell r="CI213">
            <v>0</v>
          </cell>
          <cell r="CJ213">
            <v>0</v>
          </cell>
          <cell r="CK213">
            <v>0</v>
          </cell>
          <cell r="CL213">
            <v>0</v>
          </cell>
          <cell r="CM213">
            <v>0</v>
          </cell>
          <cell r="CN213">
            <v>0</v>
          </cell>
          <cell r="CO213">
            <v>0</v>
          </cell>
          <cell r="CP213">
            <v>0</v>
          </cell>
          <cell r="CQ213">
            <v>0</v>
          </cell>
          <cell r="CR213">
            <v>0</v>
          </cell>
          <cell r="CS213">
            <v>0</v>
          </cell>
          <cell r="CT213">
            <v>0</v>
          </cell>
          <cell r="CU213">
            <v>0</v>
          </cell>
          <cell r="CV213">
            <v>0</v>
          </cell>
          <cell r="CW213">
            <v>0</v>
          </cell>
          <cell r="CX213">
            <v>0</v>
          </cell>
          <cell r="CY213">
            <v>0</v>
          </cell>
          <cell r="CZ213">
            <v>0</v>
          </cell>
          <cell r="DA213">
            <v>0</v>
          </cell>
          <cell r="DB213">
            <v>0</v>
          </cell>
          <cell r="DC213">
            <v>0</v>
          </cell>
          <cell r="DD213">
            <v>0</v>
          </cell>
          <cell r="DE213">
            <v>203</v>
          </cell>
          <cell r="DF213">
            <v>0</v>
          </cell>
          <cell r="DG213">
            <v>0</v>
          </cell>
          <cell r="DH213"/>
          <cell r="DI213">
            <v>0</v>
          </cell>
          <cell r="DK213" t="str">
            <v>OK</v>
          </cell>
          <cell r="DM213">
            <v>0</v>
          </cell>
          <cell r="DN213">
            <v>0</v>
          </cell>
          <cell r="DO213"/>
        </row>
        <row r="214">
          <cell r="N214">
            <v>0</v>
          </cell>
          <cell r="O214">
            <v>0</v>
          </cell>
          <cell r="P214"/>
          <cell r="Q214"/>
          <cell r="T214"/>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cell r="BM214">
            <v>0</v>
          </cell>
          <cell r="BN214">
            <v>0</v>
          </cell>
          <cell r="BO214">
            <v>0</v>
          </cell>
          <cell r="BP214">
            <v>0</v>
          </cell>
          <cell r="BQ214">
            <v>0</v>
          </cell>
          <cell r="BR214">
            <v>0</v>
          </cell>
          <cell r="BS214">
            <v>0</v>
          </cell>
          <cell r="BT214">
            <v>0</v>
          </cell>
          <cell r="BU214">
            <v>0</v>
          </cell>
          <cell r="BV214">
            <v>0</v>
          </cell>
          <cell r="BW214">
            <v>0</v>
          </cell>
          <cell r="BX214">
            <v>0</v>
          </cell>
          <cell r="BY214">
            <v>0</v>
          </cell>
          <cell r="BZ214">
            <v>0</v>
          </cell>
          <cell r="CA214">
            <v>0</v>
          </cell>
          <cell r="CB214">
            <v>0</v>
          </cell>
          <cell r="CC214">
            <v>0</v>
          </cell>
          <cell r="CD214">
            <v>0</v>
          </cell>
          <cell r="CE214">
            <v>0</v>
          </cell>
          <cell r="CF214">
            <v>0</v>
          </cell>
          <cell r="CG214">
            <v>0</v>
          </cell>
          <cell r="CH214">
            <v>0</v>
          </cell>
          <cell r="CI214">
            <v>0</v>
          </cell>
          <cell r="CJ214">
            <v>0</v>
          </cell>
          <cell r="CK214">
            <v>0</v>
          </cell>
          <cell r="CL214">
            <v>0</v>
          </cell>
          <cell r="CM214">
            <v>0</v>
          </cell>
          <cell r="CN214">
            <v>0</v>
          </cell>
          <cell r="CO214">
            <v>0</v>
          </cell>
          <cell r="CP214">
            <v>0</v>
          </cell>
          <cell r="CQ214">
            <v>0</v>
          </cell>
          <cell r="CR214">
            <v>0</v>
          </cell>
          <cell r="CS214">
            <v>0</v>
          </cell>
          <cell r="CT214">
            <v>0</v>
          </cell>
          <cell r="CU214">
            <v>0</v>
          </cell>
          <cell r="CV214">
            <v>0</v>
          </cell>
          <cell r="CW214">
            <v>0</v>
          </cell>
          <cell r="CX214">
            <v>0</v>
          </cell>
          <cell r="CY214">
            <v>0</v>
          </cell>
          <cell r="CZ214">
            <v>0</v>
          </cell>
          <cell r="DA214">
            <v>0</v>
          </cell>
          <cell r="DB214">
            <v>0</v>
          </cell>
          <cell r="DC214">
            <v>0</v>
          </cell>
          <cell r="DD214">
            <v>0</v>
          </cell>
          <cell r="DE214">
            <v>204</v>
          </cell>
          <cell r="DF214">
            <v>0</v>
          </cell>
          <cell r="DG214">
            <v>0</v>
          </cell>
          <cell r="DH214"/>
          <cell r="DI214">
            <v>0</v>
          </cell>
          <cell r="DK214" t="str">
            <v>OK</v>
          </cell>
          <cell r="DM214">
            <v>0</v>
          </cell>
          <cell r="DN214">
            <v>0</v>
          </cell>
          <cell r="DO214"/>
        </row>
        <row r="215">
          <cell r="N215">
            <v>0</v>
          </cell>
          <cell r="O215">
            <v>0</v>
          </cell>
          <cell r="P215"/>
          <cell r="Q215"/>
          <cell r="T215"/>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cell r="BM215">
            <v>0</v>
          </cell>
          <cell r="BN215">
            <v>0</v>
          </cell>
          <cell r="BO215">
            <v>0</v>
          </cell>
          <cell r="BP215">
            <v>0</v>
          </cell>
          <cell r="BQ215">
            <v>0</v>
          </cell>
          <cell r="BR215">
            <v>0</v>
          </cell>
          <cell r="BS215">
            <v>0</v>
          </cell>
          <cell r="BT215">
            <v>0</v>
          </cell>
          <cell r="BU215">
            <v>0</v>
          </cell>
          <cell r="BV215">
            <v>0</v>
          </cell>
          <cell r="BW215">
            <v>0</v>
          </cell>
          <cell r="BX215">
            <v>0</v>
          </cell>
          <cell r="BY215">
            <v>0</v>
          </cell>
          <cell r="BZ215">
            <v>0</v>
          </cell>
          <cell r="CA215">
            <v>0</v>
          </cell>
          <cell r="CB215">
            <v>0</v>
          </cell>
          <cell r="CC215">
            <v>0</v>
          </cell>
          <cell r="CD215">
            <v>0</v>
          </cell>
          <cell r="CE215">
            <v>0</v>
          </cell>
          <cell r="CF215">
            <v>0</v>
          </cell>
          <cell r="CG215">
            <v>0</v>
          </cell>
          <cell r="CH215">
            <v>0</v>
          </cell>
          <cell r="CI215">
            <v>0</v>
          </cell>
          <cell r="CJ215">
            <v>0</v>
          </cell>
          <cell r="CK215">
            <v>0</v>
          </cell>
          <cell r="CL215">
            <v>0</v>
          </cell>
          <cell r="CM215">
            <v>0</v>
          </cell>
          <cell r="CN215">
            <v>0</v>
          </cell>
          <cell r="CO215">
            <v>0</v>
          </cell>
          <cell r="CP215">
            <v>0</v>
          </cell>
          <cell r="CQ215">
            <v>0</v>
          </cell>
          <cell r="CR215">
            <v>0</v>
          </cell>
          <cell r="CS215">
            <v>0</v>
          </cell>
          <cell r="CT215">
            <v>0</v>
          </cell>
          <cell r="CU215">
            <v>0</v>
          </cell>
          <cell r="CV215">
            <v>0</v>
          </cell>
          <cell r="CW215">
            <v>0</v>
          </cell>
          <cell r="CX215">
            <v>0</v>
          </cell>
          <cell r="CY215">
            <v>0</v>
          </cell>
          <cell r="CZ215">
            <v>0</v>
          </cell>
          <cell r="DA215">
            <v>0</v>
          </cell>
          <cell r="DB215">
            <v>0</v>
          </cell>
          <cell r="DC215">
            <v>0</v>
          </cell>
          <cell r="DD215">
            <v>0</v>
          </cell>
          <cell r="DE215">
            <v>205</v>
          </cell>
          <cell r="DF215">
            <v>0</v>
          </cell>
          <cell r="DG215">
            <v>0</v>
          </cell>
          <cell r="DH215"/>
          <cell r="DI215">
            <v>0</v>
          </cell>
          <cell r="DK215" t="str">
            <v>OK</v>
          </cell>
          <cell r="DM215">
            <v>0</v>
          </cell>
          <cell r="DN215">
            <v>0</v>
          </cell>
          <cell r="DO215"/>
        </row>
        <row r="216">
          <cell r="N216">
            <v>0</v>
          </cell>
          <cell r="O216">
            <v>0</v>
          </cell>
          <cell r="P216"/>
          <cell r="Q216"/>
          <cell r="T216"/>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cell r="BM216">
            <v>0</v>
          </cell>
          <cell r="BN216">
            <v>0</v>
          </cell>
          <cell r="BO216">
            <v>0</v>
          </cell>
          <cell r="BP216">
            <v>0</v>
          </cell>
          <cell r="BQ216">
            <v>0</v>
          </cell>
          <cell r="BR216">
            <v>0</v>
          </cell>
          <cell r="BS216">
            <v>0</v>
          </cell>
          <cell r="BT216">
            <v>0</v>
          </cell>
          <cell r="BU216">
            <v>0</v>
          </cell>
          <cell r="BV216">
            <v>0</v>
          </cell>
          <cell r="BW216">
            <v>0</v>
          </cell>
          <cell r="BX216">
            <v>0</v>
          </cell>
          <cell r="BY216">
            <v>0</v>
          </cell>
          <cell r="BZ216">
            <v>0</v>
          </cell>
          <cell r="CA216">
            <v>0</v>
          </cell>
          <cell r="CB216">
            <v>0</v>
          </cell>
          <cell r="CC216">
            <v>0</v>
          </cell>
          <cell r="CD216">
            <v>0</v>
          </cell>
          <cell r="CE216">
            <v>0</v>
          </cell>
          <cell r="CF216">
            <v>0</v>
          </cell>
          <cell r="CG216">
            <v>0</v>
          </cell>
          <cell r="CH216">
            <v>0</v>
          </cell>
          <cell r="CI216">
            <v>0</v>
          </cell>
          <cell r="CJ216">
            <v>0</v>
          </cell>
          <cell r="CK216">
            <v>0</v>
          </cell>
          <cell r="CL216">
            <v>0</v>
          </cell>
          <cell r="CM216">
            <v>0</v>
          </cell>
          <cell r="CN216">
            <v>0</v>
          </cell>
          <cell r="CO216">
            <v>0</v>
          </cell>
          <cell r="CP216">
            <v>0</v>
          </cell>
          <cell r="CQ216">
            <v>0</v>
          </cell>
          <cell r="CR216">
            <v>0</v>
          </cell>
          <cell r="CS216">
            <v>0</v>
          </cell>
          <cell r="CT216">
            <v>0</v>
          </cell>
          <cell r="CU216">
            <v>0</v>
          </cell>
          <cell r="CV216">
            <v>0</v>
          </cell>
          <cell r="CW216">
            <v>0</v>
          </cell>
          <cell r="CX216">
            <v>0</v>
          </cell>
          <cell r="CY216">
            <v>0</v>
          </cell>
          <cell r="CZ216">
            <v>0</v>
          </cell>
          <cell r="DA216">
            <v>0</v>
          </cell>
          <cell r="DB216">
            <v>0</v>
          </cell>
          <cell r="DC216">
            <v>0</v>
          </cell>
          <cell r="DD216">
            <v>0</v>
          </cell>
          <cell r="DE216">
            <v>206</v>
          </cell>
          <cell r="DF216">
            <v>0</v>
          </cell>
          <cell r="DG216">
            <v>0</v>
          </cell>
          <cell r="DH216"/>
          <cell r="DI216">
            <v>0</v>
          </cell>
          <cell r="DK216" t="str">
            <v>OK</v>
          </cell>
          <cell r="DM216">
            <v>0</v>
          </cell>
          <cell r="DN216">
            <v>0</v>
          </cell>
          <cell r="DO216"/>
        </row>
        <row r="217">
          <cell r="N217">
            <v>0</v>
          </cell>
          <cell r="O217">
            <v>0</v>
          </cell>
          <cell r="P217"/>
          <cell r="Q217"/>
          <cell r="T217"/>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cell r="BM217">
            <v>0</v>
          </cell>
          <cell r="BN217">
            <v>0</v>
          </cell>
          <cell r="BO217">
            <v>0</v>
          </cell>
          <cell r="BP217">
            <v>0</v>
          </cell>
          <cell r="BQ217">
            <v>0</v>
          </cell>
          <cell r="BR217">
            <v>0</v>
          </cell>
          <cell r="BS217">
            <v>0</v>
          </cell>
          <cell r="BT217">
            <v>0</v>
          </cell>
          <cell r="BU217">
            <v>0</v>
          </cell>
          <cell r="BV217">
            <v>0</v>
          </cell>
          <cell r="BW217">
            <v>0</v>
          </cell>
          <cell r="BX217">
            <v>0</v>
          </cell>
          <cell r="BY217">
            <v>0</v>
          </cell>
          <cell r="BZ217">
            <v>0</v>
          </cell>
          <cell r="CA217">
            <v>0</v>
          </cell>
          <cell r="CB217">
            <v>0</v>
          </cell>
          <cell r="CC217">
            <v>0</v>
          </cell>
          <cell r="CD217">
            <v>0</v>
          </cell>
          <cell r="CE217">
            <v>0</v>
          </cell>
          <cell r="CF217">
            <v>0</v>
          </cell>
          <cell r="CG217">
            <v>0</v>
          </cell>
          <cell r="CH217">
            <v>0</v>
          </cell>
          <cell r="CI217">
            <v>0</v>
          </cell>
          <cell r="CJ217">
            <v>0</v>
          </cell>
          <cell r="CK217">
            <v>0</v>
          </cell>
          <cell r="CL217">
            <v>0</v>
          </cell>
          <cell r="CM217">
            <v>0</v>
          </cell>
          <cell r="CN217">
            <v>0</v>
          </cell>
          <cell r="CO217">
            <v>0</v>
          </cell>
          <cell r="CP217">
            <v>0</v>
          </cell>
          <cell r="CQ217">
            <v>0</v>
          </cell>
          <cell r="CR217">
            <v>0</v>
          </cell>
          <cell r="CS217">
            <v>0</v>
          </cell>
          <cell r="CT217">
            <v>0</v>
          </cell>
          <cell r="CU217">
            <v>0</v>
          </cell>
          <cell r="CV217">
            <v>0</v>
          </cell>
          <cell r="CW217">
            <v>0</v>
          </cell>
          <cell r="CX217">
            <v>0</v>
          </cell>
          <cell r="CY217">
            <v>0</v>
          </cell>
          <cell r="CZ217">
            <v>0</v>
          </cell>
          <cell r="DA217">
            <v>0</v>
          </cell>
          <cell r="DB217">
            <v>0</v>
          </cell>
          <cell r="DC217">
            <v>0</v>
          </cell>
          <cell r="DD217">
            <v>0</v>
          </cell>
          <cell r="DE217">
            <v>207</v>
          </cell>
          <cell r="DF217">
            <v>0</v>
          </cell>
          <cell r="DG217">
            <v>0</v>
          </cell>
          <cell r="DH217"/>
          <cell r="DI217">
            <v>0</v>
          </cell>
          <cell r="DK217" t="str">
            <v>OK</v>
          </cell>
          <cell r="DM217">
            <v>0</v>
          </cell>
          <cell r="DN217">
            <v>0</v>
          </cell>
          <cell r="DO217"/>
        </row>
        <row r="218">
          <cell r="N218">
            <v>0</v>
          </cell>
          <cell r="O218">
            <v>0</v>
          </cell>
          <cell r="P218"/>
          <cell r="Q218"/>
          <cell r="T218"/>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cell r="BM218">
            <v>0</v>
          </cell>
          <cell r="BN218">
            <v>0</v>
          </cell>
          <cell r="BO218">
            <v>0</v>
          </cell>
          <cell r="BP218">
            <v>0</v>
          </cell>
          <cell r="BQ218">
            <v>0</v>
          </cell>
          <cell r="BR218">
            <v>0</v>
          </cell>
          <cell r="BS218">
            <v>0</v>
          </cell>
          <cell r="BT218">
            <v>0</v>
          </cell>
          <cell r="BU218">
            <v>0</v>
          </cell>
          <cell r="BV218">
            <v>0</v>
          </cell>
          <cell r="BW218">
            <v>0</v>
          </cell>
          <cell r="BX218">
            <v>0</v>
          </cell>
          <cell r="BY218">
            <v>0</v>
          </cell>
          <cell r="BZ218">
            <v>0</v>
          </cell>
          <cell r="CA218">
            <v>0</v>
          </cell>
          <cell r="CB218">
            <v>0</v>
          </cell>
          <cell r="CC218">
            <v>0</v>
          </cell>
          <cell r="CD218">
            <v>0</v>
          </cell>
          <cell r="CE218">
            <v>0</v>
          </cell>
          <cell r="CF218">
            <v>0</v>
          </cell>
          <cell r="CG218">
            <v>0</v>
          </cell>
          <cell r="CH218">
            <v>0</v>
          </cell>
          <cell r="CI218">
            <v>0</v>
          </cell>
          <cell r="CJ218">
            <v>0</v>
          </cell>
          <cell r="CK218">
            <v>0</v>
          </cell>
          <cell r="CL218">
            <v>0</v>
          </cell>
          <cell r="CM218">
            <v>0</v>
          </cell>
          <cell r="CN218">
            <v>0</v>
          </cell>
          <cell r="CO218">
            <v>0</v>
          </cell>
          <cell r="CP218">
            <v>0</v>
          </cell>
          <cell r="CQ218">
            <v>0</v>
          </cell>
          <cell r="CR218">
            <v>0</v>
          </cell>
          <cell r="CS218">
            <v>0</v>
          </cell>
          <cell r="CT218">
            <v>0</v>
          </cell>
          <cell r="CU218">
            <v>0</v>
          </cell>
          <cell r="CV218">
            <v>0</v>
          </cell>
          <cell r="CW218">
            <v>0</v>
          </cell>
          <cell r="CX218">
            <v>0</v>
          </cell>
          <cell r="CY218">
            <v>0</v>
          </cell>
          <cell r="CZ218">
            <v>0</v>
          </cell>
          <cell r="DA218">
            <v>0</v>
          </cell>
          <cell r="DB218">
            <v>0</v>
          </cell>
          <cell r="DC218">
            <v>0</v>
          </cell>
          <cell r="DD218">
            <v>0</v>
          </cell>
          <cell r="DE218">
            <v>208</v>
          </cell>
          <cell r="DF218">
            <v>0</v>
          </cell>
          <cell r="DG218">
            <v>0</v>
          </cell>
          <cell r="DH218"/>
          <cell r="DI218">
            <v>0</v>
          </cell>
          <cell r="DK218" t="str">
            <v>OK</v>
          </cell>
          <cell r="DM218">
            <v>0</v>
          </cell>
          <cell r="DN218">
            <v>0</v>
          </cell>
          <cell r="DO218"/>
        </row>
        <row r="219">
          <cell r="N219">
            <v>0</v>
          </cell>
          <cell r="O219">
            <v>0</v>
          </cell>
          <cell r="P219"/>
          <cell r="Q219"/>
          <cell r="T219"/>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BX219">
            <v>0</v>
          </cell>
          <cell r="BY219">
            <v>0</v>
          </cell>
          <cell r="BZ219">
            <v>0</v>
          </cell>
          <cell r="CA219">
            <v>0</v>
          </cell>
          <cell r="CB219">
            <v>0</v>
          </cell>
          <cell r="CC219">
            <v>0</v>
          </cell>
          <cell r="CD219">
            <v>0</v>
          </cell>
          <cell r="CE219">
            <v>0</v>
          </cell>
          <cell r="CF219">
            <v>0</v>
          </cell>
          <cell r="CG219">
            <v>0</v>
          </cell>
          <cell r="CH219">
            <v>0</v>
          </cell>
          <cell r="CI219">
            <v>0</v>
          </cell>
          <cell r="CJ219">
            <v>0</v>
          </cell>
          <cell r="CK219">
            <v>0</v>
          </cell>
          <cell r="CL219">
            <v>0</v>
          </cell>
          <cell r="CM219">
            <v>0</v>
          </cell>
          <cell r="CN219">
            <v>0</v>
          </cell>
          <cell r="CO219">
            <v>0</v>
          </cell>
          <cell r="CP219">
            <v>0</v>
          </cell>
          <cell r="CQ219">
            <v>0</v>
          </cell>
          <cell r="CR219">
            <v>0</v>
          </cell>
          <cell r="CS219">
            <v>0</v>
          </cell>
          <cell r="CT219">
            <v>0</v>
          </cell>
          <cell r="CU219">
            <v>0</v>
          </cell>
          <cell r="CV219">
            <v>0</v>
          </cell>
          <cell r="CW219">
            <v>0</v>
          </cell>
          <cell r="CX219">
            <v>0</v>
          </cell>
          <cell r="CY219">
            <v>0</v>
          </cell>
          <cell r="CZ219">
            <v>0</v>
          </cell>
          <cell r="DA219">
            <v>0</v>
          </cell>
          <cell r="DB219">
            <v>0</v>
          </cell>
          <cell r="DC219">
            <v>0</v>
          </cell>
          <cell r="DD219">
            <v>0</v>
          </cell>
          <cell r="DE219">
            <v>209</v>
          </cell>
          <cell r="DF219">
            <v>0</v>
          </cell>
          <cell r="DG219">
            <v>0</v>
          </cell>
          <cell r="DH219"/>
          <cell r="DI219">
            <v>0</v>
          </cell>
          <cell r="DK219" t="str">
            <v>OK</v>
          </cell>
          <cell r="DM219">
            <v>0</v>
          </cell>
          <cell r="DN219">
            <v>0</v>
          </cell>
          <cell r="DO219"/>
        </row>
        <row r="220">
          <cell r="N220">
            <v>0</v>
          </cell>
          <cell r="O220">
            <v>0</v>
          </cell>
          <cell r="P220"/>
          <cell r="Q220"/>
          <cell r="T220"/>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cell r="BM220">
            <v>0</v>
          </cell>
          <cell r="BN220">
            <v>0</v>
          </cell>
          <cell r="BO220">
            <v>0</v>
          </cell>
          <cell r="BP220">
            <v>0</v>
          </cell>
          <cell r="BQ220">
            <v>0</v>
          </cell>
          <cell r="BR220">
            <v>0</v>
          </cell>
          <cell r="BS220">
            <v>0</v>
          </cell>
          <cell r="BT220">
            <v>0</v>
          </cell>
          <cell r="BU220">
            <v>0</v>
          </cell>
          <cell r="BV220">
            <v>0</v>
          </cell>
          <cell r="BW220">
            <v>0</v>
          </cell>
          <cell r="BX220">
            <v>0</v>
          </cell>
          <cell r="BY220">
            <v>0</v>
          </cell>
          <cell r="BZ220">
            <v>0</v>
          </cell>
          <cell r="CA220">
            <v>0</v>
          </cell>
          <cell r="CB220">
            <v>0</v>
          </cell>
          <cell r="CC220">
            <v>0</v>
          </cell>
          <cell r="CD220">
            <v>0</v>
          </cell>
          <cell r="CE220">
            <v>0</v>
          </cell>
          <cell r="CF220">
            <v>0</v>
          </cell>
          <cell r="CG220">
            <v>0</v>
          </cell>
          <cell r="CH220">
            <v>0</v>
          </cell>
          <cell r="CI220">
            <v>0</v>
          </cell>
          <cell r="CJ220">
            <v>0</v>
          </cell>
          <cell r="CK220">
            <v>0</v>
          </cell>
          <cell r="CL220">
            <v>0</v>
          </cell>
          <cell r="CM220">
            <v>0</v>
          </cell>
          <cell r="CN220">
            <v>0</v>
          </cell>
          <cell r="CO220">
            <v>0</v>
          </cell>
          <cell r="CP220">
            <v>0</v>
          </cell>
          <cell r="CQ220">
            <v>0</v>
          </cell>
          <cell r="CR220">
            <v>0</v>
          </cell>
          <cell r="CS220">
            <v>0</v>
          </cell>
          <cell r="CT220">
            <v>0</v>
          </cell>
          <cell r="CU220">
            <v>0</v>
          </cell>
          <cell r="CV220">
            <v>0</v>
          </cell>
          <cell r="CW220">
            <v>0</v>
          </cell>
          <cell r="CX220">
            <v>0</v>
          </cell>
          <cell r="CY220">
            <v>0</v>
          </cell>
          <cell r="CZ220">
            <v>0</v>
          </cell>
          <cell r="DA220">
            <v>0</v>
          </cell>
          <cell r="DB220">
            <v>0</v>
          </cell>
          <cell r="DC220">
            <v>0</v>
          </cell>
          <cell r="DD220">
            <v>0</v>
          </cell>
          <cell r="DE220">
            <v>210</v>
          </cell>
          <cell r="DF220">
            <v>0</v>
          </cell>
          <cell r="DG220">
            <v>0</v>
          </cell>
          <cell r="DH220"/>
          <cell r="DI220">
            <v>0</v>
          </cell>
          <cell r="DK220" t="str">
            <v>OK</v>
          </cell>
          <cell r="DM220">
            <v>0</v>
          </cell>
          <cell r="DN220">
            <v>0</v>
          </cell>
          <cell r="DO220"/>
        </row>
        <row r="221">
          <cell r="N221">
            <v>0</v>
          </cell>
          <cell r="O221">
            <v>0</v>
          </cell>
          <cell r="P221"/>
          <cell r="Q221"/>
          <cell r="T221"/>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v>0</v>
          </cell>
          <cell r="BW221">
            <v>0</v>
          </cell>
          <cell r="BX221">
            <v>0</v>
          </cell>
          <cell r="BY221">
            <v>0</v>
          </cell>
          <cell r="BZ221">
            <v>0</v>
          </cell>
          <cell r="CA221">
            <v>0</v>
          </cell>
          <cell r="CB221">
            <v>0</v>
          </cell>
          <cell r="CC221">
            <v>0</v>
          </cell>
          <cell r="CD221">
            <v>0</v>
          </cell>
          <cell r="CE221">
            <v>0</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0</v>
          </cell>
          <cell r="CX221">
            <v>0</v>
          </cell>
          <cell r="CY221">
            <v>0</v>
          </cell>
          <cell r="CZ221">
            <v>0</v>
          </cell>
          <cell r="DA221">
            <v>0</v>
          </cell>
          <cell r="DB221">
            <v>0</v>
          </cell>
          <cell r="DC221">
            <v>0</v>
          </cell>
          <cell r="DD221">
            <v>0</v>
          </cell>
          <cell r="DE221">
            <v>211</v>
          </cell>
          <cell r="DF221">
            <v>0</v>
          </cell>
          <cell r="DG221">
            <v>0</v>
          </cell>
          <cell r="DH221"/>
          <cell r="DI221">
            <v>0</v>
          </cell>
          <cell r="DK221" t="str">
            <v>OK</v>
          </cell>
          <cell r="DM221">
            <v>0</v>
          </cell>
          <cell r="DN221">
            <v>0</v>
          </cell>
          <cell r="DO221"/>
        </row>
        <row r="222">
          <cell r="N222">
            <v>0</v>
          </cell>
          <cell r="O222">
            <v>0</v>
          </cell>
          <cell r="P222"/>
          <cell r="Q222"/>
          <cell r="T222"/>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cell r="BM222">
            <v>0</v>
          </cell>
          <cell r="BN222">
            <v>0</v>
          </cell>
          <cell r="BO222">
            <v>0</v>
          </cell>
          <cell r="BP222">
            <v>0</v>
          </cell>
          <cell r="BQ222">
            <v>0</v>
          </cell>
          <cell r="BR222">
            <v>0</v>
          </cell>
          <cell r="BS222">
            <v>0</v>
          </cell>
          <cell r="BT222">
            <v>0</v>
          </cell>
          <cell r="BU222">
            <v>0</v>
          </cell>
          <cell r="BV222">
            <v>0</v>
          </cell>
          <cell r="BW222">
            <v>0</v>
          </cell>
          <cell r="BX222">
            <v>0</v>
          </cell>
          <cell r="BY222">
            <v>0</v>
          </cell>
          <cell r="BZ222">
            <v>0</v>
          </cell>
          <cell r="CA222">
            <v>0</v>
          </cell>
          <cell r="CB222">
            <v>0</v>
          </cell>
          <cell r="CC222">
            <v>0</v>
          </cell>
          <cell r="CD222">
            <v>0</v>
          </cell>
          <cell r="CE222">
            <v>0</v>
          </cell>
          <cell r="CF222">
            <v>0</v>
          </cell>
          <cell r="CG222">
            <v>0</v>
          </cell>
          <cell r="CH222">
            <v>0</v>
          </cell>
          <cell r="CI222">
            <v>0</v>
          </cell>
          <cell r="CJ222">
            <v>0</v>
          </cell>
          <cell r="CK222">
            <v>0</v>
          </cell>
          <cell r="CL222">
            <v>0</v>
          </cell>
          <cell r="CM222">
            <v>0</v>
          </cell>
          <cell r="CN222">
            <v>0</v>
          </cell>
          <cell r="CO222">
            <v>0</v>
          </cell>
          <cell r="CP222">
            <v>0</v>
          </cell>
          <cell r="CQ222">
            <v>0</v>
          </cell>
          <cell r="CR222">
            <v>0</v>
          </cell>
          <cell r="CS222">
            <v>0</v>
          </cell>
          <cell r="CT222">
            <v>0</v>
          </cell>
          <cell r="CU222">
            <v>0</v>
          </cell>
          <cell r="CV222">
            <v>0</v>
          </cell>
          <cell r="CW222">
            <v>0</v>
          </cell>
          <cell r="CX222">
            <v>0</v>
          </cell>
          <cell r="CY222">
            <v>0</v>
          </cell>
          <cell r="CZ222">
            <v>0</v>
          </cell>
          <cell r="DA222">
            <v>0</v>
          </cell>
          <cell r="DB222">
            <v>0</v>
          </cell>
          <cell r="DC222">
            <v>0</v>
          </cell>
          <cell r="DD222">
            <v>0</v>
          </cell>
          <cell r="DE222">
            <v>212</v>
          </cell>
          <cell r="DF222">
            <v>0</v>
          </cell>
          <cell r="DG222">
            <v>0</v>
          </cell>
          <cell r="DH222"/>
          <cell r="DI222">
            <v>0</v>
          </cell>
          <cell r="DK222" t="str">
            <v>OK</v>
          </cell>
          <cell r="DM222">
            <v>0</v>
          </cell>
          <cell r="DN222">
            <v>0</v>
          </cell>
          <cell r="DO222"/>
        </row>
        <row r="223">
          <cell r="N223">
            <v>0</v>
          </cell>
          <cell r="O223">
            <v>0</v>
          </cell>
          <cell r="P223"/>
          <cell r="Q223"/>
          <cell r="T223"/>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cell r="BM223">
            <v>0</v>
          </cell>
          <cell r="BN223">
            <v>0</v>
          </cell>
          <cell r="BO223">
            <v>0</v>
          </cell>
          <cell r="BP223">
            <v>0</v>
          </cell>
          <cell r="BQ223">
            <v>0</v>
          </cell>
          <cell r="BR223">
            <v>0</v>
          </cell>
          <cell r="BS223">
            <v>0</v>
          </cell>
          <cell r="BT223">
            <v>0</v>
          </cell>
          <cell r="BU223">
            <v>0</v>
          </cell>
          <cell r="BV223">
            <v>0</v>
          </cell>
          <cell r="BW223">
            <v>0</v>
          </cell>
          <cell r="BX223">
            <v>0</v>
          </cell>
          <cell r="BY223">
            <v>0</v>
          </cell>
          <cell r="BZ223">
            <v>0</v>
          </cell>
          <cell r="CA223">
            <v>0</v>
          </cell>
          <cell r="CB223">
            <v>0</v>
          </cell>
          <cell r="CC223">
            <v>0</v>
          </cell>
          <cell r="CD223">
            <v>0</v>
          </cell>
          <cell r="CE223">
            <v>0</v>
          </cell>
          <cell r="CF223">
            <v>0</v>
          </cell>
          <cell r="CG223">
            <v>0</v>
          </cell>
          <cell r="CH223">
            <v>0</v>
          </cell>
          <cell r="CI223">
            <v>0</v>
          </cell>
          <cell r="CJ223">
            <v>0</v>
          </cell>
          <cell r="CK223">
            <v>0</v>
          </cell>
          <cell r="CL223">
            <v>0</v>
          </cell>
          <cell r="CM223">
            <v>0</v>
          </cell>
          <cell r="CN223">
            <v>0</v>
          </cell>
          <cell r="CO223">
            <v>0</v>
          </cell>
          <cell r="CP223">
            <v>0</v>
          </cell>
          <cell r="CQ223">
            <v>0</v>
          </cell>
          <cell r="CR223">
            <v>0</v>
          </cell>
          <cell r="CS223">
            <v>0</v>
          </cell>
          <cell r="CT223">
            <v>0</v>
          </cell>
          <cell r="CU223">
            <v>0</v>
          </cell>
          <cell r="CV223">
            <v>0</v>
          </cell>
          <cell r="CW223">
            <v>0</v>
          </cell>
          <cell r="CX223">
            <v>0</v>
          </cell>
          <cell r="CY223">
            <v>0</v>
          </cell>
          <cell r="CZ223">
            <v>0</v>
          </cell>
          <cell r="DA223">
            <v>0</v>
          </cell>
          <cell r="DB223">
            <v>0</v>
          </cell>
          <cell r="DC223">
            <v>0</v>
          </cell>
          <cell r="DD223">
            <v>0</v>
          </cell>
          <cell r="DE223">
            <v>213</v>
          </cell>
          <cell r="DF223">
            <v>0</v>
          </cell>
          <cell r="DG223">
            <v>0</v>
          </cell>
          <cell r="DH223"/>
          <cell r="DI223">
            <v>0</v>
          </cell>
          <cell r="DK223" t="str">
            <v>OK</v>
          </cell>
          <cell r="DM223">
            <v>0</v>
          </cell>
          <cell r="DN223">
            <v>0</v>
          </cell>
          <cell r="DO223"/>
        </row>
        <row r="224">
          <cell r="N224">
            <v>0</v>
          </cell>
          <cell r="O224">
            <v>0</v>
          </cell>
          <cell r="P224"/>
          <cell r="Q224"/>
          <cell r="T224"/>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cell r="BM224">
            <v>0</v>
          </cell>
          <cell r="BN224">
            <v>0</v>
          </cell>
          <cell r="BO224">
            <v>0</v>
          </cell>
          <cell r="BP224">
            <v>0</v>
          </cell>
          <cell r="BQ224">
            <v>0</v>
          </cell>
          <cell r="BR224">
            <v>0</v>
          </cell>
          <cell r="BS224">
            <v>0</v>
          </cell>
          <cell r="BT224">
            <v>0</v>
          </cell>
          <cell r="BU224">
            <v>0</v>
          </cell>
          <cell r="BV224">
            <v>0</v>
          </cell>
          <cell r="BW224">
            <v>0</v>
          </cell>
          <cell r="BX224">
            <v>0</v>
          </cell>
          <cell r="BY224">
            <v>0</v>
          </cell>
          <cell r="BZ224">
            <v>0</v>
          </cell>
          <cell r="CA224">
            <v>0</v>
          </cell>
          <cell r="CB224">
            <v>0</v>
          </cell>
          <cell r="CC224">
            <v>0</v>
          </cell>
          <cell r="CD224">
            <v>0</v>
          </cell>
          <cell r="CE224">
            <v>0</v>
          </cell>
          <cell r="CF224">
            <v>0</v>
          </cell>
          <cell r="CG224">
            <v>0</v>
          </cell>
          <cell r="CH224">
            <v>0</v>
          </cell>
          <cell r="CI224">
            <v>0</v>
          </cell>
          <cell r="CJ224">
            <v>0</v>
          </cell>
          <cell r="CK224">
            <v>0</v>
          </cell>
          <cell r="CL224">
            <v>0</v>
          </cell>
          <cell r="CM224">
            <v>0</v>
          </cell>
          <cell r="CN224">
            <v>0</v>
          </cell>
          <cell r="CO224">
            <v>0</v>
          </cell>
          <cell r="CP224">
            <v>0</v>
          </cell>
          <cell r="CQ224">
            <v>0</v>
          </cell>
          <cell r="CR224">
            <v>0</v>
          </cell>
          <cell r="CS224">
            <v>0</v>
          </cell>
          <cell r="CT224">
            <v>0</v>
          </cell>
          <cell r="CU224">
            <v>0</v>
          </cell>
          <cell r="CV224">
            <v>0</v>
          </cell>
          <cell r="CW224">
            <v>0</v>
          </cell>
          <cell r="CX224">
            <v>0</v>
          </cell>
          <cell r="CY224">
            <v>0</v>
          </cell>
          <cell r="CZ224">
            <v>0</v>
          </cell>
          <cell r="DA224">
            <v>0</v>
          </cell>
          <cell r="DB224">
            <v>0</v>
          </cell>
          <cell r="DC224">
            <v>0</v>
          </cell>
          <cell r="DD224">
            <v>0</v>
          </cell>
          <cell r="DE224">
            <v>214</v>
          </cell>
          <cell r="DF224">
            <v>0</v>
          </cell>
          <cell r="DG224">
            <v>0</v>
          </cell>
          <cell r="DH224"/>
          <cell r="DI224">
            <v>0</v>
          </cell>
          <cell r="DK224" t="str">
            <v>OK</v>
          </cell>
          <cell r="DM224">
            <v>0</v>
          </cell>
          <cell r="DN224">
            <v>0</v>
          </cell>
          <cell r="DO224"/>
        </row>
        <row r="225">
          <cell r="N225">
            <v>0</v>
          </cell>
          <cell r="O225">
            <v>0</v>
          </cell>
          <cell r="P225"/>
          <cell r="Q225"/>
          <cell r="T225"/>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cell r="BM225">
            <v>0</v>
          </cell>
          <cell r="BN225">
            <v>0</v>
          </cell>
          <cell r="BO225">
            <v>0</v>
          </cell>
          <cell r="BP225">
            <v>0</v>
          </cell>
          <cell r="BQ225">
            <v>0</v>
          </cell>
          <cell r="BR225">
            <v>0</v>
          </cell>
          <cell r="BS225">
            <v>0</v>
          </cell>
          <cell r="BT225">
            <v>0</v>
          </cell>
          <cell r="BU225">
            <v>0</v>
          </cell>
          <cell r="BV225">
            <v>0</v>
          </cell>
          <cell r="BW225">
            <v>0</v>
          </cell>
          <cell r="BX225">
            <v>0</v>
          </cell>
          <cell r="BY225">
            <v>0</v>
          </cell>
          <cell r="BZ225">
            <v>0</v>
          </cell>
          <cell r="CA225">
            <v>0</v>
          </cell>
          <cell r="CB225">
            <v>0</v>
          </cell>
          <cell r="CC225">
            <v>0</v>
          </cell>
          <cell r="CD225">
            <v>0</v>
          </cell>
          <cell r="CE225">
            <v>0</v>
          </cell>
          <cell r="CF225">
            <v>0</v>
          </cell>
          <cell r="CG225">
            <v>0</v>
          </cell>
          <cell r="CH225">
            <v>0</v>
          </cell>
          <cell r="CI225">
            <v>0</v>
          </cell>
          <cell r="CJ225">
            <v>0</v>
          </cell>
          <cell r="CK225">
            <v>0</v>
          </cell>
          <cell r="CL225">
            <v>0</v>
          </cell>
          <cell r="CM225">
            <v>0</v>
          </cell>
          <cell r="CN225">
            <v>0</v>
          </cell>
          <cell r="CO225">
            <v>0</v>
          </cell>
          <cell r="CP225">
            <v>0</v>
          </cell>
          <cell r="CQ225">
            <v>0</v>
          </cell>
          <cell r="CR225">
            <v>0</v>
          </cell>
          <cell r="CS225">
            <v>0</v>
          </cell>
          <cell r="CT225">
            <v>0</v>
          </cell>
          <cell r="CU225">
            <v>0</v>
          </cell>
          <cell r="CV225">
            <v>0</v>
          </cell>
          <cell r="CW225">
            <v>0</v>
          </cell>
          <cell r="CX225">
            <v>0</v>
          </cell>
          <cell r="CY225">
            <v>0</v>
          </cell>
          <cell r="CZ225">
            <v>0</v>
          </cell>
          <cell r="DA225">
            <v>0</v>
          </cell>
          <cell r="DB225">
            <v>0</v>
          </cell>
          <cell r="DC225">
            <v>0</v>
          </cell>
          <cell r="DD225">
            <v>0</v>
          </cell>
          <cell r="DE225">
            <v>215</v>
          </cell>
          <cell r="DF225">
            <v>0</v>
          </cell>
          <cell r="DG225">
            <v>0</v>
          </cell>
          <cell r="DH225"/>
          <cell r="DI225">
            <v>0</v>
          </cell>
          <cell r="DK225" t="str">
            <v>OK</v>
          </cell>
          <cell r="DM225">
            <v>0</v>
          </cell>
          <cell r="DN225">
            <v>0</v>
          </cell>
          <cell r="DO225"/>
        </row>
        <row r="226">
          <cell r="N226">
            <v>0</v>
          </cell>
          <cell r="O226">
            <v>0</v>
          </cell>
          <cell r="P226"/>
          <cell r="Q226"/>
          <cell r="T226"/>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cell r="BM226">
            <v>0</v>
          </cell>
          <cell r="BN226">
            <v>0</v>
          </cell>
          <cell r="BO226">
            <v>0</v>
          </cell>
          <cell r="BP226">
            <v>0</v>
          </cell>
          <cell r="BQ226">
            <v>0</v>
          </cell>
          <cell r="BR226">
            <v>0</v>
          </cell>
          <cell r="BS226">
            <v>0</v>
          </cell>
          <cell r="BT226">
            <v>0</v>
          </cell>
          <cell r="BU226">
            <v>0</v>
          </cell>
          <cell r="BV226">
            <v>0</v>
          </cell>
          <cell r="BW226">
            <v>0</v>
          </cell>
          <cell r="BX226">
            <v>0</v>
          </cell>
          <cell r="BY226">
            <v>0</v>
          </cell>
          <cell r="BZ226">
            <v>0</v>
          </cell>
          <cell r="CA226">
            <v>0</v>
          </cell>
          <cell r="CB226">
            <v>0</v>
          </cell>
          <cell r="CC226">
            <v>0</v>
          </cell>
          <cell r="CD226">
            <v>0</v>
          </cell>
          <cell r="CE226">
            <v>0</v>
          </cell>
          <cell r="CF226">
            <v>0</v>
          </cell>
          <cell r="CG226">
            <v>0</v>
          </cell>
          <cell r="CH226">
            <v>0</v>
          </cell>
          <cell r="CI226">
            <v>0</v>
          </cell>
          <cell r="CJ226">
            <v>0</v>
          </cell>
          <cell r="CK226">
            <v>0</v>
          </cell>
          <cell r="CL226">
            <v>0</v>
          </cell>
          <cell r="CM226">
            <v>0</v>
          </cell>
          <cell r="CN226">
            <v>0</v>
          </cell>
          <cell r="CO226">
            <v>0</v>
          </cell>
          <cell r="CP226">
            <v>0</v>
          </cell>
          <cell r="CQ226">
            <v>0</v>
          </cell>
          <cell r="CR226">
            <v>0</v>
          </cell>
          <cell r="CS226">
            <v>0</v>
          </cell>
          <cell r="CT226">
            <v>0</v>
          </cell>
          <cell r="CU226">
            <v>0</v>
          </cell>
          <cell r="CV226">
            <v>0</v>
          </cell>
          <cell r="CW226">
            <v>0</v>
          </cell>
          <cell r="CX226">
            <v>0</v>
          </cell>
          <cell r="CY226">
            <v>0</v>
          </cell>
          <cell r="CZ226">
            <v>0</v>
          </cell>
          <cell r="DA226">
            <v>0</v>
          </cell>
          <cell r="DB226">
            <v>0</v>
          </cell>
          <cell r="DC226">
            <v>0</v>
          </cell>
          <cell r="DD226">
            <v>0</v>
          </cell>
          <cell r="DE226">
            <v>216</v>
          </cell>
          <cell r="DF226">
            <v>0</v>
          </cell>
          <cell r="DG226">
            <v>0</v>
          </cell>
          <cell r="DH226"/>
          <cell r="DI226">
            <v>0</v>
          </cell>
          <cell r="DK226" t="str">
            <v>OK</v>
          </cell>
          <cell r="DM226">
            <v>0</v>
          </cell>
          <cell r="DN226">
            <v>0</v>
          </cell>
          <cell r="DO226"/>
        </row>
        <row r="227">
          <cell r="N227">
            <v>0</v>
          </cell>
          <cell r="O227">
            <v>0</v>
          </cell>
          <cell r="P227"/>
          <cell r="Q227"/>
          <cell r="T227"/>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cell r="BM227">
            <v>0</v>
          </cell>
          <cell r="BN227">
            <v>0</v>
          </cell>
          <cell r="BO227">
            <v>0</v>
          </cell>
          <cell r="BP227">
            <v>0</v>
          </cell>
          <cell r="BQ227">
            <v>0</v>
          </cell>
          <cell r="BR227">
            <v>0</v>
          </cell>
          <cell r="BS227">
            <v>0</v>
          </cell>
          <cell r="BT227">
            <v>0</v>
          </cell>
          <cell r="BU227">
            <v>0</v>
          </cell>
          <cell r="BV227">
            <v>0</v>
          </cell>
          <cell r="BW227">
            <v>0</v>
          </cell>
          <cell r="BX227">
            <v>0</v>
          </cell>
          <cell r="BY227">
            <v>0</v>
          </cell>
          <cell r="BZ227">
            <v>0</v>
          </cell>
          <cell r="CA227">
            <v>0</v>
          </cell>
          <cell r="CB227">
            <v>0</v>
          </cell>
          <cell r="CC227">
            <v>0</v>
          </cell>
          <cell r="CD227">
            <v>0</v>
          </cell>
          <cell r="CE227">
            <v>0</v>
          </cell>
          <cell r="CF227">
            <v>0</v>
          </cell>
          <cell r="CG227">
            <v>0</v>
          </cell>
          <cell r="CH227">
            <v>0</v>
          </cell>
          <cell r="CI227">
            <v>0</v>
          </cell>
          <cell r="CJ227">
            <v>0</v>
          </cell>
          <cell r="CK227">
            <v>0</v>
          </cell>
          <cell r="CL227">
            <v>0</v>
          </cell>
          <cell r="CM227">
            <v>0</v>
          </cell>
          <cell r="CN227">
            <v>0</v>
          </cell>
          <cell r="CO227">
            <v>0</v>
          </cell>
          <cell r="CP227">
            <v>0</v>
          </cell>
          <cell r="CQ227">
            <v>0</v>
          </cell>
          <cell r="CR227">
            <v>0</v>
          </cell>
          <cell r="CS227">
            <v>0</v>
          </cell>
          <cell r="CT227">
            <v>0</v>
          </cell>
          <cell r="CU227">
            <v>0</v>
          </cell>
          <cell r="CV227">
            <v>0</v>
          </cell>
          <cell r="CW227">
            <v>0</v>
          </cell>
          <cell r="CX227">
            <v>0</v>
          </cell>
          <cell r="CY227">
            <v>0</v>
          </cell>
          <cell r="CZ227">
            <v>0</v>
          </cell>
          <cell r="DA227">
            <v>0</v>
          </cell>
          <cell r="DB227">
            <v>0</v>
          </cell>
          <cell r="DC227">
            <v>0</v>
          </cell>
          <cell r="DD227">
            <v>0</v>
          </cell>
          <cell r="DE227">
            <v>217</v>
          </cell>
          <cell r="DF227">
            <v>0</v>
          </cell>
          <cell r="DG227">
            <v>0</v>
          </cell>
          <cell r="DH227"/>
          <cell r="DI227">
            <v>0</v>
          </cell>
          <cell r="DK227" t="str">
            <v>OK</v>
          </cell>
          <cell r="DM227">
            <v>0</v>
          </cell>
          <cell r="DN227">
            <v>0</v>
          </cell>
          <cell r="DO227"/>
        </row>
        <row r="228">
          <cell r="N228">
            <v>0</v>
          </cell>
          <cell r="O228">
            <v>0</v>
          </cell>
          <cell r="P228"/>
          <cell r="Q228"/>
          <cell r="T228"/>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cell r="BM228">
            <v>0</v>
          </cell>
          <cell r="BN228">
            <v>0</v>
          </cell>
          <cell r="BO228">
            <v>0</v>
          </cell>
          <cell r="BP228">
            <v>0</v>
          </cell>
          <cell r="BQ228">
            <v>0</v>
          </cell>
          <cell r="BR228">
            <v>0</v>
          </cell>
          <cell r="BS228">
            <v>0</v>
          </cell>
          <cell r="BT228">
            <v>0</v>
          </cell>
          <cell r="BU228">
            <v>0</v>
          </cell>
          <cell r="BV228">
            <v>0</v>
          </cell>
          <cell r="BW228">
            <v>0</v>
          </cell>
          <cell r="BX228">
            <v>0</v>
          </cell>
          <cell r="BY228">
            <v>0</v>
          </cell>
          <cell r="BZ228">
            <v>0</v>
          </cell>
          <cell r="CA228">
            <v>0</v>
          </cell>
          <cell r="CB228">
            <v>0</v>
          </cell>
          <cell r="CC228">
            <v>0</v>
          </cell>
          <cell r="CD228">
            <v>0</v>
          </cell>
          <cell r="CE228">
            <v>0</v>
          </cell>
          <cell r="CF228">
            <v>0</v>
          </cell>
          <cell r="CG228">
            <v>0</v>
          </cell>
          <cell r="CH228">
            <v>0</v>
          </cell>
          <cell r="CI228">
            <v>0</v>
          </cell>
          <cell r="CJ228">
            <v>0</v>
          </cell>
          <cell r="CK228">
            <v>0</v>
          </cell>
          <cell r="CL228">
            <v>0</v>
          </cell>
          <cell r="CM228">
            <v>0</v>
          </cell>
          <cell r="CN228">
            <v>0</v>
          </cell>
          <cell r="CO228">
            <v>0</v>
          </cell>
          <cell r="CP228">
            <v>0</v>
          </cell>
          <cell r="CQ228">
            <v>0</v>
          </cell>
          <cell r="CR228">
            <v>0</v>
          </cell>
          <cell r="CS228">
            <v>0</v>
          </cell>
          <cell r="CT228">
            <v>0</v>
          </cell>
          <cell r="CU228">
            <v>0</v>
          </cell>
          <cell r="CV228">
            <v>0</v>
          </cell>
          <cell r="CW228">
            <v>0</v>
          </cell>
          <cell r="CX228">
            <v>0</v>
          </cell>
          <cell r="CY228">
            <v>0</v>
          </cell>
          <cell r="CZ228">
            <v>0</v>
          </cell>
          <cell r="DA228">
            <v>0</v>
          </cell>
          <cell r="DB228">
            <v>0</v>
          </cell>
          <cell r="DC228">
            <v>0</v>
          </cell>
          <cell r="DD228">
            <v>0</v>
          </cell>
          <cell r="DE228">
            <v>218</v>
          </cell>
          <cell r="DF228">
            <v>0</v>
          </cell>
          <cell r="DG228">
            <v>0</v>
          </cell>
          <cell r="DH228"/>
          <cell r="DI228">
            <v>0</v>
          </cell>
          <cell r="DK228" t="str">
            <v>OK</v>
          </cell>
          <cell r="DM228">
            <v>0</v>
          </cell>
          <cell r="DN228">
            <v>0</v>
          </cell>
          <cell r="DO228"/>
        </row>
        <row r="229">
          <cell r="N229">
            <v>0</v>
          </cell>
          <cell r="O229">
            <v>0</v>
          </cell>
          <cell r="P229"/>
          <cell r="Q229"/>
          <cell r="T229"/>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cell r="BM229">
            <v>0</v>
          </cell>
          <cell r="BN229">
            <v>0</v>
          </cell>
          <cell r="BO229">
            <v>0</v>
          </cell>
          <cell r="BP229">
            <v>0</v>
          </cell>
          <cell r="BQ229">
            <v>0</v>
          </cell>
          <cell r="BR229">
            <v>0</v>
          </cell>
          <cell r="BS229">
            <v>0</v>
          </cell>
          <cell r="BT229">
            <v>0</v>
          </cell>
          <cell r="BU229">
            <v>0</v>
          </cell>
          <cell r="BV229">
            <v>0</v>
          </cell>
          <cell r="BW229">
            <v>0</v>
          </cell>
          <cell r="BX229">
            <v>0</v>
          </cell>
          <cell r="BY229">
            <v>0</v>
          </cell>
          <cell r="BZ229">
            <v>0</v>
          </cell>
          <cell r="CA229">
            <v>0</v>
          </cell>
          <cell r="CB229">
            <v>0</v>
          </cell>
          <cell r="CC229">
            <v>0</v>
          </cell>
          <cell r="CD229">
            <v>0</v>
          </cell>
          <cell r="CE229">
            <v>0</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cell r="CT229">
            <v>0</v>
          </cell>
          <cell r="CU229">
            <v>0</v>
          </cell>
          <cell r="CV229">
            <v>0</v>
          </cell>
          <cell r="CW229">
            <v>0</v>
          </cell>
          <cell r="CX229">
            <v>0</v>
          </cell>
          <cell r="CY229">
            <v>0</v>
          </cell>
          <cell r="CZ229">
            <v>0</v>
          </cell>
          <cell r="DA229">
            <v>0</v>
          </cell>
          <cell r="DB229">
            <v>0</v>
          </cell>
          <cell r="DC229">
            <v>0</v>
          </cell>
          <cell r="DD229">
            <v>0</v>
          </cell>
          <cell r="DE229">
            <v>219</v>
          </cell>
          <cell r="DF229">
            <v>0</v>
          </cell>
          <cell r="DG229">
            <v>0</v>
          </cell>
          <cell r="DH229"/>
          <cell r="DI229">
            <v>0</v>
          </cell>
          <cell r="DK229" t="str">
            <v>OK</v>
          </cell>
          <cell r="DM229">
            <v>0</v>
          </cell>
          <cell r="DN229">
            <v>0</v>
          </cell>
          <cell r="DO229"/>
        </row>
        <row r="230">
          <cell r="N230">
            <v>0</v>
          </cell>
          <cell r="O230">
            <v>0</v>
          </cell>
          <cell r="P230"/>
          <cell r="Q230"/>
          <cell r="T230"/>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cell r="BM230">
            <v>0</v>
          </cell>
          <cell r="BN230">
            <v>0</v>
          </cell>
          <cell r="BO230">
            <v>0</v>
          </cell>
          <cell r="BP230">
            <v>0</v>
          </cell>
          <cell r="BQ230">
            <v>0</v>
          </cell>
          <cell r="BR230">
            <v>0</v>
          </cell>
          <cell r="BS230">
            <v>0</v>
          </cell>
          <cell r="BT230">
            <v>0</v>
          </cell>
          <cell r="BU230">
            <v>0</v>
          </cell>
          <cell r="BV230">
            <v>0</v>
          </cell>
          <cell r="BW230">
            <v>0</v>
          </cell>
          <cell r="BX230">
            <v>0</v>
          </cell>
          <cell r="BY230">
            <v>0</v>
          </cell>
          <cell r="BZ230">
            <v>0</v>
          </cell>
          <cell r="CA230">
            <v>0</v>
          </cell>
          <cell r="CB230">
            <v>0</v>
          </cell>
          <cell r="CC230">
            <v>0</v>
          </cell>
          <cell r="CD230">
            <v>0</v>
          </cell>
          <cell r="CE230">
            <v>0</v>
          </cell>
          <cell r="CF230">
            <v>0</v>
          </cell>
          <cell r="CG230">
            <v>0</v>
          </cell>
          <cell r="CH230">
            <v>0</v>
          </cell>
          <cell r="CI230">
            <v>0</v>
          </cell>
          <cell r="CJ230">
            <v>0</v>
          </cell>
          <cell r="CK230">
            <v>0</v>
          </cell>
          <cell r="CL230">
            <v>0</v>
          </cell>
          <cell r="CM230">
            <v>0</v>
          </cell>
          <cell r="CN230">
            <v>0</v>
          </cell>
          <cell r="CO230">
            <v>0</v>
          </cell>
          <cell r="CP230">
            <v>0</v>
          </cell>
          <cell r="CQ230">
            <v>0</v>
          </cell>
          <cell r="CR230">
            <v>0</v>
          </cell>
          <cell r="CS230">
            <v>0</v>
          </cell>
          <cell r="CT230">
            <v>0</v>
          </cell>
          <cell r="CU230">
            <v>0</v>
          </cell>
          <cell r="CV230">
            <v>0</v>
          </cell>
          <cell r="CW230">
            <v>0</v>
          </cell>
          <cell r="CX230">
            <v>0</v>
          </cell>
          <cell r="CY230">
            <v>0</v>
          </cell>
          <cell r="CZ230">
            <v>0</v>
          </cell>
          <cell r="DA230">
            <v>0</v>
          </cell>
          <cell r="DB230">
            <v>0</v>
          </cell>
          <cell r="DC230">
            <v>0</v>
          </cell>
          <cell r="DD230">
            <v>0</v>
          </cell>
          <cell r="DE230">
            <v>220</v>
          </cell>
          <cell r="DF230">
            <v>0</v>
          </cell>
          <cell r="DG230">
            <v>0</v>
          </cell>
          <cell r="DH230"/>
          <cell r="DI230">
            <v>0</v>
          </cell>
          <cell r="DK230" t="str">
            <v>OK</v>
          </cell>
          <cell r="DM230">
            <v>0</v>
          </cell>
          <cell r="DN230">
            <v>0</v>
          </cell>
          <cell r="DO230"/>
        </row>
        <row r="231">
          <cell r="N231">
            <v>0</v>
          </cell>
          <cell r="O231">
            <v>0</v>
          </cell>
          <cell r="P231"/>
          <cell r="Q231"/>
          <cell r="T231"/>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cell r="BM231">
            <v>0</v>
          </cell>
          <cell r="BN231">
            <v>0</v>
          </cell>
          <cell r="BO231">
            <v>0</v>
          </cell>
          <cell r="BP231">
            <v>0</v>
          </cell>
          <cell r="BQ231">
            <v>0</v>
          </cell>
          <cell r="BR231">
            <v>0</v>
          </cell>
          <cell r="BS231">
            <v>0</v>
          </cell>
          <cell r="BT231">
            <v>0</v>
          </cell>
          <cell r="BU231">
            <v>0</v>
          </cell>
          <cell r="BV231">
            <v>0</v>
          </cell>
          <cell r="BW231">
            <v>0</v>
          </cell>
          <cell r="BX231">
            <v>0</v>
          </cell>
          <cell r="BY231">
            <v>0</v>
          </cell>
          <cell r="BZ231">
            <v>0</v>
          </cell>
          <cell r="CA231">
            <v>0</v>
          </cell>
          <cell r="CB231">
            <v>0</v>
          </cell>
          <cell r="CC231">
            <v>0</v>
          </cell>
          <cell r="CD231">
            <v>0</v>
          </cell>
          <cell r="CE231">
            <v>0</v>
          </cell>
          <cell r="CF231">
            <v>0</v>
          </cell>
          <cell r="CG231">
            <v>0</v>
          </cell>
          <cell r="CH231">
            <v>0</v>
          </cell>
          <cell r="CI231">
            <v>0</v>
          </cell>
          <cell r="CJ231">
            <v>0</v>
          </cell>
          <cell r="CK231">
            <v>0</v>
          </cell>
          <cell r="CL231">
            <v>0</v>
          </cell>
          <cell r="CM231">
            <v>0</v>
          </cell>
          <cell r="CN231">
            <v>0</v>
          </cell>
          <cell r="CO231">
            <v>0</v>
          </cell>
          <cell r="CP231">
            <v>0</v>
          </cell>
          <cell r="CQ231">
            <v>0</v>
          </cell>
          <cell r="CR231">
            <v>0</v>
          </cell>
          <cell r="CS231">
            <v>0</v>
          </cell>
          <cell r="CT231">
            <v>0</v>
          </cell>
          <cell r="CU231">
            <v>0</v>
          </cell>
          <cell r="CV231">
            <v>0</v>
          </cell>
          <cell r="CW231">
            <v>0</v>
          </cell>
          <cell r="CX231">
            <v>0</v>
          </cell>
          <cell r="CY231">
            <v>0</v>
          </cell>
          <cell r="CZ231">
            <v>0</v>
          </cell>
          <cell r="DA231">
            <v>0</v>
          </cell>
          <cell r="DB231">
            <v>0</v>
          </cell>
          <cell r="DC231">
            <v>0</v>
          </cell>
          <cell r="DD231">
            <v>0</v>
          </cell>
          <cell r="DE231">
            <v>221</v>
          </cell>
          <cell r="DF231">
            <v>0</v>
          </cell>
          <cell r="DG231">
            <v>0</v>
          </cell>
          <cell r="DH231"/>
          <cell r="DI231">
            <v>0</v>
          </cell>
          <cell r="DK231" t="str">
            <v>OK</v>
          </cell>
          <cell r="DM231">
            <v>0</v>
          </cell>
          <cell r="DN231">
            <v>0</v>
          </cell>
          <cell r="DO231"/>
        </row>
        <row r="232">
          <cell r="N232">
            <v>0</v>
          </cell>
          <cell r="O232">
            <v>0</v>
          </cell>
          <cell r="P232"/>
          <cell r="Q232"/>
          <cell r="T232"/>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cell r="BM232">
            <v>0</v>
          </cell>
          <cell r="BN232">
            <v>0</v>
          </cell>
          <cell r="BO232">
            <v>0</v>
          </cell>
          <cell r="BP232">
            <v>0</v>
          </cell>
          <cell r="BQ232">
            <v>0</v>
          </cell>
          <cell r="BR232">
            <v>0</v>
          </cell>
          <cell r="BS232">
            <v>0</v>
          </cell>
          <cell r="BT232">
            <v>0</v>
          </cell>
          <cell r="BU232">
            <v>0</v>
          </cell>
          <cell r="BV232">
            <v>0</v>
          </cell>
          <cell r="BW232">
            <v>0</v>
          </cell>
          <cell r="BX232">
            <v>0</v>
          </cell>
          <cell r="BY232">
            <v>0</v>
          </cell>
          <cell r="BZ232">
            <v>0</v>
          </cell>
          <cell r="CA232">
            <v>0</v>
          </cell>
          <cell r="CB232">
            <v>0</v>
          </cell>
          <cell r="CC232">
            <v>0</v>
          </cell>
          <cell r="CD232">
            <v>0</v>
          </cell>
          <cell r="CE232">
            <v>0</v>
          </cell>
          <cell r="CF232">
            <v>0</v>
          </cell>
          <cell r="CG232">
            <v>0</v>
          </cell>
          <cell r="CH232">
            <v>0</v>
          </cell>
          <cell r="CI232">
            <v>0</v>
          </cell>
          <cell r="CJ232">
            <v>0</v>
          </cell>
          <cell r="CK232">
            <v>0</v>
          </cell>
          <cell r="CL232">
            <v>0</v>
          </cell>
          <cell r="CM232">
            <v>0</v>
          </cell>
          <cell r="CN232">
            <v>0</v>
          </cell>
          <cell r="CO232">
            <v>0</v>
          </cell>
          <cell r="CP232">
            <v>0</v>
          </cell>
          <cell r="CQ232">
            <v>0</v>
          </cell>
          <cell r="CR232">
            <v>0</v>
          </cell>
          <cell r="CS232">
            <v>0</v>
          </cell>
          <cell r="CT232">
            <v>0</v>
          </cell>
          <cell r="CU232">
            <v>0</v>
          </cell>
          <cell r="CV232">
            <v>0</v>
          </cell>
          <cell r="CW232">
            <v>0</v>
          </cell>
          <cell r="CX232">
            <v>0</v>
          </cell>
          <cell r="CY232">
            <v>0</v>
          </cell>
          <cell r="CZ232">
            <v>0</v>
          </cell>
          <cell r="DA232">
            <v>0</v>
          </cell>
          <cell r="DB232">
            <v>0</v>
          </cell>
          <cell r="DC232">
            <v>0</v>
          </cell>
          <cell r="DD232">
            <v>0</v>
          </cell>
          <cell r="DE232">
            <v>222</v>
          </cell>
          <cell r="DF232">
            <v>0</v>
          </cell>
          <cell r="DG232">
            <v>0</v>
          </cell>
          <cell r="DH232"/>
          <cell r="DI232">
            <v>0</v>
          </cell>
          <cell r="DK232" t="str">
            <v>OK</v>
          </cell>
          <cell r="DM232">
            <v>0</v>
          </cell>
          <cell r="DN232">
            <v>0</v>
          </cell>
          <cell r="DO232"/>
        </row>
        <row r="233">
          <cell r="N233">
            <v>0</v>
          </cell>
          <cell r="O233">
            <v>0</v>
          </cell>
          <cell r="P233"/>
          <cell r="Q233"/>
          <cell r="T233"/>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cell r="BM233">
            <v>0</v>
          </cell>
          <cell r="BN233">
            <v>0</v>
          </cell>
          <cell r="BO233">
            <v>0</v>
          </cell>
          <cell r="BP233">
            <v>0</v>
          </cell>
          <cell r="BQ233">
            <v>0</v>
          </cell>
          <cell r="BR233">
            <v>0</v>
          </cell>
          <cell r="BS233">
            <v>0</v>
          </cell>
          <cell r="BT233">
            <v>0</v>
          </cell>
          <cell r="BU233">
            <v>0</v>
          </cell>
          <cell r="BV233">
            <v>0</v>
          </cell>
          <cell r="BW233">
            <v>0</v>
          </cell>
          <cell r="BX233">
            <v>0</v>
          </cell>
          <cell r="BY233">
            <v>0</v>
          </cell>
          <cell r="BZ233">
            <v>0</v>
          </cell>
          <cell r="CA233">
            <v>0</v>
          </cell>
          <cell r="CB233">
            <v>0</v>
          </cell>
          <cell r="CC233">
            <v>0</v>
          </cell>
          <cell r="CD233">
            <v>0</v>
          </cell>
          <cell r="CE233">
            <v>0</v>
          </cell>
          <cell r="CF233">
            <v>0</v>
          </cell>
          <cell r="CG233">
            <v>0</v>
          </cell>
          <cell r="CH233">
            <v>0</v>
          </cell>
          <cell r="CI233">
            <v>0</v>
          </cell>
          <cell r="CJ233">
            <v>0</v>
          </cell>
          <cell r="CK233">
            <v>0</v>
          </cell>
          <cell r="CL233">
            <v>0</v>
          </cell>
          <cell r="CM233">
            <v>0</v>
          </cell>
          <cell r="CN233">
            <v>0</v>
          </cell>
          <cell r="CO233">
            <v>0</v>
          </cell>
          <cell r="CP233">
            <v>0</v>
          </cell>
          <cell r="CQ233">
            <v>0</v>
          </cell>
          <cell r="CR233">
            <v>0</v>
          </cell>
          <cell r="CS233">
            <v>0</v>
          </cell>
          <cell r="CT233">
            <v>0</v>
          </cell>
          <cell r="CU233">
            <v>0</v>
          </cell>
          <cell r="CV233">
            <v>0</v>
          </cell>
          <cell r="CW233">
            <v>0</v>
          </cell>
          <cell r="CX233">
            <v>0</v>
          </cell>
          <cell r="CY233">
            <v>0</v>
          </cell>
          <cell r="CZ233">
            <v>0</v>
          </cell>
          <cell r="DA233">
            <v>0</v>
          </cell>
          <cell r="DB233">
            <v>0</v>
          </cell>
          <cell r="DC233">
            <v>0</v>
          </cell>
          <cell r="DD233">
            <v>0</v>
          </cell>
          <cell r="DE233">
            <v>223</v>
          </cell>
          <cell r="DF233">
            <v>0</v>
          </cell>
          <cell r="DG233">
            <v>0</v>
          </cell>
          <cell r="DH233"/>
          <cell r="DI233">
            <v>0</v>
          </cell>
          <cell r="DK233" t="str">
            <v>OK</v>
          </cell>
          <cell r="DM233">
            <v>0</v>
          </cell>
          <cell r="DN233">
            <v>0</v>
          </cell>
          <cell r="DO233"/>
        </row>
        <row r="234">
          <cell r="N234">
            <v>0</v>
          </cell>
          <cell r="O234">
            <v>0</v>
          </cell>
          <cell r="P234"/>
          <cell r="Q234"/>
          <cell r="T234"/>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cell r="BM234">
            <v>0</v>
          </cell>
          <cell r="BN234">
            <v>0</v>
          </cell>
          <cell r="BO234">
            <v>0</v>
          </cell>
          <cell r="BP234">
            <v>0</v>
          </cell>
          <cell r="BQ234">
            <v>0</v>
          </cell>
          <cell r="BR234">
            <v>0</v>
          </cell>
          <cell r="BS234">
            <v>0</v>
          </cell>
          <cell r="BT234">
            <v>0</v>
          </cell>
          <cell r="BU234">
            <v>0</v>
          </cell>
          <cell r="BV234">
            <v>0</v>
          </cell>
          <cell r="BW234">
            <v>0</v>
          </cell>
          <cell r="BX234">
            <v>0</v>
          </cell>
          <cell r="BY234">
            <v>0</v>
          </cell>
          <cell r="BZ234">
            <v>0</v>
          </cell>
          <cell r="CA234">
            <v>0</v>
          </cell>
          <cell r="CB234">
            <v>0</v>
          </cell>
          <cell r="CC234">
            <v>0</v>
          </cell>
          <cell r="CD234">
            <v>0</v>
          </cell>
          <cell r="CE234">
            <v>0</v>
          </cell>
          <cell r="CF234">
            <v>0</v>
          </cell>
          <cell r="CG234">
            <v>0</v>
          </cell>
          <cell r="CH234">
            <v>0</v>
          </cell>
          <cell r="CI234">
            <v>0</v>
          </cell>
          <cell r="CJ234">
            <v>0</v>
          </cell>
          <cell r="CK234">
            <v>0</v>
          </cell>
          <cell r="CL234">
            <v>0</v>
          </cell>
          <cell r="CM234">
            <v>0</v>
          </cell>
          <cell r="CN234">
            <v>0</v>
          </cell>
          <cell r="CO234">
            <v>0</v>
          </cell>
          <cell r="CP234">
            <v>0</v>
          </cell>
          <cell r="CQ234">
            <v>0</v>
          </cell>
          <cell r="CR234">
            <v>0</v>
          </cell>
          <cell r="CS234">
            <v>0</v>
          </cell>
          <cell r="CT234">
            <v>0</v>
          </cell>
          <cell r="CU234">
            <v>0</v>
          </cell>
          <cell r="CV234">
            <v>0</v>
          </cell>
          <cell r="CW234">
            <v>0</v>
          </cell>
          <cell r="CX234">
            <v>0</v>
          </cell>
          <cell r="CY234">
            <v>0</v>
          </cell>
          <cell r="CZ234">
            <v>0</v>
          </cell>
          <cell r="DA234">
            <v>0</v>
          </cell>
          <cell r="DB234">
            <v>0</v>
          </cell>
          <cell r="DC234">
            <v>0</v>
          </cell>
          <cell r="DD234">
            <v>0</v>
          </cell>
          <cell r="DE234">
            <v>224</v>
          </cell>
          <cell r="DF234">
            <v>0</v>
          </cell>
          <cell r="DG234">
            <v>0</v>
          </cell>
          <cell r="DH234"/>
          <cell r="DI234">
            <v>0</v>
          </cell>
          <cell r="DK234" t="str">
            <v>OK</v>
          </cell>
          <cell r="DM234">
            <v>0</v>
          </cell>
          <cell r="DN234">
            <v>0</v>
          </cell>
          <cell r="DO234"/>
        </row>
        <row r="235">
          <cell r="N235">
            <v>0</v>
          </cell>
          <cell r="O235">
            <v>0</v>
          </cell>
          <cell r="P235"/>
          <cell r="Q235"/>
          <cell r="T235"/>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cell r="BM235">
            <v>0</v>
          </cell>
          <cell r="BN235">
            <v>0</v>
          </cell>
          <cell r="BO235">
            <v>0</v>
          </cell>
          <cell r="BP235">
            <v>0</v>
          </cell>
          <cell r="BQ235">
            <v>0</v>
          </cell>
          <cell r="BR235">
            <v>0</v>
          </cell>
          <cell r="BS235">
            <v>0</v>
          </cell>
          <cell r="BT235">
            <v>0</v>
          </cell>
          <cell r="BU235">
            <v>0</v>
          </cell>
          <cell r="BV235">
            <v>0</v>
          </cell>
          <cell r="BW235">
            <v>0</v>
          </cell>
          <cell r="BX235">
            <v>0</v>
          </cell>
          <cell r="BY235">
            <v>0</v>
          </cell>
          <cell r="BZ235">
            <v>0</v>
          </cell>
          <cell r="CA235">
            <v>0</v>
          </cell>
          <cell r="CB235">
            <v>0</v>
          </cell>
          <cell r="CC235">
            <v>0</v>
          </cell>
          <cell r="CD235">
            <v>0</v>
          </cell>
          <cell r="CE235">
            <v>0</v>
          </cell>
          <cell r="CF235">
            <v>0</v>
          </cell>
          <cell r="CG235">
            <v>0</v>
          </cell>
          <cell r="CH235">
            <v>0</v>
          </cell>
          <cell r="CI235">
            <v>0</v>
          </cell>
          <cell r="CJ235">
            <v>0</v>
          </cell>
          <cell r="CK235">
            <v>0</v>
          </cell>
          <cell r="CL235">
            <v>0</v>
          </cell>
          <cell r="CM235">
            <v>0</v>
          </cell>
          <cell r="CN235">
            <v>0</v>
          </cell>
          <cell r="CO235">
            <v>0</v>
          </cell>
          <cell r="CP235">
            <v>0</v>
          </cell>
          <cell r="CQ235">
            <v>0</v>
          </cell>
          <cell r="CR235">
            <v>0</v>
          </cell>
          <cell r="CS235">
            <v>0</v>
          </cell>
          <cell r="CT235">
            <v>0</v>
          </cell>
          <cell r="CU235">
            <v>0</v>
          </cell>
          <cell r="CV235">
            <v>0</v>
          </cell>
          <cell r="CW235">
            <v>0</v>
          </cell>
          <cell r="CX235">
            <v>0</v>
          </cell>
          <cell r="CY235">
            <v>0</v>
          </cell>
          <cell r="CZ235">
            <v>0</v>
          </cell>
          <cell r="DA235">
            <v>0</v>
          </cell>
          <cell r="DB235">
            <v>0</v>
          </cell>
          <cell r="DC235">
            <v>0</v>
          </cell>
          <cell r="DD235">
            <v>0</v>
          </cell>
          <cell r="DE235">
            <v>225</v>
          </cell>
          <cell r="DF235">
            <v>0</v>
          </cell>
          <cell r="DG235">
            <v>0</v>
          </cell>
          <cell r="DH235"/>
          <cell r="DI235">
            <v>0</v>
          </cell>
          <cell r="DK235" t="str">
            <v>OK</v>
          </cell>
          <cell r="DM235">
            <v>0</v>
          </cell>
          <cell r="DN235">
            <v>0</v>
          </cell>
          <cell r="DO235"/>
        </row>
        <row r="236">
          <cell r="N236">
            <v>0</v>
          </cell>
          <cell r="O236">
            <v>0</v>
          </cell>
          <cell r="P236"/>
          <cell r="Q236"/>
          <cell r="T236"/>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cell r="BM236">
            <v>0</v>
          </cell>
          <cell r="BN236">
            <v>0</v>
          </cell>
          <cell r="BO236">
            <v>0</v>
          </cell>
          <cell r="BP236">
            <v>0</v>
          </cell>
          <cell r="BQ236">
            <v>0</v>
          </cell>
          <cell r="BR236">
            <v>0</v>
          </cell>
          <cell r="BS236">
            <v>0</v>
          </cell>
          <cell r="BT236">
            <v>0</v>
          </cell>
          <cell r="BU236">
            <v>0</v>
          </cell>
          <cell r="BV236">
            <v>0</v>
          </cell>
          <cell r="BW236">
            <v>0</v>
          </cell>
          <cell r="BX236">
            <v>0</v>
          </cell>
          <cell r="BY236">
            <v>0</v>
          </cell>
          <cell r="BZ236">
            <v>0</v>
          </cell>
          <cell r="CA236">
            <v>0</v>
          </cell>
          <cell r="CB236">
            <v>0</v>
          </cell>
          <cell r="CC236">
            <v>0</v>
          </cell>
          <cell r="CD236">
            <v>0</v>
          </cell>
          <cell r="CE236">
            <v>0</v>
          </cell>
          <cell r="CF236">
            <v>0</v>
          </cell>
          <cell r="CG236">
            <v>0</v>
          </cell>
          <cell r="CH236">
            <v>0</v>
          </cell>
          <cell r="CI236">
            <v>0</v>
          </cell>
          <cell r="CJ236">
            <v>0</v>
          </cell>
          <cell r="CK236">
            <v>0</v>
          </cell>
          <cell r="CL236">
            <v>0</v>
          </cell>
          <cell r="CM236">
            <v>0</v>
          </cell>
          <cell r="CN236">
            <v>0</v>
          </cell>
          <cell r="CO236">
            <v>0</v>
          </cell>
          <cell r="CP236">
            <v>0</v>
          </cell>
          <cell r="CQ236">
            <v>0</v>
          </cell>
          <cell r="CR236">
            <v>0</v>
          </cell>
          <cell r="CS236">
            <v>0</v>
          </cell>
          <cell r="CT236">
            <v>0</v>
          </cell>
          <cell r="CU236">
            <v>0</v>
          </cell>
          <cell r="CV236">
            <v>0</v>
          </cell>
          <cell r="CW236">
            <v>0</v>
          </cell>
          <cell r="CX236">
            <v>0</v>
          </cell>
          <cell r="CY236">
            <v>0</v>
          </cell>
          <cell r="CZ236">
            <v>0</v>
          </cell>
          <cell r="DA236">
            <v>0</v>
          </cell>
          <cell r="DB236">
            <v>0</v>
          </cell>
          <cell r="DC236">
            <v>0</v>
          </cell>
          <cell r="DD236">
            <v>0</v>
          </cell>
          <cell r="DE236">
            <v>226</v>
          </cell>
          <cell r="DF236">
            <v>0</v>
          </cell>
          <cell r="DG236">
            <v>0</v>
          </cell>
          <cell r="DH236"/>
          <cell r="DI236">
            <v>0</v>
          </cell>
          <cell r="DK236" t="str">
            <v>OK</v>
          </cell>
          <cell r="DM236">
            <v>0</v>
          </cell>
          <cell r="DN236">
            <v>0</v>
          </cell>
          <cell r="DO236"/>
        </row>
        <row r="237">
          <cell r="N237">
            <v>0</v>
          </cell>
          <cell r="O237">
            <v>0</v>
          </cell>
          <cell r="P237"/>
          <cell r="Q237"/>
          <cell r="T237"/>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cell r="BM237">
            <v>0</v>
          </cell>
          <cell r="BN237">
            <v>0</v>
          </cell>
          <cell r="BO237">
            <v>0</v>
          </cell>
          <cell r="BP237">
            <v>0</v>
          </cell>
          <cell r="BQ237">
            <v>0</v>
          </cell>
          <cell r="BR237">
            <v>0</v>
          </cell>
          <cell r="BS237">
            <v>0</v>
          </cell>
          <cell r="BT237">
            <v>0</v>
          </cell>
          <cell r="BU237">
            <v>0</v>
          </cell>
          <cell r="BV237">
            <v>0</v>
          </cell>
          <cell r="BW237">
            <v>0</v>
          </cell>
          <cell r="BX237">
            <v>0</v>
          </cell>
          <cell r="BY237">
            <v>0</v>
          </cell>
          <cell r="BZ237">
            <v>0</v>
          </cell>
          <cell r="CA237">
            <v>0</v>
          </cell>
          <cell r="CB237">
            <v>0</v>
          </cell>
          <cell r="CC237">
            <v>0</v>
          </cell>
          <cell r="CD237">
            <v>0</v>
          </cell>
          <cell r="CE237">
            <v>0</v>
          </cell>
          <cell r="CF237">
            <v>0</v>
          </cell>
          <cell r="CG237">
            <v>0</v>
          </cell>
          <cell r="CH237">
            <v>0</v>
          </cell>
          <cell r="CI237">
            <v>0</v>
          </cell>
          <cell r="CJ237">
            <v>0</v>
          </cell>
          <cell r="CK237">
            <v>0</v>
          </cell>
          <cell r="CL237">
            <v>0</v>
          </cell>
          <cell r="CM237">
            <v>0</v>
          </cell>
          <cell r="CN237">
            <v>0</v>
          </cell>
          <cell r="CO237">
            <v>0</v>
          </cell>
          <cell r="CP237">
            <v>0</v>
          </cell>
          <cell r="CQ237">
            <v>0</v>
          </cell>
          <cell r="CR237">
            <v>0</v>
          </cell>
          <cell r="CS237">
            <v>0</v>
          </cell>
          <cell r="CT237">
            <v>0</v>
          </cell>
          <cell r="CU237">
            <v>0</v>
          </cell>
          <cell r="CV237">
            <v>0</v>
          </cell>
          <cell r="CW237">
            <v>0</v>
          </cell>
          <cell r="CX237">
            <v>0</v>
          </cell>
          <cell r="CY237">
            <v>0</v>
          </cell>
          <cell r="CZ237">
            <v>0</v>
          </cell>
          <cell r="DA237">
            <v>0</v>
          </cell>
          <cell r="DB237">
            <v>0</v>
          </cell>
          <cell r="DC237">
            <v>0</v>
          </cell>
          <cell r="DD237">
            <v>0</v>
          </cell>
          <cell r="DE237">
            <v>227</v>
          </cell>
          <cell r="DF237">
            <v>0</v>
          </cell>
          <cell r="DG237">
            <v>0</v>
          </cell>
          <cell r="DH237"/>
          <cell r="DI237">
            <v>0</v>
          </cell>
          <cell r="DK237" t="str">
            <v>OK</v>
          </cell>
          <cell r="DM237">
            <v>0</v>
          </cell>
          <cell r="DN237">
            <v>0</v>
          </cell>
          <cell r="DO237"/>
        </row>
        <row r="238">
          <cell r="N238">
            <v>0</v>
          </cell>
          <cell r="O238">
            <v>0</v>
          </cell>
          <cell r="P238"/>
          <cell r="Q238"/>
          <cell r="T238"/>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cell r="BM238">
            <v>0</v>
          </cell>
          <cell r="BN238">
            <v>0</v>
          </cell>
          <cell r="BO238">
            <v>0</v>
          </cell>
          <cell r="BP238">
            <v>0</v>
          </cell>
          <cell r="BQ238">
            <v>0</v>
          </cell>
          <cell r="BR238">
            <v>0</v>
          </cell>
          <cell r="BS238">
            <v>0</v>
          </cell>
          <cell r="BT238">
            <v>0</v>
          </cell>
          <cell r="BU238">
            <v>0</v>
          </cell>
          <cell r="BV238">
            <v>0</v>
          </cell>
          <cell r="BW238">
            <v>0</v>
          </cell>
          <cell r="BX238">
            <v>0</v>
          </cell>
          <cell r="BY238">
            <v>0</v>
          </cell>
          <cell r="BZ238">
            <v>0</v>
          </cell>
          <cell r="CA238">
            <v>0</v>
          </cell>
          <cell r="CB238">
            <v>0</v>
          </cell>
          <cell r="CC238">
            <v>0</v>
          </cell>
          <cell r="CD238">
            <v>0</v>
          </cell>
          <cell r="CE238">
            <v>0</v>
          </cell>
          <cell r="CF238">
            <v>0</v>
          </cell>
          <cell r="CG238">
            <v>0</v>
          </cell>
          <cell r="CH238">
            <v>0</v>
          </cell>
          <cell r="CI238">
            <v>0</v>
          </cell>
          <cell r="CJ238">
            <v>0</v>
          </cell>
          <cell r="CK238">
            <v>0</v>
          </cell>
          <cell r="CL238">
            <v>0</v>
          </cell>
          <cell r="CM238">
            <v>0</v>
          </cell>
          <cell r="CN238">
            <v>0</v>
          </cell>
          <cell r="CO238">
            <v>0</v>
          </cell>
          <cell r="CP238">
            <v>0</v>
          </cell>
          <cell r="CQ238">
            <v>0</v>
          </cell>
          <cell r="CR238">
            <v>0</v>
          </cell>
          <cell r="CS238">
            <v>0</v>
          </cell>
          <cell r="CT238">
            <v>0</v>
          </cell>
          <cell r="CU238">
            <v>0</v>
          </cell>
          <cell r="CV238">
            <v>0</v>
          </cell>
          <cell r="CW238">
            <v>0</v>
          </cell>
          <cell r="CX238">
            <v>0</v>
          </cell>
          <cell r="CY238">
            <v>0</v>
          </cell>
          <cell r="CZ238">
            <v>0</v>
          </cell>
          <cell r="DA238">
            <v>0</v>
          </cell>
          <cell r="DB238">
            <v>0</v>
          </cell>
          <cell r="DC238">
            <v>0</v>
          </cell>
          <cell r="DD238">
            <v>0</v>
          </cell>
          <cell r="DE238">
            <v>228</v>
          </cell>
          <cell r="DF238">
            <v>0</v>
          </cell>
          <cell r="DG238">
            <v>0</v>
          </cell>
          <cell r="DH238"/>
          <cell r="DI238">
            <v>0</v>
          </cell>
          <cell r="DK238" t="str">
            <v>OK</v>
          </cell>
          <cell r="DM238">
            <v>0</v>
          </cell>
          <cell r="DN238">
            <v>0</v>
          </cell>
          <cell r="DO238"/>
        </row>
        <row r="239">
          <cell r="N239">
            <v>0</v>
          </cell>
          <cell r="O239">
            <v>0</v>
          </cell>
          <cell r="P239"/>
          <cell r="Q239"/>
          <cell r="T239"/>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cell r="BM239">
            <v>0</v>
          </cell>
          <cell r="BN239">
            <v>0</v>
          </cell>
          <cell r="BO239">
            <v>0</v>
          </cell>
          <cell r="BP239">
            <v>0</v>
          </cell>
          <cell r="BQ239">
            <v>0</v>
          </cell>
          <cell r="BR239">
            <v>0</v>
          </cell>
          <cell r="BS239">
            <v>0</v>
          </cell>
          <cell r="BT239">
            <v>0</v>
          </cell>
          <cell r="BU239">
            <v>0</v>
          </cell>
          <cell r="BV239">
            <v>0</v>
          </cell>
          <cell r="BW239">
            <v>0</v>
          </cell>
          <cell r="BX239">
            <v>0</v>
          </cell>
          <cell r="BY239">
            <v>0</v>
          </cell>
          <cell r="BZ239">
            <v>0</v>
          </cell>
          <cell r="CA239">
            <v>0</v>
          </cell>
          <cell r="CB239">
            <v>0</v>
          </cell>
          <cell r="CC239">
            <v>0</v>
          </cell>
          <cell r="CD239">
            <v>0</v>
          </cell>
          <cell r="CE239">
            <v>0</v>
          </cell>
          <cell r="CF239">
            <v>0</v>
          </cell>
          <cell r="CG239">
            <v>0</v>
          </cell>
          <cell r="CH239">
            <v>0</v>
          </cell>
          <cell r="CI239">
            <v>0</v>
          </cell>
          <cell r="CJ239">
            <v>0</v>
          </cell>
          <cell r="CK239">
            <v>0</v>
          </cell>
          <cell r="CL239">
            <v>0</v>
          </cell>
          <cell r="CM239">
            <v>0</v>
          </cell>
          <cell r="CN239">
            <v>0</v>
          </cell>
          <cell r="CO239">
            <v>0</v>
          </cell>
          <cell r="CP239">
            <v>0</v>
          </cell>
          <cell r="CQ239">
            <v>0</v>
          </cell>
          <cell r="CR239">
            <v>0</v>
          </cell>
          <cell r="CS239">
            <v>0</v>
          </cell>
          <cell r="CT239">
            <v>0</v>
          </cell>
          <cell r="CU239">
            <v>0</v>
          </cell>
          <cell r="CV239">
            <v>0</v>
          </cell>
          <cell r="CW239">
            <v>0</v>
          </cell>
          <cell r="CX239">
            <v>0</v>
          </cell>
          <cell r="CY239">
            <v>0</v>
          </cell>
          <cell r="CZ239">
            <v>0</v>
          </cell>
          <cell r="DA239">
            <v>0</v>
          </cell>
          <cell r="DB239">
            <v>0</v>
          </cell>
          <cell r="DC239">
            <v>0</v>
          </cell>
          <cell r="DD239">
            <v>0</v>
          </cell>
          <cell r="DE239">
            <v>229</v>
          </cell>
          <cell r="DF239">
            <v>0</v>
          </cell>
          <cell r="DG239">
            <v>0</v>
          </cell>
          <cell r="DH239"/>
          <cell r="DI239">
            <v>0</v>
          </cell>
          <cell r="DK239" t="str">
            <v>OK</v>
          </cell>
          <cell r="DM239">
            <v>0</v>
          </cell>
          <cell r="DN239">
            <v>0</v>
          </cell>
          <cell r="DO239"/>
        </row>
        <row r="240">
          <cell r="N240">
            <v>0</v>
          </cell>
          <cell r="O240">
            <v>0</v>
          </cell>
          <cell r="P240"/>
          <cell r="Q240"/>
          <cell r="T240"/>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cell r="BM240">
            <v>0</v>
          </cell>
          <cell r="BN240">
            <v>0</v>
          </cell>
          <cell r="BO240">
            <v>0</v>
          </cell>
          <cell r="BP240">
            <v>0</v>
          </cell>
          <cell r="BQ240">
            <v>0</v>
          </cell>
          <cell r="BR240">
            <v>0</v>
          </cell>
          <cell r="BS240">
            <v>0</v>
          </cell>
          <cell r="BT240">
            <v>0</v>
          </cell>
          <cell r="BU240">
            <v>0</v>
          </cell>
          <cell r="BV240">
            <v>0</v>
          </cell>
          <cell r="BW240">
            <v>0</v>
          </cell>
          <cell r="BX240">
            <v>0</v>
          </cell>
          <cell r="BY240">
            <v>0</v>
          </cell>
          <cell r="BZ240">
            <v>0</v>
          </cell>
          <cell r="CA240">
            <v>0</v>
          </cell>
          <cell r="CB240">
            <v>0</v>
          </cell>
          <cell r="CC240">
            <v>0</v>
          </cell>
          <cell r="CD240">
            <v>0</v>
          </cell>
          <cell r="CE240">
            <v>0</v>
          </cell>
          <cell r="CF240">
            <v>0</v>
          </cell>
          <cell r="CG240">
            <v>0</v>
          </cell>
          <cell r="CH240">
            <v>0</v>
          </cell>
          <cell r="CI240">
            <v>0</v>
          </cell>
          <cell r="CJ240">
            <v>0</v>
          </cell>
          <cell r="CK240">
            <v>0</v>
          </cell>
          <cell r="CL240">
            <v>0</v>
          </cell>
          <cell r="CM240">
            <v>0</v>
          </cell>
          <cell r="CN240">
            <v>0</v>
          </cell>
          <cell r="CO240">
            <v>0</v>
          </cell>
          <cell r="CP240">
            <v>0</v>
          </cell>
          <cell r="CQ240">
            <v>0</v>
          </cell>
          <cell r="CR240">
            <v>0</v>
          </cell>
          <cell r="CS240">
            <v>0</v>
          </cell>
          <cell r="CT240">
            <v>0</v>
          </cell>
          <cell r="CU240">
            <v>0</v>
          </cell>
          <cell r="CV240">
            <v>0</v>
          </cell>
          <cell r="CW240">
            <v>0</v>
          </cell>
          <cell r="CX240">
            <v>0</v>
          </cell>
          <cell r="CY240">
            <v>0</v>
          </cell>
          <cell r="CZ240">
            <v>0</v>
          </cell>
          <cell r="DA240">
            <v>0</v>
          </cell>
          <cell r="DB240">
            <v>0</v>
          </cell>
          <cell r="DC240">
            <v>0</v>
          </cell>
          <cell r="DD240">
            <v>0</v>
          </cell>
          <cell r="DE240">
            <v>230</v>
          </cell>
          <cell r="DF240">
            <v>0</v>
          </cell>
          <cell r="DG240">
            <v>0</v>
          </cell>
          <cell r="DH240"/>
          <cell r="DI240">
            <v>0</v>
          </cell>
          <cell r="DK240" t="str">
            <v>OK</v>
          </cell>
          <cell r="DM240">
            <v>0</v>
          </cell>
          <cell r="DN240">
            <v>0</v>
          </cell>
          <cell r="DO240"/>
        </row>
        <row r="241">
          <cell r="N241">
            <v>0</v>
          </cell>
          <cell r="O241">
            <v>0</v>
          </cell>
          <cell r="P241"/>
          <cell r="Q241"/>
          <cell r="T241"/>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cell r="BM241">
            <v>0</v>
          </cell>
          <cell r="BN241">
            <v>0</v>
          </cell>
          <cell r="BO241">
            <v>0</v>
          </cell>
          <cell r="BP241">
            <v>0</v>
          </cell>
          <cell r="BQ241">
            <v>0</v>
          </cell>
          <cell r="BR241">
            <v>0</v>
          </cell>
          <cell r="BS241">
            <v>0</v>
          </cell>
          <cell r="BT241">
            <v>0</v>
          </cell>
          <cell r="BU241">
            <v>0</v>
          </cell>
          <cell r="BV241">
            <v>0</v>
          </cell>
          <cell r="BW241">
            <v>0</v>
          </cell>
          <cell r="BX241">
            <v>0</v>
          </cell>
          <cell r="BY241">
            <v>0</v>
          </cell>
          <cell r="BZ241">
            <v>0</v>
          </cell>
          <cell r="CA241">
            <v>0</v>
          </cell>
          <cell r="CB241">
            <v>0</v>
          </cell>
          <cell r="CC241">
            <v>0</v>
          </cell>
          <cell r="CD241">
            <v>0</v>
          </cell>
          <cell r="CE241">
            <v>0</v>
          </cell>
          <cell r="CF241">
            <v>0</v>
          </cell>
          <cell r="CG241">
            <v>0</v>
          </cell>
          <cell r="CH241">
            <v>0</v>
          </cell>
          <cell r="CI241">
            <v>0</v>
          </cell>
          <cell r="CJ241">
            <v>0</v>
          </cell>
          <cell r="CK241">
            <v>0</v>
          </cell>
          <cell r="CL241">
            <v>0</v>
          </cell>
          <cell r="CM241">
            <v>0</v>
          </cell>
          <cell r="CN241">
            <v>0</v>
          </cell>
          <cell r="CO241">
            <v>0</v>
          </cell>
          <cell r="CP241">
            <v>0</v>
          </cell>
          <cell r="CQ241">
            <v>0</v>
          </cell>
          <cell r="CR241">
            <v>0</v>
          </cell>
          <cell r="CS241">
            <v>0</v>
          </cell>
          <cell r="CT241">
            <v>0</v>
          </cell>
          <cell r="CU241">
            <v>0</v>
          </cell>
          <cell r="CV241">
            <v>0</v>
          </cell>
          <cell r="CW241">
            <v>0</v>
          </cell>
          <cell r="CX241">
            <v>0</v>
          </cell>
          <cell r="CY241">
            <v>0</v>
          </cell>
          <cell r="CZ241">
            <v>0</v>
          </cell>
          <cell r="DA241">
            <v>0</v>
          </cell>
          <cell r="DB241">
            <v>0</v>
          </cell>
          <cell r="DC241">
            <v>0</v>
          </cell>
          <cell r="DD241">
            <v>0</v>
          </cell>
          <cell r="DE241">
            <v>231</v>
          </cell>
          <cell r="DF241">
            <v>0</v>
          </cell>
          <cell r="DG241">
            <v>0</v>
          </cell>
          <cell r="DH241"/>
          <cell r="DI241">
            <v>0</v>
          </cell>
          <cell r="DK241" t="str">
            <v>OK</v>
          </cell>
          <cell r="DM241">
            <v>0</v>
          </cell>
          <cell r="DN241">
            <v>0</v>
          </cell>
          <cell r="DO241"/>
        </row>
        <row r="242">
          <cell r="N242">
            <v>0</v>
          </cell>
          <cell r="O242">
            <v>0</v>
          </cell>
          <cell r="P242"/>
          <cell r="Q242"/>
          <cell r="T242"/>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cell r="BM242">
            <v>0</v>
          </cell>
          <cell r="BN242">
            <v>0</v>
          </cell>
          <cell r="BO242">
            <v>0</v>
          </cell>
          <cell r="BP242">
            <v>0</v>
          </cell>
          <cell r="BQ242">
            <v>0</v>
          </cell>
          <cell r="BR242">
            <v>0</v>
          </cell>
          <cell r="BS242">
            <v>0</v>
          </cell>
          <cell r="BT242">
            <v>0</v>
          </cell>
          <cell r="BU242">
            <v>0</v>
          </cell>
          <cell r="BV242">
            <v>0</v>
          </cell>
          <cell r="BW242">
            <v>0</v>
          </cell>
          <cell r="BX242">
            <v>0</v>
          </cell>
          <cell r="BY242">
            <v>0</v>
          </cell>
          <cell r="BZ242">
            <v>0</v>
          </cell>
          <cell r="CA242">
            <v>0</v>
          </cell>
          <cell r="CB242">
            <v>0</v>
          </cell>
          <cell r="CC242">
            <v>0</v>
          </cell>
          <cell r="CD242">
            <v>0</v>
          </cell>
          <cell r="CE242">
            <v>0</v>
          </cell>
          <cell r="CF242">
            <v>0</v>
          </cell>
          <cell r="CG242">
            <v>0</v>
          </cell>
          <cell r="CH242">
            <v>0</v>
          </cell>
          <cell r="CI242">
            <v>0</v>
          </cell>
          <cell r="CJ242">
            <v>0</v>
          </cell>
          <cell r="CK242">
            <v>0</v>
          </cell>
          <cell r="CL242">
            <v>0</v>
          </cell>
          <cell r="CM242">
            <v>0</v>
          </cell>
          <cell r="CN242">
            <v>0</v>
          </cell>
          <cell r="CO242">
            <v>0</v>
          </cell>
          <cell r="CP242">
            <v>0</v>
          </cell>
          <cell r="CQ242">
            <v>0</v>
          </cell>
          <cell r="CR242">
            <v>0</v>
          </cell>
          <cell r="CS242">
            <v>0</v>
          </cell>
          <cell r="CT242">
            <v>0</v>
          </cell>
          <cell r="CU242">
            <v>0</v>
          </cell>
          <cell r="CV242">
            <v>0</v>
          </cell>
          <cell r="CW242">
            <v>0</v>
          </cell>
          <cell r="CX242">
            <v>0</v>
          </cell>
          <cell r="CY242">
            <v>0</v>
          </cell>
          <cell r="CZ242">
            <v>0</v>
          </cell>
          <cell r="DA242">
            <v>0</v>
          </cell>
          <cell r="DB242">
            <v>0</v>
          </cell>
          <cell r="DC242">
            <v>0</v>
          </cell>
          <cell r="DD242">
            <v>0</v>
          </cell>
          <cell r="DE242">
            <v>232</v>
          </cell>
          <cell r="DF242">
            <v>0</v>
          </cell>
          <cell r="DG242">
            <v>0</v>
          </cell>
          <cell r="DH242"/>
          <cell r="DI242">
            <v>0</v>
          </cell>
          <cell r="DK242" t="str">
            <v>OK</v>
          </cell>
          <cell r="DM242">
            <v>0</v>
          </cell>
          <cell r="DN242">
            <v>0</v>
          </cell>
          <cell r="DO242"/>
        </row>
        <row r="243">
          <cell r="N243">
            <v>0</v>
          </cell>
          <cell r="O243">
            <v>0</v>
          </cell>
          <cell r="P243"/>
          <cell r="Q243"/>
          <cell r="T243"/>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cell r="BM243">
            <v>0</v>
          </cell>
          <cell r="BN243">
            <v>0</v>
          </cell>
          <cell r="BO243">
            <v>0</v>
          </cell>
          <cell r="BP243">
            <v>0</v>
          </cell>
          <cell r="BQ243">
            <v>0</v>
          </cell>
          <cell r="BR243">
            <v>0</v>
          </cell>
          <cell r="BS243">
            <v>0</v>
          </cell>
          <cell r="BT243">
            <v>0</v>
          </cell>
          <cell r="BU243">
            <v>0</v>
          </cell>
          <cell r="BV243">
            <v>0</v>
          </cell>
          <cell r="BW243">
            <v>0</v>
          </cell>
          <cell r="BX243">
            <v>0</v>
          </cell>
          <cell r="BY243">
            <v>0</v>
          </cell>
          <cell r="BZ243">
            <v>0</v>
          </cell>
          <cell r="CA243">
            <v>0</v>
          </cell>
          <cell r="CB243">
            <v>0</v>
          </cell>
          <cell r="CC243">
            <v>0</v>
          </cell>
          <cell r="CD243">
            <v>0</v>
          </cell>
          <cell r="CE243">
            <v>0</v>
          </cell>
          <cell r="CF243">
            <v>0</v>
          </cell>
          <cell r="CG243">
            <v>0</v>
          </cell>
          <cell r="CH243">
            <v>0</v>
          </cell>
          <cell r="CI243">
            <v>0</v>
          </cell>
          <cell r="CJ243">
            <v>0</v>
          </cell>
          <cell r="CK243">
            <v>0</v>
          </cell>
          <cell r="CL243">
            <v>0</v>
          </cell>
          <cell r="CM243">
            <v>0</v>
          </cell>
          <cell r="CN243">
            <v>0</v>
          </cell>
          <cell r="CO243">
            <v>0</v>
          </cell>
          <cell r="CP243">
            <v>0</v>
          </cell>
          <cell r="CQ243">
            <v>0</v>
          </cell>
          <cell r="CR243">
            <v>0</v>
          </cell>
          <cell r="CS243">
            <v>0</v>
          </cell>
          <cell r="CT243">
            <v>0</v>
          </cell>
          <cell r="CU243">
            <v>0</v>
          </cell>
          <cell r="CV243">
            <v>0</v>
          </cell>
          <cell r="CW243">
            <v>0</v>
          </cell>
          <cell r="CX243">
            <v>0</v>
          </cell>
          <cell r="CY243">
            <v>0</v>
          </cell>
          <cell r="CZ243">
            <v>0</v>
          </cell>
          <cell r="DA243">
            <v>0</v>
          </cell>
          <cell r="DB243">
            <v>0</v>
          </cell>
          <cell r="DC243">
            <v>0</v>
          </cell>
          <cell r="DD243">
            <v>0</v>
          </cell>
          <cell r="DE243">
            <v>233</v>
          </cell>
          <cell r="DF243">
            <v>0</v>
          </cell>
          <cell r="DG243">
            <v>0</v>
          </cell>
          <cell r="DH243"/>
          <cell r="DI243">
            <v>0</v>
          </cell>
          <cell r="DK243" t="str">
            <v>OK</v>
          </cell>
          <cell r="DM243">
            <v>0</v>
          </cell>
          <cell r="DN243">
            <v>0</v>
          </cell>
          <cell r="DO243"/>
        </row>
        <row r="244">
          <cell r="N244">
            <v>0</v>
          </cell>
          <cell r="O244">
            <v>0</v>
          </cell>
          <cell r="P244"/>
          <cell r="Q244"/>
          <cell r="T244"/>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cell r="BM244">
            <v>0</v>
          </cell>
          <cell r="BN244">
            <v>0</v>
          </cell>
          <cell r="BO244">
            <v>0</v>
          </cell>
          <cell r="BP244">
            <v>0</v>
          </cell>
          <cell r="BQ244">
            <v>0</v>
          </cell>
          <cell r="BR244">
            <v>0</v>
          </cell>
          <cell r="BS244">
            <v>0</v>
          </cell>
          <cell r="BT244">
            <v>0</v>
          </cell>
          <cell r="BU244">
            <v>0</v>
          </cell>
          <cell r="BV244">
            <v>0</v>
          </cell>
          <cell r="BW244">
            <v>0</v>
          </cell>
          <cell r="BX244">
            <v>0</v>
          </cell>
          <cell r="BY244">
            <v>0</v>
          </cell>
          <cell r="BZ244">
            <v>0</v>
          </cell>
          <cell r="CA244">
            <v>0</v>
          </cell>
          <cell r="CB244">
            <v>0</v>
          </cell>
          <cell r="CC244">
            <v>0</v>
          </cell>
          <cell r="CD244">
            <v>0</v>
          </cell>
          <cell r="CE244">
            <v>0</v>
          </cell>
          <cell r="CF244">
            <v>0</v>
          </cell>
          <cell r="CG244">
            <v>0</v>
          </cell>
          <cell r="CH244">
            <v>0</v>
          </cell>
          <cell r="CI244">
            <v>0</v>
          </cell>
          <cell r="CJ244">
            <v>0</v>
          </cell>
          <cell r="CK244">
            <v>0</v>
          </cell>
          <cell r="CL244">
            <v>0</v>
          </cell>
          <cell r="CM244">
            <v>0</v>
          </cell>
          <cell r="CN244">
            <v>0</v>
          </cell>
          <cell r="CO244">
            <v>0</v>
          </cell>
          <cell r="CP244">
            <v>0</v>
          </cell>
          <cell r="CQ244">
            <v>0</v>
          </cell>
          <cell r="CR244">
            <v>0</v>
          </cell>
          <cell r="CS244">
            <v>0</v>
          </cell>
          <cell r="CT244">
            <v>0</v>
          </cell>
          <cell r="CU244">
            <v>0</v>
          </cell>
          <cell r="CV244">
            <v>0</v>
          </cell>
          <cell r="CW244">
            <v>0</v>
          </cell>
          <cell r="CX244">
            <v>0</v>
          </cell>
          <cell r="CY244">
            <v>0</v>
          </cell>
          <cell r="CZ244">
            <v>0</v>
          </cell>
          <cell r="DA244">
            <v>0</v>
          </cell>
          <cell r="DB244">
            <v>0</v>
          </cell>
          <cell r="DC244">
            <v>0</v>
          </cell>
          <cell r="DD244">
            <v>0</v>
          </cell>
          <cell r="DE244">
            <v>234</v>
          </cell>
          <cell r="DF244">
            <v>0</v>
          </cell>
          <cell r="DG244">
            <v>0</v>
          </cell>
          <cell r="DH244"/>
          <cell r="DI244">
            <v>0</v>
          </cell>
          <cell r="DK244" t="str">
            <v>OK</v>
          </cell>
          <cell r="DM244">
            <v>0</v>
          </cell>
          <cell r="DN244">
            <v>0</v>
          </cell>
          <cell r="DO244"/>
        </row>
        <row r="245">
          <cell r="N245">
            <v>0</v>
          </cell>
          <cell r="O245">
            <v>0</v>
          </cell>
          <cell r="P245"/>
          <cell r="Q245"/>
          <cell r="T245"/>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cell r="BM245">
            <v>0</v>
          </cell>
          <cell r="BN245">
            <v>0</v>
          </cell>
          <cell r="BO245">
            <v>0</v>
          </cell>
          <cell r="BP245">
            <v>0</v>
          </cell>
          <cell r="BQ245">
            <v>0</v>
          </cell>
          <cell r="BR245">
            <v>0</v>
          </cell>
          <cell r="BS245">
            <v>0</v>
          </cell>
          <cell r="BT245">
            <v>0</v>
          </cell>
          <cell r="BU245">
            <v>0</v>
          </cell>
          <cell r="BV245">
            <v>0</v>
          </cell>
          <cell r="BW245">
            <v>0</v>
          </cell>
          <cell r="BX245">
            <v>0</v>
          </cell>
          <cell r="BY245">
            <v>0</v>
          </cell>
          <cell r="BZ245">
            <v>0</v>
          </cell>
          <cell r="CA245">
            <v>0</v>
          </cell>
          <cell r="CB245">
            <v>0</v>
          </cell>
          <cell r="CC245">
            <v>0</v>
          </cell>
          <cell r="CD245">
            <v>0</v>
          </cell>
          <cell r="CE245">
            <v>0</v>
          </cell>
          <cell r="CF245">
            <v>0</v>
          </cell>
          <cell r="CG245">
            <v>0</v>
          </cell>
          <cell r="CH245">
            <v>0</v>
          </cell>
          <cell r="CI245">
            <v>0</v>
          </cell>
          <cell r="CJ245">
            <v>0</v>
          </cell>
          <cell r="CK245">
            <v>0</v>
          </cell>
          <cell r="CL245">
            <v>0</v>
          </cell>
          <cell r="CM245">
            <v>0</v>
          </cell>
          <cell r="CN245">
            <v>0</v>
          </cell>
          <cell r="CO245">
            <v>0</v>
          </cell>
          <cell r="CP245">
            <v>0</v>
          </cell>
          <cell r="CQ245">
            <v>0</v>
          </cell>
          <cell r="CR245">
            <v>0</v>
          </cell>
          <cell r="CS245">
            <v>0</v>
          </cell>
          <cell r="CT245">
            <v>0</v>
          </cell>
          <cell r="CU245">
            <v>0</v>
          </cell>
          <cell r="CV245">
            <v>0</v>
          </cell>
          <cell r="CW245">
            <v>0</v>
          </cell>
          <cell r="CX245">
            <v>0</v>
          </cell>
          <cell r="CY245">
            <v>0</v>
          </cell>
          <cell r="CZ245">
            <v>0</v>
          </cell>
          <cell r="DA245">
            <v>0</v>
          </cell>
          <cell r="DB245">
            <v>0</v>
          </cell>
          <cell r="DC245">
            <v>0</v>
          </cell>
          <cell r="DD245">
            <v>0</v>
          </cell>
          <cell r="DE245">
            <v>235</v>
          </cell>
          <cell r="DF245">
            <v>0</v>
          </cell>
          <cell r="DG245">
            <v>0</v>
          </cell>
          <cell r="DH245"/>
          <cell r="DI245">
            <v>0</v>
          </cell>
          <cell r="DK245" t="str">
            <v>OK</v>
          </cell>
          <cell r="DM245">
            <v>0</v>
          </cell>
          <cell r="DN245">
            <v>0</v>
          </cell>
          <cell r="DO245"/>
        </row>
        <row r="246">
          <cell r="N246">
            <v>0</v>
          </cell>
          <cell r="O246">
            <v>0</v>
          </cell>
          <cell r="P246"/>
          <cell r="Q246"/>
          <cell r="T246"/>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cell r="BM246">
            <v>0</v>
          </cell>
          <cell r="BN246">
            <v>0</v>
          </cell>
          <cell r="BO246">
            <v>0</v>
          </cell>
          <cell r="BP246">
            <v>0</v>
          </cell>
          <cell r="BQ246">
            <v>0</v>
          </cell>
          <cell r="BR246">
            <v>0</v>
          </cell>
          <cell r="BS246">
            <v>0</v>
          </cell>
          <cell r="BT246">
            <v>0</v>
          </cell>
          <cell r="BU246">
            <v>0</v>
          </cell>
          <cell r="BV246">
            <v>0</v>
          </cell>
          <cell r="BW246">
            <v>0</v>
          </cell>
          <cell r="BX246">
            <v>0</v>
          </cell>
          <cell r="BY246">
            <v>0</v>
          </cell>
          <cell r="BZ246">
            <v>0</v>
          </cell>
          <cell r="CA246">
            <v>0</v>
          </cell>
          <cell r="CB246">
            <v>0</v>
          </cell>
          <cell r="CC246">
            <v>0</v>
          </cell>
          <cell r="CD246">
            <v>0</v>
          </cell>
          <cell r="CE246">
            <v>0</v>
          </cell>
          <cell r="CF246">
            <v>0</v>
          </cell>
          <cell r="CG246">
            <v>0</v>
          </cell>
          <cell r="CH246">
            <v>0</v>
          </cell>
          <cell r="CI246">
            <v>0</v>
          </cell>
          <cell r="CJ246">
            <v>0</v>
          </cell>
          <cell r="CK246">
            <v>0</v>
          </cell>
          <cell r="CL246">
            <v>0</v>
          </cell>
          <cell r="CM246">
            <v>0</v>
          </cell>
          <cell r="CN246">
            <v>0</v>
          </cell>
          <cell r="CO246">
            <v>0</v>
          </cell>
          <cell r="CP246">
            <v>0</v>
          </cell>
          <cell r="CQ246">
            <v>0</v>
          </cell>
          <cell r="CR246">
            <v>0</v>
          </cell>
          <cell r="CS246">
            <v>0</v>
          </cell>
          <cell r="CT246">
            <v>0</v>
          </cell>
          <cell r="CU246">
            <v>0</v>
          </cell>
          <cell r="CV246">
            <v>0</v>
          </cell>
          <cell r="CW246">
            <v>0</v>
          </cell>
          <cell r="CX246">
            <v>0</v>
          </cell>
          <cell r="CY246">
            <v>0</v>
          </cell>
          <cell r="CZ246">
            <v>0</v>
          </cell>
          <cell r="DA246">
            <v>0</v>
          </cell>
          <cell r="DB246">
            <v>0</v>
          </cell>
          <cell r="DC246">
            <v>0</v>
          </cell>
          <cell r="DD246">
            <v>0</v>
          </cell>
          <cell r="DE246">
            <v>236</v>
          </cell>
          <cell r="DF246">
            <v>0</v>
          </cell>
          <cell r="DG246">
            <v>0</v>
          </cell>
          <cell r="DH246"/>
          <cell r="DI246">
            <v>0</v>
          </cell>
          <cell r="DK246" t="str">
            <v>OK</v>
          </cell>
          <cell r="DM246">
            <v>0</v>
          </cell>
          <cell r="DN246">
            <v>0</v>
          </cell>
          <cell r="DO246"/>
        </row>
        <row r="247">
          <cell r="N247">
            <v>0</v>
          </cell>
          <cell r="O247">
            <v>0</v>
          </cell>
          <cell r="P247"/>
          <cell r="Q247"/>
          <cell r="T247"/>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cell r="BM247">
            <v>0</v>
          </cell>
          <cell r="BN247">
            <v>0</v>
          </cell>
          <cell r="BO247">
            <v>0</v>
          </cell>
          <cell r="BP247">
            <v>0</v>
          </cell>
          <cell r="BQ247">
            <v>0</v>
          </cell>
          <cell r="BR247">
            <v>0</v>
          </cell>
          <cell r="BS247">
            <v>0</v>
          </cell>
          <cell r="BT247">
            <v>0</v>
          </cell>
          <cell r="BU247">
            <v>0</v>
          </cell>
          <cell r="BV247">
            <v>0</v>
          </cell>
          <cell r="BW247">
            <v>0</v>
          </cell>
          <cell r="BX247">
            <v>0</v>
          </cell>
          <cell r="BY247">
            <v>0</v>
          </cell>
          <cell r="BZ247">
            <v>0</v>
          </cell>
          <cell r="CA247">
            <v>0</v>
          </cell>
          <cell r="CB247">
            <v>0</v>
          </cell>
          <cell r="CC247">
            <v>0</v>
          </cell>
          <cell r="CD247">
            <v>0</v>
          </cell>
          <cell r="CE247">
            <v>0</v>
          </cell>
          <cell r="CF247">
            <v>0</v>
          </cell>
          <cell r="CG247">
            <v>0</v>
          </cell>
          <cell r="CH247">
            <v>0</v>
          </cell>
          <cell r="CI247">
            <v>0</v>
          </cell>
          <cell r="CJ247">
            <v>0</v>
          </cell>
          <cell r="CK247">
            <v>0</v>
          </cell>
          <cell r="CL247">
            <v>0</v>
          </cell>
          <cell r="CM247">
            <v>0</v>
          </cell>
          <cell r="CN247">
            <v>0</v>
          </cell>
          <cell r="CO247">
            <v>0</v>
          </cell>
          <cell r="CP247">
            <v>0</v>
          </cell>
          <cell r="CQ247">
            <v>0</v>
          </cell>
          <cell r="CR247">
            <v>0</v>
          </cell>
          <cell r="CS247">
            <v>0</v>
          </cell>
          <cell r="CT247">
            <v>0</v>
          </cell>
          <cell r="CU247">
            <v>0</v>
          </cell>
          <cell r="CV247">
            <v>0</v>
          </cell>
          <cell r="CW247">
            <v>0</v>
          </cell>
          <cell r="CX247">
            <v>0</v>
          </cell>
          <cell r="CY247">
            <v>0</v>
          </cell>
          <cell r="CZ247">
            <v>0</v>
          </cell>
          <cell r="DA247">
            <v>0</v>
          </cell>
          <cell r="DB247">
            <v>0</v>
          </cell>
          <cell r="DC247">
            <v>0</v>
          </cell>
          <cell r="DD247">
            <v>0</v>
          </cell>
          <cell r="DE247">
            <v>237</v>
          </cell>
          <cell r="DF247">
            <v>0</v>
          </cell>
          <cell r="DG247">
            <v>0</v>
          </cell>
          <cell r="DH247"/>
          <cell r="DI247">
            <v>0</v>
          </cell>
          <cell r="DK247" t="str">
            <v>OK</v>
          </cell>
          <cell r="DM247">
            <v>0</v>
          </cell>
          <cell r="DN247">
            <v>0</v>
          </cell>
          <cell r="DO247"/>
        </row>
        <row r="248">
          <cell r="N248">
            <v>0</v>
          </cell>
          <cell r="O248">
            <v>0</v>
          </cell>
          <cell r="P248"/>
          <cell r="Q248"/>
          <cell r="T248"/>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cell r="BM248">
            <v>0</v>
          </cell>
          <cell r="BN248">
            <v>0</v>
          </cell>
          <cell r="BO248">
            <v>0</v>
          </cell>
          <cell r="BP248">
            <v>0</v>
          </cell>
          <cell r="BQ248">
            <v>0</v>
          </cell>
          <cell r="BR248">
            <v>0</v>
          </cell>
          <cell r="BS248">
            <v>0</v>
          </cell>
          <cell r="BT248">
            <v>0</v>
          </cell>
          <cell r="BU248">
            <v>0</v>
          </cell>
          <cell r="BV248">
            <v>0</v>
          </cell>
          <cell r="BW248">
            <v>0</v>
          </cell>
          <cell r="BX248">
            <v>0</v>
          </cell>
          <cell r="BY248">
            <v>0</v>
          </cell>
          <cell r="BZ248">
            <v>0</v>
          </cell>
          <cell r="CA248">
            <v>0</v>
          </cell>
          <cell r="CB248">
            <v>0</v>
          </cell>
          <cell r="CC248">
            <v>0</v>
          </cell>
          <cell r="CD248">
            <v>0</v>
          </cell>
          <cell r="CE248">
            <v>0</v>
          </cell>
          <cell r="CF248">
            <v>0</v>
          </cell>
          <cell r="CG248">
            <v>0</v>
          </cell>
          <cell r="CH248">
            <v>0</v>
          </cell>
          <cell r="CI248">
            <v>0</v>
          </cell>
          <cell r="CJ248">
            <v>0</v>
          </cell>
          <cell r="CK248">
            <v>0</v>
          </cell>
          <cell r="CL248">
            <v>0</v>
          </cell>
          <cell r="CM248">
            <v>0</v>
          </cell>
          <cell r="CN248">
            <v>0</v>
          </cell>
          <cell r="CO248">
            <v>0</v>
          </cell>
          <cell r="CP248">
            <v>0</v>
          </cell>
          <cell r="CQ248">
            <v>0</v>
          </cell>
          <cell r="CR248">
            <v>0</v>
          </cell>
          <cell r="CS248">
            <v>0</v>
          </cell>
          <cell r="CT248">
            <v>0</v>
          </cell>
          <cell r="CU248">
            <v>0</v>
          </cell>
          <cell r="CV248">
            <v>0</v>
          </cell>
          <cell r="CW248">
            <v>0</v>
          </cell>
          <cell r="CX248">
            <v>0</v>
          </cell>
          <cell r="CY248">
            <v>0</v>
          </cell>
          <cell r="CZ248">
            <v>0</v>
          </cell>
          <cell r="DA248">
            <v>0</v>
          </cell>
          <cell r="DB248">
            <v>0</v>
          </cell>
          <cell r="DC248">
            <v>0</v>
          </cell>
          <cell r="DD248">
            <v>0</v>
          </cell>
          <cell r="DE248">
            <v>238</v>
          </cell>
          <cell r="DF248">
            <v>0</v>
          </cell>
          <cell r="DG248">
            <v>0</v>
          </cell>
          <cell r="DH248"/>
          <cell r="DI248">
            <v>0</v>
          </cell>
          <cell r="DK248" t="str">
            <v>OK</v>
          </cell>
          <cell r="DM248">
            <v>0</v>
          </cell>
          <cell r="DN248">
            <v>0</v>
          </cell>
          <cell r="DO248"/>
        </row>
        <row r="249">
          <cell r="N249">
            <v>0</v>
          </cell>
          <cell r="O249">
            <v>0</v>
          </cell>
          <cell r="P249"/>
          <cell r="Q249"/>
          <cell r="T249"/>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cell r="BM249">
            <v>0</v>
          </cell>
          <cell r="BN249">
            <v>0</v>
          </cell>
          <cell r="BO249">
            <v>0</v>
          </cell>
          <cell r="BP249">
            <v>0</v>
          </cell>
          <cell r="BQ249">
            <v>0</v>
          </cell>
          <cell r="BR249">
            <v>0</v>
          </cell>
          <cell r="BS249">
            <v>0</v>
          </cell>
          <cell r="BT249">
            <v>0</v>
          </cell>
          <cell r="BU249">
            <v>0</v>
          </cell>
          <cell r="BV249">
            <v>0</v>
          </cell>
          <cell r="BW249">
            <v>0</v>
          </cell>
          <cell r="BX249">
            <v>0</v>
          </cell>
          <cell r="BY249">
            <v>0</v>
          </cell>
          <cell r="BZ249">
            <v>0</v>
          </cell>
          <cell r="CA249">
            <v>0</v>
          </cell>
          <cell r="CB249">
            <v>0</v>
          </cell>
          <cell r="CC249">
            <v>0</v>
          </cell>
          <cell r="CD249">
            <v>0</v>
          </cell>
          <cell r="CE249">
            <v>0</v>
          </cell>
          <cell r="CF249">
            <v>0</v>
          </cell>
          <cell r="CG249">
            <v>0</v>
          </cell>
          <cell r="CH249">
            <v>0</v>
          </cell>
          <cell r="CI249">
            <v>0</v>
          </cell>
          <cell r="CJ249">
            <v>0</v>
          </cell>
          <cell r="CK249">
            <v>0</v>
          </cell>
          <cell r="CL249">
            <v>0</v>
          </cell>
          <cell r="CM249">
            <v>0</v>
          </cell>
          <cell r="CN249">
            <v>0</v>
          </cell>
          <cell r="CO249">
            <v>0</v>
          </cell>
          <cell r="CP249">
            <v>0</v>
          </cell>
          <cell r="CQ249">
            <v>0</v>
          </cell>
          <cell r="CR249">
            <v>0</v>
          </cell>
          <cell r="CS249">
            <v>0</v>
          </cell>
          <cell r="CT249">
            <v>0</v>
          </cell>
          <cell r="CU249">
            <v>0</v>
          </cell>
          <cell r="CV249">
            <v>0</v>
          </cell>
          <cell r="CW249">
            <v>0</v>
          </cell>
          <cell r="CX249">
            <v>0</v>
          </cell>
          <cell r="CY249">
            <v>0</v>
          </cell>
          <cell r="CZ249">
            <v>0</v>
          </cell>
          <cell r="DA249">
            <v>0</v>
          </cell>
          <cell r="DB249">
            <v>0</v>
          </cell>
          <cell r="DC249">
            <v>0</v>
          </cell>
          <cell r="DD249">
            <v>0</v>
          </cell>
          <cell r="DE249">
            <v>239</v>
          </cell>
          <cell r="DF249">
            <v>0</v>
          </cell>
          <cell r="DG249">
            <v>0</v>
          </cell>
          <cell r="DH249"/>
          <cell r="DI249">
            <v>0</v>
          </cell>
          <cell r="DK249" t="str">
            <v>OK</v>
          </cell>
          <cell r="DM249">
            <v>0</v>
          </cell>
          <cell r="DN249">
            <v>0</v>
          </cell>
          <cell r="DO249"/>
        </row>
        <row r="250">
          <cell r="N250">
            <v>0</v>
          </cell>
          <cell r="O250">
            <v>0</v>
          </cell>
          <cell r="P250"/>
          <cell r="Q250"/>
          <cell r="T250"/>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cell r="BM250">
            <v>0</v>
          </cell>
          <cell r="BN250">
            <v>0</v>
          </cell>
          <cell r="BO250">
            <v>0</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cell r="CE250">
            <v>0</v>
          </cell>
          <cell r="CF250">
            <v>0</v>
          </cell>
          <cell r="CG250">
            <v>0</v>
          </cell>
          <cell r="CH250">
            <v>0</v>
          </cell>
          <cell r="CI250">
            <v>0</v>
          </cell>
          <cell r="CJ250">
            <v>0</v>
          </cell>
          <cell r="CK250">
            <v>0</v>
          </cell>
          <cell r="CL250">
            <v>0</v>
          </cell>
          <cell r="CM250">
            <v>0</v>
          </cell>
          <cell r="CN250">
            <v>0</v>
          </cell>
          <cell r="CO250">
            <v>0</v>
          </cell>
          <cell r="CP250">
            <v>0</v>
          </cell>
          <cell r="CQ250">
            <v>0</v>
          </cell>
          <cell r="CR250">
            <v>0</v>
          </cell>
          <cell r="CS250">
            <v>0</v>
          </cell>
          <cell r="CT250">
            <v>0</v>
          </cell>
          <cell r="CU250">
            <v>0</v>
          </cell>
          <cell r="CV250">
            <v>0</v>
          </cell>
          <cell r="CW250">
            <v>0</v>
          </cell>
          <cell r="CX250">
            <v>0</v>
          </cell>
          <cell r="CY250">
            <v>0</v>
          </cell>
          <cell r="CZ250">
            <v>0</v>
          </cell>
          <cell r="DA250">
            <v>0</v>
          </cell>
          <cell r="DB250">
            <v>0</v>
          </cell>
          <cell r="DC250">
            <v>0</v>
          </cell>
          <cell r="DD250">
            <v>0</v>
          </cell>
          <cell r="DE250">
            <v>240</v>
          </cell>
          <cell r="DF250">
            <v>0</v>
          </cell>
          <cell r="DG250">
            <v>0</v>
          </cell>
          <cell r="DH250"/>
          <cell r="DI250">
            <v>0</v>
          </cell>
          <cell r="DK250" t="str">
            <v>OK</v>
          </cell>
          <cell r="DM250">
            <v>0</v>
          </cell>
          <cell r="DN250">
            <v>0</v>
          </cell>
          <cell r="DO250"/>
        </row>
        <row r="251">
          <cell r="N251">
            <v>0</v>
          </cell>
          <cell r="O251">
            <v>0</v>
          </cell>
          <cell r="P251"/>
          <cell r="Q251"/>
          <cell r="T251"/>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cell r="BM251">
            <v>0</v>
          </cell>
          <cell r="BN251">
            <v>0</v>
          </cell>
          <cell r="BO251">
            <v>0</v>
          </cell>
          <cell r="BP251">
            <v>0</v>
          </cell>
          <cell r="BQ251">
            <v>0</v>
          </cell>
          <cell r="BR251">
            <v>0</v>
          </cell>
          <cell r="BS251">
            <v>0</v>
          </cell>
          <cell r="BT251">
            <v>0</v>
          </cell>
          <cell r="BU251">
            <v>0</v>
          </cell>
          <cell r="BV251">
            <v>0</v>
          </cell>
          <cell r="BW251">
            <v>0</v>
          </cell>
          <cell r="BX251">
            <v>0</v>
          </cell>
          <cell r="BY251">
            <v>0</v>
          </cell>
          <cell r="BZ251">
            <v>0</v>
          </cell>
          <cell r="CA251">
            <v>0</v>
          </cell>
          <cell r="CB251">
            <v>0</v>
          </cell>
          <cell r="CC251">
            <v>0</v>
          </cell>
          <cell r="CD251">
            <v>0</v>
          </cell>
          <cell r="CE251">
            <v>0</v>
          </cell>
          <cell r="CF251">
            <v>0</v>
          </cell>
          <cell r="CG251">
            <v>0</v>
          </cell>
          <cell r="CH251">
            <v>0</v>
          </cell>
          <cell r="CI251">
            <v>0</v>
          </cell>
          <cell r="CJ251">
            <v>0</v>
          </cell>
          <cell r="CK251">
            <v>0</v>
          </cell>
          <cell r="CL251">
            <v>0</v>
          </cell>
          <cell r="CM251">
            <v>0</v>
          </cell>
          <cell r="CN251">
            <v>0</v>
          </cell>
          <cell r="CO251">
            <v>0</v>
          </cell>
          <cell r="CP251">
            <v>0</v>
          </cell>
          <cell r="CQ251">
            <v>0</v>
          </cell>
          <cell r="CR251">
            <v>0</v>
          </cell>
          <cell r="CS251">
            <v>0</v>
          </cell>
          <cell r="CT251">
            <v>0</v>
          </cell>
          <cell r="CU251">
            <v>0</v>
          </cell>
          <cell r="CV251">
            <v>0</v>
          </cell>
          <cell r="CW251">
            <v>0</v>
          </cell>
          <cell r="CX251">
            <v>0</v>
          </cell>
          <cell r="CY251">
            <v>0</v>
          </cell>
          <cell r="CZ251">
            <v>0</v>
          </cell>
          <cell r="DA251">
            <v>0</v>
          </cell>
          <cell r="DB251">
            <v>0</v>
          </cell>
          <cell r="DC251">
            <v>0</v>
          </cell>
          <cell r="DD251">
            <v>0</v>
          </cell>
          <cell r="DE251">
            <v>241</v>
          </cell>
          <cell r="DF251">
            <v>0</v>
          </cell>
          <cell r="DG251">
            <v>0</v>
          </cell>
          <cell r="DH251"/>
          <cell r="DI251">
            <v>0</v>
          </cell>
          <cell r="DK251" t="str">
            <v>OK</v>
          </cell>
          <cell r="DM251">
            <v>0</v>
          </cell>
          <cell r="DN251">
            <v>0</v>
          </cell>
          <cell r="DO251"/>
        </row>
        <row r="252">
          <cell r="N252">
            <v>0</v>
          </cell>
          <cell r="O252">
            <v>0</v>
          </cell>
          <cell r="P252"/>
          <cell r="Q252"/>
          <cell r="T252"/>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cell r="BM252">
            <v>0</v>
          </cell>
          <cell r="BN252">
            <v>0</v>
          </cell>
          <cell r="BO252">
            <v>0</v>
          </cell>
          <cell r="BP252">
            <v>0</v>
          </cell>
          <cell r="BQ252">
            <v>0</v>
          </cell>
          <cell r="BR252">
            <v>0</v>
          </cell>
          <cell r="BS252">
            <v>0</v>
          </cell>
          <cell r="BT252">
            <v>0</v>
          </cell>
          <cell r="BU252">
            <v>0</v>
          </cell>
          <cell r="BV252">
            <v>0</v>
          </cell>
          <cell r="BW252">
            <v>0</v>
          </cell>
          <cell r="BX252">
            <v>0</v>
          </cell>
          <cell r="BY252">
            <v>0</v>
          </cell>
          <cell r="BZ252">
            <v>0</v>
          </cell>
          <cell r="CA252">
            <v>0</v>
          </cell>
          <cell r="CB252">
            <v>0</v>
          </cell>
          <cell r="CC252">
            <v>0</v>
          </cell>
          <cell r="CD252">
            <v>0</v>
          </cell>
          <cell r="CE252">
            <v>0</v>
          </cell>
          <cell r="CF252">
            <v>0</v>
          </cell>
          <cell r="CG252">
            <v>0</v>
          </cell>
          <cell r="CH252">
            <v>0</v>
          </cell>
          <cell r="CI252">
            <v>0</v>
          </cell>
          <cell r="CJ252">
            <v>0</v>
          </cell>
          <cell r="CK252">
            <v>0</v>
          </cell>
          <cell r="CL252">
            <v>0</v>
          </cell>
          <cell r="CM252">
            <v>0</v>
          </cell>
          <cell r="CN252">
            <v>0</v>
          </cell>
          <cell r="CO252">
            <v>0</v>
          </cell>
          <cell r="CP252">
            <v>0</v>
          </cell>
          <cell r="CQ252">
            <v>0</v>
          </cell>
          <cell r="CR252">
            <v>0</v>
          </cell>
          <cell r="CS252">
            <v>0</v>
          </cell>
          <cell r="CT252">
            <v>0</v>
          </cell>
          <cell r="CU252">
            <v>0</v>
          </cell>
          <cell r="CV252">
            <v>0</v>
          </cell>
          <cell r="CW252">
            <v>0</v>
          </cell>
          <cell r="CX252">
            <v>0</v>
          </cell>
          <cell r="CY252">
            <v>0</v>
          </cell>
          <cell r="CZ252">
            <v>0</v>
          </cell>
          <cell r="DA252">
            <v>0</v>
          </cell>
          <cell r="DB252">
            <v>0</v>
          </cell>
          <cell r="DC252">
            <v>0</v>
          </cell>
          <cell r="DD252">
            <v>0</v>
          </cell>
          <cell r="DE252">
            <v>242</v>
          </cell>
          <cell r="DF252">
            <v>0</v>
          </cell>
          <cell r="DG252">
            <v>0</v>
          </cell>
          <cell r="DH252"/>
          <cell r="DI252">
            <v>0</v>
          </cell>
          <cell r="DK252" t="str">
            <v>OK</v>
          </cell>
          <cell r="DM252">
            <v>0</v>
          </cell>
          <cell r="DN252">
            <v>0</v>
          </cell>
          <cell r="DO252"/>
        </row>
        <row r="253">
          <cell r="N253">
            <v>0</v>
          </cell>
          <cell r="O253">
            <v>0</v>
          </cell>
          <cell r="P253"/>
          <cell r="Q253"/>
          <cell r="T253"/>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cell r="BM253">
            <v>0</v>
          </cell>
          <cell r="BN253">
            <v>0</v>
          </cell>
          <cell r="BO253">
            <v>0</v>
          </cell>
          <cell r="BP253">
            <v>0</v>
          </cell>
          <cell r="BQ253">
            <v>0</v>
          </cell>
          <cell r="BR253">
            <v>0</v>
          </cell>
          <cell r="BS253">
            <v>0</v>
          </cell>
          <cell r="BT253">
            <v>0</v>
          </cell>
          <cell r="BU253">
            <v>0</v>
          </cell>
          <cell r="BV253">
            <v>0</v>
          </cell>
          <cell r="BW253">
            <v>0</v>
          </cell>
          <cell r="BX253">
            <v>0</v>
          </cell>
          <cell r="BY253">
            <v>0</v>
          </cell>
          <cell r="BZ253">
            <v>0</v>
          </cell>
          <cell r="CA253">
            <v>0</v>
          </cell>
          <cell r="CB253">
            <v>0</v>
          </cell>
          <cell r="CC253">
            <v>0</v>
          </cell>
          <cell r="CD253">
            <v>0</v>
          </cell>
          <cell r="CE253">
            <v>0</v>
          </cell>
          <cell r="CF253">
            <v>0</v>
          </cell>
          <cell r="CG253">
            <v>0</v>
          </cell>
          <cell r="CH253">
            <v>0</v>
          </cell>
          <cell r="CI253">
            <v>0</v>
          </cell>
          <cell r="CJ253">
            <v>0</v>
          </cell>
          <cell r="CK253">
            <v>0</v>
          </cell>
          <cell r="CL253">
            <v>0</v>
          </cell>
          <cell r="CM253">
            <v>0</v>
          </cell>
          <cell r="CN253">
            <v>0</v>
          </cell>
          <cell r="CO253">
            <v>0</v>
          </cell>
          <cell r="CP253">
            <v>0</v>
          </cell>
          <cell r="CQ253">
            <v>0</v>
          </cell>
          <cell r="CR253">
            <v>0</v>
          </cell>
          <cell r="CS253">
            <v>0</v>
          </cell>
          <cell r="CT253">
            <v>0</v>
          </cell>
          <cell r="CU253">
            <v>0</v>
          </cell>
          <cell r="CV253">
            <v>0</v>
          </cell>
          <cell r="CW253">
            <v>0</v>
          </cell>
          <cell r="CX253">
            <v>0</v>
          </cell>
          <cell r="CY253">
            <v>0</v>
          </cell>
          <cell r="CZ253">
            <v>0</v>
          </cell>
          <cell r="DA253">
            <v>0</v>
          </cell>
          <cell r="DB253">
            <v>0</v>
          </cell>
          <cell r="DC253">
            <v>0</v>
          </cell>
          <cell r="DD253">
            <v>0</v>
          </cell>
          <cell r="DE253">
            <v>243</v>
          </cell>
          <cell r="DF253">
            <v>0</v>
          </cell>
          <cell r="DG253">
            <v>0</v>
          </cell>
          <cell r="DH253"/>
          <cell r="DI253">
            <v>0</v>
          </cell>
          <cell r="DK253" t="str">
            <v>OK</v>
          </cell>
          <cell r="DM253">
            <v>0</v>
          </cell>
          <cell r="DN253">
            <v>0</v>
          </cell>
          <cell r="DO253"/>
        </row>
        <row r="254">
          <cell r="N254">
            <v>0</v>
          </cell>
          <cell r="O254">
            <v>0</v>
          </cell>
          <cell r="P254"/>
          <cell r="Q254"/>
          <cell r="T254"/>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cell r="BM254">
            <v>0</v>
          </cell>
          <cell r="BN254">
            <v>0</v>
          </cell>
          <cell r="BO254">
            <v>0</v>
          </cell>
          <cell r="BP254">
            <v>0</v>
          </cell>
          <cell r="BQ254">
            <v>0</v>
          </cell>
          <cell r="BR254">
            <v>0</v>
          </cell>
          <cell r="BS254">
            <v>0</v>
          </cell>
          <cell r="BT254">
            <v>0</v>
          </cell>
          <cell r="BU254">
            <v>0</v>
          </cell>
          <cell r="BV254">
            <v>0</v>
          </cell>
          <cell r="BW254">
            <v>0</v>
          </cell>
          <cell r="BX254">
            <v>0</v>
          </cell>
          <cell r="BY254">
            <v>0</v>
          </cell>
          <cell r="BZ254">
            <v>0</v>
          </cell>
          <cell r="CA254">
            <v>0</v>
          </cell>
          <cell r="CB254">
            <v>0</v>
          </cell>
          <cell r="CC254">
            <v>0</v>
          </cell>
          <cell r="CD254">
            <v>0</v>
          </cell>
          <cell r="CE254">
            <v>0</v>
          </cell>
          <cell r="CF254">
            <v>0</v>
          </cell>
          <cell r="CG254">
            <v>0</v>
          </cell>
          <cell r="CH254">
            <v>0</v>
          </cell>
          <cell r="CI254">
            <v>0</v>
          </cell>
          <cell r="CJ254">
            <v>0</v>
          </cell>
          <cell r="CK254">
            <v>0</v>
          </cell>
          <cell r="CL254">
            <v>0</v>
          </cell>
          <cell r="CM254">
            <v>0</v>
          </cell>
          <cell r="CN254">
            <v>0</v>
          </cell>
          <cell r="CO254">
            <v>0</v>
          </cell>
          <cell r="CP254">
            <v>0</v>
          </cell>
          <cell r="CQ254">
            <v>0</v>
          </cell>
          <cell r="CR254">
            <v>0</v>
          </cell>
          <cell r="CS254">
            <v>0</v>
          </cell>
          <cell r="CT254">
            <v>0</v>
          </cell>
          <cell r="CU254">
            <v>0</v>
          </cell>
          <cell r="CV254">
            <v>0</v>
          </cell>
          <cell r="CW254">
            <v>0</v>
          </cell>
          <cell r="CX254">
            <v>0</v>
          </cell>
          <cell r="CY254">
            <v>0</v>
          </cell>
          <cell r="CZ254">
            <v>0</v>
          </cell>
          <cell r="DA254">
            <v>0</v>
          </cell>
          <cell r="DB254">
            <v>0</v>
          </cell>
          <cell r="DC254">
            <v>0</v>
          </cell>
          <cell r="DD254">
            <v>0</v>
          </cell>
          <cell r="DE254">
            <v>244</v>
          </cell>
          <cell r="DF254">
            <v>0</v>
          </cell>
          <cell r="DG254">
            <v>0</v>
          </cell>
          <cell r="DH254"/>
          <cell r="DI254">
            <v>0</v>
          </cell>
          <cell r="DK254" t="str">
            <v>OK</v>
          </cell>
          <cell r="DM254">
            <v>0</v>
          </cell>
          <cell r="DN254">
            <v>0</v>
          </cell>
          <cell r="DO254"/>
        </row>
        <row r="255">
          <cell r="N255">
            <v>0</v>
          </cell>
          <cell r="O255">
            <v>0</v>
          </cell>
          <cell r="P255"/>
          <cell r="Q255"/>
          <cell r="T255"/>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cell r="CE255">
            <v>0</v>
          </cell>
          <cell r="CF255">
            <v>0</v>
          </cell>
          <cell r="CG255">
            <v>0</v>
          </cell>
          <cell r="CH255">
            <v>0</v>
          </cell>
          <cell r="CI255">
            <v>0</v>
          </cell>
          <cell r="CJ255">
            <v>0</v>
          </cell>
          <cell r="CK255">
            <v>0</v>
          </cell>
          <cell r="CL255">
            <v>0</v>
          </cell>
          <cell r="CM255">
            <v>0</v>
          </cell>
          <cell r="CN255">
            <v>0</v>
          </cell>
          <cell r="CO255">
            <v>0</v>
          </cell>
          <cell r="CP255">
            <v>0</v>
          </cell>
          <cell r="CQ255">
            <v>0</v>
          </cell>
          <cell r="CR255">
            <v>0</v>
          </cell>
          <cell r="CS255">
            <v>0</v>
          </cell>
          <cell r="CT255">
            <v>0</v>
          </cell>
          <cell r="CU255">
            <v>0</v>
          </cell>
          <cell r="CV255">
            <v>0</v>
          </cell>
          <cell r="CW255">
            <v>0</v>
          </cell>
          <cell r="CX255">
            <v>0</v>
          </cell>
          <cell r="CY255">
            <v>0</v>
          </cell>
          <cell r="CZ255">
            <v>0</v>
          </cell>
          <cell r="DA255">
            <v>0</v>
          </cell>
          <cell r="DB255">
            <v>0</v>
          </cell>
          <cell r="DC255">
            <v>0</v>
          </cell>
          <cell r="DD255">
            <v>0</v>
          </cell>
          <cell r="DE255">
            <v>245</v>
          </cell>
          <cell r="DF255">
            <v>0</v>
          </cell>
          <cell r="DG255">
            <v>0</v>
          </cell>
          <cell r="DH255"/>
          <cell r="DI255">
            <v>0</v>
          </cell>
          <cell r="DK255" t="str">
            <v>OK</v>
          </cell>
          <cell r="DM255">
            <v>0</v>
          </cell>
          <cell r="DN255">
            <v>0</v>
          </cell>
          <cell r="DO255"/>
        </row>
        <row r="256">
          <cell r="N256">
            <v>0</v>
          </cell>
          <cell r="O256">
            <v>0</v>
          </cell>
          <cell r="P256"/>
          <cell r="Q256"/>
          <cell r="T256"/>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cell r="BM256">
            <v>0</v>
          </cell>
          <cell r="BN256">
            <v>0</v>
          </cell>
          <cell r="BO256">
            <v>0</v>
          </cell>
          <cell r="BP256">
            <v>0</v>
          </cell>
          <cell r="BQ256">
            <v>0</v>
          </cell>
          <cell r="BR256">
            <v>0</v>
          </cell>
          <cell r="BS256">
            <v>0</v>
          </cell>
          <cell r="BT256">
            <v>0</v>
          </cell>
          <cell r="BU256">
            <v>0</v>
          </cell>
          <cell r="BV256">
            <v>0</v>
          </cell>
          <cell r="BW256">
            <v>0</v>
          </cell>
          <cell r="BX256">
            <v>0</v>
          </cell>
          <cell r="BY256">
            <v>0</v>
          </cell>
          <cell r="BZ256">
            <v>0</v>
          </cell>
          <cell r="CA256">
            <v>0</v>
          </cell>
          <cell r="CB256">
            <v>0</v>
          </cell>
          <cell r="CC256">
            <v>0</v>
          </cell>
          <cell r="CD256">
            <v>0</v>
          </cell>
          <cell r="CE256">
            <v>0</v>
          </cell>
          <cell r="CF256">
            <v>0</v>
          </cell>
          <cell r="CG256">
            <v>0</v>
          </cell>
          <cell r="CH256">
            <v>0</v>
          </cell>
          <cell r="CI256">
            <v>0</v>
          </cell>
          <cell r="CJ256">
            <v>0</v>
          </cell>
          <cell r="CK256">
            <v>0</v>
          </cell>
          <cell r="CL256">
            <v>0</v>
          </cell>
          <cell r="CM256">
            <v>0</v>
          </cell>
          <cell r="CN256">
            <v>0</v>
          </cell>
          <cell r="CO256">
            <v>0</v>
          </cell>
          <cell r="CP256">
            <v>0</v>
          </cell>
          <cell r="CQ256">
            <v>0</v>
          </cell>
          <cell r="CR256">
            <v>0</v>
          </cell>
          <cell r="CS256">
            <v>0</v>
          </cell>
          <cell r="CT256">
            <v>0</v>
          </cell>
          <cell r="CU256">
            <v>0</v>
          </cell>
          <cell r="CV256">
            <v>0</v>
          </cell>
          <cell r="CW256">
            <v>0</v>
          </cell>
          <cell r="CX256">
            <v>0</v>
          </cell>
          <cell r="CY256">
            <v>0</v>
          </cell>
          <cell r="CZ256">
            <v>0</v>
          </cell>
          <cell r="DA256">
            <v>0</v>
          </cell>
          <cell r="DB256">
            <v>0</v>
          </cell>
          <cell r="DC256">
            <v>0</v>
          </cell>
          <cell r="DD256">
            <v>0</v>
          </cell>
          <cell r="DE256">
            <v>246</v>
          </cell>
          <cell r="DF256">
            <v>0</v>
          </cell>
          <cell r="DG256">
            <v>0</v>
          </cell>
          <cell r="DH256"/>
          <cell r="DI256">
            <v>0</v>
          </cell>
          <cell r="DK256" t="str">
            <v>OK</v>
          </cell>
          <cell r="DM256">
            <v>0</v>
          </cell>
          <cell r="DN256">
            <v>0</v>
          </cell>
          <cell r="DO256"/>
        </row>
        <row r="257">
          <cell r="N257">
            <v>0</v>
          </cell>
          <cell r="O257">
            <v>0</v>
          </cell>
          <cell r="P257"/>
          <cell r="Q257"/>
          <cell r="T257"/>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cell r="BM257">
            <v>0</v>
          </cell>
          <cell r="BN257">
            <v>0</v>
          </cell>
          <cell r="BO257">
            <v>0</v>
          </cell>
          <cell r="BP257">
            <v>0</v>
          </cell>
          <cell r="BQ257">
            <v>0</v>
          </cell>
          <cell r="BR257">
            <v>0</v>
          </cell>
          <cell r="BS257">
            <v>0</v>
          </cell>
          <cell r="BT257">
            <v>0</v>
          </cell>
          <cell r="BU257">
            <v>0</v>
          </cell>
          <cell r="BV257">
            <v>0</v>
          </cell>
          <cell r="BW257">
            <v>0</v>
          </cell>
          <cell r="BX257">
            <v>0</v>
          </cell>
          <cell r="BY257">
            <v>0</v>
          </cell>
          <cell r="BZ257">
            <v>0</v>
          </cell>
          <cell r="CA257">
            <v>0</v>
          </cell>
          <cell r="CB257">
            <v>0</v>
          </cell>
          <cell r="CC257">
            <v>0</v>
          </cell>
          <cell r="CD257">
            <v>0</v>
          </cell>
          <cell r="CE257">
            <v>0</v>
          </cell>
          <cell r="CF257">
            <v>0</v>
          </cell>
          <cell r="CG257">
            <v>0</v>
          </cell>
          <cell r="CH257">
            <v>0</v>
          </cell>
          <cell r="CI257">
            <v>0</v>
          </cell>
          <cell r="CJ257">
            <v>0</v>
          </cell>
          <cell r="CK257">
            <v>0</v>
          </cell>
          <cell r="CL257">
            <v>0</v>
          </cell>
          <cell r="CM257">
            <v>0</v>
          </cell>
          <cell r="CN257">
            <v>0</v>
          </cell>
          <cell r="CO257">
            <v>0</v>
          </cell>
          <cell r="CP257">
            <v>0</v>
          </cell>
          <cell r="CQ257">
            <v>0</v>
          </cell>
          <cell r="CR257">
            <v>0</v>
          </cell>
          <cell r="CS257">
            <v>0</v>
          </cell>
          <cell r="CT257">
            <v>0</v>
          </cell>
          <cell r="CU257">
            <v>0</v>
          </cell>
          <cell r="CV257">
            <v>0</v>
          </cell>
          <cell r="CW257">
            <v>0</v>
          </cell>
          <cell r="CX257">
            <v>0</v>
          </cell>
          <cell r="CY257">
            <v>0</v>
          </cell>
          <cell r="CZ257">
            <v>0</v>
          </cell>
          <cell r="DA257">
            <v>0</v>
          </cell>
          <cell r="DB257">
            <v>0</v>
          </cell>
          <cell r="DC257">
            <v>0</v>
          </cell>
          <cell r="DD257">
            <v>0</v>
          </cell>
          <cell r="DE257">
            <v>247</v>
          </cell>
          <cell r="DF257">
            <v>0</v>
          </cell>
          <cell r="DG257">
            <v>0</v>
          </cell>
          <cell r="DH257"/>
          <cell r="DI257">
            <v>0</v>
          </cell>
          <cell r="DK257" t="str">
            <v>OK</v>
          </cell>
          <cell r="DM257">
            <v>0</v>
          </cell>
          <cell r="DN257">
            <v>0</v>
          </cell>
          <cell r="DO257"/>
        </row>
        <row r="258">
          <cell r="N258">
            <v>0</v>
          </cell>
          <cell r="O258">
            <v>0</v>
          </cell>
          <cell r="P258"/>
          <cell r="Q258"/>
          <cell r="T258"/>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cell r="BM258">
            <v>0</v>
          </cell>
          <cell r="BN258">
            <v>0</v>
          </cell>
          <cell r="BO258">
            <v>0</v>
          </cell>
          <cell r="BP258">
            <v>0</v>
          </cell>
          <cell r="BQ258">
            <v>0</v>
          </cell>
          <cell r="BR258">
            <v>0</v>
          </cell>
          <cell r="BS258">
            <v>0</v>
          </cell>
          <cell r="BT258">
            <v>0</v>
          </cell>
          <cell r="BU258">
            <v>0</v>
          </cell>
          <cell r="BV258">
            <v>0</v>
          </cell>
          <cell r="BW258">
            <v>0</v>
          </cell>
          <cell r="BX258">
            <v>0</v>
          </cell>
          <cell r="BY258">
            <v>0</v>
          </cell>
          <cell r="BZ258">
            <v>0</v>
          </cell>
          <cell r="CA258">
            <v>0</v>
          </cell>
          <cell r="CB258">
            <v>0</v>
          </cell>
          <cell r="CC258">
            <v>0</v>
          </cell>
          <cell r="CD258">
            <v>0</v>
          </cell>
          <cell r="CE258">
            <v>0</v>
          </cell>
          <cell r="CF258">
            <v>0</v>
          </cell>
          <cell r="CG258">
            <v>0</v>
          </cell>
          <cell r="CH258">
            <v>0</v>
          </cell>
          <cell r="CI258">
            <v>0</v>
          </cell>
          <cell r="CJ258">
            <v>0</v>
          </cell>
          <cell r="CK258">
            <v>0</v>
          </cell>
          <cell r="CL258">
            <v>0</v>
          </cell>
          <cell r="CM258">
            <v>0</v>
          </cell>
          <cell r="CN258">
            <v>0</v>
          </cell>
          <cell r="CO258">
            <v>0</v>
          </cell>
          <cell r="CP258">
            <v>0</v>
          </cell>
          <cell r="CQ258">
            <v>0</v>
          </cell>
          <cell r="CR258">
            <v>0</v>
          </cell>
          <cell r="CS258">
            <v>0</v>
          </cell>
          <cell r="CT258">
            <v>0</v>
          </cell>
          <cell r="CU258">
            <v>0</v>
          </cell>
          <cell r="CV258">
            <v>0</v>
          </cell>
          <cell r="CW258">
            <v>0</v>
          </cell>
          <cell r="CX258">
            <v>0</v>
          </cell>
          <cell r="CY258">
            <v>0</v>
          </cell>
          <cell r="CZ258">
            <v>0</v>
          </cell>
          <cell r="DA258">
            <v>0</v>
          </cell>
          <cell r="DB258">
            <v>0</v>
          </cell>
          <cell r="DC258">
            <v>0</v>
          </cell>
          <cell r="DD258">
            <v>0</v>
          </cell>
          <cell r="DE258">
            <v>248</v>
          </cell>
          <cell r="DF258">
            <v>0</v>
          </cell>
          <cell r="DG258">
            <v>0</v>
          </cell>
          <cell r="DH258"/>
          <cell r="DI258">
            <v>0</v>
          </cell>
          <cell r="DK258" t="str">
            <v>OK</v>
          </cell>
          <cell r="DM258">
            <v>0</v>
          </cell>
          <cell r="DN258">
            <v>0</v>
          </cell>
          <cell r="DO258"/>
        </row>
        <row r="259">
          <cell r="N259">
            <v>0</v>
          </cell>
          <cell r="O259">
            <v>0</v>
          </cell>
          <cell r="P259"/>
          <cell r="Q259"/>
          <cell r="T259"/>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cell r="BM259">
            <v>0</v>
          </cell>
          <cell r="BN259">
            <v>0</v>
          </cell>
          <cell r="BO259">
            <v>0</v>
          </cell>
          <cell r="BP259">
            <v>0</v>
          </cell>
          <cell r="BQ259">
            <v>0</v>
          </cell>
          <cell r="BR259">
            <v>0</v>
          </cell>
          <cell r="BS259">
            <v>0</v>
          </cell>
          <cell r="BT259">
            <v>0</v>
          </cell>
          <cell r="BU259">
            <v>0</v>
          </cell>
          <cell r="BV259">
            <v>0</v>
          </cell>
          <cell r="BW259">
            <v>0</v>
          </cell>
          <cell r="BX259">
            <v>0</v>
          </cell>
          <cell r="BY259">
            <v>0</v>
          </cell>
          <cell r="BZ259">
            <v>0</v>
          </cell>
          <cell r="CA259">
            <v>0</v>
          </cell>
          <cell r="CB259">
            <v>0</v>
          </cell>
          <cell r="CC259">
            <v>0</v>
          </cell>
          <cell r="CD259">
            <v>0</v>
          </cell>
          <cell r="CE259">
            <v>0</v>
          </cell>
          <cell r="CF259">
            <v>0</v>
          </cell>
          <cell r="CG259">
            <v>0</v>
          </cell>
          <cell r="CH259">
            <v>0</v>
          </cell>
          <cell r="CI259">
            <v>0</v>
          </cell>
          <cell r="CJ259">
            <v>0</v>
          </cell>
          <cell r="CK259">
            <v>0</v>
          </cell>
          <cell r="CL259">
            <v>0</v>
          </cell>
          <cell r="CM259">
            <v>0</v>
          </cell>
          <cell r="CN259">
            <v>0</v>
          </cell>
          <cell r="CO259">
            <v>0</v>
          </cell>
          <cell r="CP259">
            <v>0</v>
          </cell>
          <cell r="CQ259">
            <v>0</v>
          </cell>
          <cell r="CR259">
            <v>0</v>
          </cell>
          <cell r="CS259">
            <v>0</v>
          </cell>
          <cell r="CT259">
            <v>0</v>
          </cell>
          <cell r="CU259">
            <v>0</v>
          </cell>
          <cell r="CV259">
            <v>0</v>
          </cell>
          <cell r="CW259">
            <v>0</v>
          </cell>
          <cell r="CX259">
            <v>0</v>
          </cell>
          <cell r="CY259">
            <v>0</v>
          </cell>
          <cell r="CZ259">
            <v>0</v>
          </cell>
          <cell r="DA259">
            <v>0</v>
          </cell>
          <cell r="DB259">
            <v>0</v>
          </cell>
          <cell r="DC259">
            <v>0</v>
          </cell>
          <cell r="DD259">
            <v>0</v>
          </cell>
          <cell r="DE259">
            <v>249</v>
          </cell>
          <cell r="DF259">
            <v>0</v>
          </cell>
          <cell r="DG259">
            <v>0</v>
          </cell>
          <cell r="DH259"/>
          <cell r="DI259">
            <v>0</v>
          </cell>
          <cell r="DK259" t="str">
            <v>OK</v>
          </cell>
          <cell r="DM259">
            <v>0</v>
          </cell>
          <cell r="DN259">
            <v>0</v>
          </cell>
          <cell r="DO259"/>
        </row>
        <row r="260">
          <cell r="N260">
            <v>0</v>
          </cell>
          <cell r="O260">
            <v>0</v>
          </cell>
          <cell r="P260"/>
          <cell r="Q260"/>
          <cell r="T260"/>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cell r="BM260">
            <v>0</v>
          </cell>
          <cell r="BN260">
            <v>0</v>
          </cell>
          <cell r="BO260">
            <v>0</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C260">
            <v>0</v>
          </cell>
          <cell r="CD260">
            <v>0</v>
          </cell>
          <cell r="CE260">
            <v>0</v>
          </cell>
          <cell r="CF260">
            <v>0</v>
          </cell>
          <cell r="CG260">
            <v>0</v>
          </cell>
          <cell r="CH260">
            <v>0</v>
          </cell>
          <cell r="CI260">
            <v>0</v>
          </cell>
          <cell r="CJ260">
            <v>0</v>
          </cell>
          <cell r="CK260">
            <v>0</v>
          </cell>
          <cell r="CL260">
            <v>0</v>
          </cell>
          <cell r="CM260">
            <v>0</v>
          </cell>
          <cell r="CN260">
            <v>0</v>
          </cell>
          <cell r="CO260">
            <v>0</v>
          </cell>
          <cell r="CP260">
            <v>0</v>
          </cell>
          <cell r="CQ260">
            <v>0</v>
          </cell>
          <cell r="CR260">
            <v>0</v>
          </cell>
          <cell r="CS260">
            <v>0</v>
          </cell>
          <cell r="CT260">
            <v>0</v>
          </cell>
          <cell r="CU260">
            <v>0</v>
          </cell>
          <cell r="CV260">
            <v>0</v>
          </cell>
          <cell r="CW260">
            <v>0</v>
          </cell>
          <cell r="CX260">
            <v>0</v>
          </cell>
          <cell r="CY260">
            <v>0</v>
          </cell>
          <cell r="CZ260">
            <v>0</v>
          </cell>
          <cell r="DA260">
            <v>0</v>
          </cell>
          <cell r="DB260">
            <v>0</v>
          </cell>
          <cell r="DC260">
            <v>0</v>
          </cell>
          <cell r="DD260">
            <v>0</v>
          </cell>
          <cell r="DE260">
            <v>250</v>
          </cell>
          <cell r="DF260">
            <v>0</v>
          </cell>
          <cell r="DG260">
            <v>0</v>
          </cell>
          <cell r="DH260"/>
          <cell r="DI260">
            <v>0</v>
          </cell>
          <cell r="DK260" t="str">
            <v>OK</v>
          </cell>
          <cell r="DM260">
            <v>0</v>
          </cell>
          <cell r="DN260">
            <v>0</v>
          </cell>
          <cell r="DO260"/>
        </row>
        <row r="261">
          <cell r="N261">
            <v>0</v>
          </cell>
          <cell r="O261">
            <v>0</v>
          </cell>
          <cell r="P261"/>
          <cell r="Q261"/>
          <cell r="T261"/>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cell r="BM261">
            <v>0</v>
          </cell>
          <cell r="BN261">
            <v>0</v>
          </cell>
          <cell r="BO261">
            <v>0</v>
          </cell>
          <cell r="BP261">
            <v>0</v>
          </cell>
          <cell r="BQ261">
            <v>0</v>
          </cell>
          <cell r="BR261">
            <v>0</v>
          </cell>
          <cell r="BS261">
            <v>0</v>
          </cell>
          <cell r="BT261">
            <v>0</v>
          </cell>
          <cell r="BU261">
            <v>0</v>
          </cell>
          <cell r="BV261">
            <v>0</v>
          </cell>
          <cell r="BW261">
            <v>0</v>
          </cell>
          <cell r="BX261">
            <v>0</v>
          </cell>
          <cell r="BY261">
            <v>0</v>
          </cell>
          <cell r="BZ261">
            <v>0</v>
          </cell>
          <cell r="CA261">
            <v>0</v>
          </cell>
          <cell r="CB261">
            <v>0</v>
          </cell>
          <cell r="CC261">
            <v>0</v>
          </cell>
          <cell r="CD261">
            <v>0</v>
          </cell>
          <cell r="CE261">
            <v>0</v>
          </cell>
          <cell r="CF261">
            <v>0</v>
          </cell>
          <cell r="CG261">
            <v>0</v>
          </cell>
          <cell r="CH261">
            <v>0</v>
          </cell>
          <cell r="CI261">
            <v>0</v>
          </cell>
          <cell r="CJ261">
            <v>0</v>
          </cell>
          <cell r="CK261">
            <v>0</v>
          </cell>
          <cell r="CL261">
            <v>0</v>
          </cell>
          <cell r="CM261">
            <v>0</v>
          </cell>
          <cell r="CN261">
            <v>0</v>
          </cell>
          <cell r="CO261">
            <v>0</v>
          </cell>
          <cell r="CP261">
            <v>0</v>
          </cell>
          <cell r="CQ261">
            <v>0</v>
          </cell>
          <cell r="CR261">
            <v>0</v>
          </cell>
          <cell r="CS261">
            <v>0</v>
          </cell>
          <cell r="CT261">
            <v>0</v>
          </cell>
          <cell r="CU261">
            <v>0</v>
          </cell>
          <cell r="CV261">
            <v>0</v>
          </cell>
          <cell r="CW261">
            <v>0</v>
          </cell>
          <cell r="CX261">
            <v>0</v>
          </cell>
          <cell r="CY261">
            <v>0</v>
          </cell>
          <cell r="CZ261">
            <v>0</v>
          </cell>
          <cell r="DA261">
            <v>0</v>
          </cell>
          <cell r="DB261">
            <v>0</v>
          </cell>
          <cell r="DC261">
            <v>0</v>
          </cell>
          <cell r="DD261">
            <v>0</v>
          </cell>
          <cell r="DE261">
            <v>251</v>
          </cell>
          <cell r="DF261">
            <v>0</v>
          </cell>
          <cell r="DG261">
            <v>0</v>
          </cell>
          <cell r="DH261"/>
          <cell r="DI261">
            <v>0</v>
          </cell>
          <cell r="DK261" t="str">
            <v>OK</v>
          </cell>
          <cell r="DM261">
            <v>0</v>
          </cell>
          <cell r="DN261">
            <v>0</v>
          </cell>
          <cell r="DO261"/>
        </row>
        <row r="262">
          <cell r="N262">
            <v>0</v>
          </cell>
          <cell r="O262">
            <v>0</v>
          </cell>
          <cell r="P262"/>
          <cell r="Q262"/>
          <cell r="T262"/>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cell r="BM262">
            <v>0</v>
          </cell>
          <cell r="BN262">
            <v>0</v>
          </cell>
          <cell r="BO262">
            <v>0</v>
          </cell>
          <cell r="BP262">
            <v>0</v>
          </cell>
          <cell r="BQ262">
            <v>0</v>
          </cell>
          <cell r="BR262">
            <v>0</v>
          </cell>
          <cell r="BS262">
            <v>0</v>
          </cell>
          <cell r="BT262">
            <v>0</v>
          </cell>
          <cell r="BU262">
            <v>0</v>
          </cell>
          <cell r="BV262">
            <v>0</v>
          </cell>
          <cell r="BW262">
            <v>0</v>
          </cell>
          <cell r="BX262">
            <v>0</v>
          </cell>
          <cell r="BY262">
            <v>0</v>
          </cell>
          <cell r="BZ262">
            <v>0</v>
          </cell>
          <cell r="CA262">
            <v>0</v>
          </cell>
          <cell r="CB262">
            <v>0</v>
          </cell>
          <cell r="CC262">
            <v>0</v>
          </cell>
          <cell r="CD262">
            <v>0</v>
          </cell>
          <cell r="CE262">
            <v>0</v>
          </cell>
          <cell r="CF262">
            <v>0</v>
          </cell>
          <cell r="CG262">
            <v>0</v>
          </cell>
          <cell r="CH262">
            <v>0</v>
          </cell>
          <cell r="CI262">
            <v>0</v>
          </cell>
          <cell r="CJ262">
            <v>0</v>
          </cell>
          <cell r="CK262">
            <v>0</v>
          </cell>
          <cell r="CL262">
            <v>0</v>
          </cell>
          <cell r="CM262">
            <v>0</v>
          </cell>
          <cell r="CN262">
            <v>0</v>
          </cell>
          <cell r="CO262">
            <v>0</v>
          </cell>
          <cell r="CP262">
            <v>0</v>
          </cell>
          <cell r="CQ262">
            <v>0</v>
          </cell>
          <cell r="CR262">
            <v>0</v>
          </cell>
          <cell r="CS262">
            <v>0</v>
          </cell>
          <cell r="CT262">
            <v>0</v>
          </cell>
          <cell r="CU262">
            <v>0</v>
          </cell>
          <cell r="CV262">
            <v>0</v>
          </cell>
          <cell r="CW262">
            <v>0</v>
          </cell>
          <cell r="CX262">
            <v>0</v>
          </cell>
          <cell r="CY262">
            <v>0</v>
          </cell>
          <cell r="CZ262">
            <v>0</v>
          </cell>
          <cell r="DA262">
            <v>0</v>
          </cell>
          <cell r="DB262">
            <v>0</v>
          </cell>
          <cell r="DC262">
            <v>0</v>
          </cell>
          <cell r="DD262">
            <v>0</v>
          </cell>
          <cell r="DE262">
            <v>252</v>
          </cell>
          <cell r="DF262">
            <v>0</v>
          </cell>
          <cell r="DG262">
            <v>0</v>
          </cell>
          <cell r="DH262"/>
          <cell r="DI262">
            <v>0</v>
          </cell>
          <cell r="DK262" t="str">
            <v>OK</v>
          </cell>
          <cell r="DM262">
            <v>0</v>
          </cell>
          <cell r="DN262">
            <v>0</v>
          </cell>
          <cell r="DO262"/>
        </row>
        <row r="263">
          <cell r="N263">
            <v>0</v>
          </cell>
          <cell r="O263">
            <v>0</v>
          </cell>
          <cell r="P263"/>
          <cell r="Q263"/>
          <cell r="T263"/>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cell r="BM263">
            <v>0</v>
          </cell>
          <cell r="BN263">
            <v>0</v>
          </cell>
          <cell r="BO263">
            <v>0</v>
          </cell>
          <cell r="BP263">
            <v>0</v>
          </cell>
          <cell r="BQ263">
            <v>0</v>
          </cell>
          <cell r="BR263">
            <v>0</v>
          </cell>
          <cell r="BS263">
            <v>0</v>
          </cell>
          <cell r="BT263">
            <v>0</v>
          </cell>
          <cell r="BU263">
            <v>0</v>
          </cell>
          <cell r="BV263">
            <v>0</v>
          </cell>
          <cell r="BW263">
            <v>0</v>
          </cell>
          <cell r="BX263">
            <v>0</v>
          </cell>
          <cell r="BY263">
            <v>0</v>
          </cell>
          <cell r="BZ263">
            <v>0</v>
          </cell>
          <cell r="CA263">
            <v>0</v>
          </cell>
          <cell r="CB263">
            <v>0</v>
          </cell>
          <cell r="CC263">
            <v>0</v>
          </cell>
          <cell r="CD263">
            <v>0</v>
          </cell>
          <cell r="CE263">
            <v>0</v>
          </cell>
          <cell r="CF263">
            <v>0</v>
          </cell>
          <cell r="CG263">
            <v>0</v>
          </cell>
          <cell r="CH263">
            <v>0</v>
          </cell>
          <cell r="CI263">
            <v>0</v>
          </cell>
          <cell r="CJ263">
            <v>0</v>
          </cell>
          <cell r="CK263">
            <v>0</v>
          </cell>
          <cell r="CL263">
            <v>0</v>
          </cell>
          <cell r="CM263">
            <v>0</v>
          </cell>
          <cell r="CN263">
            <v>0</v>
          </cell>
          <cell r="CO263">
            <v>0</v>
          </cell>
          <cell r="CP263">
            <v>0</v>
          </cell>
          <cell r="CQ263">
            <v>0</v>
          </cell>
          <cell r="CR263">
            <v>0</v>
          </cell>
          <cell r="CS263">
            <v>0</v>
          </cell>
          <cell r="CT263">
            <v>0</v>
          </cell>
          <cell r="CU263">
            <v>0</v>
          </cell>
          <cell r="CV263">
            <v>0</v>
          </cell>
          <cell r="CW263">
            <v>0</v>
          </cell>
          <cell r="CX263">
            <v>0</v>
          </cell>
          <cell r="CY263">
            <v>0</v>
          </cell>
          <cell r="CZ263">
            <v>0</v>
          </cell>
          <cell r="DA263">
            <v>0</v>
          </cell>
          <cell r="DB263">
            <v>0</v>
          </cell>
          <cell r="DC263">
            <v>0</v>
          </cell>
          <cell r="DD263">
            <v>0</v>
          </cell>
          <cell r="DE263">
            <v>253</v>
          </cell>
          <cell r="DF263">
            <v>0</v>
          </cell>
          <cell r="DG263">
            <v>0</v>
          </cell>
          <cell r="DH263"/>
          <cell r="DI263">
            <v>0</v>
          </cell>
          <cell r="DK263" t="str">
            <v>OK</v>
          </cell>
          <cell r="DM263">
            <v>0</v>
          </cell>
          <cell r="DN263">
            <v>0</v>
          </cell>
          <cell r="DO263"/>
        </row>
        <row r="264">
          <cell r="N264">
            <v>0</v>
          </cell>
          <cell r="O264">
            <v>0</v>
          </cell>
          <cell r="P264"/>
          <cell r="Q264"/>
          <cell r="T264"/>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cell r="BM264">
            <v>0</v>
          </cell>
          <cell r="BN264">
            <v>0</v>
          </cell>
          <cell r="BO264">
            <v>0</v>
          </cell>
          <cell r="BP264">
            <v>0</v>
          </cell>
          <cell r="BQ264">
            <v>0</v>
          </cell>
          <cell r="BR264">
            <v>0</v>
          </cell>
          <cell r="BS264">
            <v>0</v>
          </cell>
          <cell r="BT264">
            <v>0</v>
          </cell>
          <cell r="BU264">
            <v>0</v>
          </cell>
          <cell r="BV264">
            <v>0</v>
          </cell>
          <cell r="BW264">
            <v>0</v>
          </cell>
          <cell r="BX264">
            <v>0</v>
          </cell>
          <cell r="BY264">
            <v>0</v>
          </cell>
          <cell r="BZ264">
            <v>0</v>
          </cell>
          <cell r="CA264">
            <v>0</v>
          </cell>
          <cell r="CB264">
            <v>0</v>
          </cell>
          <cell r="CC264">
            <v>0</v>
          </cell>
          <cell r="CD264">
            <v>0</v>
          </cell>
          <cell r="CE264">
            <v>0</v>
          </cell>
          <cell r="CF264">
            <v>0</v>
          </cell>
          <cell r="CG264">
            <v>0</v>
          </cell>
          <cell r="CH264">
            <v>0</v>
          </cell>
          <cell r="CI264">
            <v>0</v>
          </cell>
          <cell r="CJ264">
            <v>0</v>
          </cell>
          <cell r="CK264">
            <v>0</v>
          </cell>
          <cell r="CL264">
            <v>0</v>
          </cell>
          <cell r="CM264">
            <v>0</v>
          </cell>
          <cell r="CN264">
            <v>0</v>
          </cell>
          <cell r="CO264">
            <v>0</v>
          </cell>
          <cell r="CP264">
            <v>0</v>
          </cell>
          <cell r="CQ264">
            <v>0</v>
          </cell>
          <cell r="CR264">
            <v>0</v>
          </cell>
          <cell r="CS264">
            <v>0</v>
          </cell>
          <cell r="CT264">
            <v>0</v>
          </cell>
          <cell r="CU264">
            <v>0</v>
          </cell>
          <cell r="CV264">
            <v>0</v>
          </cell>
          <cell r="CW264">
            <v>0</v>
          </cell>
          <cell r="CX264">
            <v>0</v>
          </cell>
          <cell r="CY264">
            <v>0</v>
          </cell>
          <cell r="CZ264">
            <v>0</v>
          </cell>
          <cell r="DA264">
            <v>0</v>
          </cell>
          <cell r="DB264">
            <v>0</v>
          </cell>
          <cell r="DC264">
            <v>0</v>
          </cell>
          <cell r="DD264">
            <v>0</v>
          </cell>
          <cell r="DE264">
            <v>254</v>
          </cell>
          <cell r="DF264">
            <v>0</v>
          </cell>
          <cell r="DG264">
            <v>0</v>
          </cell>
          <cell r="DH264"/>
          <cell r="DI264">
            <v>0</v>
          </cell>
          <cell r="DK264" t="str">
            <v>OK</v>
          </cell>
          <cell r="DM264">
            <v>0</v>
          </cell>
          <cell r="DN264">
            <v>0</v>
          </cell>
          <cell r="DO264"/>
        </row>
        <row r="265">
          <cell r="N265">
            <v>0</v>
          </cell>
          <cell r="O265">
            <v>0</v>
          </cell>
          <cell r="P265"/>
          <cell r="Q265"/>
          <cell r="T265"/>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cell r="BM265">
            <v>0</v>
          </cell>
          <cell r="BN265">
            <v>0</v>
          </cell>
          <cell r="BO265">
            <v>0</v>
          </cell>
          <cell r="BP265">
            <v>0</v>
          </cell>
          <cell r="BQ265">
            <v>0</v>
          </cell>
          <cell r="BR265">
            <v>0</v>
          </cell>
          <cell r="BS265">
            <v>0</v>
          </cell>
          <cell r="BT265">
            <v>0</v>
          </cell>
          <cell r="BU265">
            <v>0</v>
          </cell>
          <cell r="BV265">
            <v>0</v>
          </cell>
          <cell r="BW265">
            <v>0</v>
          </cell>
          <cell r="BX265">
            <v>0</v>
          </cell>
          <cell r="BY265">
            <v>0</v>
          </cell>
          <cell r="BZ265">
            <v>0</v>
          </cell>
          <cell r="CA265">
            <v>0</v>
          </cell>
          <cell r="CB265">
            <v>0</v>
          </cell>
          <cell r="CC265">
            <v>0</v>
          </cell>
          <cell r="CD265">
            <v>0</v>
          </cell>
          <cell r="CE265">
            <v>0</v>
          </cell>
          <cell r="CF265">
            <v>0</v>
          </cell>
          <cell r="CG265">
            <v>0</v>
          </cell>
          <cell r="CH265">
            <v>0</v>
          </cell>
          <cell r="CI265">
            <v>0</v>
          </cell>
          <cell r="CJ265">
            <v>0</v>
          </cell>
          <cell r="CK265">
            <v>0</v>
          </cell>
          <cell r="CL265">
            <v>0</v>
          </cell>
          <cell r="CM265">
            <v>0</v>
          </cell>
          <cell r="CN265">
            <v>0</v>
          </cell>
          <cell r="CO265">
            <v>0</v>
          </cell>
          <cell r="CP265">
            <v>0</v>
          </cell>
          <cell r="CQ265">
            <v>0</v>
          </cell>
          <cell r="CR265">
            <v>0</v>
          </cell>
          <cell r="CS265">
            <v>0</v>
          </cell>
          <cell r="CT265">
            <v>0</v>
          </cell>
          <cell r="CU265">
            <v>0</v>
          </cell>
          <cell r="CV265">
            <v>0</v>
          </cell>
          <cell r="CW265">
            <v>0</v>
          </cell>
          <cell r="CX265">
            <v>0</v>
          </cell>
          <cell r="CY265">
            <v>0</v>
          </cell>
          <cell r="CZ265">
            <v>0</v>
          </cell>
          <cell r="DA265">
            <v>0</v>
          </cell>
          <cell r="DB265">
            <v>0</v>
          </cell>
          <cell r="DC265">
            <v>0</v>
          </cell>
          <cell r="DD265">
            <v>0</v>
          </cell>
          <cell r="DE265">
            <v>255</v>
          </cell>
          <cell r="DF265">
            <v>0</v>
          </cell>
          <cell r="DG265">
            <v>0</v>
          </cell>
          <cell r="DH265"/>
          <cell r="DI265">
            <v>0</v>
          </cell>
          <cell r="DK265" t="str">
            <v>OK</v>
          </cell>
          <cell r="DM265">
            <v>0</v>
          </cell>
          <cell r="DN265">
            <v>0</v>
          </cell>
          <cell r="DO265"/>
        </row>
        <row r="266">
          <cell r="N266">
            <v>0</v>
          </cell>
          <cell r="O266">
            <v>0</v>
          </cell>
          <cell r="P266"/>
          <cell r="Q266"/>
          <cell r="T266"/>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cell r="BM266">
            <v>0</v>
          </cell>
          <cell r="BN266">
            <v>0</v>
          </cell>
          <cell r="BO266">
            <v>0</v>
          </cell>
          <cell r="BP266">
            <v>0</v>
          </cell>
          <cell r="BQ266">
            <v>0</v>
          </cell>
          <cell r="BR266">
            <v>0</v>
          </cell>
          <cell r="BS266">
            <v>0</v>
          </cell>
          <cell r="BT266">
            <v>0</v>
          </cell>
          <cell r="BU266">
            <v>0</v>
          </cell>
          <cell r="BV266">
            <v>0</v>
          </cell>
          <cell r="BW266">
            <v>0</v>
          </cell>
          <cell r="BX266">
            <v>0</v>
          </cell>
          <cell r="BY266">
            <v>0</v>
          </cell>
          <cell r="BZ266">
            <v>0</v>
          </cell>
          <cell r="CA266">
            <v>0</v>
          </cell>
          <cell r="CB266">
            <v>0</v>
          </cell>
          <cell r="CC266">
            <v>0</v>
          </cell>
          <cell r="CD266">
            <v>0</v>
          </cell>
          <cell r="CE266">
            <v>0</v>
          </cell>
          <cell r="CF266">
            <v>0</v>
          </cell>
          <cell r="CG266">
            <v>0</v>
          </cell>
          <cell r="CH266">
            <v>0</v>
          </cell>
          <cell r="CI266">
            <v>0</v>
          </cell>
          <cell r="CJ266">
            <v>0</v>
          </cell>
          <cell r="CK266">
            <v>0</v>
          </cell>
          <cell r="CL266">
            <v>0</v>
          </cell>
          <cell r="CM266">
            <v>0</v>
          </cell>
          <cell r="CN266">
            <v>0</v>
          </cell>
          <cell r="CO266">
            <v>0</v>
          </cell>
          <cell r="CP266">
            <v>0</v>
          </cell>
          <cell r="CQ266">
            <v>0</v>
          </cell>
          <cell r="CR266">
            <v>0</v>
          </cell>
          <cell r="CS266">
            <v>0</v>
          </cell>
          <cell r="CT266">
            <v>0</v>
          </cell>
          <cell r="CU266">
            <v>0</v>
          </cell>
          <cell r="CV266">
            <v>0</v>
          </cell>
          <cell r="CW266">
            <v>0</v>
          </cell>
          <cell r="CX266">
            <v>0</v>
          </cell>
          <cell r="CY266">
            <v>0</v>
          </cell>
          <cell r="CZ266">
            <v>0</v>
          </cell>
          <cell r="DA266">
            <v>0</v>
          </cell>
          <cell r="DB266">
            <v>0</v>
          </cell>
          <cell r="DC266">
            <v>0</v>
          </cell>
          <cell r="DD266">
            <v>0</v>
          </cell>
          <cell r="DE266">
            <v>256</v>
          </cell>
          <cell r="DF266">
            <v>0</v>
          </cell>
          <cell r="DG266">
            <v>0</v>
          </cell>
          <cell r="DH266"/>
          <cell r="DI266">
            <v>0</v>
          </cell>
          <cell r="DK266" t="str">
            <v>OK</v>
          </cell>
          <cell r="DM266">
            <v>0</v>
          </cell>
          <cell r="DN266">
            <v>0</v>
          </cell>
          <cell r="DO266"/>
        </row>
        <row r="267">
          <cell r="N267">
            <v>0</v>
          </cell>
          <cell r="O267">
            <v>0</v>
          </cell>
          <cell r="P267"/>
          <cell r="Q267"/>
          <cell r="T267"/>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cell r="BM267">
            <v>0</v>
          </cell>
          <cell r="BN267">
            <v>0</v>
          </cell>
          <cell r="BO267">
            <v>0</v>
          </cell>
          <cell r="BP267">
            <v>0</v>
          </cell>
          <cell r="BQ267">
            <v>0</v>
          </cell>
          <cell r="BR267">
            <v>0</v>
          </cell>
          <cell r="BS267">
            <v>0</v>
          </cell>
          <cell r="BT267">
            <v>0</v>
          </cell>
          <cell r="BU267">
            <v>0</v>
          </cell>
          <cell r="BV267">
            <v>0</v>
          </cell>
          <cell r="BW267">
            <v>0</v>
          </cell>
          <cell r="BX267">
            <v>0</v>
          </cell>
          <cell r="BY267">
            <v>0</v>
          </cell>
          <cell r="BZ267">
            <v>0</v>
          </cell>
          <cell r="CA267">
            <v>0</v>
          </cell>
          <cell r="CB267">
            <v>0</v>
          </cell>
          <cell r="CC267">
            <v>0</v>
          </cell>
          <cell r="CD267">
            <v>0</v>
          </cell>
          <cell r="CE267">
            <v>0</v>
          </cell>
          <cell r="CF267">
            <v>0</v>
          </cell>
          <cell r="CG267">
            <v>0</v>
          </cell>
          <cell r="CH267">
            <v>0</v>
          </cell>
          <cell r="CI267">
            <v>0</v>
          </cell>
          <cell r="CJ267">
            <v>0</v>
          </cell>
          <cell r="CK267">
            <v>0</v>
          </cell>
          <cell r="CL267">
            <v>0</v>
          </cell>
          <cell r="CM267">
            <v>0</v>
          </cell>
          <cell r="CN267">
            <v>0</v>
          </cell>
          <cell r="CO267">
            <v>0</v>
          </cell>
          <cell r="CP267">
            <v>0</v>
          </cell>
          <cell r="CQ267">
            <v>0</v>
          </cell>
          <cell r="CR267">
            <v>0</v>
          </cell>
          <cell r="CS267">
            <v>0</v>
          </cell>
          <cell r="CT267">
            <v>0</v>
          </cell>
          <cell r="CU267">
            <v>0</v>
          </cell>
          <cell r="CV267">
            <v>0</v>
          </cell>
          <cell r="CW267">
            <v>0</v>
          </cell>
          <cell r="CX267">
            <v>0</v>
          </cell>
          <cell r="CY267">
            <v>0</v>
          </cell>
          <cell r="CZ267">
            <v>0</v>
          </cell>
          <cell r="DA267">
            <v>0</v>
          </cell>
          <cell r="DB267">
            <v>0</v>
          </cell>
          <cell r="DC267">
            <v>0</v>
          </cell>
          <cell r="DD267">
            <v>0</v>
          </cell>
          <cell r="DE267">
            <v>257</v>
          </cell>
          <cell r="DF267">
            <v>0</v>
          </cell>
          <cell r="DG267">
            <v>0</v>
          </cell>
          <cell r="DH267"/>
          <cell r="DI267">
            <v>0</v>
          </cell>
          <cell r="DK267" t="str">
            <v>OK</v>
          </cell>
          <cell r="DM267">
            <v>0</v>
          </cell>
          <cell r="DN267">
            <v>0</v>
          </cell>
          <cell r="DO267"/>
        </row>
        <row r="268">
          <cell r="N268">
            <v>0</v>
          </cell>
          <cell r="O268">
            <v>0</v>
          </cell>
          <cell r="P268"/>
          <cell r="Q268"/>
          <cell r="T268"/>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cell r="BM268">
            <v>0</v>
          </cell>
          <cell r="BN268">
            <v>0</v>
          </cell>
          <cell r="BO268">
            <v>0</v>
          </cell>
          <cell r="BP268">
            <v>0</v>
          </cell>
          <cell r="BQ268">
            <v>0</v>
          </cell>
          <cell r="BR268">
            <v>0</v>
          </cell>
          <cell r="BS268">
            <v>0</v>
          </cell>
          <cell r="BT268">
            <v>0</v>
          </cell>
          <cell r="BU268">
            <v>0</v>
          </cell>
          <cell r="BV268">
            <v>0</v>
          </cell>
          <cell r="BW268">
            <v>0</v>
          </cell>
          <cell r="BX268">
            <v>0</v>
          </cell>
          <cell r="BY268">
            <v>0</v>
          </cell>
          <cell r="BZ268">
            <v>0</v>
          </cell>
          <cell r="CA268">
            <v>0</v>
          </cell>
          <cell r="CB268">
            <v>0</v>
          </cell>
          <cell r="CC268">
            <v>0</v>
          </cell>
          <cell r="CD268">
            <v>0</v>
          </cell>
          <cell r="CE268">
            <v>0</v>
          </cell>
          <cell r="CF268">
            <v>0</v>
          </cell>
          <cell r="CG268">
            <v>0</v>
          </cell>
          <cell r="CH268">
            <v>0</v>
          </cell>
          <cell r="CI268">
            <v>0</v>
          </cell>
          <cell r="CJ268">
            <v>0</v>
          </cell>
          <cell r="CK268">
            <v>0</v>
          </cell>
          <cell r="CL268">
            <v>0</v>
          </cell>
          <cell r="CM268">
            <v>0</v>
          </cell>
          <cell r="CN268">
            <v>0</v>
          </cell>
          <cell r="CO268">
            <v>0</v>
          </cell>
          <cell r="CP268">
            <v>0</v>
          </cell>
          <cell r="CQ268">
            <v>0</v>
          </cell>
          <cell r="CR268">
            <v>0</v>
          </cell>
          <cell r="CS268">
            <v>0</v>
          </cell>
          <cell r="CT268">
            <v>0</v>
          </cell>
          <cell r="CU268">
            <v>0</v>
          </cell>
          <cell r="CV268">
            <v>0</v>
          </cell>
          <cell r="CW268">
            <v>0</v>
          </cell>
          <cell r="CX268">
            <v>0</v>
          </cell>
          <cell r="CY268">
            <v>0</v>
          </cell>
          <cell r="CZ268">
            <v>0</v>
          </cell>
          <cell r="DA268">
            <v>0</v>
          </cell>
          <cell r="DB268">
            <v>0</v>
          </cell>
          <cell r="DC268">
            <v>0</v>
          </cell>
          <cell r="DD268">
            <v>0</v>
          </cell>
          <cell r="DE268">
            <v>258</v>
          </cell>
          <cell r="DF268">
            <v>0</v>
          </cell>
          <cell r="DG268">
            <v>0</v>
          </cell>
          <cell r="DH268"/>
          <cell r="DI268">
            <v>0</v>
          </cell>
          <cell r="DK268" t="str">
            <v>OK</v>
          </cell>
          <cell r="DM268">
            <v>0</v>
          </cell>
          <cell r="DN268">
            <v>0</v>
          </cell>
          <cell r="DO268"/>
        </row>
        <row r="269">
          <cell r="N269">
            <v>0</v>
          </cell>
          <cell r="O269">
            <v>0</v>
          </cell>
          <cell r="P269"/>
          <cell r="Q269"/>
          <cell r="T269"/>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cell r="BM269">
            <v>0</v>
          </cell>
          <cell r="BN269">
            <v>0</v>
          </cell>
          <cell r="BO269">
            <v>0</v>
          </cell>
          <cell r="BP269">
            <v>0</v>
          </cell>
          <cell r="BQ269">
            <v>0</v>
          </cell>
          <cell r="BR269">
            <v>0</v>
          </cell>
          <cell r="BS269">
            <v>0</v>
          </cell>
          <cell r="BT269">
            <v>0</v>
          </cell>
          <cell r="BU269">
            <v>0</v>
          </cell>
          <cell r="BV269">
            <v>0</v>
          </cell>
          <cell r="BW269">
            <v>0</v>
          </cell>
          <cell r="BX269">
            <v>0</v>
          </cell>
          <cell r="BY269">
            <v>0</v>
          </cell>
          <cell r="BZ269">
            <v>0</v>
          </cell>
          <cell r="CA269">
            <v>0</v>
          </cell>
          <cell r="CB269">
            <v>0</v>
          </cell>
          <cell r="CC269">
            <v>0</v>
          </cell>
          <cell r="CD269">
            <v>0</v>
          </cell>
          <cell r="CE269">
            <v>0</v>
          </cell>
          <cell r="CF269">
            <v>0</v>
          </cell>
          <cell r="CG269">
            <v>0</v>
          </cell>
          <cell r="CH269">
            <v>0</v>
          </cell>
          <cell r="CI269">
            <v>0</v>
          </cell>
          <cell r="CJ269">
            <v>0</v>
          </cell>
          <cell r="CK269">
            <v>0</v>
          </cell>
          <cell r="CL269">
            <v>0</v>
          </cell>
          <cell r="CM269">
            <v>0</v>
          </cell>
          <cell r="CN269">
            <v>0</v>
          </cell>
          <cell r="CO269">
            <v>0</v>
          </cell>
          <cell r="CP269">
            <v>0</v>
          </cell>
          <cell r="CQ269">
            <v>0</v>
          </cell>
          <cell r="CR269">
            <v>0</v>
          </cell>
          <cell r="CS269">
            <v>0</v>
          </cell>
          <cell r="CT269">
            <v>0</v>
          </cell>
          <cell r="CU269">
            <v>0</v>
          </cell>
          <cell r="CV269">
            <v>0</v>
          </cell>
          <cell r="CW269">
            <v>0</v>
          </cell>
          <cell r="CX269">
            <v>0</v>
          </cell>
          <cell r="CY269">
            <v>0</v>
          </cell>
          <cell r="CZ269">
            <v>0</v>
          </cell>
          <cell r="DA269">
            <v>0</v>
          </cell>
          <cell r="DB269">
            <v>0</v>
          </cell>
          <cell r="DC269">
            <v>0</v>
          </cell>
          <cell r="DD269">
            <v>0</v>
          </cell>
          <cell r="DE269">
            <v>259</v>
          </cell>
          <cell r="DF269">
            <v>0</v>
          </cell>
          <cell r="DG269">
            <v>0</v>
          </cell>
          <cell r="DH269"/>
          <cell r="DI269">
            <v>0</v>
          </cell>
          <cell r="DK269" t="str">
            <v>OK</v>
          </cell>
          <cell r="DM269">
            <v>0</v>
          </cell>
          <cell r="DN269">
            <v>0</v>
          </cell>
          <cell r="DO269"/>
        </row>
        <row r="270">
          <cell r="N270">
            <v>0</v>
          </cell>
          <cell r="O270">
            <v>0</v>
          </cell>
          <cell r="P270"/>
          <cell r="Q270"/>
          <cell r="T270"/>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cell r="BM270">
            <v>0</v>
          </cell>
          <cell r="BN270">
            <v>0</v>
          </cell>
          <cell r="BO270">
            <v>0</v>
          </cell>
          <cell r="BP270">
            <v>0</v>
          </cell>
          <cell r="BQ270">
            <v>0</v>
          </cell>
          <cell r="BR270">
            <v>0</v>
          </cell>
          <cell r="BS270">
            <v>0</v>
          </cell>
          <cell r="BT270">
            <v>0</v>
          </cell>
          <cell r="BU270">
            <v>0</v>
          </cell>
          <cell r="BV270">
            <v>0</v>
          </cell>
          <cell r="BW270">
            <v>0</v>
          </cell>
          <cell r="BX270">
            <v>0</v>
          </cell>
          <cell r="BY270">
            <v>0</v>
          </cell>
          <cell r="BZ270">
            <v>0</v>
          </cell>
          <cell r="CA270">
            <v>0</v>
          </cell>
          <cell r="CB270">
            <v>0</v>
          </cell>
          <cell r="CC270">
            <v>0</v>
          </cell>
          <cell r="CD270">
            <v>0</v>
          </cell>
          <cell r="CE270">
            <v>0</v>
          </cell>
          <cell r="CF270">
            <v>0</v>
          </cell>
          <cell r="CG270">
            <v>0</v>
          </cell>
          <cell r="CH270">
            <v>0</v>
          </cell>
          <cell r="CI270">
            <v>0</v>
          </cell>
          <cell r="CJ270">
            <v>0</v>
          </cell>
          <cell r="CK270">
            <v>0</v>
          </cell>
          <cell r="CL270">
            <v>0</v>
          </cell>
          <cell r="CM270">
            <v>0</v>
          </cell>
          <cell r="CN270">
            <v>0</v>
          </cell>
          <cell r="CO270">
            <v>0</v>
          </cell>
          <cell r="CP270">
            <v>0</v>
          </cell>
          <cell r="CQ270">
            <v>0</v>
          </cell>
          <cell r="CR270">
            <v>0</v>
          </cell>
          <cell r="CS270">
            <v>0</v>
          </cell>
          <cell r="CT270">
            <v>0</v>
          </cell>
          <cell r="CU270">
            <v>0</v>
          </cell>
          <cell r="CV270">
            <v>0</v>
          </cell>
          <cell r="CW270">
            <v>0</v>
          </cell>
          <cell r="CX270">
            <v>0</v>
          </cell>
          <cell r="CY270">
            <v>0</v>
          </cell>
          <cell r="CZ270">
            <v>0</v>
          </cell>
          <cell r="DA270">
            <v>0</v>
          </cell>
          <cell r="DB270">
            <v>0</v>
          </cell>
          <cell r="DC270">
            <v>0</v>
          </cell>
          <cell r="DD270">
            <v>0</v>
          </cell>
          <cell r="DE270">
            <v>260</v>
          </cell>
          <cell r="DF270">
            <v>0</v>
          </cell>
          <cell r="DG270">
            <v>0</v>
          </cell>
          <cell r="DH270"/>
          <cell r="DI270">
            <v>0</v>
          </cell>
          <cell r="DK270" t="str">
            <v>OK</v>
          </cell>
          <cell r="DM270">
            <v>0</v>
          </cell>
          <cell r="DN270">
            <v>0</v>
          </cell>
          <cell r="DO270"/>
        </row>
        <row r="271">
          <cell r="N271">
            <v>0</v>
          </cell>
          <cell r="O271">
            <v>0</v>
          </cell>
          <cell r="P271"/>
          <cell r="Q271"/>
          <cell r="T271"/>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cell r="BM271">
            <v>0</v>
          </cell>
          <cell r="BN271">
            <v>0</v>
          </cell>
          <cell r="BO271">
            <v>0</v>
          </cell>
          <cell r="BP271">
            <v>0</v>
          </cell>
          <cell r="BQ271">
            <v>0</v>
          </cell>
          <cell r="BR271">
            <v>0</v>
          </cell>
          <cell r="BS271">
            <v>0</v>
          </cell>
          <cell r="BT271">
            <v>0</v>
          </cell>
          <cell r="BU271">
            <v>0</v>
          </cell>
          <cell r="BV271">
            <v>0</v>
          </cell>
          <cell r="BW271">
            <v>0</v>
          </cell>
          <cell r="BX271">
            <v>0</v>
          </cell>
          <cell r="BY271">
            <v>0</v>
          </cell>
          <cell r="BZ271">
            <v>0</v>
          </cell>
          <cell r="CA271">
            <v>0</v>
          </cell>
          <cell r="CB271">
            <v>0</v>
          </cell>
          <cell r="CC271">
            <v>0</v>
          </cell>
          <cell r="CD271">
            <v>0</v>
          </cell>
          <cell r="CE271">
            <v>0</v>
          </cell>
          <cell r="CF271">
            <v>0</v>
          </cell>
          <cell r="CG271">
            <v>0</v>
          </cell>
          <cell r="CH271">
            <v>0</v>
          </cell>
          <cell r="CI271">
            <v>0</v>
          </cell>
          <cell r="CJ271">
            <v>0</v>
          </cell>
          <cell r="CK271">
            <v>0</v>
          </cell>
          <cell r="CL271">
            <v>0</v>
          </cell>
          <cell r="CM271">
            <v>0</v>
          </cell>
          <cell r="CN271">
            <v>0</v>
          </cell>
          <cell r="CO271">
            <v>0</v>
          </cell>
          <cell r="CP271">
            <v>0</v>
          </cell>
          <cell r="CQ271">
            <v>0</v>
          </cell>
          <cell r="CR271">
            <v>0</v>
          </cell>
          <cell r="CS271">
            <v>0</v>
          </cell>
          <cell r="CT271">
            <v>0</v>
          </cell>
          <cell r="CU271">
            <v>0</v>
          </cell>
          <cell r="CV271">
            <v>0</v>
          </cell>
          <cell r="CW271">
            <v>0</v>
          </cell>
          <cell r="CX271">
            <v>0</v>
          </cell>
          <cell r="CY271">
            <v>0</v>
          </cell>
          <cell r="CZ271">
            <v>0</v>
          </cell>
          <cell r="DA271">
            <v>0</v>
          </cell>
          <cell r="DB271">
            <v>0</v>
          </cell>
          <cell r="DC271">
            <v>0</v>
          </cell>
          <cell r="DD271">
            <v>0</v>
          </cell>
          <cell r="DE271">
            <v>261</v>
          </cell>
          <cell r="DF271">
            <v>0</v>
          </cell>
          <cell r="DG271">
            <v>0</v>
          </cell>
          <cell r="DH271"/>
          <cell r="DI271">
            <v>0</v>
          </cell>
          <cell r="DK271" t="str">
            <v>OK</v>
          </cell>
          <cell r="DM271">
            <v>0</v>
          </cell>
          <cell r="DN271">
            <v>0</v>
          </cell>
          <cell r="DO271"/>
        </row>
        <row r="272">
          <cell r="N272">
            <v>0</v>
          </cell>
          <cell r="O272">
            <v>0</v>
          </cell>
          <cell r="P272"/>
          <cell r="Q272"/>
          <cell r="T272"/>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cell r="BM272">
            <v>0</v>
          </cell>
          <cell r="BN272">
            <v>0</v>
          </cell>
          <cell r="BO272">
            <v>0</v>
          </cell>
          <cell r="BP272">
            <v>0</v>
          </cell>
          <cell r="BQ272">
            <v>0</v>
          </cell>
          <cell r="BR272">
            <v>0</v>
          </cell>
          <cell r="BS272">
            <v>0</v>
          </cell>
          <cell r="BT272">
            <v>0</v>
          </cell>
          <cell r="BU272">
            <v>0</v>
          </cell>
          <cell r="BV272">
            <v>0</v>
          </cell>
          <cell r="BW272">
            <v>0</v>
          </cell>
          <cell r="BX272">
            <v>0</v>
          </cell>
          <cell r="BY272">
            <v>0</v>
          </cell>
          <cell r="BZ272">
            <v>0</v>
          </cell>
          <cell r="CA272">
            <v>0</v>
          </cell>
          <cell r="CB272">
            <v>0</v>
          </cell>
          <cell r="CC272">
            <v>0</v>
          </cell>
          <cell r="CD272">
            <v>0</v>
          </cell>
          <cell r="CE272">
            <v>0</v>
          </cell>
          <cell r="CF272">
            <v>0</v>
          </cell>
          <cell r="CG272">
            <v>0</v>
          </cell>
          <cell r="CH272">
            <v>0</v>
          </cell>
          <cell r="CI272">
            <v>0</v>
          </cell>
          <cell r="CJ272">
            <v>0</v>
          </cell>
          <cell r="CK272">
            <v>0</v>
          </cell>
          <cell r="CL272">
            <v>0</v>
          </cell>
          <cell r="CM272">
            <v>0</v>
          </cell>
          <cell r="CN272">
            <v>0</v>
          </cell>
          <cell r="CO272">
            <v>0</v>
          </cell>
          <cell r="CP272">
            <v>0</v>
          </cell>
          <cell r="CQ272">
            <v>0</v>
          </cell>
          <cell r="CR272">
            <v>0</v>
          </cell>
          <cell r="CS272">
            <v>0</v>
          </cell>
          <cell r="CT272">
            <v>0</v>
          </cell>
          <cell r="CU272">
            <v>0</v>
          </cell>
          <cell r="CV272">
            <v>0</v>
          </cell>
          <cell r="CW272">
            <v>0</v>
          </cell>
          <cell r="CX272">
            <v>0</v>
          </cell>
          <cell r="CY272">
            <v>0</v>
          </cell>
          <cell r="CZ272">
            <v>0</v>
          </cell>
          <cell r="DA272">
            <v>0</v>
          </cell>
          <cell r="DB272">
            <v>0</v>
          </cell>
          <cell r="DC272">
            <v>0</v>
          </cell>
          <cell r="DD272">
            <v>0</v>
          </cell>
          <cell r="DE272">
            <v>262</v>
          </cell>
          <cell r="DF272">
            <v>0</v>
          </cell>
          <cell r="DG272">
            <v>0</v>
          </cell>
          <cell r="DH272"/>
          <cell r="DI272">
            <v>0</v>
          </cell>
          <cell r="DK272" t="str">
            <v>OK</v>
          </cell>
          <cell r="DM272">
            <v>0</v>
          </cell>
          <cell r="DN272">
            <v>0</v>
          </cell>
          <cell r="DO272"/>
        </row>
        <row r="273">
          <cell r="N273">
            <v>0</v>
          </cell>
          <cell r="O273">
            <v>0</v>
          </cell>
          <cell r="P273"/>
          <cell r="Q273"/>
          <cell r="T273"/>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cell r="BM273">
            <v>0</v>
          </cell>
          <cell r="BN273">
            <v>0</v>
          </cell>
          <cell r="BO273">
            <v>0</v>
          </cell>
          <cell r="BP273">
            <v>0</v>
          </cell>
          <cell r="BQ273">
            <v>0</v>
          </cell>
          <cell r="BR273">
            <v>0</v>
          </cell>
          <cell r="BS273">
            <v>0</v>
          </cell>
          <cell r="BT273">
            <v>0</v>
          </cell>
          <cell r="BU273">
            <v>0</v>
          </cell>
          <cell r="BV273">
            <v>0</v>
          </cell>
          <cell r="BW273">
            <v>0</v>
          </cell>
          <cell r="BX273">
            <v>0</v>
          </cell>
          <cell r="BY273">
            <v>0</v>
          </cell>
          <cell r="BZ273">
            <v>0</v>
          </cell>
          <cell r="CA273">
            <v>0</v>
          </cell>
          <cell r="CB273">
            <v>0</v>
          </cell>
          <cell r="CC273">
            <v>0</v>
          </cell>
          <cell r="CD273">
            <v>0</v>
          </cell>
          <cell r="CE273">
            <v>0</v>
          </cell>
          <cell r="CF273">
            <v>0</v>
          </cell>
          <cell r="CG273">
            <v>0</v>
          </cell>
          <cell r="CH273">
            <v>0</v>
          </cell>
          <cell r="CI273">
            <v>0</v>
          </cell>
          <cell r="CJ273">
            <v>0</v>
          </cell>
          <cell r="CK273">
            <v>0</v>
          </cell>
          <cell r="CL273">
            <v>0</v>
          </cell>
          <cell r="CM273">
            <v>0</v>
          </cell>
          <cell r="CN273">
            <v>0</v>
          </cell>
          <cell r="CO273">
            <v>0</v>
          </cell>
          <cell r="CP273">
            <v>0</v>
          </cell>
          <cell r="CQ273">
            <v>0</v>
          </cell>
          <cell r="CR273">
            <v>0</v>
          </cell>
          <cell r="CS273">
            <v>0</v>
          </cell>
          <cell r="CT273">
            <v>0</v>
          </cell>
          <cell r="CU273">
            <v>0</v>
          </cell>
          <cell r="CV273">
            <v>0</v>
          </cell>
          <cell r="CW273">
            <v>0</v>
          </cell>
          <cell r="CX273">
            <v>0</v>
          </cell>
          <cell r="CY273">
            <v>0</v>
          </cell>
          <cell r="CZ273">
            <v>0</v>
          </cell>
          <cell r="DA273">
            <v>0</v>
          </cell>
          <cell r="DB273">
            <v>0</v>
          </cell>
          <cell r="DC273">
            <v>0</v>
          </cell>
          <cell r="DD273">
            <v>0</v>
          </cell>
          <cell r="DE273">
            <v>263</v>
          </cell>
          <cell r="DF273">
            <v>0</v>
          </cell>
          <cell r="DG273">
            <v>0</v>
          </cell>
          <cell r="DH273"/>
          <cell r="DI273">
            <v>0</v>
          </cell>
          <cell r="DK273" t="str">
            <v>OK</v>
          </cell>
          <cell r="DM273">
            <v>0</v>
          </cell>
          <cell r="DN273">
            <v>0</v>
          </cell>
          <cell r="DO273"/>
        </row>
        <row r="274">
          <cell r="N274">
            <v>0</v>
          </cell>
          <cell r="O274">
            <v>0</v>
          </cell>
          <cell r="P274"/>
          <cell r="Q274"/>
          <cell r="T274"/>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cell r="BM274">
            <v>0</v>
          </cell>
          <cell r="BN274">
            <v>0</v>
          </cell>
          <cell r="BO274">
            <v>0</v>
          </cell>
          <cell r="BP274">
            <v>0</v>
          </cell>
          <cell r="BQ274">
            <v>0</v>
          </cell>
          <cell r="BR274">
            <v>0</v>
          </cell>
          <cell r="BS274">
            <v>0</v>
          </cell>
          <cell r="BT274">
            <v>0</v>
          </cell>
          <cell r="BU274">
            <v>0</v>
          </cell>
          <cell r="BV274">
            <v>0</v>
          </cell>
          <cell r="BW274">
            <v>0</v>
          </cell>
          <cell r="BX274">
            <v>0</v>
          </cell>
          <cell r="BY274">
            <v>0</v>
          </cell>
          <cell r="BZ274">
            <v>0</v>
          </cell>
          <cell r="CA274">
            <v>0</v>
          </cell>
          <cell r="CB274">
            <v>0</v>
          </cell>
          <cell r="CC274">
            <v>0</v>
          </cell>
          <cell r="CD274">
            <v>0</v>
          </cell>
          <cell r="CE274">
            <v>0</v>
          </cell>
          <cell r="CF274">
            <v>0</v>
          </cell>
          <cell r="CG274">
            <v>0</v>
          </cell>
          <cell r="CH274">
            <v>0</v>
          </cell>
          <cell r="CI274">
            <v>0</v>
          </cell>
          <cell r="CJ274">
            <v>0</v>
          </cell>
          <cell r="CK274">
            <v>0</v>
          </cell>
          <cell r="CL274">
            <v>0</v>
          </cell>
          <cell r="CM274">
            <v>0</v>
          </cell>
          <cell r="CN274">
            <v>0</v>
          </cell>
          <cell r="CO274">
            <v>0</v>
          </cell>
          <cell r="CP274">
            <v>0</v>
          </cell>
          <cell r="CQ274">
            <v>0</v>
          </cell>
          <cell r="CR274">
            <v>0</v>
          </cell>
          <cell r="CS274">
            <v>0</v>
          </cell>
          <cell r="CT274">
            <v>0</v>
          </cell>
          <cell r="CU274">
            <v>0</v>
          </cell>
          <cell r="CV274">
            <v>0</v>
          </cell>
          <cell r="CW274">
            <v>0</v>
          </cell>
          <cell r="CX274">
            <v>0</v>
          </cell>
          <cell r="CY274">
            <v>0</v>
          </cell>
          <cell r="CZ274">
            <v>0</v>
          </cell>
          <cell r="DA274">
            <v>0</v>
          </cell>
          <cell r="DB274">
            <v>0</v>
          </cell>
          <cell r="DC274">
            <v>0</v>
          </cell>
          <cell r="DD274">
            <v>0</v>
          </cell>
          <cell r="DE274">
            <v>264</v>
          </cell>
          <cell r="DF274">
            <v>0</v>
          </cell>
          <cell r="DG274">
            <v>0</v>
          </cell>
          <cell r="DH274"/>
          <cell r="DI274">
            <v>0</v>
          </cell>
          <cell r="DK274" t="str">
            <v>OK</v>
          </cell>
          <cell r="DM274">
            <v>0</v>
          </cell>
          <cell r="DN274">
            <v>0</v>
          </cell>
          <cell r="DO274"/>
        </row>
        <row r="275">
          <cell r="N275">
            <v>0</v>
          </cell>
          <cell r="O275">
            <v>0</v>
          </cell>
          <cell r="P275"/>
          <cell r="Q275"/>
          <cell r="T275"/>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cell r="BM275">
            <v>0</v>
          </cell>
          <cell r="BN275">
            <v>0</v>
          </cell>
          <cell r="BO275">
            <v>0</v>
          </cell>
          <cell r="BP275">
            <v>0</v>
          </cell>
          <cell r="BQ275">
            <v>0</v>
          </cell>
          <cell r="BR275">
            <v>0</v>
          </cell>
          <cell r="BS275">
            <v>0</v>
          </cell>
          <cell r="BT275">
            <v>0</v>
          </cell>
          <cell r="BU275">
            <v>0</v>
          </cell>
          <cell r="BV275">
            <v>0</v>
          </cell>
          <cell r="BW275">
            <v>0</v>
          </cell>
          <cell r="BX275">
            <v>0</v>
          </cell>
          <cell r="BY275">
            <v>0</v>
          </cell>
          <cell r="BZ275">
            <v>0</v>
          </cell>
          <cell r="CA275">
            <v>0</v>
          </cell>
          <cell r="CB275">
            <v>0</v>
          </cell>
          <cell r="CC275">
            <v>0</v>
          </cell>
          <cell r="CD275">
            <v>0</v>
          </cell>
          <cell r="CE275">
            <v>0</v>
          </cell>
          <cell r="CF275">
            <v>0</v>
          </cell>
          <cell r="CG275">
            <v>0</v>
          </cell>
          <cell r="CH275">
            <v>0</v>
          </cell>
          <cell r="CI275">
            <v>0</v>
          </cell>
          <cell r="CJ275">
            <v>0</v>
          </cell>
          <cell r="CK275">
            <v>0</v>
          </cell>
          <cell r="CL275">
            <v>0</v>
          </cell>
          <cell r="CM275">
            <v>0</v>
          </cell>
          <cell r="CN275">
            <v>0</v>
          </cell>
          <cell r="CO275">
            <v>0</v>
          </cell>
          <cell r="CP275">
            <v>0</v>
          </cell>
          <cell r="CQ275">
            <v>0</v>
          </cell>
          <cell r="CR275">
            <v>0</v>
          </cell>
          <cell r="CS275">
            <v>0</v>
          </cell>
          <cell r="CT275">
            <v>0</v>
          </cell>
          <cell r="CU275">
            <v>0</v>
          </cell>
          <cell r="CV275">
            <v>0</v>
          </cell>
          <cell r="CW275">
            <v>0</v>
          </cell>
          <cell r="CX275">
            <v>0</v>
          </cell>
          <cell r="CY275">
            <v>0</v>
          </cell>
          <cell r="CZ275">
            <v>0</v>
          </cell>
          <cell r="DA275">
            <v>0</v>
          </cell>
          <cell r="DB275">
            <v>0</v>
          </cell>
          <cell r="DC275">
            <v>0</v>
          </cell>
          <cell r="DD275">
            <v>0</v>
          </cell>
          <cell r="DE275">
            <v>265</v>
          </cell>
          <cell r="DF275">
            <v>0</v>
          </cell>
          <cell r="DG275">
            <v>0</v>
          </cell>
          <cell r="DH275"/>
          <cell r="DI275">
            <v>0</v>
          </cell>
          <cell r="DK275" t="str">
            <v>OK</v>
          </cell>
          <cell r="DM275">
            <v>0</v>
          </cell>
          <cell r="DN275">
            <v>0</v>
          </cell>
          <cell r="DO275"/>
        </row>
        <row r="276">
          <cell r="N276">
            <v>0</v>
          </cell>
          <cell r="O276">
            <v>0</v>
          </cell>
          <cell r="P276"/>
          <cell r="Q276"/>
          <cell r="T276"/>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cell r="BM276">
            <v>0</v>
          </cell>
          <cell r="BN276">
            <v>0</v>
          </cell>
          <cell r="BO276">
            <v>0</v>
          </cell>
          <cell r="BP276">
            <v>0</v>
          </cell>
          <cell r="BQ276">
            <v>0</v>
          </cell>
          <cell r="BR276">
            <v>0</v>
          </cell>
          <cell r="BS276">
            <v>0</v>
          </cell>
          <cell r="BT276">
            <v>0</v>
          </cell>
          <cell r="BU276">
            <v>0</v>
          </cell>
          <cell r="BV276">
            <v>0</v>
          </cell>
          <cell r="BW276">
            <v>0</v>
          </cell>
          <cell r="BX276">
            <v>0</v>
          </cell>
          <cell r="BY276">
            <v>0</v>
          </cell>
          <cell r="BZ276">
            <v>0</v>
          </cell>
          <cell r="CA276">
            <v>0</v>
          </cell>
          <cell r="CB276">
            <v>0</v>
          </cell>
          <cell r="CC276">
            <v>0</v>
          </cell>
          <cell r="CD276">
            <v>0</v>
          </cell>
          <cell r="CE276">
            <v>0</v>
          </cell>
          <cell r="CF276">
            <v>0</v>
          </cell>
          <cell r="CG276">
            <v>0</v>
          </cell>
          <cell r="CH276">
            <v>0</v>
          </cell>
          <cell r="CI276">
            <v>0</v>
          </cell>
          <cell r="CJ276">
            <v>0</v>
          </cell>
          <cell r="CK276">
            <v>0</v>
          </cell>
          <cell r="CL276">
            <v>0</v>
          </cell>
          <cell r="CM276">
            <v>0</v>
          </cell>
          <cell r="CN276">
            <v>0</v>
          </cell>
          <cell r="CO276">
            <v>0</v>
          </cell>
          <cell r="CP276">
            <v>0</v>
          </cell>
          <cell r="CQ276">
            <v>0</v>
          </cell>
          <cell r="CR276">
            <v>0</v>
          </cell>
          <cell r="CS276">
            <v>0</v>
          </cell>
          <cell r="CT276">
            <v>0</v>
          </cell>
          <cell r="CU276">
            <v>0</v>
          </cell>
          <cell r="CV276">
            <v>0</v>
          </cell>
          <cell r="CW276">
            <v>0</v>
          </cell>
          <cell r="CX276">
            <v>0</v>
          </cell>
          <cell r="CY276">
            <v>0</v>
          </cell>
          <cell r="CZ276">
            <v>0</v>
          </cell>
          <cell r="DA276">
            <v>0</v>
          </cell>
          <cell r="DB276">
            <v>0</v>
          </cell>
          <cell r="DC276">
            <v>0</v>
          </cell>
          <cell r="DD276">
            <v>0</v>
          </cell>
          <cell r="DE276">
            <v>266</v>
          </cell>
          <cell r="DF276">
            <v>0</v>
          </cell>
          <cell r="DG276">
            <v>0</v>
          </cell>
          <cell r="DH276"/>
          <cell r="DI276">
            <v>0</v>
          </cell>
          <cell r="DK276" t="str">
            <v>OK</v>
          </cell>
          <cell r="DM276">
            <v>0</v>
          </cell>
          <cell r="DN276">
            <v>0</v>
          </cell>
          <cell r="DO276"/>
        </row>
        <row r="277">
          <cell r="N277">
            <v>0</v>
          </cell>
          <cell r="O277">
            <v>0</v>
          </cell>
          <cell r="P277"/>
          <cell r="Q277"/>
          <cell r="T277"/>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cell r="BM277">
            <v>0</v>
          </cell>
          <cell r="BN277">
            <v>0</v>
          </cell>
          <cell r="BO277">
            <v>0</v>
          </cell>
          <cell r="BP277">
            <v>0</v>
          </cell>
          <cell r="BQ277">
            <v>0</v>
          </cell>
          <cell r="BR277">
            <v>0</v>
          </cell>
          <cell r="BS277">
            <v>0</v>
          </cell>
          <cell r="BT277">
            <v>0</v>
          </cell>
          <cell r="BU277">
            <v>0</v>
          </cell>
          <cell r="BV277">
            <v>0</v>
          </cell>
          <cell r="BW277">
            <v>0</v>
          </cell>
          <cell r="BX277">
            <v>0</v>
          </cell>
          <cell r="BY277">
            <v>0</v>
          </cell>
          <cell r="BZ277">
            <v>0</v>
          </cell>
          <cell r="CA277">
            <v>0</v>
          </cell>
          <cell r="CB277">
            <v>0</v>
          </cell>
          <cell r="CC277">
            <v>0</v>
          </cell>
          <cell r="CD277">
            <v>0</v>
          </cell>
          <cell r="CE277">
            <v>0</v>
          </cell>
          <cell r="CF277">
            <v>0</v>
          </cell>
          <cell r="CG277">
            <v>0</v>
          </cell>
          <cell r="CH277">
            <v>0</v>
          </cell>
          <cell r="CI277">
            <v>0</v>
          </cell>
          <cell r="CJ277">
            <v>0</v>
          </cell>
          <cell r="CK277">
            <v>0</v>
          </cell>
          <cell r="CL277">
            <v>0</v>
          </cell>
          <cell r="CM277">
            <v>0</v>
          </cell>
          <cell r="CN277">
            <v>0</v>
          </cell>
          <cell r="CO277">
            <v>0</v>
          </cell>
          <cell r="CP277">
            <v>0</v>
          </cell>
          <cell r="CQ277">
            <v>0</v>
          </cell>
          <cell r="CR277">
            <v>0</v>
          </cell>
          <cell r="CS277">
            <v>0</v>
          </cell>
          <cell r="CT277">
            <v>0</v>
          </cell>
          <cell r="CU277">
            <v>0</v>
          </cell>
          <cell r="CV277">
            <v>0</v>
          </cell>
          <cell r="CW277">
            <v>0</v>
          </cell>
          <cell r="CX277">
            <v>0</v>
          </cell>
          <cell r="CY277">
            <v>0</v>
          </cell>
          <cell r="CZ277">
            <v>0</v>
          </cell>
          <cell r="DA277">
            <v>0</v>
          </cell>
          <cell r="DB277">
            <v>0</v>
          </cell>
          <cell r="DC277">
            <v>0</v>
          </cell>
          <cell r="DD277">
            <v>0</v>
          </cell>
          <cell r="DE277">
            <v>267</v>
          </cell>
          <cell r="DF277">
            <v>0</v>
          </cell>
          <cell r="DG277">
            <v>0</v>
          </cell>
          <cell r="DH277"/>
          <cell r="DI277">
            <v>0</v>
          </cell>
          <cell r="DK277" t="str">
            <v>OK</v>
          </cell>
          <cell r="DM277">
            <v>0</v>
          </cell>
          <cell r="DN277">
            <v>0</v>
          </cell>
          <cell r="DO277"/>
        </row>
        <row r="278">
          <cell r="N278">
            <v>0</v>
          </cell>
          <cell r="O278">
            <v>0</v>
          </cell>
          <cell r="P278"/>
          <cell r="Q278"/>
          <cell r="T278"/>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cell r="BM278">
            <v>0</v>
          </cell>
          <cell r="BN278">
            <v>0</v>
          </cell>
          <cell r="BO278">
            <v>0</v>
          </cell>
          <cell r="BP278">
            <v>0</v>
          </cell>
          <cell r="BQ278">
            <v>0</v>
          </cell>
          <cell r="BR278">
            <v>0</v>
          </cell>
          <cell r="BS278">
            <v>0</v>
          </cell>
          <cell r="BT278">
            <v>0</v>
          </cell>
          <cell r="BU278">
            <v>0</v>
          </cell>
          <cell r="BV278">
            <v>0</v>
          </cell>
          <cell r="BW278">
            <v>0</v>
          </cell>
          <cell r="BX278">
            <v>0</v>
          </cell>
          <cell r="BY278">
            <v>0</v>
          </cell>
          <cell r="BZ278">
            <v>0</v>
          </cell>
          <cell r="CA278">
            <v>0</v>
          </cell>
          <cell r="CB278">
            <v>0</v>
          </cell>
          <cell r="CC278">
            <v>0</v>
          </cell>
          <cell r="CD278">
            <v>0</v>
          </cell>
          <cell r="CE278">
            <v>0</v>
          </cell>
          <cell r="CF278">
            <v>0</v>
          </cell>
          <cell r="CG278">
            <v>0</v>
          </cell>
          <cell r="CH278">
            <v>0</v>
          </cell>
          <cell r="CI278">
            <v>0</v>
          </cell>
          <cell r="CJ278">
            <v>0</v>
          </cell>
          <cell r="CK278">
            <v>0</v>
          </cell>
          <cell r="CL278">
            <v>0</v>
          </cell>
          <cell r="CM278">
            <v>0</v>
          </cell>
          <cell r="CN278">
            <v>0</v>
          </cell>
          <cell r="CO278">
            <v>0</v>
          </cell>
          <cell r="CP278">
            <v>0</v>
          </cell>
          <cell r="CQ278">
            <v>0</v>
          </cell>
          <cell r="CR278">
            <v>0</v>
          </cell>
          <cell r="CS278">
            <v>0</v>
          </cell>
          <cell r="CT278">
            <v>0</v>
          </cell>
          <cell r="CU278">
            <v>0</v>
          </cell>
          <cell r="CV278">
            <v>0</v>
          </cell>
          <cell r="CW278">
            <v>0</v>
          </cell>
          <cell r="CX278">
            <v>0</v>
          </cell>
          <cell r="CY278">
            <v>0</v>
          </cell>
          <cell r="CZ278">
            <v>0</v>
          </cell>
          <cell r="DA278">
            <v>0</v>
          </cell>
          <cell r="DB278">
            <v>0</v>
          </cell>
          <cell r="DC278">
            <v>0</v>
          </cell>
          <cell r="DD278">
            <v>0</v>
          </cell>
          <cell r="DE278">
            <v>268</v>
          </cell>
          <cell r="DF278">
            <v>0</v>
          </cell>
          <cell r="DG278">
            <v>0</v>
          </cell>
          <cell r="DH278"/>
          <cell r="DI278">
            <v>0</v>
          </cell>
          <cell r="DK278" t="str">
            <v>OK</v>
          </cell>
          <cell r="DM278">
            <v>0</v>
          </cell>
          <cell r="DN278">
            <v>0</v>
          </cell>
          <cell r="DO278"/>
        </row>
        <row r="279">
          <cell r="N279">
            <v>0</v>
          </cell>
          <cell r="O279">
            <v>0</v>
          </cell>
          <cell r="P279"/>
          <cell r="Q279"/>
          <cell r="T279"/>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cell r="BM279">
            <v>0</v>
          </cell>
          <cell r="BN279">
            <v>0</v>
          </cell>
          <cell r="BO279">
            <v>0</v>
          </cell>
          <cell r="BP279">
            <v>0</v>
          </cell>
          <cell r="BQ279">
            <v>0</v>
          </cell>
          <cell r="BR279">
            <v>0</v>
          </cell>
          <cell r="BS279">
            <v>0</v>
          </cell>
          <cell r="BT279">
            <v>0</v>
          </cell>
          <cell r="BU279">
            <v>0</v>
          </cell>
          <cell r="BV279">
            <v>0</v>
          </cell>
          <cell r="BW279">
            <v>0</v>
          </cell>
          <cell r="BX279">
            <v>0</v>
          </cell>
          <cell r="BY279">
            <v>0</v>
          </cell>
          <cell r="BZ279">
            <v>0</v>
          </cell>
          <cell r="CA279">
            <v>0</v>
          </cell>
          <cell r="CB279">
            <v>0</v>
          </cell>
          <cell r="CC279">
            <v>0</v>
          </cell>
          <cell r="CD279">
            <v>0</v>
          </cell>
          <cell r="CE279">
            <v>0</v>
          </cell>
          <cell r="CF279">
            <v>0</v>
          </cell>
          <cell r="CG279">
            <v>0</v>
          </cell>
          <cell r="CH279">
            <v>0</v>
          </cell>
          <cell r="CI279">
            <v>0</v>
          </cell>
          <cell r="CJ279">
            <v>0</v>
          </cell>
          <cell r="CK279">
            <v>0</v>
          </cell>
          <cell r="CL279">
            <v>0</v>
          </cell>
          <cell r="CM279">
            <v>0</v>
          </cell>
          <cell r="CN279">
            <v>0</v>
          </cell>
          <cell r="CO279">
            <v>0</v>
          </cell>
          <cell r="CP279">
            <v>0</v>
          </cell>
          <cell r="CQ279">
            <v>0</v>
          </cell>
          <cell r="CR279">
            <v>0</v>
          </cell>
          <cell r="CS279">
            <v>0</v>
          </cell>
          <cell r="CT279">
            <v>0</v>
          </cell>
          <cell r="CU279">
            <v>0</v>
          </cell>
          <cell r="CV279">
            <v>0</v>
          </cell>
          <cell r="CW279">
            <v>0</v>
          </cell>
          <cell r="CX279">
            <v>0</v>
          </cell>
          <cell r="CY279">
            <v>0</v>
          </cell>
          <cell r="CZ279">
            <v>0</v>
          </cell>
          <cell r="DA279">
            <v>0</v>
          </cell>
          <cell r="DB279">
            <v>0</v>
          </cell>
          <cell r="DC279">
            <v>0</v>
          </cell>
          <cell r="DD279">
            <v>0</v>
          </cell>
          <cell r="DE279">
            <v>269</v>
          </cell>
          <cell r="DF279">
            <v>0</v>
          </cell>
          <cell r="DG279">
            <v>0</v>
          </cell>
          <cell r="DH279"/>
          <cell r="DI279">
            <v>0</v>
          </cell>
          <cell r="DK279" t="str">
            <v>OK</v>
          </cell>
          <cell r="DM279">
            <v>0</v>
          </cell>
          <cell r="DN279">
            <v>0</v>
          </cell>
          <cell r="DO279"/>
        </row>
        <row r="280">
          <cell r="N280">
            <v>0</v>
          </cell>
          <cell r="O280">
            <v>0</v>
          </cell>
          <cell r="P280"/>
          <cell r="Q280"/>
          <cell r="T280"/>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cell r="BM280">
            <v>0</v>
          </cell>
          <cell r="BN280">
            <v>0</v>
          </cell>
          <cell r="BO280">
            <v>0</v>
          </cell>
          <cell r="BP280">
            <v>0</v>
          </cell>
          <cell r="BQ280">
            <v>0</v>
          </cell>
          <cell r="BR280">
            <v>0</v>
          </cell>
          <cell r="BS280">
            <v>0</v>
          </cell>
          <cell r="BT280">
            <v>0</v>
          </cell>
          <cell r="BU280">
            <v>0</v>
          </cell>
          <cell r="BV280">
            <v>0</v>
          </cell>
          <cell r="BW280">
            <v>0</v>
          </cell>
          <cell r="BX280">
            <v>0</v>
          </cell>
          <cell r="BY280">
            <v>0</v>
          </cell>
          <cell r="BZ280">
            <v>0</v>
          </cell>
          <cell r="CA280">
            <v>0</v>
          </cell>
          <cell r="CB280">
            <v>0</v>
          </cell>
          <cell r="CC280">
            <v>0</v>
          </cell>
          <cell r="CD280">
            <v>0</v>
          </cell>
          <cell r="CE280">
            <v>0</v>
          </cell>
          <cell r="CF280">
            <v>0</v>
          </cell>
          <cell r="CG280">
            <v>0</v>
          </cell>
          <cell r="CH280">
            <v>0</v>
          </cell>
          <cell r="CI280">
            <v>0</v>
          </cell>
          <cell r="CJ280">
            <v>0</v>
          </cell>
          <cell r="CK280">
            <v>0</v>
          </cell>
          <cell r="CL280">
            <v>0</v>
          </cell>
          <cell r="CM280">
            <v>0</v>
          </cell>
          <cell r="CN280">
            <v>0</v>
          </cell>
          <cell r="CO280">
            <v>0</v>
          </cell>
          <cell r="CP280">
            <v>0</v>
          </cell>
          <cell r="CQ280">
            <v>0</v>
          </cell>
          <cell r="CR280">
            <v>0</v>
          </cell>
          <cell r="CS280">
            <v>0</v>
          </cell>
          <cell r="CT280">
            <v>0</v>
          </cell>
          <cell r="CU280">
            <v>0</v>
          </cell>
          <cell r="CV280">
            <v>0</v>
          </cell>
          <cell r="CW280">
            <v>0</v>
          </cell>
          <cell r="CX280">
            <v>0</v>
          </cell>
          <cell r="CY280">
            <v>0</v>
          </cell>
          <cell r="CZ280">
            <v>0</v>
          </cell>
          <cell r="DA280">
            <v>0</v>
          </cell>
          <cell r="DB280">
            <v>0</v>
          </cell>
          <cell r="DC280">
            <v>0</v>
          </cell>
          <cell r="DD280">
            <v>0</v>
          </cell>
          <cell r="DE280">
            <v>270</v>
          </cell>
          <cell r="DF280">
            <v>0</v>
          </cell>
          <cell r="DG280">
            <v>0</v>
          </cell>
          <cell r="DH280"/>
          <cell r="DI280">
            <v>0</v>
          </cell>
          <cell r="DK280" t="str">
            <v>OK</v>
          </cell>
          <cell r="DM280">
            <v>0</v>
          </cell>
          <cell r="DN280">
            <v>0</v>
          </cell>
          <cell r="DO280"/>
        </row>
        <row r="281">
          <cell r="N281">
            <v>0</v>
          </cell>
          <cell r="O281">
            <v>0</v>
          </cell>
          <cell r="P281"/>
          <cell r="Q281"/>
          <cell r="T281"/>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cell r="BM281">
            <v>0</v>
          </cell>
          <cell r="BN281">
            <v>0</v>
          </cell>
          <cell r="BO281">
            <v>0</v>
          </cell>
          <cell r="BP281">
            <v>0</v>
          </cell>
          <cell r="BQ281">
            <v>0</v>
          </cell>
          <cell r="BR281">
            <v>0</v>
          </cell>
          <cell r="BS281">
            <v>0</v>
          </cell>
          <cell r="BT281">
            <v>0</v>
          </cell>
          <cell r="BU281">
            <v>0</v>
          </cell>
          <cell r="BV281">
            <v>0</v>
          </cell>
          <cell r="BW281">
            <v>0</v>
          </cell>
          <cell r="BX281">
            <v>0</v>
          </cell>
          <cell r="BY281">
            <v>0</v>
          </cell>
          <cell r="BZ281">
            <v>0</v>
          </cell>
          <cell r="CA281">
            <v>0</v>
          </cell>
          <cell r="CB281">
            <v>0</v>
          </cell>
          <cell r="CC281">
            <v>0</v>
          </cell>
          <cell r="CD281">
            <v>0</v>
          </cell>
          <cell r="CE281">
            <v>0</v>
          </cell>
          <cell r="CF281">
            <v>0</v>
          </cell>
          <cell r="CG281">
            <v>0</v>
          </cell>
          <cell r="CH281">
            <v>0</v>
          </cell>
          <cell r="CI281">
            <v>0</v>
          </cell>
          <cell r="CJ281">
            <v>0</v>
          </cell>
          <cell r="CK281">
            <v>0</v>
          </cell>
          <cell r="CL281">
            <v>0</v>
          </cell>
          <cell r="CM281">
            <v>0</v>
          </cell>
          <cell r="CN281">
            <v>0</v>
          </cell>
          <cell r="CO281">
            <v>0</v>
          </cell>
          <cell r="CP281">
            <v>0</v>
          </cell>
          <cell r="CQ281">
            <v>0</v>
          </cell>
          <cell r="CR281">
            <v>0</v>
          </cell>
          <cell r="CS281">
            <v>0</v>
          </cell>
          <cell r="CT281">
            <v>0</v>
          </cell>
          <cell r="CU281">
            <v>0</v>
          </cell>
          <cell r="CV281">
            <v>0</v>
          </cell>
          <cell r="CW281">
            <v>0</v>
          </cell>
          <cell r="CX281">
            <v>0</v>
          </cell>
          <cell r="CY281">
            <v>0</v>
          </cell>
          <cell r="CZ281">
            <v>0</v>
          </cell>
          <cell r="DA281">
            <v>0</v>
          </cell>
          <cell r="DB281">
            <v>0</v>
          </cell>
          <cell r="DC281">
            <v>0</v>
          </cell>
          <cell r="DD281">
            <v>0</v>
          </cell>
          <cell r="DE281">
            <v>271</v>
          </cell>
          <cell r="DF281">
            <v>0</v>
          </cell>
          <cell r="DG281">
            <v>0</v>
          </cell>
          <cell r="DH281"/>
          <cell r="DI281">
            <v>0</v>
          </cell>
          <cell r="DK281" t="str">
            <v>OK</v>
          </cell>
          <cell r="DM281">
            <v>0</v>
          </cell>
          <cell r="DN281">
            <v>0</v>
          </cell>
          <cell r="DO281"/>
        </row>
        <row r="282">
          <cell r="N282">
            <v>0</v>
          </cell>
          <cell r="O282">
            <v>0</v>
          </cell>
          <cell r="P282"/>
          <cell r="Q282"/>
          <cell r="T282"/>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cell r="BM282">
            <v>0</v>
          </cell>
          <cell r="BN282">
            <v>0</v>
          </cell>
          <cell r="BO282">
            <v>0</v>
          </cell>
          <cell r="BP282">
            <v>0</v>
          </cell>
          <cell r="BQ282">
            <v>0</v>
          </cell>
          <cell r="BR282">
            <v>0</v>
          </cell>
          <cell r="BS282">
            <v>0</v>
          </cell>
          <cell r="BT282">
            <v>0</v>
          </cell>
          <cell r="BU282">
            <v>0</v>
          </cell>
          <cell r="BV282">
            <v>0</v>
          </cell>
          <cell r="BW282">
            <v>0</v>
          </cell>
          <cell r="BX282">
            <v>0</v>
          </cell>
          <cell r="BY282">
            <v>0</v>
          </cell>
          <cell r="BZ282">
            <v>0</v>
          </cell>
          <cell r="CA282">
            <v>0</v>
          </cell>
          <cell r="CB282">
            <v>0</v>
          </cell>
          <cell r="CC282">
            <v>0</v>
          </cell>
          <cell r="CD282">
            <v>0</v>
          </cell>
          <cell r="CE282">
            <v>0</v>
          </cell>
          <cell r="CF282">
            <v>0</v>
          </cell>
          <cell r="CG282">
            <v>0</v>
          </cell>
          <cell r="CH282">
            <v>0</v>
          </cell>
          <cell r="CI282">
            <v>0</v>
          </cell>
          <cell r="CJ282">
            <v>0</v>
          </cell>
          <cell r="CK282">
            <v>0</v>
          </cell>
          <cell r="CL282">
            <v>0</v>
          </cell>
          <cell r="CM282">
            <v>0</v>
          </cell>
          <cell r="CN282">
            <v>0</v>
          </cell>
          <cell r="CO282">
            <v>0</v>
          </cell>
          <cell r="CP282">
            <v>0</v>
          </cell>
          <cell r="CQ282">
            <v>0</v>
          </cell>
          <cell r="CR282">
            <v>0</v>
          </cell>
          <cell r="CS282">
            <v>0</v>
          </cell>
          <cell r="CT282">
            <v>0</v>
          </cell>
          <cell r="CU282">
            <v>0</v>
          </cell>
          <cell r="CV282">
            <v>0</v>
          </cell>
          <cell r="CW282">
            <v>0</v>
          </cell>
          <cell r="CX282">
            <v>0</v>
          </cell>
          <cell r="CY282">
            <v>0</v>
          </cell>
          <cell r="CZ282">
            <v>0</v>
          </cell>
          <cell r="DA282">
            <v>0</v>
          </cell>
          <cell r="DB282">
            <v>0</v>
          </cell>
          <cell r="DC282">
            <v>0</v>
          </cell>
          <cell r="DD282">
            <v>0</v>
          </cell>
          <cell r="DE282">
            <v>272</v>
          </cell>
          <cell r="DF282">
            <v>0</v>
          </cell>
          <cell r="DG282">
            <v>0</v>
          </cell>
          <cell r="DH282"/>
          <cell r="DI282">
            <v>0</v>
          </cell>
          <cell r="DK282" t="str">
            <v>OK</v>
          </cell>
          <cell r="DM282">
            <v>0</v>
          </cell>
          <cell r="DN282">
            <v>0</v>
          </cell>
          <cell r="DO282"/>
        </row>
        <row r="283">
          <cell r="N283">
            <v>0</v>
          </cell>
          <cell r="O283">
            <v>0</v>
          </cell>
          <cell r="P283"/>
          <cell r="Q283"/>
          <cell r="T283"/>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cell r="BM283">
            <v>0</v>
          </cell>
          <cell r="BN283">
            <v>0</v>
          </cell>
          <cell r="BO283">
            <v>0</v>
          </cell>
          <cell r="BP283">
            <v>0</v>
          </cell>
          <cell r="BQ283">
            <v>0</v>
          </cell>
          <cell r="BR283">
            <v>0</v>
          </cell>
          <cell r="BS283">
            <v>0</v>
          </cell>
          <cell r="BT283">
            <v>0</v>
          </cell>
          <cell r="BU283">
            <v>0</v>
          </cell>
          <cell r="BV283">
            <v>0</v>
          </cell>
          <cell r="BW283">
            <v>0</v>
          </cell>
          <cell r="BX283">
            <v>0</v>
          </cell>
          <cell r="BY283">
            <v>0</v>
          </cell>
          <cell r="BZ283">
            <v>0</v>
          </cell>
          <cell r="CA283">
            <v>0</v>
          </cell>
          <cell r="CB283">
            <v>0</v>
          </cell>
          <cell r="CC283">
            <v>0</v>
          </cell>
          <cell r="CD283">
            <v>0</v>
          </cell>
          <cell r="CE283">
            <v>0</v>
          </cell>
          <cell r="CF283">
            <v>0</v>
          </cell>
          <cell r="CG283">
            <v>0</v>
          </cell>
          <cell r="CH283">
            <v>0</v>
          </cell>
          <cell r="CI283">
            <v>0</v>
          </cell>
          <cell r="CJ283">
            <v>0</v>
          </cell>
          <cell r="CK283">
            <v>0</v>
          </cell>
          <cell r="CL283">
            <v>0</v>
          </cell>
          <cell r="CM283">
            <v>0</v>
          </cell>
          <cell r="CN283">
            <v>0</v>
          </cell>
          <cell r="CO283">
            <v>0</v>
          </cell>
          <cell r="CP283">
            <v>0</v>
          </cell>
          <cell r="CQ283">
            <v>0</v>
          </cell>
          <cell r="CR283">
            <v>0</v>
          </cell>
          <cell r="CS283">
            <v>0</v>
          </cell>
          <cell r="CT283">
            <v>0</v>
          </cell>
          <cell r="CU283">
            <v>0</v>
          </cell>
          <cell r="CV283">
            <v>0</v>
          </cell>
          <cell r="CW283">
            <v>0</v>
          </cell>
          <cell r="CX283">
            <v>0</v>
          </cell>
          <cell r="CY283">
            <v>0</v>
          </cell>
          <cell r="CZ283">
            <v>0</v>
          </cell>
          <cell r="DA283">
            <v>0</v>
          </cell>
          <cell r="DB283">
            <v>0</v>
          </cell>
          <cell r="DC283">
            <v>0</v>
          </cell>
          <cell r="DD283">
            <v>0</v>
          </cell>
          <cell r="DE283">
            <v>273</v>
          </cell>
          <cell r="DF283">
            <v>0</v>
          </cell>
          <cell r="DG283">
            <v>0</v>
          </cell>
          <cell r="DH283"/>
          <cell r="DI283">
            <v>0</v>
          </cell>
          <cell r="DK283" t="str">
            <v>OK</v>
          </cell>
          <cell r="DM283">
            <v>0</v>
          </cell>
          <cell r="DN283">
            <v>0</v>
          </cell>
          <cell r="DO283"/>
        </row>
        <row r="284">
          <cell r="N284">
            <v>0</v>
          </cell>
          <cell r="O284">
            <v>0</v>
          </cell>
          <cell r="P284"/>
          <cell r="Q284"/>
          <cell r="T284"/>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cell r="BM284">
            <v>0</v>
          </cell>
          <cell r="BN284">
            <v>0</v>
          </cell>
          <cell r="BO284">
            <v>0</v>
          </cell>
          <cell r="BP284">
            <v>0</v>
          </cell>
          <cell r="BQ284">
            <v>0</v>
          </cell>
          <cell r="BR284">
            <v>0</v>
          </cell>
          <cell r="BS284">
            <v>0</v>
          </cell>
          <cell r="BT284">
            <v>0</v>
          </cell>
          <cell r="BU284">
            <v>0</v>
          </cell>
          <cell r="BV284">
            <v>0</v>
          </cell>
          <cell r="BW284">
            <v>0</v>
          </cell>
          <cell r="BX284">
            <v>0</v>
          </cell>
          <cell r="BY284">
            <v>0</v>
          </cell>
          <cell r="BZ284">
            <v>0</v>
          </cell>
          <cell r="CA284">
            <v>0</v>
          </cell>
          <cell r="CB284">
            <v>0</v>
          </cell>
          <cell r="CC284">
            <v>0</v>
          </cell>
          <cell r="CD284">
            <v>0</v>
          </cell>
          <cell r="CE284">
            <v>0</v>
          </cell>
          <cell r="CF284">
            <v>0</v>
          </cell>
          <cell r="CG284">
            <v>0</v>
          </cell>
          <cell r="CH284">
            <v>0</v>
          </cell>
          <cell r="CI284">
            <v>0</v>
          </cell>
          <cell r="CJ284">
            <v>0</v>
          </cell>
          <cell r="CK284">
            <v>0</v>
          </cell>
          <cell r="CL284">
            <v>0</v>
          </cell>
          <cell r="CM284">
            <v>0</v>
          </cell>
          <cell r="CN284">
            <v>0</v>
          </cell>
          <cell r="CO284">
            <v>0</v>
          </cell>
          <cell r="CP284">
            <v>0</v>
          </cell>
          <cell r="CQ284">
            <v>0</v>
          </cell>
          <cell r="CR284">
            <v>0</v>
          </cell>
          <cell r="CS284">
            <v>0</v>
          </cell>
          <cell r="CT284">
            <v>0</v>
          </cell>
          <cell r="CU284">
            <v>0</v>
          </cell>
          <cell r="CV284">
            <v>0</v>
          </cell>
          <cell r="CW284">
            <v>0</v>
          </cell>
          <cell r="CX284">
            <v>0</v>
          </cell>
          <cell r="CY284">
            <v>0</v>
          </cell>
          <cell r="CZ284">
            <v>0</v>
          </cell>
          <cell r="DA284">
            <v>0</v>
          </cell>
          <cell r="DB284">
            <v>0</v>
          </cell>
          <cell r="DC284">
            <v>0</v>
          </cell>
          <cell r="DD284">
            <v>0</v>
          </cell>
          <cell r="DE284">
            <v>274</v>
          </cell>
          <cell r="DF284">
            <v>0</v>
          </cell>
          <cell r="DG284">
            <v>0</v>
          </cell>
          <cell r="DH284"/>
          <cell r="DI284">
            <v>0</v>
          </cell>
          <cell r="DK284" t="str">
            <v>OK</v>
          </cell>
          <cell r="DM284">
            <v>0</v>
          </cell>
          <cell r="DN284">
            <v>0</v>
          </cell>
          <cell r="DO284"/>
        </row>
        <row r="285">
          <cell r="N285">
            <v>0</v>
          </cell>
          <cell r="O285">
            <v>0</v>
          </cell>
          <cell r="P285"/>
          <cell r="Q285"/>
          <cell r="T285"/>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cell r="BM285">
            <v>0</v>
          </cell>
          <cell r="BN285">
            <v>0</v>
          </cell>
          <cell r="BO285">
            <v>0</v>
          </cell>
          <cell r="BP285">
            <v>0</v>
          </cell>
          <cell r="BQ285">
            <v>0</v>
          </cell>
          <cell r="BR285">
            <v>0</v>
          </cell>
          <cell r="BS285">
            <v>0</v>
          </cell>
          <cell r="BT285">
            <v>0</v>
          </cell>
          <cell r="BU285">
            <v>0</v>
          </cell>
          <cell r="BV285">
            <v>0</v>
          </cell>
          <cell r="BW285">
            <v>0</v>
          </cell>
          <cell r="BX285">
            <v>0</v>
          </cell>
          <cell r="BY285">
            <v>0</v>
          </cell>
          <cell r="BZ285">
            <v>0</v>
          </cell>
          <cell r="CA285">
            <v>0</v>
          </cell>
          <cell r="CB285">
            <v>0</v>
          </cell>
          <cell r="CC285">
            <v>0</v>
          </cell>
          <cell r="CD285">
            <v>0</v>
          </cell>
          <cell r="CE285">
            <v>0</v>
          </cell>
          <cell r="CF285">
            <v>0</v>
          </cell>
          <cell r="CG285">
            <v>0</v>
          </cell>
          <cell r="CH285">
            <v>0</v>
          </cell>
          <cell r="CI285">
            <v>0</v>
          </cell>
          <cell r="CJ285">
            <v>0</v>
          </cell>
          <cell r="CK285">
            <v>0</v>
          </cell>
          <cell r="CL285">
            <v>0</v>
          </cell>
          <cell r="CM285">
            <v>0</v>
          </cell>
          <cell r="CN285">
            <v>0</v>
          </cell>
          <cell r="CO285">
            <v>0</v>
          </cell>
          <cell r="CP285">
            <v>0</v>
          </cell>
          <cell r="CQ285">
            <v>0</v>
          </cell>
          <cell r="CR285">
            <v>0</v>
          </cell>
          <cell r="CS285">
            <v>0</v>
          </cell>
          <cell r="CT285">
            <v>0</v>
          </cell>
          <cell r="CU285">
            <v>0</v>
          </cell>
          <cell r="CV285">
            <v>0</v>
          </cell>
          <cell r="CW285">
            <v>0</v>
          </cell>
          <cell r="CX285">
            <v>0</v>
          </cell>
          <cell r="CY285">
            <v>0</v>
          </cell>
          <cell r="CZ285">
            <v>0</v>
          </cell>
          <cell r="DA285">
            <v>0</v>
          </cell>
          <cell r="DB285">
            <v>0</v>
          </cell>
          <cell r="DC285">
            <v>0</v>
          </cell>
          <cell r="DD285">
            <v>0</v>
          </cell>
          <cell r="DE285">
            <v>275</v>
          </cell>
          <cell r="DF285">
            <v>0</v>
          </cell>
          <cell r="DG285">
            <v>0</v>
          </cell>
          <cell r="DH285"/>
          <cell r="DI285">
            <v>0</v>
          </cell>
          <cell r="DK285" t="str">
            <v>OK</v>
          </cell>
          <cell r="DM285">
            <v>0</v>
          </cell>
          <cell r="DN285">
            <v>0</v>
          </cell>
          <cell r="DO285"/>
        </row>
        <row r="286">
          <cell r="N286">
            <v>0</v>
          </cell>
          <cell r="O286">
            <v>0</v>
          </cell>
          <cell r="P286"/>
          <cell r="Q286"/>
          <cell r="T286"/>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cell r="BM286">
            <v>0</v>
          </cell>
          <cell r="BN286">
            <v>0</v>
          </cell>
          <cell r="BO286">
            <v>0</v>
          </cell>
          <cell r="BP286">
            <v>0</v>
          </cell>
          <cell r="BQ286">
            <v>0</v>
          </cell>
          <cell r="BR286">
            <v>0</v>
          </cell>
          <cell r="BS286">
            <v>0</v>
          </cell>
          <cell r="BT286">
            <v>0</v>
          </cell>
          <cell r="BU286">
            <v>0</v>
          </cell>
          <cell r="BV286">
            <v>0</v>
          </cell>
          <cell r="BW286">
            <v>0</v>
          </cell>
          <cell r="BX286">
            <v>0</v>
          </cell>
          <cell r="BY286">
            <v>0</v>
          </cell>
          <cell r="BZ286">
            <v>0</v>
          </cell>
          <cell r="CA286">
            <v>0</v>
          </cell>
          <cell r="CB286">
            <v>0</v>
          </cell>
          <cell r="CC286">
            <v>0</v>
          </cell>
          <cell r="CD286">
            <v>0</v>
          </cell>
          <cell r="CE286">
            <v>0</v>
          </cell>
          <cell r="CF286">
            <v>0</v>
          </cell>
          <cell r="CG286">
            <v>0</v>
          </cell>
          <cell r="CH286">
            <v>0</v>
          </cell>
          <cell r="CI286">
            <v>0</v>
          </cell>
          <cell r="CJ286">
            <v>0</v>
          </cell>
          <cell r="CK286">
            <v>0</v>
          </cell>
          <cell r="CL286">
            <v>0</v>
          </cell>
          <cell r="CM286">
            <v>0</v>
          </cell>
          <cell r="CN286">
            <v>0</v>
          </cell>
          <cell r="CO286">
            <v>0</v>
          </cell>
          <cell r="CP286">
            <v>0</v>
          </cell>
          <cell r="CQ286">
            <v>0</v>
          </cell>
          <cell r="CR286">
            <v>0</v>
          </cell>
          <cell r="CS286">
            <v>0</v>
          </cell>
          <cell r="CT286">
            <v>0</v>
          </cell>
          <cell r="CU286">
            <v>0</v>
          </cell>
          <cell r="CV286">
            <v>0</v>
          </cell>
          <cell r="CW286">
            <v>0</v>
          </cell>
          <cell r="CX286">
            <v>0</v>
          </cell>
          <cell r="CY286">
            <v>0</v>
          </cell>
          <cell r="CZ286">
            <v>0</v>
          </cell>
          <cell r="DA286">
            <v>0</v>
          </cell>
          <cell r="DB286">
            <v>0</v>
          </cell>
          <cell r="DC286">
            <v>0</v>
          </cell>
          <cell r="DD286">
            <v>0</v>
          </cell>
          <cell r="DE286">
            <v>276</v>
          </cell>
          <cell r="DF286">
            <v>0</v>
          </cell>
          <cell r="DG286">
            <v>0</v>
          </cell>
          <cell r="DH286"/>
          <cell r="DI286">
            <v>0</v>
          </cell>
          <cell r="DK286" t="str">
            <v>OK</v>
          </cell>
          <cell r="DM286">
            <v>0</v>
          </cell>
          <cell r="DN286">
            <v>0</v>
          </cell>
          <cell r="DO286"/>
        </row>
        <row r="287">
          <cell r="N287">
            <v>0</v>
          </cell>
          <cell r="O287">
            <v>0</v>
          </cell>
          <cell r="P287"/>
          <cell r="Q287"/>
          <cell r="T287"/>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cell r="BM287">
            <v>0</v>
          </cell>
          <cell r="BN287">
            <v>0</v>
          </cell>
          <cell r="BO287">
            <v>0</v>
          </cell>
          <cell r="BP287">
            <v>0</v>
          </cell>
          <cell r="BQ287">
            <v>0</v>
          </cell>
          <cell r="BR287">
            <v>0</v>
          </cell>
          <cell r="BS287">
            <v>0</v>
          </cell>
          <cell r="BT287">
            <v>0</v>
          </cell>
          <cell r="BU287">
            <v>0</v>
          </cell>
          <cell r="BV287">
            <v>0</v>
          </cell>
          <cell r="BW287">
            <v>0</v>
          </cell>
          <cell r="BX287">
            <v>0</v>
          </cell>
          <cell r="BY287">
            <v>0</v>
          </cell>
          <cell r="BZ287">
            <v>0</v>
          </cell>
          <cell r="CA287">
            <v>0</v>
          </cell>
          <cell r="CB287">
            <v>0</v>
          </cell>
          <cell r="CC287">
            <v>0</v>
          </cell>
          <cell r="CD287">
            <v>0</v>
          </cell>
          <cell r="CE287">
            <v>0</v>
          </cell>
          <cell r="CF287">
            <v>0</v>
          </cell>
          <cell r="CG287">
            <v>0</v>
          </cell>
          <cell r="CH287">
            <v>0</v>
          </cell>
          <cell r="CI287">
            <v>0</v>
          </cell>
          <cell r="CJ287">
            <v>0</v>
          </cell>
          <cell r="CK287">
            <v>0</v>
          </cell>
          <cell r="CL287">
            <v>0</v>
          </cell>
          <cell r="CM287">
            <v>0</v>
          </cell>
          <cell r="CN287">
            <v>0</v>
          </cell>
          <cell r="CO287">
            <v>0</v>
          </cell>
          <cell r="CP287">
            <v>0</v>
          </cell>
          <cell r="CQ287">
            <v>0</v>
          </cell>
          <cell r="CR287">
            <v>0</v>
          </cell>
          <cell r="CS287">
            <v>0</v>
          </cell>
          <cell r="CT287">
            <v>0</v>
          </cell>
          <cell r="CU287">
            <v>0</v>
          </cell>
          <cell r="CV287">
            <v>0</v>
          </cell>
          <cell r="CW287">
            <v>0</v>
          </cell>
          <cell r="CX287">
            <v>0</v>
          </cell>
          <cell r="CY287">
            <v>0</v>
          </cell>
          <cell r="CZ287">
            <v>0</v>
          </cell>
          <cell r="DA287">
            <v>0</v>
          </cell>
          <cell r="DB287">
            <v>0</v>
          </cell>
          <cell r="DC287">
            <v>0</v>
          </cell>
          <cell r="DD287">
            <v>0</v>
          </cell>
          <cell r="DE287">
            <v>277</v>
          </cell>
          <cell r="DF287">
            <v>0</v>
          </cell>
          <cell r="DG287">
            <v>0</v>
          </cell>
          <cell r="DH287"/>
          <cell r="DI287">
            <v>0</v>
          </cell>
          <cell r="DK287" t="str">
            <v>OK</v>
          </cell>
          <cell r="DM287">
            <v>0</v>
          </cell>
          <cell r="DN287">
            <v>0</v>
          </cell>
          <cell r="DO287"/>
        </row>
        <row r="288">
          <cell r="N288">
            <v>0</v>
          </cell>
          <cell r="O288">
            <v>0</v>
          </cell>
          <cell r="P288"/>
          <cell r="Q288"/>
          <cell r="T288"/>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cell r="BM288">
            <v>0</v>
          </cell>
          <cell r="BN288">
            <v>0</v>
          </cell>
          <cell r="BO288">
            <v>0</v>
          </cell>
          <cell r="BP288">
            <v>0</v>
          </cell>
          <cell r="BQ288">
            <v>0</v>
          </cell>
          <cell r="BR288">
            <v>0</v>
          </cell>
          <cell r="BS288">
            <v>0</v>
          </cell>
          <cell r="BT288">
            <v>0</v>
          </cell>
          <cell r="BU288">
            <v>0</v>
          </cell>
          <cell r="BV288">
            <v>0</v>
          </cell>
          <cell r="BW288">
            <v>0</v>
          </cell>
          <cell r="BX288">
            <v>0</v>
          </cell>
          <cell r="BY288">
            <v>0</v>
          </cell>
          <cell r="BZ288">
            <v>0</v>
          </cell>
          <cell r="CA288">
            <v>0</v>
          </cell>
          <cell r="CB288">
            <v>0</v>
          </cell>
          <cell r="CC288">
            <v>0</v>
          </cell>
          <cell r="CD288">
            <v>0</v>
          </cell>
          <cell r="CE288">
            <v>0</v>
          </cell>
          <cell r="CF288">
            <v>0</v>
          </cell>
          <cell r="CG288">
            <v>0</v>
          </cell>
          <cell r="CH288">
            <v>0</v>
          </cell>
          <cell r="CI288">
            <v>0</v>
          </cell>
          <cell r="CJ288">
            <v>0</v>
          </cell>
          <cell r="CK288">
            <v>0</v>
          </cell>
          <cell r="CL288">
            <v>0</v>
          </cell>
          <cell r="CM288">
            <v>0</v>
          </cell>
          <cell r="CN288">
            <v>0</v>
          </cell>
          <cell r="CO288">
            <v>0</v>
          </cell>
          <cell r="CP288">
            <v>0</v>
          </cell>
          <cell r="CQ288">
            <v>0</v>
          </cell>
          <cell r="CR288">
            <v>0</v>
          </cell>
          <cell r="CS288">
            <v>0</v>
          </cell>
          <cell r="CT288">
            <v>0</v>
          </cell>
          <cell r="CU288">
            <v>0</v>
          </cell>
          <cell r="CV288">
            <v>0</v>
          </cell>
          <cell r="CW288">
            <v>0</v>
          </cell>
          <cell r="CX288">
            <v>0</v>
          </cell>
          <cell r="CY288">
            <v>0</v>
          </cell>
          <cell r="CZ288">
            <v>0</v>
          </cell>
          <cell r="DA288">
            <v>0</v>
          </cell>
          <cell r="DB288">
            <v>0</v>
          </cell>
          <cell r="DC288">
            <v>0</v>
          </cell>
          <cell r="DD288">
            <v>0</v>
          </cell>
          <cell r="DE288">
            <v>278</v>
          </cell>
          <cell r="DF288">
            <v>0</v>
          </cell>
          <cell r="DG288">
            <v>0</v>
          </cell>
          <cell r="DH288"/>
          <cell r="DI288">
            <v>0</v>
          </cell>
          <cell r="DK288" t="str">
            <v>OK</v>
          </cell>
          <cell r="DM288">
            <v>0</v>
          </cell>
          <cell r="DN288">
            <v>0</v>
          </cell>
          <cell r="DO288"/>
        </row>
        <row r="289">
          <cell r="N289">
            <v>0</v>
          </cell>
          <cell r="O289">
            <v>0</v>
          </cell>
          <cell r="P289"/>
          <cell r="Q289"/>
          <cell r="T289"/>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cell r="BM289">
            <v>0</v>
          </cell>
          <cell r="BN289">
            <v>0</v>
          </cell>
          <cell r="BO289">
            <v>0</v>
          </cell>
          <cell r="BP289">
            <v>0</v>
          </cell>
          <cell r="BQ289">
            <v>0</v>
          </cell>
          <cell r="BR289">
            <v>0</v>
          </cell>
          <cell r="BS289">
            <v>0</v>
          </cell>
          <cell r="BT289">
            <v>0</v>
          </cell>
          <cell r="BU289">
            <v>0</v>
          </cell>
          <cell r="BV289">
            <v>0</v>
          </cell>
          <cell r="BW289">
            <v>0</v>
          </cell>
          <cell r="BX289">
            <v>0</v>
          </cell>
          <cell r="BY289">
            <v>0</v>
          </cell>
          <cell r="BZ289">
            <v>0</v>
          </cell>
          <cell r="CA289">
            <v>0</v>
          </cell>
          <cell r="CB289">
            <v>0</v>
          </cell>
          <cell r="CC289">
            <v>0</v>
          </cell>
          <cell r="CD289">
            <v>0</v>
          </cell>
          <cell r="CE289">
            <v>0</v>
          </cell>
          <cell r="CF289">
            <v>0</v>
          </cell>
          <cell r="CG289">
            <v>0</v>
          </cell>
          <cell r="CH289">
            <v>0</v>
          </cell>
          <cell r="CI289">
            <v>0</v>
          </cell>
          <cell r="CJ289">
            <v>0</v>
          </cell>
          <cell r="CK289">
            <v>0</v>
          </cell>
          <cell r="CL289">
            <v>0</v>
          </cell>
          <cell r="CM289">
            <v>0</v>
          </cell>
          <cell r="CN289">
            <v>0</v>
          </cell>
          <cell r="CO289">
            <v>0</v>
          </cell>
          <cell r="CP289">
            <v>0</v>
          </cell>
          <cell r="CQ289">
            <v>0</v>
          </cell>
          <cell r="CR289">
            <v>0</v>
          </cell>
          <cell r="CS289">
            <v>0</v>
          </cell>
          <cell r="CT289">
            <v>0</v>
          </cell>
          <cell r="CU289">
            <v>0</v>
          </cell>
          <cell r="CV289">
            <v>0</v>
          </cell>
          <cell r="CW289">
            <v>0</v>
          </cell>
          <cell r="CX289">
            <v>0</v>
          </cell>
          <cell r="CY289">
            <v>0</v>
          </cell>
          <cell r="CZ289">
            <v>0</v>
          </cell>
          <cell r="DA289">
            <v>0</v>
          </cell>
          <cell r="DB289">
            <v>0</v>
          </cell>
          <cell r="DC289">
            <v>0</v>
          </cell>
          <cell r="DD289">
            <v>0</v>
          </cell>
          <cell r="DE289">
            <v>279</v>
          </cell>
          <cell r="DF289">
            <v>0</v>
          </cell>
          <cell r="DG289">
            <v>0</v>
          </cell>
          <cell r="DH289"/>
          <cell r="DI289">
            <v>0</v>
          </cell>
          <cell r="DK289" t="str">
            <v>OK</v>
          </cell>
          <cell r="DM289">
            <v>0</v>
          </cell>
          <cell r="DN289">
            <v>0</v>
          </cell>
          <cell r="DO289"/>
        </row>
        <row r="290">
          <cell r="N290">
            <v>0</v>
          </cell>
          <cell r="O290">
            <v>0</v>
          </cell>
          <cell r="P290"/>
          <cell r="Q290"/>
          <cell r="T290"/>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cell r="BM290">
            <v>0</v>
          </cell>
          <cell r="BN290">
            <v>0</v>
          </cell>
          <cell r="BO290">
            <v>0</v>
          </cell>
          <cell r="BP290">
            <v>0</v>
          </cell>
          <cell r="BQ290">
            <v>0</v>
          </cell>
          <cell r="BR290">
            <v>0</v>
          </cell>
          <cell r="BS290">
            <v>0</v>
          </cell>
          <cell r="BT290">
            <v>0</v>
          </cell>
          <cell r="BU290">
            <v>0</v>
          </cell>
          <cell r="BV290">
            <v>0</v>
          </cell>
          <cell r="BW290">
            <v>0</v>
          </cell>
          <cell r="BX290">
            <v>0</v>
          </cell>
          <cell r="BY290">
            <v>0</v>
          </cell>
          <cell r="BZ290">
            <v>0</v>
          </cell>
          <cell r="CA290">
            <v>0</v>
          </cell>
          <cell r="CB290">
            <v>0</v>
          </cell>
          <cell r="CC290">
            <v>0</v>
          </cell>
          <cell r="CD290">
            <v>0</v>
          </cell>
          <cell r="CE290">
            <v>0</v>
          </cell>
          <cell r="CF290">
            <v>0</v>
          </cell>
          <cell r="CG290">
            <v>0</v>
          </cell>
          <cell r="CH290">
            <v>0</v>
          </cell>
          <cell r="CI290">
            <v>0</v>
          </cell>
          <cell r="CJ290">
            <v>0</v>
          </cell>
          <cell r="CK290">
            <v>0</v>
          </cell>
          <cell r="CL290">
            <v>0</v>
          </cell>
          <cell r="CM290">
            <v>0</v>
          </cell>
          <cell r="CN290">
            <v>0</v>
          </cell>
          <cell r="CO290">
            <v>0</v>
          </cell>
          <cell r="CP290">
            <v>0</v>
          </cell>
          <cell r="CQ290">
            <v>0</v>
          </cell>
          <cell r="CR290">
            <v>0</v>
          </cell>
          <cell r="CS290">
            <v>0</v>
          </cell>
          <cell r="CT290">
            <v>0</v>
          </cell>
          <cell r="CU290">
            <v>0</v>
          </cell>
          <cell r="CV290">
            <v>0</v>
          </cell>
          <cell r="CW290">
            <v>0</v>
          </cell>
          <cell r="CX290">
            <v>0</v>
          </cell>
          <cell r="CY290">
            <v>0</v>
          </cell>
          <cell r="CZ290">
            <v>0</v>
          </cell>
          <cell r="DA290">
            <v>0</v>
          </cell>
          <cell r="DB290">
            <v>0</v>
          </cell>
          <cell r="DC290">
            <v>0</v>
          </cell>
          <cell r="DD290">
            <v>0</v>
          </cell>
          <cell r="DE290">
            <v>280</v>
          </cell>
          <cell r="DF290">
            <v>0</v>
          </cell>
          <cell r="DG290">
            <v>0</v>
          </cell>
          <cell r="DH290"/>
          <cell r="DI290">
            <v>0</v>
          </cell>
          <cell r="DK290" t="str">
            <v>OK</v>
          </cell>
          <cell r="DM290">
            <v>0</v>
          </cell>
          <cell r="DN290">
            <v>0</v>
          </cell>
          <cell r="DO290"/>
        </row>
        <row r="291">
          <cell r="N291">
            <v>0</v>
          </cell>
          <cell r="O291">
            <v>0</v>
          </cell>
          <cell r="P291"/>
          <cell r="Q291"/>
          <cell r="T291"/>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cell r="BM291">
            <v>0</v>
          </cell>
          <cell r="BN291">
            <v>0</v>
          </cell>
          <cell r="BO291">
            <v>0</v>
          </cell>
          <cell r="BP291">
            <v>0</v>
          </cell>
          <cell r="BQ291">
            <v>0</v>
          </cell>
          <cell r="BR291">
            <v>0</v>
          </cell>
          <cell r="BS291">
            <v>0</v>
          </cell>
          <cell r="BT291">
            <v>0</v>
          </cell>
          <cell r="BU291">
            <v>0</v>
          </cell>
          <cell r="BV291">
            <v>0</v>
          </cell>
          <cell r="BW291">
            <v>0</v>
          </cell>
          <cell r="BX291">
            <v>0</v>
          </cell>
          <cell r="BY291">
            <v>0</v>
          </cell>
          <cell r="BZ291">
            <v>0</v>
          </cell>
          <cell r="CA291">
            <v>0</v>
          </cell>
          <cell r="CB291">
            <v>0</v>
          </cell>
          <cell r="CC291">
            <v>0</v>
          </cell>
          <cell r="CD291">
            <v>0</v>
          </cell>
          <cell r="CE291">
            <v>0</v>
          </cell>
          <cell r="CF291">
            <v>0</v>
          </cell>
          <cell r="CG291">
            <v>0</v>
          </cell>
          <cell r="CH291">
            <v>0</v>
          </cell>
          <cell r="CI291">
            <v>0</v>
          </cell>
          <cell r="CJ291">
            <v>0</v>
          </cell>
          <cell r="CK291">
            <v>0</v>
          </cell>
          <cell r="CL291">
            <v>0</v>
          </cell>
          <cell r="CM291">
            <v>0</v>
          </cell>
          <cell r="CN291">
            <v>0</v>
          </cell>
          <cell r="CO291">
            <v>0</v>
          </cell>
          <cell r="CP291">
            <v>0</v>
          </cell>
          <cell r="CQ291">
            <v>0</v>
          </cell>
          <cell r="CR291">
            <v>0</v>
          </cell>
          <cell r="CS291">
            <v>0</v>
          </cell>
          <cell r="CT291">
            <v>0</v>
          </cell>
          <cell r="CU291">
            <v>0</v>
          </cell>
          <cell r="CV291">
            <v>0</v>
          </cell>
          <cell r="CW291">
            <v>0</v>
          </cell>
          <cell r="CX291">
            <v>0</v>
          </cell>
          <cell r="CY291">
            <v>0</v>
          </cell>
          <cell r="CZ291">
            <v>0</v>
          </cell>
          <cell r="DA291">
            <v>0</v>
          </cell>
          <cell r="DB291">
            <v>0</v>
          </cell>
          <cell r="DC291">
            <v>0</v>
          </cell>
          <cell r="DD291">
            <v>0</v>
          </cell>
          <cell r="DE291">
            <v>281</v>
          </cell>
          <cell r="DF291">
            <v>0</v>
          </cell>
          <cell r="DG291">
            <v>0</v>
          </cell>
          <cell r="DH291"/>
          <cell r="DI291">
            <v>0</v>
          </cell>
          <cell r="DK291" t="str">
            <v>OK</v>
          </cell>
          <cell r="DM291">
            <v>0</v>
          </cell>
          <cell r="DN291">
            <v>0</v>
          </cell>
          <cell r="DO291"/>
        </row>
        <row r="292">
          <cell r="N292">
            <v>0</v>
          </cell>
          <cell r="O292">
            <v>0</v>
          </cell>
          <cell r="P292"/>
          <cell r="Q292"/>
          <cell r="T292"/>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cell r="BM292">
            <v>0</v>
          </cell>
          <cell r="BN292">
            <v>0</v>
          </cell>
          <cell r="BO292">
            <v>0</v>
          </cell>
          <cell r="BP292">
            <v>0</v>
          </cell>
          <cell r="BQ292">
            <v>0</v>
          </cell>
          <cell r="BR292">
            <v>0</v>
          </cell>
          <cell r="BS292">
            <v>0</v>
          </cell>
          <cell r="BT292">
            <v>0</v>
          </cell>
          <cell r="BU292">
            <v>0</v>
          </cell>
          <cell r="BV292">
            <v>0</v>
          </cell>
          <cell r="BW292">
            <v>0</v>
          </cell>
          <cell r="BX292">
            <v>0</v>
          </cell>
          <cell r="BY292">
            <v>0</v>
          </cell>
          <cell r="BZ292">
            <v>0</v>
          </cell>
          <cell r="CA292">
            <v>0</v>
          </cell>
          <cell r="CB292">
            <v>0</v>
          </cell>
          <cell r="CC292">
            <v>0</v>
          </cell>
          <cell r="CD292">
            <v>0</v>
          </cell>
          <cell r="CE292">
            <v>0</v>
          </cell>
          <cell r="CF292">
            <v>0</v>
          </cell>
          <cell r="CG292">
            <v>0</v>
          </cell>
          <cell r="CH292">
            <v>0</v>
          </cell>
          <cell r="CI292">
            <v>0</v>
          </cell>
          <cell r="CJ292">
            <v>0</v>
          </cell>
          <cell r="CK292">
            <v>0</v>
          </cell>
          <cell r="CL292">
            <v>0</v>
          </cell>
          <cell r="CM292">
            <v>0</v>
          </cell>
          <cell r="CN292">
            <v>0</v>
          </cell>
          <cell r="CO292">
            <v>0</v>
          </cell>
          <cell r="CP292">
            <v>0</v>
          </cell>
          <cell r="CQ292">
            <v>0</v>
          </cell>
          <cell r="CR292">
            <v>0</v>
          </cell>
          <cell r="CS292">
            <v>0</v>
          </cell>
          <cell r="CT292">
            <v>0</v>
          </cell>
          <cell r="CU292">
            <v>0</v>
          </cell>
          <cell r="CV292">
            <v>0</v>
          </cell>
          <cell r="CW292">
            <v>0</v>
          </cell>
          <cell r="CX292">
            <v>0</v>
          </cell>
          <cell r="CY292">
            <v>0</v>
          </cell>
          <cell r="CZ292">
            <v>0</v>
          </cell>
          <cell r="DA292">
            <v>0</v>
          </cell>
          <cell r="DB292">
            <v>0</v>
          </cell>
          <cell r="DC292">
            <v>0</v>
          </cell>
          <cell r="DD292">
            <v>0</v>
          </cell>
          <cell r="DE292">
            <v>282</v>
          </cell>
          <cell r="DF292">
            <v>0</v>
          </cell>
          <cell r="DG292">
            <v>0</v>
          </cell>
          <cell r="DH292"/>
          <cell r="DI292">
            <v>0</v>
          </cell>
          <cell r="DK292" t="str">
            <v>OK</v>
          </cell>
          <cell r="DM292">
            <v>0</v>
          </cell>
          <cell r="DN292">
            <v>0</v>
          </cell>
          <cell r="DO292"/>
        </row>
        <row r="293">
          <cell r="N293">
            <v>0</v>
          </cell>
          <cell r="O293">
            <v>0</v>
          </cell>
          <cell r="P293"/>
          <cell r="Q293"/>
          <cell r="T293"/>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cell r="BM293">
            <v>0</v>
          </cell>
          <cell r="BN293">
            <v>0</v>
          </cell>
          <cell r="BO293">
            <v>0</v>
          </cell>
          <cell r="BP293">
            <v>0</v>
          </cell>
          <cell r="BQ293">
            <v>0</v>
          </cell>
          <cell r="BR293">
            <v>0</v>
          </cell>
          <cell r="BS293">
            <v>0</v>
          </cell>
          <cell r="BT293">
            <v>0</v>
          </cell>
          <cell r="BU293">
            <v>0</v>
          </cell>
          <cell r="BV293">
            <v>0</v>
          </cell>
          <cell r="BW293">
            <v>0</v>
          </cell>
          <cell r="BX293">
            <v>0</v>
          </cell>
          <cell r="BY293">
            <v>0</v>
          </cell>
          <cell r="BZ293">
            <v>0</v>
          </cell>
          <cell r="CA293">
            <v>0</v>
          </cell>
          <cell r="CB293">
            <v>0</v>
          </cell>
          <cell r="CC293">
            <v>0</v>
          </cell>
          <cell r="CD293">
            <v>0</v>
          </cell>
          <cell r="CE293">
            <v>0</v>
          </cell>
          <cell r="CF293">
            <v>0</v>
          </cell>
          <cell r="CG293">
            <v>0</v>
          </cell>
          <cell r="CH293">
            <v>0</v>
          </cell>
          <cell r="CI293">
            <v>0</v>
          </cell>
          <cell r="CJ293">
            <v>0</v>
          </cell>
          <cell r="CK293">
            <v>0</v>
          </cell>
          <cell r="CL293">
            <v>0</v>
          </cell>
          <cell r="CM293">
            <v>0</v>
          </cell>
          <cell r="CN293">
            <v>0</v>
          </cell>
          <cell r="CO293">
            <v>0</v>
          </cell>
          <cell r="CP293">
            <v>0</v>
          </cell>
          <cell r="CQ293">
            <v>0</v>
          </cell>
          <cell r="CR293">
            <v>0</v>
          </cell>
          <cell r="CS293">
            <v>0</v>
          </cell>
          <cell r="CT293">
            <v>0</v>
          </cell>
          <cell r="CU293">
            <v>0</v>
          </cell>
          <cell r="CV293">
            <v>0</v>
          </cell>
          <cell r="CW293">
            <v>0</v>
          </cell>
          <cell r="CX293">
            <v>0</v>
          </cell>
          <cell r="CY293">
            <v>0</v>
          </cell>
          <cell r="CZ293">
            <v>0</v>
          </cell>
          <cell r="DA293">
            <v>0</v>
          </cell>
          <cell r="DB293">
            <v>0</v>
          </cell>
          <cell r="DC293">
            <v>0</v>
          </cell>
          <cell r="DD293">
            <v>0</v>
          </cell>
          <cell r="DE293">
            <v>283</v>
          </cell>
          <cell r="DF293">
            <v>0</v>
          </cell>
          <cell r="DG293">
            <v>0</v>
          </cell>
          <cell r="DH293"/>
          <cell r="DI293">
            <v>0</v>
          </cell>
          <cell r="DK293" t="str">
            <v>OK</v>
          </cell>
          <cell r="DM293">
            <v>0</v>
          </cell>
          <cell r="DN293">
            <v>0</v>
          </cell>
          <cell r="DO293"/>
        </row>
        <row r="294">
          <cell r="N294">
            <v>0</v>
          </cell>
          <cell r="O294">
            <v>0</v>
          </cell>
          <cell r="P294"/>
          <cell r="Q294"/>
          <cell r="T294"/>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cell r="BM294">
            <v>0</v>
          </cell>
          <cell r="BN294">
            <v>0</v>
          </cell>
          <cell r="BO294">
            <v>0</v>
          </cell>
          <cell r="BP294">
            <v>0</v>
          </cell>
          <cell r="BQ294">
            <v>0</v>
          </cell>
          <cell r="BR294">
            <v>0</v>
          </cell>
          <cell r="BS294">
            <v>0</v>
          </cell>
          <cell r="BT294">
            <v>0</v>
          </cell>
          <cell r="BU294">
            <v>0</v>
          </cell>
          <cell r="BV294">
            <v>0</v>
          </cell>
          <cell r="BW294">
            <v>0</v>
          </cell>
          <cell r="BX294">
            <v>0</v>
          </cell>
          <cell r="BY294">
            <v>0</v>
          </cell>
          <cell r="BZ294">
            <v>0</v>
          </cell>
          <cell r="CA294">
            <v>0</v>
          </cell>
          <cell r="CB294">
            <v>0</v>
          </cell>
          <cell r="CC294">
            <v>0</v>
          </cell>
          <cell r="CD294">
            <v>0</v>
          </cell>
          <cell r="CE294">
            <v>0</v>
          </cell>
          <cell r="CF294">
            <v>0</v>
          </cell>
          <cell r="CG294">
            <v>0</v>
          </cell>
          <cell r="CH294">
            <v>0</v>
          </cell>
          <cell r="CI294">
            <v>0</v>
          </cell>
          <cell r="CJ294">
            <v>0</v>
          </cell>
          <cell r="CK294">
            <v>0</v>
          </cell>
          <cell r="CL294">
            <v>0</v>
          </cell>
          <cell r="CM294">
            <v>0</v>
          </cell>
          <cell r="CN294">
            <v>0</v>
          </cell>
          <cell r="CO294">
            <v>0</v>
          </cell>
          <cell r="CP294">
            <v>0</v>
          </cell>
          <cell r="CQ294">
            <v>0</v>
          </cell>
          <cell r="CR294">
            <v>0</v>
          </cell>
          <cell r="CS294">
            <v>0</v>
          </cell>
          <cell r="CT294">
            <v>0</v>
          </cell>
          <cell r="CU294">
            <v>0</v>
          </cell>
          <cell r="CV294">
            <v>0</v>
          </cell>
          <cell r="CW294">
            <v>0</v>
          </cell>
          <cell r="CX294">
            <v>0</v>
          </cell>
          <cell r="CY294">
            <v>0</v>
          </cell>
          <cell r="CZ294">
            <v>0</v>
          </cell>
          <cell r="DA294">
            <v>0</v>
          </cell>
          <cell r="DB294">
            <v>0</v>
          </cell>
          <cell r="DC294">
            <v>0</v>
          </cell>
          <cell r="DD294">
            <v>0</v>
          </cell>
          <cell r="DE294">
            <v>284</v>
          </cell>
          <cell r="DF294">
            <v>0</v>
          </cell>
          <cell r="DG294">
            <v>0</v>
          </cell>
          <cell r="DH294"/>
          <cell r="DI294">
            <v>0</v>
          </cell>
          <cell r="DK294" t="str">
            <v>OK</v>
          </cell>
          <cell r="DM294">
            <v>0</v>
          </cell>
          <cell r="DN294">
            <v>0</v>
          </cell>
          <cell r="DO294"/>
        </row>
        <row r="295">
          <cell r="N295">
            <v>0</v>
          </cell>
          <cell r="O295">
            <v>0</v>
          </cell>
          <cell r="P295"/>
          <cell r="Q295"/>
          <cell r="T295"/>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cell r="BM295">
            <v>0</v>
          </cell>
          <cell r="BN295">
            <v>0</v>
          </cell>
          <cell r="BO295">
            <v>0</v>
          </cell>
          <cell r="BP295">
            <v>0</v>
          </cell>
          <cell r="BQ295">
            <v>0</v>
          </cell>
          <cell r="BR295">
            <v>0</v>
          </cell>
          <cell r="BS295">
            <v>0</v>
          </cell>
          <cell r="BT295">
            <v>0</v>
          </cell>
          <cell r="BU295">
            <v>0</v>
          </cell>
          <cell r="BV295">
            <v>0</v>
          </cell>
          <cell r="BW295">
            <v>0</v>
          </cell>
          <cell r="BX295">
            <v>0</v>
          </cell>
          <cell r="BY295">
            <v>0</v>
          </cell>
          <cell r="BZ295">
            <v>0</v>
          </cell>
          <cell r="CA295">
            <v>0</v>
          </cell>
          <cell r="CB295">
            <v>0</v>
          </cell>
          <cell r="CC295">
            <v>0</v>
          </cell>
          <cell r="CD295">
            <v>0</v>
          </cell>
          <cell r="CE295">
            <v>0</v>
          </cell>
          <cell r="CF295">
            <v>0</v>
          </cell>
          <cell r="CG295">
            <v>0</v>
          </cell>
          <cell r="CH295">
            <v>0</v>
          </cell>
          <cell r="CI295">
            <v>0</v>
          </cell>
          <cell r="CJ295">
            <v>0</v>
          </cell>
          <cell r="CK295">
            <v>0</v>
          </cell>
          <cell r="CL295">
            <v>0</v>
          </cell>
          <cell r="CM295">
            <v>0</v>
          </cell>
          <cell r="CN295">
            <v>0</v>
          </cell>
          <cell r="CO295">
            <v>0</v>
          </cell>
          <cell r="CP295">
            <v>0</v>
          </cell>
          <cell r="CQ295">
            <v>0</v>
          </cell>
          <cell r="CR295">
            <v>0</v>
          </cell>
          <cell r="CS295">
            <v>0</v>
          </cell>
          <cell r="CT295">
            <v>0</v>
          </cell>
          <cell r="CU295">
            <v>0</v>
          </cell>
          <cell r="CV295">
            <v>0</v>
          </cell>
          <cell r="CW295">
            <v>0</v>
          </cell>
          <cell r="CX295">
            <v>0</v>
          </cell>
          <cell r="CY295">
            <v>0</v>
          </cell>
          <cell r="CZ295">
            <v>0</v>
          </cell>
          <cell r="DA295">
            <v>0</v>
          </cell>
          <cell r="DB295">
            <v>0</v>
          </cell>
          <cell r="DC295">
            <v>0</v>
          </cell>
          <cell r="DD295">
            <v>0</v>
          </cell>
          <cell r="DE295">
            <v>285</v>
          </cell>
          <cell r="DF295">
            <v>0</v>
          </cell>
          <cell r="DG295">
            <v>0</v>
          </cell>
          <cell r="DH295"/>
          <cell r="DI295">
            <v>0</v>
          </cell>
          <cell r="DK295" t="str">
            <v>OK</v>
          </cell>
          <cell r="DM295">
            <v>0</v>
          </cell>
          <cell r="DN295">
            <v>0</v>
          </cell>
          <cell r="DO295"/>
        </row>
        <row r="296">
          <cell r="N296">
            <v>0</v>
          </cell>
          <cell r="O296">
            <v>0</v>
          </cell>
          <cell r="P296"/>
          <cell r="Q296"/>
          <cell r="T296"/>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cell r="BM296">
            <v>0</v>
          </cell>
          <cell r="BN296">
            <v>0</v>
          </cell>
          <cell r="BO296">
            <v>0</v>
          </cell>
          <cell r="BP296">
            <v>0</v>
          </cell>
          <cell r="BQ296">
            <v>0</v>
          </cell>
          <cell r="BR296">
            <v>0</v>
          </cell>
          <cell r="BS296">
            <v>0</v>
          </cell>
          <cell r="BT296">
            <v>0</v>
          </cell>
          <cell r="BU296">
            <v>0</v>
          </cell>
          <cell r="BV296">
            <v>0</v>
          </cell>
          <cell r="BW296">
            <v>0</v>
          </cell>
          <cell r="BX296">
            <v>0</v>
          </cell>
          <cell r="BY296">
            <v>0</v>
          </cell>
          <cell r="BZ296">
            <v>0</v>
          </cell>
          <cell r="CA296">
            <v>0</v>
          </cell>
          <cell r="CB296">
            <v>0</v>
          </cell>
          <cell r="CC296">
            <v>0</v>
          </cell>
          <cell r="CD296">
            <v>0</v>
          </cell>
          <cell r="CE296">
            <v>0</v>
          </cell>
          <cell r="CF296">
            <v>0</v>
          </cell>
          <cell r="CG296">
            <v>0</v>
          </cell>
          <cell r="CH296">
            <v>0</v>
          </cell>
          <cell r="CI296">
            <v>0</v>
          </cell>
          <cell r="CJ296">
            <v>0</v>
          </cell>
          <cell r="CK296">
            <v>0</v>
          </cell>
          <cell r="CL296">
            <v>0</v>
          </cell>
          <cell r="CM296">
            <v>0</v>
          </cell>
          <cell r="CN296">
            <v>0</v>
          </cell>
          <cell r="CO296">
            <v>0</v>
          </cell>
          <cell r="CP296">
            <v>0</v>
          </cell>
          <cell r="CQ296">
            <v>0</v>
          </cell>
          <cell r="CR296">
            <v>0</v>
          </cell>
          <cell r="CS296">
            <v>0</v>
          </cell>
          <cell r="CT296">
            <v>0</v>
          </cell>
          <cell r="CU296">
            <v>0</v>
          </cell>
          <cell r="CV296">
            <v>0</v>
          </cell>
          <cell r="CW296">
            <v>0</v>
          </cell>
          <cell r="CX296">
            <v>0</v>
          </cell>
          <cell r="CY296">
            <v>0</v>
          </cell>
          <cell r="CZ296">
            <v>0</v>
          </cell>
          <cell r="DA296">
            <v>0</v>
          </cell>
          <cell r="DB296">
            <v>0</v>
          </cell>
          <cell r="DC296">
            <v>0</v>
          </cell>
          <cell r="DD296">
            <v>0</v>
          </cell>
          <cell r="DE296">
            <v>286</v>
          </cell>
          <cell r="DF296">
            <v>0</v>
          </cell>
          <cell r="DG296">
            <v>0</v>
          </cell>
          <cell r="DH296"/>
          <cell r="DI296">
            <v>0</v>
          </cell>
          <cell r="DK296" t="str">
            <v>OK</v>
          </cell>
          <cell r="DM296">
            <v>0</v>
          </cell>
          <cell r="DN296">
            <v>0</v>
          </cell>
          <cell r="DO296"/>
        </row>
        <row r="297">
          <cell r="N297">
            <v>0</v>
          </cell>
          <cell r="O297">
            <v>0</v>
          </cell>
          <cell r="P297"/>
          <cell r="Q297"/>
          <cell r="T297"/>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cell r="BM297">
            <v>0</v>
          </cell>
          <cell r="BN297">
            <v>0</v>
          </cell>
          <cell r="BO297">
            <v>0</v>
          </cell>
          <cell r="BP297">
            <v>0</v>
          </cell>
          <cell r="BQ297">
            <v>0</v>
          </cell>
          <cell r="BR297">
            <v>0</v>
          </cell>
          <cell r="BS297">
            <v>0</v>
          </cell>
          <cell r="BT297">
            <v>0</v>
          </cell>
          <cell r="BU297">
            <v>0</v>
          </cell>
          <cell r="BV297">
            <v>0</v>
          </cell>
          <cell r="BW297">
            <v>0</v>
          </cell>
          <cell r="BX297">
            <v>0</v>
          </cell>
          <cell r="BY297">
            <v>0</v>
          </cell>
          <cell r="BZ297">
            <v>0</v>
          </cell>
          <cell r="CA297">
            <v>0</v>
          </cell>
          <cell r="CB297">
            <v>0</v>
          </cell>
          <cell r="CC297">
            <v>0</v>
          </cell>
          <cell r="CD297">
            <v>0</v>
          </cell>
          <cell r="CE297">
            <v>0</v>
          </cell>
          <cell r="CF297">
            <v>0</v>
          </cell>
          <cell r="CG297">
            <v>0</v>
          </cell>
          <cell r="CH297">
            <v>0</v>
          </cell>
          <cell r="CI297">
            <v>0</v>
          </cell>
          <cell r="CJ297">
            <v>0</v>
          </cell>
          <cell r="CK297">
            <v>0</v>
          </cell>
          <cell r="CL297">
            <v>0</v>
          </cell>
          <cell r="CM297">
            <v>0</v>
          </cell>
          <cell r="CN297">
            <v>0</v>
          </cell>
          <cell r="CO297">
            <v>0</v>
          </cell>
          <cell r="CP297">
            <v>0</v>
          </cell>
          <cell r="CQ297">
            <v>0</v>
          </cell>
          <cell r="CR297">
            <v>0</v>
          </cell>
          <cell r="CS297">
            <v>0</v>
          </cell>
          <cell r="CT297">
            <v>0</v>
          </cell>
          <cell r="CU297">
            <v>0</v>
          </cell>
          <cell r="CV297">
            <v>0</v>
          </cell>
          <cell r="CW297">
            <v>0</v>
          </cell>
          <cell r="CX297">
            <v>0</v>
          </cell>
          <cell r="CY297">
            <v>0</v>
          </cell>
          <cell r="CZ297">
            <v>0</v>
          </cell>
          <cell r="DA297">
            <v>0</v>
          </cell>
          <cell r="DB297">
            <v>0</v>
          </cell>
          <cell r="DC297">
            <v>0</v>
          </cell>
          <cell r="DD297">
            <v>0</v>
          </cell>
          <cell r="DE297">
            <v>287</v>
          </cell>
          <cell r="DF297">
            <v>0</v>
          </cell>
          <cell r="DG297">
            <v>0</v>
          </cell>
          <cell r="DH297"/>
          <cell r="DI297">
            <v>0</v>
          </cell>
          <cell r="DK297" t="str">
            <v>OK</v>
          </cell>
          <cell r="DM297">
            <v>0</v>
          </cell>
          <cell r="DN297">
            <v>0</v>
          </cell>
          <cell r="DO297"/>
        </row>
        <row r="298">
          <cell r="N298">
            <v>0</v>
          </cell>
          <cell r="O298">
            <v>0</v>
          </cell>
          <cell r="P298"/>
          <cell r="Q298"/>
          <cell r="T298"/>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cell r="BM298">
            <v>0</v>
          </cell>
          <cell r="BN298">
            <v>0</v>
          </cell>
          <cell r="BO298">
            <v>0</v>
          </cell>
          <cell r="BP298">
            <v>0</v>
          </cell>
          <cell r="BQ298">
            <v>0</v>
          </cell>
          <cell r="BR298">
            <v>0</v>
          </cell>
          <cell r="BS298">
            <v>0</v>
          </cell>
          <cell r="BT298">
            <v>0</v>
          </cell>
          <cell r="BU298">
            <v>0</v>
          </cell>
          <cell r="BV298">
            <v>0</v>
          </cell>
          <cell r="BW298">
            <v>0</v>
          </cell>
          <cell r="BX298">
            <v>0</v>
          </cell>
          <cell r="BY298">
            <v>0</v>
          </cell>
          <cell r="BZ298">
            <v>0</v>
          </cell>
          <cell r="CA298">
            <v>0</v>
          </cell>
          <cell r="CB298">
            <v>0</v>
          </cell>
          <cell r="CC298">
            <v>0</v>
          </cell>
          <cell r="CD298">
            <v>0</v>
          </cell>
          <cell r="CE298">
            <v>0</v>
          </cell>
          <cell r="CF298">
            <v>0</v>
          </cell>
          <cell r="CG298">
            <v>0</v>
          </cell>
          <cell r="CH298">
            <v>0</v>
          </cell>
          <cell r="CI298">
            <v>0</v>
          </cell>
          <cell r="CJ298">
            <v>0</v>
          </cell>
          <cell r="CK298">
            <v>0</v>
          </cell>
          <cell r="CL298">
            <v>0</v>
          </cell>
          <cell r="CM298">
            <v>0</v>
          </cell>
          <cell r="CN298">
            <v>0</v>
          </cell>
          <cell r="CO298">
            <v>0</v>
          </cell>
          <cell r="CP298">
            <v>0</v>
          </cell>
          <cell r="CQ298">
            <v>0</v>
          </cell>
          <cell r="CR298">
            <v>0</v>
          </cell>
          <cell r="CS298">
            <v>0</v>
          </cell>
          <cell r="CT298">
            <v>0</v>
          </cell>
          <cell r="CU298">
            <v>0</v>
          </cell>
          <cell r="CV298">
            <v>0</v>
          </cell>
          <cell r="CW298">
            <v>0</v>
          </cell>
          <cell r="CX298">
            <v>0</v>
          </cell>
          <cell r="CY298">
            <v>0</v>
          </cell>
          <cell r="CZ298">
            <v>0</v>
          </cell>
          <cell r="DA298">
            <v>0</v>
          </cell>
          <cell r="DB298">
            <v>0</v>
          </cell>
          <cell r="DC298">
            <v>0</v>
          </cell>
          <cell r="DD298">
            <v>0</v>
          </cell>
          <cell r="DE298">
            <v>288</v>
          </cell>
          <cell r="DF298">
            <v>0</v>
          </cell>
          <cell r="DG298">
            <v>0</v>
          </cell>
          <cell r="DH298"/>
          <cell r="DI298">
            <v>0</v>
          </cell>
          <cell r="DK298" t="str">
            <v>OK</v>
          </cell>
          <cell r="DM298">
            <v>0</v>
          </cell>
          <cell r="DN298">
            <v>0</v>
          </cell>
          <cell r="DO298"/>
        </row>
        <row r="299">
          <cell r="N299">
            <v>0</v>
          </cell>
          <cell r="O299">
            <v>0</v>
          </cell>
          <cell r="P299"/>
          <cell r="Q299"/>
          <cell r="T299"/>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cell r="BM299">
            <v>0</v>
          </cell>
          <cell r="BN299">
            <v>0</v>
          </cell>
          <cell r="BO299">
            <v>0</v>
          </cell>
          <cell r="BP299">
            <v>0</v>
          </cell>
          <cell r="BQ299">
            <v>0</v>
          </cell>
          <cell r="BR299">
            <v>0</v>
          </cell>
          <cell r="BS299">
            <v>0</v>
          </cell>
          <cell r="BT299">
            <v>0</v>
          </cell>
          <cell r="BU299">
            <v>0</v>
          </cell>
          <cell r="BV299">
            <v>0</v>
          </cell>
          <cell r="BW299">
            <v>0</v>
          </cell>
          <cell r="BX299">
            <v>0</v>
          </cell>
          <cell r="BY299">
            <v>0</v>
          </cell>
          <cell r="BZ299">
            <v>0</v>
          </cell>
          <cell r="CA299">
            <v>0</v>
          </cell>
          <cell r="CB299">
            <v>0</v>
          </cell>
          <cell r="CC299">
            <v>0</v>
          </cell>
          <cell r="CD299">
            <v>0</v>
          </cell>
          <cell r="CE299">
            <v>0</v>
          </cell>
          <cell r="CF299">
            <v>0</v>
          </cell>
          <cell r="CG299">
            <v>0</v>
          </cell>
          <cell r="CH299">
            <v>0</v>
          </cell>
          <cell r="CI299">
            <v>0</v>
          </cell>
          <cell r="CJ299">
            <v>0</v>
          </cell>
          <cell r="CK299">
            <v>0</v>
          </cell>
          <cell r="CL299">
            <v>0</v>
          </cell>
          <cell r="CM299">
            <v>0</v>
          </cell>
          <cell r="CN299">
            <v>0</v>
          </cell>
          <cell r="CO299">
            <v>0</v>
          </cell>
          <cell r="CP299">
            <v>0</v>
          </cell>
          <cell r="CQ299">
            <v>0</v>
          </cell>
          <cell r="CR299">
            <v>0</v>
          </cell>
          <cell r="CS299">
            <v>0</v>
          </cell>
          <cell r="CT299">
            <v>0</v>
          </cell>
          <cell r="CU299">
            <v>0</v>
          </cell>
          <cell r="CV299">
            <v>0</v>
          </cell>
          <cell r="CW299">
            <v>0</v>
          </cell>
          <cell r="CX299">
            <v>0</v>
          </cell>
          <cell r="CY299">
            <v>0</v>
          </cell>
          <cell r="CZ299">
            <v>0</v>
          </cell>
          <cell r="DA299">
            <v>0</v>
          </cell>
          <cell r="DB299">
            <v>0</v>
          </cell>
          <cell r="DC299">
            <v>0</v>
          </cell>
          <cell r="DD299">
            <v>0</v>
          </cell>
          <cell r="DE299">
            <v>289</v>
          </cell>
          <cell r="DF299">
            <v>0</v>
          </cell>
          <cell r="DG299">
            <v>0</v>
          </cell>
          <cell r="DH299"/>
          <cell r="DI299">
            <v>0</v>
          </cell>
          <cell r="DK299" t="str">
            <v>OK</v>
          </cell>
          <cell r="DM299">
            <v>0</v>
          </cell>
          <cell r="DN299">
            <v>0</v>
          </cell>
          <cell r="DO299"/>
        </row>
        <row r="300">
          <cell r="N300">
            <v>0</v>
          </cell>
          <cell r="O300">
            <v>0</v>
          </cell>
          <cell r="P300"/>
          <cell r="Q300"/>
          <cell r="T300"/>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cell r="BM300">
            <v>0</v>
          </cell>
          <cell r="BN300">
            <v>0</v>
          </cell>
          <cell r="BO300">
            <v>0</v>
          </cell>
          <cell r="BP300">
            <v>0</v>
          </cell>
          <cell r="BQ300">
            <v>0</v>
          </cell>
          <cell r="BR300">
            <v>0</v>
          </cell>
          <cell r="BS300">
            <v>0</v>
          </cell>
          <cell r="BT300">
            <v>0</v>
          </cell>
          <cell r="BU300">
            <v>0</v>
          </cell>
          <cell r="BV300">
            <v>0</v>
          </cell>
          <cell r="BW300">
            <v>0</v>
          </cell>
          <cell r="BX300">
            <v>0</v>
          </cell>
          <cell r="BY300">
            <v>0</v>
          </cell>
          <cell r="BZ300">
            <v>0</v>
          </cell>
          <cell r="CA300">
            <v>0</v>
          </cell>
          <cell r="CB300">
            <v>0</v>
          </cell>
          <cell r="CC300">
            <v>0</v>
          </cell>
          <cell r="CD300">
            <v>0</v>
          </cell>
          <cell r="CE300">
            <v>0</v>
          </cell>
          <cell r="CF300">
            <v>0</v>
          </cell>
          <cell r="CG300">
            <v>0</v>
          </cell>
          <cell r="CH300">
            <v>0</v>
          </cell>
          <cell r="CI300">
            <v>0</v>
          </cell>
          <cell r="CJ300">
            <v>0</v>
          </cell>
          <cell r="CK300">
            <v>0</v>
          </cell>
          <cell r="CL300">
            <v>0</v>
          </cell>
          <cell r="CM300">
            <v>0</v>
          </cell>
          <cell r="CN300">
            <v>0</v>
          </cell>
          <cell r="CO300">
            <v>0</v>
          </cell>
          <cell r="CP300">
            <v>0</v>
          </cell>
          <cell r="CQ300">
            <v>0</v>
          </cell>
          <cell r="CR300">
            <v>0</v>
          </cell>
          <cell r="CS300">
            <v>0</v>
          </cell>
          <cell r="CT300">
            <v>0</v>
          </cell>
          <cell r="CU300">
            <v>0</v>
          </cell>
          <cell r="CV300">
            <v>0</v>
          </cell>
          <cell r="CW300">
            <v>0</v>
          </cell>
          <cell r="CX300">
            <v>0</v>
          </cell>
          <cell r="CY300">
            <v>0</v>
          </cell>
          <cell r="CZ300">
            <v>0</v>
          </cell>
          <cell r="DA300">
            <v>0</v>
          </cell>
          <cell r="DB300">
            <v>0</v>
          </cell>
          <cell r="DC300">
            <v>0</v>
          </cell>
          <cell r="DD300">
            <v>0</v>
          </cell>
          <cell r="DE300">
            <v>290</v>
          </cell>
          <cell r="DF300">
            <v>0</v>
          </cell>
          <cell r="DG300">
            <v>0</v>
          </cell>
          <cell r="DH300"/>
          <cell r="DI300">
            <v>0</v>
          </cell>
          <cell r="DK300" t="str">
            <v>OK</v>
          </cell>
          <cell r="DM300">
            <v>0</v>
          </cell>
          <cell r="DN300">
            <v>0</v>
          </cell>
          <cell r="DO300"/>
        </row>
        <row r="301">
          <cell r="N301">
            <v>0</v>
          </cell>
          <cell r="O301">
            <v>0</v>
          </cell>
          <cell r="P301"/>
          <cell r="Q301"/>
          <cell r="T301"/>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cell r="BM301">
            <v>0</v>
          </cell>
          <cell r="BN301">
            <v>0</v>
          </cell>
          <cell r="BO301">
            <v>0</v>
          </cell>
          <cell r="BP301">
            <v>0</v>
          </cell>
          <cell r="BQ301">
            <v>0</v>
          </cell>
          <cell r="BR301">
            <v>0</v>
          </cell>
          <cell r="BS301">
            <v>0</v>
          </cell>
          <cell r="BT301">
            <v>0</v>
          </cell>
          <cell r="BU301">
            <v>0</v>
          </cell>
          <cell r="BV301">
            <v>0</v>
          </cell>
          <cell r="BW301">
            <v>0</v>
          </cell>
          <cell r="BX301">
            <v>0</v>
          </cell>
          <cell r="BY301">
            <v>0</v>
          </cell>
          <cell r="BZ301">
            <v>0</v>
          </cell>
          <cell r="CA301">
            <v>0</v>
          </cell>
          <cell r="CB301">
            <v>0</v>
          </cell>
          <cell r="CC301">
            <v>0</v>
          </cell>
          <cell r="CD301">
            <v>0</v>
          </cell>
          <cell r="CE301">
            <v>0</v>
          </cell>
          <cell r="CF301">
            <v>0</v>
          </cell>
          <cell r="CG301">
            <v>0</v>
          </cell>
          <cell r="CH301">
            <v>0</v>
          </cell>
          <cell r="CI301">
            <v>0</v>
          </cell>
          <cell r="CJ301">
            <v>0</v>
          </cell>
          <cell r="CK301">
            <v>0</v>
          </cell>
          <cell r="CL301">
            <v>0</v>
          </cell>
          <cell r="CM301">
            <v>0</v>
          </cell>
          <cell r="CN301">
            <v>0</v>
          </cell>
          <cell r="CO301">
            <v>0</v>
          </cell>
          <cell r="CP301">
            <v>0</v>
          </cell>
          <cell r="CQ301">
            <v>0</v>
          </cell>
          <cell r="CR301">
            <v>0</v>
          </cell>
          <cell r="CS301">
            <v>0</v>
          </cell>
          <cell r="CT301">
            <v>0</v>
          </cell>
          <cell r="CU301">
            <v>0</v>
          </cell>
          <cell r="CV301">
            <v>0</v>
          </cell>
          <cell r="CW301">
            <v>0</v>
          </cell>
          <cell r="CX301">
            <v>0</v>
          </cell>
          <cell r="CY301">
            <v>0</v>
          </cell>
          <cell r="CZ301">
            <v>0</v>
          </cell>
          <cell r="DA301">
            <v>0</v>
          </cell>
          <cell r="DB301">
            <v>0</v>
          </cell>
          <cell r="DC301">
            <v>0</v>
          </cell>
          <cell r="DD301">
            <v>0</v>
          </cell>
          <cell r="DE301">
            <v>291</v>
          </cell>
          <cell r="DF301">
            <v>0</v>
          </cell>
          <cell r="DG301">
            <v>0</v>
          </cell>
          <cell r="DH301"/>
          <cell r="DI301">
            <v>0</v>
          </cell>
          <cell r="DK301" t="str">
            <v>OK</v>
          </cell>
          <cell r="DM301">
            <v>0</v>
          </cell>
          <cell r="DN301">
            <v>0</v>
          </cell>
          <cell r="DO301"/>
        </row>
        <row r="302">
          <cell r="N302">
            <v>0</v>
          </cell>
          <cell r="O302">
            <v>0</v>
          </cell>
          <cell r="P302"/>
          <cell r="Q302"/>
          <cell r="T302"/>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cell r="BM302">
            <v>0</v>
          </cell>
          <cell r="BN302">
            <v>0</v>
          </cell>
          <cell r="BO302">
            <v>0</v>
          </cell>
          <cell r="BP302">
            <v>0</v>
          </cell>
          <cell r="BQ302">
            <v>0</v>
          </cell>
          <cell r="BR302">
            <v>0</v>
          </cell>
          <cell r="BS302">
            <v>0</v>
          </cell>
          <cell r="BT302">
            <v>0</v>
          </cell>
          <cell r="BU302">
            <v>0</v>
          </cell>
          <cell r="BV302">
            <v>0</v>
          </cell>
          <cell r="BW302">
            <v>0</v>
          </cell>
          <cell r="BX302">
            <v>0</v>
          </cell>
          <cell r="BY302">
            <v>0</v>
          </cell>
          <cell r="BZ302">
            <v>0</v>
          </cell>
          <cell r="CA302">
            <v>0</v>
          </cell>
          <cell r="CB302">
            <v>0</v>
          </cell>
          <cell r="CC302">
            <v>0</v>
          </cell>
          <cell r="CD302">
            <v>0</v>
          </cell>
          <cell r="CE302">
            <v>0</v>
          </cell>
          <cell r="CF302">
            <v>0</v>
          </cell>
          <cell r="CG302">
            <v>0</v>
          </cell>
          <cell r="CH302">
            <v>0</v>
          </cell>
          <cell r="CI302">
            <v>0</v>
          </cell>
          <cell r="CJ302">
            <v>0</v>
          </cell>
          <cell r="CK302">
            <v>0</v>
          </cell>
          <cell r="CL302">
            <v>0</v>
          </cell>
          <cell r="CM302">
            <v>0</v>
          </cell>
          <cell r="CN302">
            <v>0</v>
          </cell>
          <cell r="CO302">
            <v>0</v>
          </cell>
          <cell r="CP302">
            <v>0</v>
          </cell>
          <cell r="CQ302">
            <v>0</v>
          </cell>
          <cell r="CR302">
            <v>0</v>
          </cell>
          <cell r="CS302">
            <v>0</v>
          </cell>
          <cell r="CT302">
            <v>0</v>
          </cell>
          <cell r="CU302">
            <v>0</v>
          </cell>
          <cell r="CV302">
            <v>0</v>
          </cell>
          <cell r="CW302">
            <v>0</v>
          </cell>
          <cell r="CX302">
            <v>0</v>
          </cell>
          <cell r="CY302">
            <v>0</v>
          </cell>
          <cell r="CZ302">
            <v>0</v>
          </cell>
          <cell r="DA302">
            <v>0</v>
          </cell>
          <cell r="DB302">
            <v>0</v>
          </cell>
          <cell r="DC302">
            <v>0</v>
          </cell>
          <cell r="DD302">
            <v>0</v>
          </cell>
          <cell r="DE302">
            <v>292</v>
          </cell>
          <cell r="DF302">
            <v>0</v>
          </cell>
          <cell r="DG302">
            <v>0</v>
          </cell>
          <cell r="DH302"/>
          <cell r="DI302">
            <v>0</v>
          </cell>
          <cell r="DK302" t="str">
            <v>OK</v>
          </cell>
          <cell r="DM302">
            <v>0</v>
          </cell>
          <cell r="DN302">
            <v>0</v>
          </cell>
          <cell r="DO302"/>
        </row>
        <row r="303">
          <cell r="N303">
            <v>0</v>
          </cell>
          <cell r="O303">
            <v>0</v>
          </cell>
          <cell r="P303"/>
          <cell r="Q303"/>
          <cell r="T303"/>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cell r="BM303">
            <v>0</v>
          </cell>
          <cell r="BN303">
            <v>0</v>
          </cell>
          <cell r="BO303">
            <v>0</v>
          </cell>
          <cell r="BP303">
            <v>0</v>
          </cell>
          <cell r="BQ303">
            <v>0</v>
          </cell>
          <cell r="BR303">
            <v>0</v>
          </cell>
          <cell r="BS303">
            <v>0</v>
          </cell>
          <cell r="BT303">
            <v>0</v>
          </cell>
          <cell r="BU303">
            <v>0</v>
          </cell>
          <cell r="BV303">
            <v>0</v>
          </cell>
          <cell r="BW303">
            <v>0</v>
          </cell>
          <cell r="BX303">
            <v>0</v>
          </cell>
          <cell r="BY303">
            <v>0</v>
          </cell>
          <cell r="BZ303">
            <v>0</v>
          </cell>
          <cell r="CA303">
            <v>0</v>
          </cell>
          <cell r="CB303">
            <v>0</v>
          </cell>
          <cell r="CC303">
            <v>0</v>
          </cell>
          <cell r="CD303">
            <v>0</v>
          </cell>
          <cell r="CE303">
            <v>0</v>
          </cell>
          <cell r="CF303">
            <v>0</v>
          </cell>
          <cell r="CG303">
            <v>0</v>
          </cell>
          <cell r="CH303">
            <v>0</v>
          </cell>
          <cell r="CI303">
            <v>0</v>
          </cell>
          <cell r="CJ303">
            <v>0</v>
          </cell>
          <cell r="CK303">
            <v>0</v>
          </cell>
          <cell r="CL303">
            <v>0</v>
          </cell>
          <cell r="CM303">
            <v>0</v>
          </cell>
          <cell r="CN303">
            <v>0</v>
          </cell>
          <cell r="CO303">
            <v>0</v>
          </cell>
          <cell r="CP303">
            <v>0</v>
          </cell>
          <cell r="CQ303">
            <v>0</v>
          </cell>
          <cell r="CR303">
            <v>0</v>
          </cell>
          <cell r="CS303">
            <v>0</v>
          </cell>
          <cell r="CT303">
            <v>0</v>
          </cell>
          <cell r="CU303">
            <v>0</v>
          </cell>
          <cell r="CV303">
            <v>0</v>
          </cell>
          <cell r="CW303">
            <v>0</v>
          </cell>
          <cell r="CX303">
            <v>0</v>
          </cell>
          <cell r="CY303">
            <v>0</v>
          </cell>
          <cell r="CZ303">
            <v>0</v>
          </cell>
          <cell r="DA303">
            <v>0</v>
          </cell>
          <cell r="DB303">
            <v>0</v>
          </cell>
          <cell r="DC303">
            <v>0</v>
          </cell>
          <cell r="DD303">
            <v>0</v>
          </cell>
          <cell r="DE303">
            <v>293</v>
          </cell>
          <cell r="DF303">
            <v>0</v>
          </cell>
          <cell r="DG303">
            <v>0</v>
          </cell>
          <cell r="DH303"/>
          <cell r="DI303">
            <v>0</v>
          </cell>
          <cell r="DK303" t="str">
            <v>OK</v>
          </cell>
          <cell r="DM303">
            <v>0</v>
          </cell>
          <cell r="DN303">
            <v>0</v>
          </cell>
          <cell r="DO303"/>
        </row>
        <row r="304">
          <cell r="N304">
            <v>0</v>
          </cell>
          <cell r="O304">
            <v>0</v>
          </cell>
          <cell r="P304"/>
          <cell r="Q304"/>
          <cell r="T304"/>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cell r="BM304">
            <v>0</v>
          </cell>
          <cell r="BN304">
            <v>0</v>
          </cell>
          <cell r="BO304">
            <v>0</v>
          </cell>
          <cell r="BP304">
            <v>0</v>
          </cell>
          <cell r="BQ304">
            <v>0</v>
          </cell>
          <cell r="BR304">
            <v>0</v>
          </cell>
          <cell r="BS304">
            <v>0</v>
          </cell>
          <cell r="BT304">
            <v>0</v>
          </cell>
          <cell r="BU304">
            <v>0</v>
          </cell>
          <cell r="BV304">
            <v>0</v>
          </cell>
          <cell r="BW304">
            <v>0</v>
          </cell>
          <cell r="BX304">
            <v>0</v>
          </cell>
          <cell r="BY304">
            <v>0</v>
          </cell>
          <cell r="BZ304">
            <v>0</v>
          </cell>
          <cell r="CA304">
            <v>0</v>
          </cell>
          <cell r="CB304">
            <v>0</v>
          </cell>
          <cell r="CC304">
            <v>0</v>
          </cell>
          <cell r="CD304">
            <v>0</v>
          </cell>
          <cell r="CE304">
            <v>0</v>
          </cell>
          <cell r="CF304">
            <v>0</v>
          </cell>
          <cell r="CG304">
            <v>0</v>
          </cell>
          <cell r="CH304">
            <v>0</v>
          </cell>
          <cell r="CI304">
            <v>0</v>
          </cell>
          <cell r="CJ304">
            <v>0</v>
          </cell>
          <cell r="CK304">
            <v>0</v>
          </cell>
          <cell r="CL304">
            <v>0</v>
          </cell>
          <cell r="CM304">
            <v>0</v>
          </cell>
          <cell r="CN304">
            <v>0</v>
          </cell>
          <cell r="CO304">
            <v>0</v>
          </cell>
          <cell r="CP304">
            <v>0</v>
          </cell>
          <cell r="CQ304">
            <v>0</v>
          </cell>
          <cell r="CR304">
            <v>0</v>
          </cell>
          <cell r="CS304">
            <v>0</v>
          </cell>
          <cell r="CT304">
            <v>0</v>
          </cell>
          <cell r="CU304">
            <v>0</v>
          </cell>
          <cell r="CV304">
            <v>0</v>
          </cell>
          <cell r="CW304">
            <v>0</v>
          </cell>
          <cell r="CX304">
            <v>0</v>
          </cell>
          <cell r="CY304">
            <v>0</v>
          </cell>
          <cell r="CZ304">
            <v>0</v>
          </cell>
          <cell r="DA304">
            <v>0</v>
          </cell>
          <cell r="DB304">
            <v>0</v>
          </cell>
          <cell r="DC304">
            <v>0</v>
          </cell>
          <cell r="DD304">
            <v>0</v>
          </cell>
          <cell r="DE304">
            <v>294</v>
          </cell>
          <cell r="DF304">
            <v>0</v>
          </cell>
          <cell r="DG304">
            <v>0</v>
          </cell>
          <cell r="DH304"/>
          <cell r="DI304">
            <v>0</v>
          </cell>
          <cell r="DK304" t="str">
            <v>OK</v>
          </cell>
          <cell r="DM304">
            <v>0</v>
          </cell>
          <cell r="DN304">
            <v>0</v>
          </cell>
          <cell r="DO304"/>
        </row>
        <row r="305">
          <cell r="N305">
            <v>0</v>
          </cell>
          <cell r="O305">
            <v>0</v>
          </cell>
          <cell r="P305"/>
          <cell r="Q305"/>
          <cell r="T305"/>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cell r="BM305">
            <v>0</v>
          </cell>
          <cell r="BN305">
            <v>0</v>
          </cell>
          <cell r="BO305">
            <v>0</v>
          </cell>
          <cell r="BP305">
            <v>0</v>
          </cell>
          <cell r="BQ305">
            <v>0</v>
          </cell>
          <cell r="BR305">
            <v>0</v>
          </cell>
          <cell r="BS305">
            <v>0</v>
          </cell>
          <cell r="BT305">
            <v>0</v>
          </cell>
          <cell r="BU305">
            <v>0</v>
          </cell>
          <cell r="BV305">
            <v>0</v>
          </cell>
          <cell r="BW305">
            <v>0</v>
          </cell>
          <cell r="BX305">
            <v>0</v>
          </cell>
          <cell r="BY305">
            <v>0</v>
          </cell>
          <cell r="BZ305">
            <v>0</v>
          </cell>
          <cell r="CA305">
            <v>0</v>
          </cell>
          <cell r="CB305">
            <v>0</v>
          </cell>
          <cell r="CC305">
            <v>0</v>
          </cell>
          <cell r="CD305">
            <v>0</v>
          </cell>
          <cell r="CE305">
            <v>0</v>
          </cell>
          <cell r="CF305">
            <v>0</v>
          </cell>
          <cell r="CG305">
            <v>0</v>
          </cell>
          <cell r="CH305">
            <v>0</v>
          </cell>
          <cell r="CI305">
            <v>0</v>
          </cell>
          <cell r="CJ305">
            <v>0</v>
          </cell>
          <cell r="CK305">
            <v>0</v>
          </cell>
          <cell r="CL305">
            <v>0</v>
          </cell>
          <cell r="CM305">
            <v>0</v>
          </cell>
          <cell r="CN305">
            <v>0</v>
          </cell>
          <cell r="CO305">
            <v>0</v>
          </cell>
          <cell r="CP305">
            <v>0</v>
          </cell>
          <cell r="CQ305">
            <v>0</v>
          </cell>
          <cell r="CR305">
            <v>0</v>
          </cell>
          <cell r="CS305">
            <v>0</v>
          </cell>
          <cell r="CT305">
            <v>0</v>
          </cell>
          <cell r="CU305">
            <v>0</v>
          </cell>
          <cell r="CV305">
            <v>0</v>
          </cell>
          <cell r="CW305">
            <v>0</v>
          </cell>
          <cell r="CX305">
            <v>0</v>
          </cell>
          <cell r="CY305">
            <v>0</v>
          </cell>
          <cell r="CZ305">
            <v>0</v>
          </cell>
          <cell r="DA305">
            <v>0</v>
          </cell>
          <cell r="DB305">
            <v>0</v>
          </cell>
          <cell r="DC305">
            <v>0</v>
          </cell>
          <cell r="DD305">
            <v>0</v>
          </cell>
          <cell r="DE305">
            <v>295</v>
          </cell>
          <cell r="DF305">
            <v>0</v>
          </cell>
          <cell r="DG305">
            <v>0</v>
          </cell>
          <cell r="DH305"/>
          <cell r="DI305">
            <v>0</v>
          </cell>
          <cell r="DK305" t="str">
            <v>OK</v>
          </cell>
          <cell r="DM305">
            <v>0</v>
          </cell>
          <cell r="DN305">
            <v>0</v>
          </cell>
          <cell r="DO305"/>
        </row>
        <row r="306">
          <cell r="N306">
            <v>0</v>
          </cell>
          <cell r="O306">
            <v>0</v>
          </cell>
          <cell r="P306"/>
          <cell r="Q306"/>
          <cell r="T306"/>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cell r="BM306">
            <v>0</v>
          </cell>
          <cell r="BN306">
            <v>0</v>
          </cell>
          <cell r="BO306">
            <v>0</v>
          </cell>
          <cell r="BP306">
            <v>0</v>
          </cell>
          <cell r="BQ306">
            <v>0</v>
          </cell>
          <cell r="BR306">
            <v>0</v>
          </cell>
          <cell r="BS306">
            <v>0</v>
          </cell>
          <cell r="BT306">
            <v>0</v>
          </cell>
          <cell r="BU306">
            <v>0</v>
          </cell>
          <cell r="BV306">
            <v>0</v>
          </cell>
          <cell r="BW306">
            <v>0</v>
          </cell>
          <cell r="BX306">
            <v>0</v>
          </cell>
          <cell r="BY306">
            <v>0</v>
          </cell>
          <cell r="BZ306">
            <v>0</v>
          </cell>
          <cell r="CA306">
            <v>0</v>
          </cell>
          <cell r="CB306">
            <v>0</v>
          </cell>
          <cell r="CC306">
            <v>0</v>
          </cell>
          <cell r="CD306">
            <v>0</v>
          </cell>
          <cell r="CE306">
            <v>0</v>
          </cell>
          <cell r="CF306">
            <v>0</v>
          </cell>
          <cell r="CG306">
            <v>0</v>
          </cell>
          <cell r="CH306">
            <v>0</v>
          </cell>
          <cell r="CI306">
            <v>0</v>
          </cell>
          <cell r="CJ306">
            <v>0</v>
          </cell>
          <cell r="CK306">
            <v>0</v>
          </cell>
          <cell r="CL306">
            <v>0</v>
          </cell>
          <cell r="CM306">
            <v>0</v>
          </cell>
          <cell r="CN306">
            <v>0</v>
          </cell>
          <cell r="CO306">
            <v>0</v>
          </cell>
          <cell r="CP306">
            <v>0</v>
          </cell>
          <cell r="CQ306">
            <v>0</v>
          </cell>
          <cell r="CR306">
            <v>0</v>
          </cell>
          <cell r="CS306">
            <v>0</v>
          </cell>
          <cell r="CT306">
            <v>0</v>
          </cell>
          <cell r="CU306">
            <v>0</v>
          </cell>
          <cell r="CV306">
            <v>0</v>
          </cell>
          <cell r="CW306">
            <v>0</v>
          </cell>
          <cell r="CX306">
            <v>0</v>
          </cell>
          <cell r="CY306">
            <v>0</v>
          </cell>
          <cell r="CZ306">
            <v>0</v>
          </cell>
          <cell r="DA306">
            <v>0</v>
          </cell>
          <cell r="DB306">
            <v>0</v>
          </cell>
          <cell r="DC306">
            <v>0</v>
          </cell>
          <cell r="DD306">
            <v>0</v>
          </cell>
          <cell r="DE306">
            <v>296</v>
          </cell>
          <cell r="DF306">
            <v>0</v>
          </cell>
          <cell r="DG306">
            <v>0</v>
          </cell>
          <cell r="DH306"/>
          <cell r="DI306">
            <v>0</v>
          </cell>
          <cell r="DK306" t="str">
            <v>OK</v>
          </cell>
          <cell r="DM306">
            <v>0</v>
          </cell>
          <cell r="DN306">
            <v>0</v>
          </cell>
          <cell r="DO306"/>
        </row>
        <row r="307">
          <cell r="N307">
            <v>0</v>
          </cell>
          <cell r="O307">
            <v>0</v>
          </cell>
          <cell r="P307"/>
          <cell r="Q307"/>
          <cell r="T307"/>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cell r="BM307">
            <v>0</v>
          </cell>
          <cell r="BN307">
            <v>0</v>
          </cell>
          <cell r="BO307">
            <v>0</v>
          </cell>
          <cell r="BP307">
            <v>0</v>
          </cell>
          <cell r="BQ307">
            <v>0</v>
          </cell>
          <cell r="BR307">
            <v>0</v>
          </cell>
          <cell r="BS307">
            <v>0</v>
          </cell>
          <cell r="BT307">
            <v>0</v>
          </cell>
          <cell r="BU307">
            <v>0</v>
          </cell>
          <cell r="BV307">
            <v>0</v>
          </cell>
          <cell r="BW307">
            <v>0</v>
          </cell>
          <cell r="BX307">
            <v>0</v>
          </cell>
          <cell r="BY307">
            <v>0</v>
          </cell>
          <cell r="BZ307">
            <v>0</v>
          </cell>
          <cell r="CA307">
            <v>0</v>
          </cell>
          <cell r="CB307">
            <v>0</v>
          </cell>
          <cell r="CC307">
            <v>0</v>
          </cell>
          <cell r="CD307">
            <v>0</v>
          </cell>
          <cell r="CE307">
            <v>0</v>
          </cell>
          <cell r="CF307">
            <v>0</v>
          </cell>
          <cell r="CG307">
            <v>0</v>
          </cell>
          <cell r="CH307">
            <v>0</v>
          </cell>
          <cell r="CI307">
            <v>0</v>
          </cell>
          <cell r="CJ307">
            <v>0</v>
          </cell>
          <cell r="CK307">
            <v>0</v>
          </cell>
          <cell r="CL307">
            <v>0</v>
          </cell>
          <cell r="CM307">
            <v>0</v>
          </cell>
          <cell r="CN307">
            <v>0</v>
          </cell>
          <cell r="CO307">
            <v>0</v>
          </cell>
          <cell r="CP307">
            <v>0</v>
          </cell>
          <cell r="CQ307">
            <v>0</v>
          </cell>
          <cell r="CR307">
            <v>0</v>
          </cell>
          <cell r="CS307">
            <v>0</v>
          </cell>
          <cell r="CT307">
            <v>0</v>
          </cell>
          <cell r="CU307">
            <v>0</v>
          </cell>
          <cell r="CV307">
            <v>0</v>
          </cell>
          <cell r="CW307">
            <v>0</v>
          </cell>
          <cell r="CX307">
            <v>0</v>
          </cell>
          <cell r="CY307">
            <v>0</v>
          </cell>
          <cell r="CZ307">
            <v>0</v>
          </cell>
          <cell r="DA307">
            <v>0</v>
          </cell>
          <cell r="DB307">
            <v>0</v>
          </cell>
          <cell r="DC307">
            <v>0</v>
          </cell>
          <cell r="DD307">
            <v>0</v>
          </cell>
          <cell r="DE307">
            <v>297</v>
          </cell>
          <cell r="DF307">
            <v>0</v>
          </cell>
          <cell r="DG307">
            <v>0</v>
          </cell>
          <cell r="DH307"/>
          <cell r="DI307">
            <v>0</v>
          </cell>
          <cell r="DK307" t="str">
            <v>OK</v>
          </cell>
          <cell r="DM307">
            <v>0</v>
          </cell>
          <cell r="DN307">
            <v>0</v>
          </cell>
          <cell r="DO307"/>
        </row>
        <row r="308">
          <cell r="N308">
            <v>0</v>
          </cell>
          <cell r="O308">
            <v>0</v>
          </cell>
          <cell r="P308"/>
          <cell r="Q308"/>
          <cell r="T308"/>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cell r="BM308">
            <v>0</v>
          </cell>
          <cell r="BN308">
            <v>0</v>
          </cell>
          <cell r="BO308">
            <v>0</v>
          </cell>
          <cell r="BP308">
            <v>0</v>
          </cell>
          <cell r="BQ308">
            <v>0</v>
          </cell>
          <cell r="BR308">
            <v>0</v>
          </cell>
          <cell r="BS308">
            <v>0</v>
          </cell>
          <cell r="BT308">
            <v>0</v>
          </cell>
          <cell r="BU308">
            <v>0</v>
          </cell>
          <cell r="BV308">
            <v>0</v>
          </cell>
          <cell r="BW308">
            <v>0</v>
          </cell>
          <cell r="BX308">
            <v>0</v>
          </cell>
          <cell r="BY308">
            <v>0</v>
          </cell>
          <cell r="BZ308">
            <v>0</v>
          </cell>
          <cell r="CA308">
            <v>0</v>
          </cell>
          <cell r="CB308">
            <v>0</v>
          </cell>
          <cell r="CC308">
            <v>0</v>
          </cell>
          <cell r="CD308">
            <v>0</v>
          </cell>
          <cell r="CE308">
            <v>0</v>
          </cell>
          <cell r="CF308">
            <v>0</v>
          </cell>
          <cell r="CG308">
            <v>0</v>
          </cell>
          <cell r="CH308">
            <v>0</v>
          </cell>
          <cell r="CI308">
            <v>0</v>
          </cell>
          <cell r="CJ308">
            <v>0</v>
          </cell>
          <cell r="CK308">
            <v>0</v>
          </cell>
          <cell r="CL308">
            <v>0</v>
          </cell>
          <cell r="CM308">
            <v>0</v>
          </cell>
          <cell r="CN308">
            <v>0</v>
          </cell>
          <cell r="CO308">
            <v>0</v>
          </cell>
          <cell r="CP308">
            <v>0</v>
          </cell>
          <cell r="CQ308">
            <v>0</v>
          </cell>
          <cell r="CR308">
            <v>0</v>
          </cell>
          <cell r="CS308">
            <v>0</v>
          </cell>
          <cell r="CT308">
            <v>0</v>
          </cell>
          <cell r="CU308">
            <v>0</v>
          </cell>
          <cell r="CV308">
            <v>0</v>
          </cell>
          <cell r="CW308">
            <v>0</v>
          </cell>
          <cell r="CX308">
            <v>0</v>
          </cell>
          <cell r="CY308">
            <v>0</v>
          </cell>
          <cell r="CZ308">
            <v>0</v>
          </cell>
          <cell r="DA308">
            <v>0</v>
          </cell>
          <cell r="DB308">
            <v>0</v>
          </cell>
          <cell r="DC308">
            <v>0</v>
          </cell>
          <cell r="DD308">
            <v>0</v>
          </cell>
          <cell r="DE308">
            <v>298</v>
          </cell>
          <cell r="DF308">
            <v>0</v>
          </cell>
          <cell r="DG308">
            <v>0</v>
          </cell>
          <cell r="DH308"/>
          <cell r="DI308">
            <v>0</v>
          </cell>
          <cell r="DK308" t="str">
            <v>OK</v>
          </cell>
          <cell r="DM308">
            <v>0</v>
          </cell>
          <cell r="DN308">
            <v>0</v>
          </cell>
          <cell r="DO308"/>
        </row>
        <row r="309">
          <cell r="N309">
            <v>0</v>
          </cell>
          <cell r="O309">
            <v>0</v>
          </cell>
          <cell r="P309"/>
          <cell r="Q309"/>
          <cell r="T309"/>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cell r="BM309">
            <v>0</v>
          </cell>
          <cell r="BN309">
            <v>0</v>
          </cell>
          <cell r="BO309">
            <v>0</v>
          </cell>
          <cell r="BP309">
            <v>0</v>
          </cell>
          <cell r="BQ309">
            <v>0</v>
          </cell>
          <cell r="BR309">
            <v>0</v>
          </cell>
          <cell r="BS309">
            <v>0</v>
          </cell>
          <cell r="BT309">
            <v>0</v>
          </cell>
          <cell r="BU309">
            <v>0</v>
          </cell>
          <cell r="BV309">
            <v>0</v>
          </cell>
          <cell r="BW309">
            <v>0</v>
          </cell>
          <cell r="BX309">
            <v>0</v>
          </cell>
          <cell r="BY309">
            <v>0</v>
          </cell>
          <cell r="BZ309">
            <v>0</v>
          </cell>
          <cell r="CA309">
            <v>0</v>
          </cell>
          <cell r="CB309">
            <v>0</v>
          </cell>
          <cell r="CC309">
            <v>0</v>
          </cell>
          <cell r="CD309">
            <v>0</v>
          </cell>
          <cell r="CE309">
            <v>0</v>
          </cell>
          <cell r="CF309">
            <v>0</v>
          </cell>
          <cell r="CG309">
            <v>0</v>
          </cell>
          <cell r="CH309">
            <v>0</v>
          </cell>
          <cell r="CI309">
            <v>0</v>
          </cell>
          <cell r="CJ309">
            <v>0</v>
          </cell>
          <cell r="CK309">
            <v>0</v>
          </cell>
          <cell r="CL309">
            <v>0</v>
          </cell>
          <cell r="CM309">
            <v>0</v>
          </cell>
          <cell r="CN309">
            <v>0</v>
          </cell>
          <cell r="CO309">
            <v>0</v>
          </cell>
          <cell r="CP309">
            <v>0</v>
          </cell>
          <cell r="CQ309">
            <v>0</v>
          </cell>
          <cell r="CR309">
            <v>0</v>
          </cell>
          <cell r="CS309">
            <v>0</v>
          </cell>
          <cell r="CT309">
            <v>0</v>
          </cell>
          <cell r="CU309">
            <v>0</v>
          </cell>
          <cell r="CV309">
            <v>0</v>
          </cell>
          <cell r="CW309">
            <v>0</v>
          </cell>
          <cell r="CX309">
            <v>0</v>
          </cell>
          <cell r="CY309">
            <v>0</v>
          </cell>
          <cell r="CZ309">
            <v>0</v>
          </cell>
          <cell r="DA309">
            <v>0</v>
          </cell>
          <cell r="DB309">
            <v>0</v>
          </cell>
          <cell r="DC309">
            <v>0</v>
          </cell>
          <cell r="DD309">
            <v>0</v>
          </cell>
          <cell r="DE309">
            <v>299</v>
          </cell>
          <cell r="DF309">
            <v>0</v>
          </cell>
          <cell r="DG309">
            <v>0</v>
          </cell>
          <cell r="DH309"/>
          <cell r="DI309">
            <v>0</v>
          </cell>
          <cell r="DK309" t="str">
            <v>OK</v>
          </cell>
          <cell r="DM309">
            <v>0</v>
          </cell>
          <cell r="DN309">
            <v>0</v>
          </cell>
          <cell r="DO309"/>
        </row>
        <row r="310">
          <cell r="N310">
            <v>0</v>
          </cell>
          <cell r="O310">
            <v>0</v>
          </cell>
          <cell r="P310"/>
          <cell r="Q310"/>
          <cell r="T310"/>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cell r="BM310">
            <v>0</v>
          </cell>
          <cell r="BN310">
            <v>0</v>
          </cell>
          <cell r="BO310">
            <v>0</v>
          </cell>
          <cell r="BP310">
            <v>0</v>
          </cell>
          <cell r="BQ310">
            <v>0</v>
          </cell>
          <cell r="BR310">
            <v>0</v>
          </cell>
          <cell r="BS310">
            <v>0</v>
          </cell>
          <cell r="BT310">
            <v>0</v>
          </cell>
          <cell r="BU310">
            <v>0</v>
          </cell>
          <cell r="BV310">
            <v>0</v>
          </cell>
          <cell r="BW310">
            <v>0</v>
          </cell>
          <cell r="BX310">
            <v>0</v>
          </cell>
          <cell r="BY310">
            <v>0</v>
          </cell>
          <cell r="BZ310">
            <v>0</v>
          </cell>
          <cell r="CA310">
            <v>0</v>
          </cell>
          <cell r="CB310">
            <v>0</v>
          </cell>
          <cell r="CC310">
            <v>0</v>
          </cell>
          <cell r="CD310">
            <v>0</v>
          </cell>
          <cell r="CE310">
            <v>0</v>
          </cell>
          <cell r="CF310">
            <v>0</v>
          </cell>
          <cell r="CG310">
            <v>0</v>
          </cell>
          <cell r="CH310">
            <v>0</v>
          </cell>
          <cell r="CI310">
            <v>0</v>
          </cell>
          <cell r="CJ310">
            <v>0</v>
          </cell>
          <cell r="CK310">
            <v>0</v>
          </cell>
          <cell r="CL310">
            <v>0</v>
          </cell>
          <cell r="CM310">
            <v>0</v>
          </cell>
          <cell r="CN310">
            <v>0</v>
          </cell>
          <cell r="CO310">
            <v>0</v>
          </cell>
          <cell r="CP310">
            <v>0</v>
          </cell>
          <cell r="CQ310">
            <v>0</v>
          </cell>
          <cell r="CR310">
            <v>0</v>
          </cell>
          <cell r="CS310">
            <v>0</v>
          </cell>
          <cell r="CT310">
            <v>0</v>
          </cell>
          <cell r="CU310">
            <v>0</v>
          </cell>
          <cell r="CV310">
            <v>0</v>
          </cell>
          <cell r="CW310">
            <v>0</v>
          </cell>
          <cell r="CX310">
            <v>0</v>
          </cell>
          <cell r="CY310">
            <v>0</v>
          </cell>
          <cell r="CZ310">
            <v>0</v>
          </cell>
          <cell r="DA310">
            <v>0</v>
          </cell>
          <cell r="DB310">
            <v>0</v>
          </cell>
          <cell r="DC310">
            <v>0</v>
          </cell>
          <cell r="DD310">
            <v>0</v>
          </cell>
          <cell r="DE310">
            <v>300</v>
          </cell>
          <cell r="DF310">
            <v>0</v>
          </cell>
          <cell r="DG310">
            <v>0</v>
          </cell>
          <cell r="DH310"/>
          <cell r="DI310">
            <v>0</v>
          </cell>
          <cell r="DK310" t="str">
            <v>OK</v>
          </cell>
          <cell r="DM310">
            <v>0</v>
          </cell>
          <cell r="DN310">
            <v>0</v>
          </cell>
          <cell r="DO310"/>
        </row>
        <row r="311">
          <cell r="N311">
            <v>0</v>
          </cell>
          <cell r="O311">
            <v>0</v>
          </cell>
          <cell r="P311"/>
          <cell r="Q311"/>
          <cell r="T311"/>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cell r="BM311">
            <v>0</v>
          </cell>
          <cell r="BN311">
            <v>0</v>
          </cell>
          <cell r="BO311">
            <v>0</v>
          </cell>
          <cell r="BP311">
            <v>0</v>
          </cell>
          <cell r="BQ311">
            <v>0</v>
          </cell>
          <cell r="BR311">
            <v>0</v>
          </cell>
          <cell r="BS311">
            <v>0</v>
          </cell>
          <cell r="BT311">
            <v>0</v>
          </cell>
          <cell r="BU311">
            <v>0</v>
          </cell>
          <cell r="BV311">
            <v>0</v>
          </cell>
          <cell r="BW311">
            <v>0</v>
          </cell>
          <cell r="BX311">
            <v>0</v>
          </cell>
          <cell r="BY311">
            <v>0</v>
          </cell>
          <cell r="BZ311">
            <v>0</v>
          </cell>
          <cell r="CA311">
            <v>0</v>
          </cell>
          <cell r="CB311">
            <v>0</v>
          </cell>
          <cell r="CC311">
            <v>0</v>
          </cell>
          <cell r="CD311">
            <v>0</v>
          </cell>
          <cell r="CE311">
            <v>0</v>
          </cell>
          <cell r="CF311">
            <v>0</v>
          </cell>
          <cell r="CG311">
            <v>0</v>
          </cell>
          <cell r="CH311">
            <v>0</v>
          </cell>
          <cell r="CI311">
            <v>0</v>
          </cell>
          <cell r="CJ311">
            <v>0</v>
          </cell>
          <cell r="CK311">
            <v>0</v>
          </cell>
          <cell r="CL311">
            <v>0</v>
          </cell>
          <cell r="CM311">
            <v>0</v>
          </cell>
          <cell r="CN311">
            <v>0</v>
          </cell>
          <cell r="CO311">
            <v>0</v>
          </cell>
          <cell r="CP311">
            <v>0</v>
          </cell>
          <cell r="CQ311">
            <v>0</v>
          </cell>
          <cell r="CR311">
            <v>0</v>
          </cell>
          <cell r="CS311">
            <v>0</v>
          </cell>
          <cell r="CT311">
            <v>0</v>
          </cell>
          <cell r="CU311">
            <v>0</v>
          </cell>
          <cell r="CV311">
            <v>0</v>
          </cell>
          <cell r="CW311">
            <v>0</v>
          </cell>
          <cell r="CX311">
            <v>0</v>
          </cell>
          <cell r="CY311">
            <v>0</v>
          </cell>
          <cell r="CZ311">
            <v>0</v>
          </cell>
          <cell r="DA311">
            <v>0</v>
          </cell>
          <cell r="DB311">
            <v>0</v>
          </cell>
          <cell r="DC311">
            <v>0</v>
          </cell>
          <cell r="DD311">
            <v>0</v>
          </cell>
          <cell r="DE311">
            <v>301</v>
          </cell>
          <cell r="DF311">
            <v>0</v>
          </cell>
          <cell r="DG311">
            <v>0</v>
          </cell>
          <cell r="DH311"/>
          <cell r="DI311">
            <v>0</v>
          </cell>
          <cell r="DK311" t="str">
            <v>OK</v>
          </cell>
          <cell r="DM311">
            <v>0</v>
          </cell>
          <cell r="DN311">
            <v>0</v>
          </cell>
          <cell r="DO311"/>
        </row>
        <row r="312">
          <cell r="N312">
            <v>0</v>
          </cell>
          <cell r="O312">
            <v>0</v>
          </cell>
          <cell r="P312"/>
          <cell r="Q312"/>
          <cell r="T312"/>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cell r="BM312">
            <v>0</v>
          </cell>
          <cell r="BN312">
            <v>0</v>
          </cell>
          <cell r="BO312">
            <v>0</v>
          </cell>
          <cell r="BP312">
            <v>0</v>
          </cell>
          <cell r="BQ312">
            <v>0</v>
          </cell>
          <cell r="BR312">
            <v>0</v>
          </cell>
          <cell r="BS312">
            <v>0</v>
          </cell>
          <cell r="BT312">
            <v>0</v>
          </cell>
          <cell r="BU312">
            <v>0</v>
          </cell>
          <cell r="BV312">
            <v>0</v>
          </cell>
          <cell r="BW312">
            <v>0</v>
          </cell>
          <cell r="BX312">
            <v>0</v>
          </cell>
          <cell r="BY312">
            <v>0</v>
          </cell>
          <cell r="BZ312">
            <v>0</v>
          </cell>
          <cell r="CA312">
            <v>0</v>
          </cell>
          <cell r="CB312">
            <v>0</v>
          </cell>
          <cell r="CC312">
            <v>0</v>
          </cell>
          <cell r="CD312">
            <v>0</v>
          </cell>
          <cell r="CE312">
            <v>0</v>
          </cell>
          <cell r="CF312">
            <v>0</v>
          </cell>
          <cell r="CG312">
            <v>0</v>
          </cell>
          <cell r="CH312">
            <v>0</v>
          </cell>
          <cell r="CI312">
            <v>0</v>
          </cell>
          <cell r="CJ312">
            <v>0</v>
          </cell>
          <cell r="CK312">
            <v>0</v>
          </cell>
          <cell r="CL312">
            <v>0</v>
          </cell>
          <cell r="CM312">
            <v>0</v>
          </cell>
          <cell r="CN312">
            <v>0</v>
          </cell>
          <cell r="CO312">
            <v>0</v>
          </cell>
          <cell r="CP312">
            <v>0</v>
          </cell>
          <cell r="CQ312">
            <v>0</v>
          </cell>
          <cell r="CR312">
            <v>0</v>
          </cell>
          <cell r="CS312">
            <v>0</v>
          </cell>
          <cell r="CT312">
            <v>0</v>
          </cell>
          <cell r="CU312">
            <v>0</v>
          </cell>
          <cell r="CV312">
            <v>0</v>
          </cell>
          <cell r="CW312">
            <v>0</v>
          </cell>
          <cell r="CX312">
            <v>0</v>
          </cell>
          <cell r="CY312">
            <v>0</v>
          </cell>
          <cell r="CZ312">
            <v>0</v>
          </cell>
          <cell r="DA312">
            <v>0</v>
          </cell>
          <cell r="DB312">
            <v>0</v>
          </cell>
          <cell r="DC312">
            <v>0</v>
          </cell>
          <cell r="DD312">
            <v>0</v>
          </cell>
          <cell r="DE312">
            <v>302</v>
          </cell>
          <cell r="DF312">
            <v>0</v>
          </cell>
          <cell r="DG312">
            <v>0</v>
          </cell>
          <cell r="DH312"/>
          <cell r="DI312">
            <v>0</v>
          </cell>
          <cell r="DK312" t="str">
            <v>OK</v>
          </cell>
          <cell r="DM312">
            <v>0</v>
          </cell>
          <cell r="DN312">
            <v>0</v>
          </cell>
          <cell r="DO312"/>
        </row>
        <row r="313">
          <cell r="N313">
            <v>0</v>
          </cell>
          <cell r="O313">
            <v>0</v>
          </cell>
          <cell r="P313"/>
          <cell r="Q313"/>
          <cell r="T313"/>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cell r="BM313">
            <v>0</v>
          </cell>
          <cell r="BN313">
            <v>0</v>
          </cell>
          <cell r="BO313">
            <v>0</v>
          </cell>
          <cell r="BP313">
            <v>0</v>
          </cell>
          <cell r="BQ313">
            <v>0</v>
          </cell>
          <cell r="BR313">
            <v>0</v>
          </cell>
          <cell r="BS313">
            <v>0</v>
          </cell>
          <cell r="BT313">
            <v>0</v>
          </cell>
          <cell r="BU313">
            <v>0</v>
          </cell>
          <cell r="BV313">
            <v>0</v>
          </cell>
          <cell r="BW313">
            <v>0</v>
          </cell>
          <cell r="BX313">
            <v>0</v>
          </cell>
          <cell r="BY313">
            <v>0</v>
          </cell>
          <cell r="BZ313">
            <v>0</v>
          </cell>
          <cell r="CA313">
            <v>0</v>
          </cell>
          <cell r="CB313">
            <v>0</v>
          </cell>
          <cell r="CC313">
            <v>0</v>
          </cell>
          <cell r="CD313">
            <v>0</v>
          </cell>
          <cell r="CE313">
            <v>0</v>
          </cell>
          <cell r="CF313">
            <v>0</v>
          </cell>
          <cell r="CG313">
            <v>0</v>
          </cell>
          <cell r="CH313">
            <v>0</v>
          </cell>
          <cell r="CI313">
            <v>0</v>
          </cell>
          <cell r="CJ313">
            <v>0</v>
          </cell>
          <cell r="CK313">
            <v>0</v>
          </cell>
          <cell r="CL313">
            <v>0</v>
          </cell>
          <cell r="CM313">
            <v>0</v>
          </cell>
          <cell r="CN313">
            <v>0</v>
          </cell>
          <cell r="CO313">
            <v>0</v>
          </cell>
          <cell r="CP313">
            <v>0</v>
          </cell>
          <cell r="CQ313">
            <v>0</v>
          </cell>
          <cell r="CR313">
            <v>0</v>
          </cell>
          <cell r="CS313">
            <v>0</v>
          </cell>
          <cell r="CT313">
            <v>0</v>
          </cell>
          <cell r="CU313">
            <v>0</v>
          </cell>
          <cell r="CV313">
            <v>0</v>
          </cell>
          <cell r="CW313">
            <v>0</v>
          </cell>
          <cell r="CX313">
            <v>0</v>
          </cell>
          <cell r="CY313">
            <v>0</v>
          </cell>
          <cell r="CZ313">
            <v>0</v>
          </cell>
          <cell r="DA313">
            <v>0</v>
          </cell>
          <cell r="DB313">
            <v>0</v>
          </cell>
          <cell r="DC313">
            <v>0</v>
          </cell>
          <cell r="DD313">
            <v>0</v>
          </cell>
          <cell r="DE313">
            <v>303</v>
          </cell>
          <cell r="DF313">
            <v>0</v>
          </cell>
          <cell r="DG313">
            <v>0</v>
          </cell>
          <cell r="DH313"/>
          <cell r="DI313">
            <v>0</v>
          </cell>
          <cell r="DK313" t="str">
            <v>OK</v>
          </cell>
          <cell r="DM313">
            <v>0</v>
          </cell>
          <cell r="DN313">
            <v>0</v>
          </cell>
          <cell r="DO313"/>
        </row>
        <row r="314">
          <cell r="N314">
            <v>0</v>
          </cell>
          <cell r="O314">
            <v>0</v>
          </cell>
          <cell r="P314"/>
          <cell r="Q314"/>
          <cell r="T314"/>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cell r="BM314">
            <v>0</v>
          </cell>
          <cell r="BN314">
            <v>0</v>
          </cell>
          <cell r="BO314">
            <v>0</v>
          </cell>
          <cell r="BP314">
            <v>0</v>
          </cell>
          <cell r="BQ314">
            <v>0</v>
          </cell>
          <cell r="BR314">
            <v>0</v>
          </cell>
          <cell r="BS314">
            <v>0</v>
          </cell>
          <cell r="BT314">
            <v>0</v>
          </cell>
          <cell r="BU314">
            <v>0</v>
          </cell>
          <cell r="BV314">
            <v>0</v>
          </cell>
          <cell r="BW314">
            <v>0</v>
          </cell>
          <cell r="BX314">
            <v>0</v>
          </cell>
          <cell r="BY314">
            <v>0</v>
          </cell>
          <cell r="BZ314">
            <v>0</v>
          </cell>
          <cell r="CA314">
            <v>0</v>
          </cell>
          <cell r="CB314">
            <v>0</v>
          </cell>
          <cell r="CC314">
            <v>0</v>
          </cell>
          <cell r="CD314">
            <v>0</v>
          </cell>
          <cell r="CE314">
            <v>0</v>
          </cell>
          <cell r="CF314">
            <v>0</v>
          </cell>
          <cell r="CG314">
            <v>0</v>
          </cell>
          <cell r="CH314">
            <v>0</v>
          </cell>
          <cell r="CI314">
            <v>0</v>
          </cell>
          <cell r="CJ314">
            <v>0</v>
          </cell>
          <cell r="CK314">
            <v>0</v>
          </cell>
          <cell r="CL314">
            <v>0</v>
          </cell>
          <cell r="CM314">
            <v>0</v>
          </cell>
          <cell r="CN314">
            <v>0</v>
          </cell>
          <cell r="CO314">
            <v>0</v>
          </cell>
          <cell r="CP314">
            <v>0</v>
          </cell>
          <cell r="CQ314">
            <v>0</v>
          </cell>
          <cell r="CR314">
            <v>0</v>
          </cell>
          <cell r="CS314">
            <v>0</v>
          </cell>
          <cell r="CT314">
            <v>0</v>
          </cell>
          <cell r="CU314">
            <v>0</v>
          </cell>
          <cell r="CV314">
            <v>0</v>
          </cell>
          <cell r="CW314">
            <v>0</v>
          </cell>
          <cell r="CX314">
            <v>0</v>
          </cell>
          <cell r="CY314">
            <v>0</v>
          </cell>
          <cell r="CZ314">
            <v>0</v>
          </cell>
          <cell r="DA314">
            <v>0</v>
          </cell>
          <cell r="DB314">
            <v>0</v>
          </cell>
          <cell r="DC314">
            <v>0</v>
          </cell>
          <cell r="DD314">
            <v>0</v>
          </cell>
          <cell r="DE314">
            <v>304</v>
          </cell>
          <cell r="DF314">
            <v>0</v>
          </cell>
          <cell r="DG314">
            <v>0</v>
          </cell>
          <cell r="DH314"/>
          <cell r="DI314">
            <v>0</v>
          </cell>
          <cell r="DK314" t="str">
            <v>OK</v>
          </cell>
          <cell r="DM314">
            <v>0</v>
          </cell>
          <cell r="DN314">
            <v>0</v>
          </cell>
          <cell r="DO314"/>
        </row>
        <row r="315">
          <cell r="N315">
            <v>0</v>
          </cell>
          <cell r="O315">
            <v>0</v>
          </cell>
          <cell r="P315"/>
          <cell r="Q315"/>
          <cell r="T315"/>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cell r="BM315">
            <v>0</v>
          </cell>
          <cell r="BN315">
            <v>0</v>
          </cell>
          <cell r="BO315">
            <v>0</v>
          </cell>
          <cell r="BP315">
            <v>0</v>
          </cell>
          <cell r="BQ315">
            <v>0</v>
          </cell>
          <cell r="BR315">
            <v>0</v>
          </cell>
          <cell r="BS315">
            <v>0</v>
          </cell>
          <cell r="BT315">
            <v>0</v>
          </cell>
          <cell r="BU315">
            <v>0</v>
          </cell>
          <cell r="BV315">
            <v>0</v>
          </cell>
          <cell r="BW315">
            <v>0</v>
          </cell>
          <cell r="BX315">
            <v>0</v>
          </cell>
          <cell r="BY315">
            <v>0</v>
          </cell>
          <cell r="BZ315">
            <v>0</v>
          </cell>
          <cell r="CA315">
            <v>0</v>
          </cell>
          <cell r="CB315">
            <v>0</v>
          </cell>
          <cell r="CC315">
            <v>0</v>
          </cell>
          <cell r="CD315">
            <v>0</v>
          </cell>
          <cell r="CE315">
            <v>0</v>
          </cell>
          <cell r="CF315">
            <v>0</v>
          </cell>
          <cell r="CG315">
            <v>0</v>
          </cell>
          <cell r="CH315">
            <v>0</v>
          </cell>
          <cell r="CI315">
            <v>0</v>
          </cell>
          <cell r="CJ315">
            <v>0</v>
          </cell>
          <cell r="CK315">
            <v>0</v>
          </cell>
          <cell r="CL315">
            <v>0</v>
          </cell>
          <cell r="CM315">
            <v>0</v>
          </cell>
          <cell r="CN315">
            <v>0</v>
          </cell>
          <cell r="CO315">
            <v>0</v>
          </cell>
          <cell r="CP315">
            <v>0</v>
          </cell>
          <cell r="CQ315">
            <v>0</v>
          </cell>
          <cell r="CR315">
            <v>0</v>
          </cell>
          <cell r="CS315">
            <v>0</v>
          </cell>
          <cell r="CT315">
            <v>0</v>
          </cell>
          <cell r="CU315">
            <v>0</v>
          </cell>
          <cell r="CV315">
            <v>0</v>
          </cell>
          <cell r="CW315">
            <v>0</v>
          </cell>
          <cell r="CX315">
            <v>0</v>
          </cell>
          <cell r="CY315">
            <v>0</v>
          </cell>
          <cell r="CZ315">
            <v>0</v>
          </cell>
          <cell r="DA315">
            <v>0</v>
          </cell>
          <cell r="DB315">
            <v>0</v>
          </cell>
          <cell r="DC315">
            <v>0</v>
          </cell>
          <cell r="DD315">
            <v>0</v>
          </cell>
          <cell r="DE315">
            <v>305</v>
          </cell>
          <cell r="DF315">
            <v>0</v>
          </cell>
          <cell r="DG315">
            <v>0</v>
          </cell>
          <cell r="DH315"/>
          <cell r="DI315">
            <v>0</v>
          </cell>
          <cell r="DK315" t="str">
            <v>OK</v>
          </cell>
          <cell r="DM315">
            <v>0</v>
          </cell>
          <cell r="DN315">
            <v>0</v>
          </cell>
          <cell r="DO315"/>
        </row>
        <row r="316">
          <cell r="P316"/>
          <cell r="Q316"/>
          <cell r="DE316">
            <v>306</v>
          </cell>
        </row>
        <row r="376">
          <cell r="AB376">
            <v>36804.999988425923</v>
          </cell>
          <cell r="AC376">
            <v>36811.999988425923</v>
          </cell>
          <cell r="AD376">
            <v>36818.999988425923</v>
          </cell>
          <cell r="AE376">
            <v>36825.999988425923</v>
          </cell>
          <cell r="AF376">
            <v>36832.999988425923</v>
          </cell>
          <cell r="AG376">
            <v>36839.999988425923</v>
          </cell>
          <cell r="AH376">
            <v>36846.999988425923</v>
          </cell>
          <cell r="AI376">
            <v>36853.999988425923</v>
          </cell>
          <cell r="AJ376">
            <v>36860.999988425923</v>
          </cell>
          <cell r="AK376">
            <v>36867.999988425923</v>
          </cell>
          <cell r="AL376">
            <v>36874.999988425923</v>
          </cell>
          <cell r="AM376">
            <v>36881.999988425923</v>
          </cell>
          <cell r="AN376">
            <v>36888.999988425923</v>
          </cell>
          <cell r="AO376">
            <v>36895.999988425923</v>
          </cell>
          <cell r="AP376">
            <v>36902.999988425923</v>
          </cell>
          <cell r="AQ376">
            <v>36909.999988425923</v>
          </cell>
          <cell r="AR376">
            <v>36916.999988425923</v>
          </cell>
          <cell r="AS376">
            <v>36923.999988425923</v>
          </cell>
          <cell r="AT376">
            <v>36930.999988425923</v>
          </cell>
          <cell r="AU376">
            <v>36937.999988425923</v>
          </cell>
          <cell r="AV376">
            <v>36944.999988425923</v>
          </cell>
          <cell r="AW376">
            <v>36950.999988425923</v>
          </cell>
          <cell r="AX376">
            <v>36950.999988425923</v>
          </cell>
          <cell r="AY376">
            <v>36950.999988425923</v>
          </cell>
          <cell r="AZ376">
            <v>36950.999988425923</v>
          </cell>
          <cell r="BA376">
            <v>36950.999988425923</v>
          </cell>
          <cell r="BB376">
            <v>36950.999988425923</v>
          </cell>
          <cell r="BC376">
            <v>36950.999988425923</v>
          </cell>
          <cell r="BD376">
            <v>36950.999988425923</v>
          </cell>
          <cell r="BE376">
            <v>36950.999988425923</v>
          </cell>
          <cell r="BF376">
            <v>36950.999988425923</v>
          </cell>
          <cell r="BG376">
            <v>36950.999988425923</v>
          </cell>
          <cell r="BH376">
            <v>36950.999988425923</v>
          </cell>
          <cell r="BI376">
            <v>36950.999988425923</v>
          </cell>
          <cell r="BJ376">
            <v>36950.999988425923</v>
          </cell>
          <cell r="BK376">
            <v>36950.999988425923</v>
          </cell>
          <cell r="BL376">
            <v>36950.999988425923</v>
          </cell>
          <cell r="BM376">
            <v>36950.999988425923</v>
          </cell>
          <cell r="BN376">
            <v>36950.999988425923</v>
          </cell>
          <cell r="BO376">
            <v>36950.999988425923</v>
          </cell>
          <cell r="BP376">
            <v>36950.999988425923</v>
          </cell>
          <cell r="BQ376">
            <v>36950.999988425923</v>
          </cell>
          <cell r="BR376">
            <v>36950.999988425923</v>
          </cell>
          <cell r="BS376">
            <v>36950.999988425923</v>
          </cell>
          <cell r="BT376">
            <v>36950.999988425923</v>
          </cell>
          <cell r="BU376">
            <v>36950.999988425923</v>
          </cell>
          <cell r="BV376">
            <v>36950.999988425923</v>
          </cell>
          <cell r="BW376">
            <v>36950.999988425923</v>
          </cell>
          <cell r="BX376">
            <v>36950.999988425923</v>
          </cell>
          <cell r="BY376">
            <v>36950.999988425923</v>
          </cell>
          <cell r="BZ376">
            <v>36950.999988425923</v>
          </cell>
          <cell r="CA376">
            <v>36950.999988425923</v>
          </cell>
          <cell r="CB376">
            <v>36950.999988425923</v>
          </cell>
          <cell r="CC376">
            <v>36950.999988425923</v>
          </cell>
          <cell r="CD376">
            <v>36950.999988425923</v>
          </cell>
          <cell r="CE376">
            <v>36950.999988425923</v>
          </cell>
          <cell r="CF376">
            <v>36950.999988425923</v>
          </cell>
          <cell r="CG376">
            <v>36950.999988425923</v>
          </cell>
          <cell r="CH376">
            <v>36950.999988425923</v>
          </cell>
          <cell r="CI376">
            <v>36950.999988425923</v>
          </cell>
          <cell r="CJ376">
            <v>36950.999988425923</v>
          </cell>
          <cell r="CK376">
            <v>36950.999988425923</v>
          </cell>
          <cell r="CL376">
            <v>36950.999988425923</v>
          </cell>
          <cell r="CM376">
            <v>36950.999988425923</v>
          </cell>
          <cell r="CN376">
            <v>36950.999988425923</v>
          </cell>
          <cell r="CO376">
            <v>36950.999988425923</v>
          </cell>
          <cell r="CP376">
            <v>36950.999988425923</v>
          </cell>
          <cell r="CQ376">
            <v>36950.999988425923</v>
          </cell>
          <cell r="CR376">
            <v>36950.999988425923</v>
          </cell>
          <cell r="CS376">
            <v>36950.999988425923</v>
          </cell>
          <cell r="CT376">
            <v>36950.999988425923</v>
          </cell>
          <cell r="CU376">
            <v>36950.999988425923</v>
          </cell>
          <cell r="CV376">
            <v>36950.999988425923</v>
          </cell>
          <cell r="CW376">
            <v>36950.999988425923</v>
          </cell>
          <cell r="CX376">
            <v>36950.999988425923</v>
          </cell>
          <cell r="CY376">
            <v>36950.999988425923</v>
          </cell>
          <cell r="CZ376">
            <v>36950.999988425923</v>
          </cell>
          <cell r="DA376">
            <v>36950.999988425923</v>
          </cell>
          <cell r="DB376">
            <v>36950.999988425923</v>
          </cell>
          <cell r="DC376">
            <v>36950.999988425923</v>
          </cell>
        </row>
        <row r="377">
          <cell r="AB377">
            <v>3.001240694789082</v>
          </cell>
          <cell r="AC377">
            <v>3.8977872305477668</v>
          </cell>
          <cell r="AD377">
            <v>5.6908958672028733</v>
          </cell>
          <cell r="AE377">
            <v>6.1182438214599735</v>
          </cell>
          <cell r="AF377">
            <v>7.4139242861076253</v>
          </cell>
          <cell r="AG377">
            <v>11.46584639686354</v>
          </cell>
          <cell r="AH377">
            <v>15.472399033917453</v>
          </cell>
          <cell r="AI377">
            <v>15.657189501785234</v>
          </cell>
          <cell r="AJ377">
            <v>23.048163554136739</v>
          </cell>
          <cell r="AK377">
            <v>19.76356082558226</v>
          </cell>
          <cell r="AL377">
            <v>15.707748633976946</v>
          </cell>
          <cell r="AM377">
            <v>15.869563315263177</v>
          </cell>
          <cell r="AN377">
            <v>14.333474682715725</v>
          </cell>
          <cell r="AO377">
            <v>15.807123908048638</v>
          </cell>
          <cell r="AP377">
            <v>15.899563631611947</v>
          </cell>
          <cell r="AQ377">
            <v>12.097599396157579</v>
          </cell>
          <cell r="AR377">
            <v>16.195512876411236</v>
          </cell>
          <cell r="AS377">
            <v>20.854257376432962</v>
          </cell>
          <cell r="AT377">
            <v>17.796989511770985</v>
          </cell>
          <cell r="AU377">
            <v>14.376150782248081</v>
          </cell>
          <cell r="AV377">
            <v>11.460750735949402</v>
          </cell>
          <cell r="AW377">
            <v>1.4666718107007912</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cell r="BM377">
            <v>0</v>
          </cell>
          <cell r="BN377">
            <v>0</v>
          </cell>
          <cell r="BO377">
            <v>0</v>
          </cell>
          <cell r="BP377">
            <v>0</v>
          </cell>
          <cell r="BQ377">
            <v>0</v>
          </cell>
          <cell r="BR377">
            <v>0</v>
          </cell>
          <cell r="BS377">
            <v>0</v>
          </cell>
          <cell r="BT377">
            <v>0</v>
          </cell>
          <cell r="BU377">
            <v>0</v>
          </cell>
          <cell r="BV377">
            <v>0</v>
          </cell>
          <cell r="BW377">
            <v>0</v>
          </cell>
          <cell r="BX377">
            <v>0</v>
          </cell>
          <cell r="BY377">
            <v>0</v>
          </cell>
          <cell r="BZ377">
            <v>0</v>
          </cell>
          <cell r="CA377">
            <v>0</v>
          </cell>
          <cell r="CB377">
            <v>0</v>
          </cell>
          <cell r="CC377">
            <v>0</v>
          </cell>
          <cell r="CD377">
            <v>0</v>
          </cell>
          <cell r="CE377">
            <v>0</v>
          </cell>
          <cell r="CF377">
            <v>0</v>
          </cell>
          <cell r="CG377">
            <v>0</v>
          </cell>
          <cell r="CH377">
            <v>0</v>
          </cell>
          <cell r="CI377">
            <v>0</v>
          </cell>
          <cell r="CJ377">
            <v>0</v>
          </cell>
          <cell r="CK377">
            <v>0</v>
          </cell>
          <cell r="CL377">
            <v>0</v>
          </cell>
          <cell r="CM377">
            <v>0</v>
          </cell>
          <cell r="CN377">
            <v>0</v>
          </cell>
          <cell r="CO377">
            <v>0</v>
          </cell>
          <cell r="CP377">
            <v>0</v>
          </cell>
          <cell r="CQ377">
            <v>0</v>
          </cell>
          <cell r="CR377">
            <v>0</v>
          </cell>
          <cell r="CS377">
            <v>0</v>
          </cell>
          <cell r="CT377">
            <v>0</v>
          </cell>
          <cell r="CU377">
            <v>0</v>
          </cell>
          <cell r="CV377">
            <v>0</v>
          </cell>
          <cell r="CW377">
            <v>0</v>
          </cell>
          <cell r="CX377">
            <v>0</v>
          </cell>
          <cell r="CY377">
            <v>0</v>
          </cell>
          <cell r="CZ377">
            <v>0</v>
          </cell>
          <cell r="DA377">
            <v>0</v>
          </cell>
          <cell r="DB377">
            <v>0</v>
          </cell>
          <cell r="DC377">
            <v>0</v>
          </cell>
        </row>
        <row r="378">
          <cell r="AB378">
            <v>0.28287841191066998</v>
          </cell>
          <cell r="AC378">
            <v>0.44379702089299805</v>
          </cell>
          <cell r="AD378">
            <v>0.76563703260032501</v>
          </cell>
          <cell r="AE378">
            <v>0.76563703260032501</v>
          </cell>
          <cell r="AF378">
            <v>0.93009216592193988</v>
          </cell>
          <cell r="AG378">
            <v>1.4363220269950199</v>
          </cell>
          <cell r="AH378">
            <v>1.3569672488217066</v>
          </cell>
          <cell r="AI378">
            <v>1.3618822532853176</v>
          </cell>
          <cell r="AJ378">
            <v>1.8266977968382998</v>
          </cell>
          <cell r="AK378">
            <v>1.4302389999933673</v>
          </cell>
          <cell r="AL378">
            <v>1.2929323685856502</v>
          </cell>
          <cell r="AM378">
            <v>1.5650508718874934</v>
          </cell>
          <cell r="AN378">
            <v>1.2255753689224858</v>
          </cell>
          <cell r="AO378">
            <v>0.96042347381390503</v>
          </cell>
          <cell r="AP378">
            <v>1.0692218612986195</v>
          </cell>
          <cell r="AQ378">
            <v>1.4895293811400432</v>
          </cell>
          <cell r="AR378">
            <v>2.8007189090973914</v>
          </cell>
          <cell r="AS378">
            <v>4.206278738334869</v>
          </cell>
          <cell r="AT378">
            <v>4.0442507948554072</v>
          </cell>
          <cell r="AU378">
            <v>3.7261501037677185</v>
          </cell>
          <cell r="AV378">
            <v>2.4594574643554723</v>
          </cell>
          <cell r="AW378">
            <v>8.8889146090595103E-2</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cell r="BM378">
            <v>0</v>
          </cell>
          <cell r="BN378">
            <v>0</v>
          </cell>
          <cell r="BO378">
            <v>0</v>
          </cell>
          <cell r="BP378">
            <v>0</v>
          </cell>
          <cell r="BQ378">
            <v>0</v>
          </cell>
          <cell r="BR378">
            <v>0</v>
          </cell>
          <cell r="BS378">
            <v>0</v>
          </cell>
          <cell r="BT378">
            <v>0</v>
          </cell>
          <cell r="BU378">
            <v>0</v>
          </cell>
          <cell r="BV378">
            <v>0</v>
          </cell>
          <cell r="BW378">
            <v>0</v>
          </cell>
          <cell r="BX378">
            <v>0</v>
          </cell>
          <cell r="BY378">
            <v>0</v>
          </cell>
          <cell r="BZ378">
            <v>0</v>
          </cell>
          <cell r="CA378">
            <v>0</v>
          </cell>
          <cell r="CB378">
            <v>0</v>
          </cell>
          <cell r="CC378">
            <v>0</v>
          </cell>
          <cell r="CD378">
            <v>0</v>
          </cell>
          <cell r="CE378">
            <v>0</v>
          </cell>
          <cell r="CF378">
            <v>0</v>
          </cell>
          <cell r="CG378">
            <v>0</v>
          </cell>
          <cell r="CH378">
            <v>0</v>
          </cell>
          <cell r="CI378">
            <v>0</v>
          </cell>
          <cell r="CJ378">
            <v>0</v>
          </cell>
          <cell r="CK378">
            <v>0</v>
          </cell>
          <cell r="CL378">
            <v>0</v>
          </cell>
          <cell r="CM378">
            <v>0</v>
          </cell>
          <cell r="CN378">
            <v>0</v>
          </cell>
          <cell r="CO378">
            <v>0</v>
          </cell>
          <cell r="CP378">
            <v>0</v>
          </cell>
          <cell r="CQ378">
            <v>0</v>
          </cell>
          <cell r="CR378">
            <v>0</v>
          </cell>
          <cell r="CS378">
            <v>0</v>
          </cell>
          <cell r="CT378">
            <v>0</v>
          </cell>
          <cell r="CU378">
            <v>0</v>
          </cell>
          <cell r="CV378">
            <v>0</v>
          </cell>
          <cell r="CW378">
            <v>0</v>
          </cell>
          <cell r="CX378">
            <v>0</v>
          </cell>
          <cell r="CY378">
            <v>0</v>
          </cell>
          <cell r="CZ378">
            <v>0</v>
          </cell>
          <cell r="DA378">
            <v>0</v>
          </cell>
          <cell r="DB378">
            <v>0</v>
          </cell>
          <cell r="DC378">
            <v>0</v>
          </cell>
        </row>
        <row r="379">
          <cell r="AB379">
            <v>0.4491315136476427</v>
          </cell>
          <cell r="AC379">
            <v>0.62154430898585133</v>
          </cell>
          <cell r="AD379">
            <v>0.96637289295798734</v>
          </cell>
          <cell r="AE379">
            <v>1.0518424838094071</v>
          </cell>
          <cell r="AF379">
            <v>1.6741506349178625</v>
          </cell>
          <cell r="AG379">
            <v>3.4233684990737827</v>
          </cell>
          <cell r="AH379">
            <v>4.183369831689304</v>
          </cell>
          <cell r="AI379">
            <v>4.4567565737461479</v>
          </cell>
          <cell r="AJ379">
            <v>5.0406211601419075</v>
          </cell>
          <cell r="AK379">
            <v>4.2024229829223101</v>
          </cell>
          <cell r="AL379">
            <v>2.8776412588429459</v>
          </cell>
          <cell r="AM379">
            <v>3.0462866594781381</v>
          </cell>
          <cell r="AN379">
            <v>1.850544098735259</v>
          </cell>
          <cell r="AO379">
            <v>1.3941047121027319</v>
          </cell>
          <cell r="AP379">
            <v>1.4003366051221597</v>
          </cell>
          <cell r="AQ379">
            <v>1.7103163670751578</v>
          </cell>
          <cell r="AR379">
            <v>2.8502788914493551</v>
          </cell>
          <cell r="AS379">
            <v>3.6804400581349639</v>
          </cell>
          <cell r="AT379">
            <v>3.4912014566655061</v>
          </cell>
          <cell r="AU379">
            <v>3.0359205379951244</v>
          </cell>
          <cell r="AV379">
            <v>1.8515379244948313</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cell r="BM379">
            <v>0</v>
          </cell>
          <cell r="BN379">
            <v>0</v>
          </cell>
          <cell r="BO379">
            <v>0</v>
          </cell>
          <cell r="BP379">
            <v>0</v>
          </cell>
          <cell r="BQ379">
            <v>0</v>
          </cell>
          <cell r="BR379">
            <v>0</v>
          </cell>
          <cell r="BS379">
            <v>0</v>
          </cell>
          <cell r="BT379">
            <v>0</v>
          </cell>
          <cell r="BU379">
            <v>0</v>
          </cell>
          <cell r="BV379">
            <v>0</v>
          </cell>
          <cell r="BW379">
            <v>0</v>
          </cell>
          <cell r="BX379">
            <v>0</v>
          </cell>
          <cell r="BY379">
            <v>0</v>
          </cell>
          <cell r="BZ379">
            <v>0</v>
          </cell>
          <cell r="CA379">
            <v>0</v>
          </cell>
          <cell r="CB379">
            <v>0</v>
          </cell>
          <cell r="CC379">
            <v>0</v>
          </cell>
          <cell r="CD379">
            <v>0</v>
          </cell>
          <cell r="CE379">
            <v>0</v>
          </cell>
          <cell r="CF379">
            <v>0</v>
          </cell>
          <cell r="CG379">
            <v>0</v>
          </cell>
          <cell r="CH379">
            <v>0</v>
          </cell>
          <cell r="CI379">
            <v>0</v>
          </cell>
          <cell r="CJ379">
            <v>0</v>
          </cell>
          <cell r="CK379">
            <v>0</v>
          </cell>
          <cell r="CL379">
            <v>0</v>
          </cell>
          <cell r="CM379">
            <v>0</v>
          </cell>
          <cell r="CN379">
            <v>0</v>
          </cell>
          <cell r="CO379">
            <v>0</v>
          </cell>
          <cell r="CP379">
            <v>0</v>
          </cell>
          <cell r="CQ379">
            <v>0</v>
          </cell>
          <cell r="CR379">
            <v>0</v>
          </cell>
          <cell r="CS379">
            <v>0</v>
          </cell>
          <cell r="CT379">
            <v>0</v>
          </cell>
          <cell r="CU379">
            <v>0</v>
          </cell>
          <cell r="CV379">
            <v>0</v>
          </cell>
          <cell r="CW379">
            <v>0</v>
          </cell>
          <cell r="CX379">
            <v>0</v>
          </cell>
          <cell r="CY379">
            <v>0</v>
          </cell>
          <cell r="CZ379">
            <v>0</v>
          </cell>
          <cell r="DA379">
            <v>0</v>
          </cell>
          <cell r="DB379">
            <v>0</v>
          </cell>
          <cell r="DC379">
            <v>0</v>
          </cell>
        </row>
        <row r="380">
          <cell r="AB380">
            <v>0.38585607940446648</v>
          </cell>
          <cell r="AC380">
            <v>0.5122921293191528</v>
          </cell>
          <cell r="AD380">
            <v>0.7651664242320525</v>
          </cell>
          <cell r="AE380">
            <v>0.7651664242320525</v>
          </cell>
          <cell r="AF380">
            <v>0.88740248980393677</v>
          </cell>
          <cell r="AG380">
            <v>1.2745851083628534</v>
          </cell>
          <cell r="AH380">
            <v>1.2368423658476571</v>
          </cell>
          <cell r="AI380">
            <v>1.2239053066588388</v>
          </cell>
          <cell r="AJ380">
            <v>1.4265515411044341</v>
          </cell>
          <cell r="AK380">
            <v>1.1482393182881268</v>
          </cell>
          <cell r="AL380">
            <v>0.67075546580967471</v>
          </cell>
          <cell r="AM380">
            <v>0.65963254122703219</v>
          </cell>
          <cell r="AN380">
            <v>0.50197451862100773</v>
          </cell>
          <cell r="AO380">
            <v>0.35614174791640668</v>
          </cell>
          <cell r="AP380">
            <v>0.27312283401349119</v>
          </cell>
          <cell r="AQ380">
            <v>0.30300104510237214</v>
          </cell>
          <cell r="AR380">
            <v>0.33271063911457993</v>
          </cell>
          <cell r="AS380">
            <v>0.3041392656578028</v>
          </cell>
          <cell r="AT380">
            <v>0.22992796186023592</v>
          </cell>
          <cell r="AU380">
            <v>0.13793116751812393</v>
          </cell>
          <cell r="AV380">
            <v>6.8965716794427215E-2</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cell r="BM380">
            <v>0</v>
          </cell>
          <cell r="BN380">
            <v>0</v>
          </cell>
          <cell r="BO380">
            <v>0</v>
          </cell>
          <cell r="BP380">
            <v>0</v>
          </cell>
          <cell r="BQ380">
            <v>0</v>
          </cell>
          <cell r="BR380">
            <v>0</v>
          </cell>
          <cell r="BS380">
            <v>0</v>
          </cell>
          <cell r="BT380">
            <v>0</v>
          </cell>
          <cell r="BU380">
            <v>0</v>
          </cell>
          <cell r="BV380">
            <v>0</v>
          </cell>
          <cell r="BW380">
            <v>0</v>
          </cell>
          <cell r="BX380">
            <v>0</v>
          </cell>
          <cell r="BY380">
            <v>0</v>
          </cell>
          <cell r="BZ380">
            <v>0</v>
          </cell>
          <cell r="CA380">
            <v>0</v>
          </cell>
          <cell r="CB380">
            <v>0</v>
          </cell>
          <cell r="CC380">
            <v>0</v>
          </cell>
          <cell r="CD380">
            <v>0</v>
          </cell>
          <cell r="CE380">
            <v>0</v>
          </cell>
          <cell r="CF380">
            <v>0</v>
          </cell>
          <cell r="CG380">
            <v>0</v>
          </cell>
          <cell r="CH380">
            <v>0</v>
          </cell>
          <cell r="CI380">
            <v>0</v>
          </cell>
          <cell r="CJ380">
            <v>0</v>
          </cell>
          <cell r="CK380">
            <v>0</v>
          </cell>
          <cell r="CL380">
            <v>0</v>
          </cell>
          <cell r="CM380">
            <v>0</v>
          </cell>
          <cell r="CN380">
            <v>0</v>
          </cell>
          <cell r="CO380">
            <v>0</v>
          </cell>
          <cell r="CP380">
            <v>0</v>
          </cell>
          <cell r="CQ380">
            <v>0</v>
          </cell>
          <cell r="CR380">
            <v>0</v>
          </cell>
          <cell r="CS380">
            <v>0</v>
          </cell>
          <cell r="CT380">
            <v>0</v>
          </cell>
          <cell r="CU380">
            <v>0</v>
          </cell>
          <cell r="CV380">
            <v>0</v>
          </cell>
          <cell r="CW380">
            <v>0</v>
          </cell>
          <cell r="CX380">
            <v>0</v>
          </cell>
          <cell r="CY380">
            <v>0</v>
          </cell>
          <cell r="CZ380">
            <v>0</v>
          </cell>
          <cell r="DA380">
            <v>0</v>
          </cell>
          <cell r="DB380">
            <v>0</v>
          </cell>
          <cell r="DC380">
            <v>0</v>
          </cell>
        </row>
        <row r="381">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cell r="BM381">
            <v>0</v>
          </cell>
          <cell r="BN381">
            <v>0</v>
          </cell>
          <cell r="BO381">
            <v>0</v>
          </cell>
          <cell r="BP381">
            <v>0</v>
          </cell>
          <cell r="BQ381">
            <v>0</v>
          </cell>
          <cell r="BR381">
            <v>0</v>
          </cell>
          <cell r="BS381">
            <v>0</v>
          </cell>
          <cell r="BT381">
            <v>0</v>
          </cell>
          <cell r="BU381">
            <v>0</v>
          </cell>
          <cell r="BV381">
            <v>0</v>
          </cell>
          <cell r="BW381">
            <v>0</v>
          </cell>
          <cell r="BX381">
            <v>0</v>
          </cell>
          <cell r="BY381">
            <v>0</v>
          </cell>
          <cell r="BZ381">
            <v>0</v>
          </cell>
          <cell r="CA381">
            <v>0</v>
          </cell>
          <cell r="CB381">
            <v>0</v>
          </cell>
          <cell r="CC381">
            <v>0</v>
          </cell>
          <cell r="CD381">
            <v>0</v>
          </cell>
          <cell r="CE381">
            <v>0</v>
          </cell>
          <cell r="CF381">
            <v>0</v>
          </cell>
          <cell r="CG381">
            <v>0</v>
          </cell>
          <cell r="CH381">
            <v>0</v>
          </cell>
          <cell r="CI381">
            <v>0</v>
          </cell>
          <cell r="CJ381">
            <v>0</v>
          </cell>
          <cell r="CK381">
            <v>0</v>
          </cell>
          <cell r="CL381">
            <v>0</v>
          </cell>
          <cell r="CM381">
            <v>0</v>
          </cell>
          <cell r="CN381">
            <v>0</v>
          </cell>
          <cell r="CO381">
            <v>0</v>
          </cell>
          <cell r="CP381">
            <v>0</v>
          </cell>
          <cell r="CQ381">
            <v>0</v>
          </cell>
          <cell r="CR381">
            <v>0</v>
          </cell>
          <cell r="CS381">
            <v>0</v>
          </cell>
          <cell r="CT381">
            <v>0</v>
          </cell>
          <cell r="CU381">
            <v>0</v>
          </cell>
          <cell r="CV381">
            <v>0</v>
          </cell>
          <cell r="CW381">
            <v>0</v>
          </cell>
          <cell r="CX381">
            <v>0</v>
          </cell>
          <cell r="CY381">
            <v>0</v>
          </cell>
          <cell r="CZ381">
            <v>0</v>
          </cell>
          <cell r="DA381">
            <v>0</v>
          </cell>
          <cell r="DB381">
            <v>0</v>
          </cell>
          <cell r="DC381">
            <v>0</v>
          </cell>
        </row>
        <row r="382">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cell r="BM382">
            <v>0</v>
          </cell>
          <cell r="BN382">
            <v>0</v>
          </cell>
          <cell r="BO382">
            <v>0</v>
          </cell>
          <cell r="BP382">
            <v>0</v>
          </cell>
          <cell r="BQ382">
            <v>0</v>
          </cell>
          <cell r="BR382">
            <v>0</v>
          </cell>
          <cell r="BS382">
            <v>0</v>
          </cell>
          <cell r="BT382">
            <v>0</v>
          </cell>
          <cell r="BU382">
            <v>0</v>
          </cell>
          <cell r="BV382">
            <v>0</v>
          </cell>
          <cell r="BW382">
            <v>0</v>
          </cell>
          <cell r="BX382">
            <v>0</v>
          </cell>
          <cell r="BY382">
            <v>0</v>
          </cell>
          <cell r="BZ382">
            <v>0</v>
          </cell>
          <cell r="CA382">
            <v>0</v>
          </cell>
          <cell r="CB382">
            <v>0</v>
          </cell>
          <cell r="CC382">
            <v>0</v>
          </cell>
          <cell r="CD382">
            <v>0</v>
          </cell>
          <cell r="CE382">
            <v>0</v>
          </cell>
          <cell r="CF382">
            <v>0</v>
          </cell>
          <cell r="CG382">
            <v>0</v>
          </cell>
          <cell r="CH382">
            <v>0</v>
          </cell>
          <cell r="CI382">
            <v>0</v>
          </cell>
          <cell r="CJ382">
            <v>0</v>
          </cell>
          <cell r="CK382">
            <v>0</v>
          </cell>
          <cell r="CL382">
            <v>0</v>
          </cell>
          <cell r="CM382">
            <v>0</v>
          </cell>
          <cell r="CN382">
            <v>0</v>
          </cell>
          <cell r="CO382">
            <v>0</v>
          </cell>
          <cell r="CP382">
            <v>0</v>
          </cell>
          <cell r="CQ382">
            <v>0</v>
          </cell>
          <cell r="CR382">
            <v>0</v>
          </cell>
          <cell r="CS382">
            <v>0</v>
          </cell>
          <cell r="CT382">
            <v>0</v>
          </cell>
          <cell r="CU382">
            <v>0</v>
          </cell>
          <cell r="CV382">
            <v>0</v>
          </cell>
          <cell r="CW382">
            <v>0</v>
          </cell>
          <cell r="CX382">
            <v>0</v>
          </cell>
          <cell r="CY382">
            <v>0</v>
          </cell>
          <cell r="CZ382">
            <v>0</v>
          </cell>
          <cell r="DA382">
            <v>0</v>
          </cell>
          <cell r="DB382">
            <v>0</v>
          </cell>
          <cell r="DC382">
            <v>0</v>
          </cell>
        </row>
        <row r="383">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cell r="BM383">
            <v>0</v>
          </cell>
          <cell r="BN383">
            <v>0</v>
          </cell>
          <cell r="BO383">
            <v>0</v>
          </cell>
          <cell r="BP383">
            <v>0</v>
          </cell>
          <cell r="BQ383">
            <v>0</v>
          </cell>
          <cell r="BR383">
            <v>0</v>
          </cell>
          <cell r="BS383">
            <v>0</v>
          </cell>
          <cell r="BT383">
            <v>0</v>
          </cell>
          <cell r="BU383">
            <v>0</v>
          </cell>
          <cell r="BV383">
            <v>0</v>
          </cell>
          <cell r="BW383">
            <v>0</v>
          </cell>
          <cell r="BX383">
            <v>0</v>
          </cell>
          <cell r="BY383">
            <v>0</v>
          </cell>
          <cell r="BZ383">
            <v>0</v>
          </cell>
          <cell r="CA383">
            <v>0</v>
          </cell>
          <cell r="CB383">
            <v>0</v>
          </cell>
          <cell r="CC383">
            <v>0</v>
          </cell>
          <cell r="CD383">
            <v>0</v>
          </cell>
          <cell r="CE383">
            <v>0</v>
          </cell>
          <cell r="CF383">
            <v>0</v>
          </cell>
          <cell r="CG383">
            <v>0</v>
          </cell>
          <cell r="CH383">
            <v>0</v>
          </cell>
          <cell r="CI383">
            <v>0</v>
          </cell>
          <cell r="CJ383">
            <v>0</v>
          </cell>
          <cell r="CK383">
            <v>0</v>
          </cell>
          <cell r="CL383">
            <v>0</v>
          </cell>
          <cell r="CM383">
            <v>0</v>
          </cell>
          <cell r="CN383">
            <v>0</v>
          </cell>
          <cell r="CO383">
            <v>0</v>
          </cell>
          <cell r="CP383">
            <v>0</v>
          </cell>
          <cell r="CQ383">
            <v>0</v>
          </cell>
          <cell r="CR383">
            <v>0</v>
          </cell>
          <cell r="CS383">
            <v>0</v>
          </cell>
          <cell r="CT383">
            <v>0</v>
          </cell>
          <cell r="CU383">
            <v>0</v>
          </cell>
          <cell r="CV383">
            <v>0</v>
          </cell>
          <cell r="CW383">
            <v>0</v>
          </cell>
          <cell r="CX383">
            <v>0</v>
          </cell>
          <cell r="CY383">
            <v>0</v>
          </cell>
          <cell r="CZ383">
            <v>0</v>
          </cell>
          <cell r="DA383">
            <v>0</v>
          </cell>
          <cell r="DB383">
            <v>0</v>
          </cell>
          <cell r="DC383">
            <v>0</v>
          </cell>
        </row>
        <row r="384">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cell r="BM384">
            <v>0</v>
          </cell>
          <cell r="BN384">
            <v>0</v>
          </cell>
          <cell r="BO384">
            <v>0</v>
          </cell>
          <cell r="BP384">
            <v>0</v>
          </cell>
          <cell r="BQ384">
            <v>0</v>
          </cell>
          <cell r="BR384">
            <v>0</v>
          </cell>
          <cell r="BS384">
            <v>0</v>
          </cell>
          <cell r="BT384">
            <v>0</v>
          </cell>
          <cell r="BU384">
            <v>0</v>
          </cell>
          <cell r="BV384">
            <v>0</v>
          </cell>
          <cell r="BW384">
            <v>0</v>
          </cell>
          <cell r="BX384">
            <v>0</v>
          </cell>
          <cell r="BY384">
            <v>0</v>
          </cell>
          <cell r="BZ384">
            <v>0</v>
          </cell>
          <cell r="CA384">
            <v>0</v>
          </cell>
          <cell r="CB384">
            <v>0</v>
          </cell>
          <cell r="CC384">
            <v>0</v>
          </cell>
          <cell r="CD384">
            <v>0</v>
          </cell>
          <cell r="CE384">
            <v>0</v>
          </cell>
          <cell r="CF384">
            <v>0</v>
          </cell>
          <cell r="CG384">
            <v>0</v>
          </cell>
          <cell r="CH384">
            <v>0</v>
          </cell>
          <cell r="CI384">
            <v>0</v>
          </cell>
          <cell r="CJ384">
            <v>0</v>
          </cell>
          <cell r="CK384">
            <v>0</v>
          </cell>
          <cell r="CL384">
            <v>0</v>
          </cell>
          <cell r="CM384">
            <v>0</v>
          </cell>
          <cell r="CN384">
            <v>0</v>
          </cell>
          <cell r="CO384">
            <v>0</v>
          </cell>
          <cell r="CP384">
            <v>0</v>
          </cell>
          <cell r="CQ384">
            <v>0</v>
          </cell>
          <cell r="CR384">
            <v>0</v>
          </cell>
          <cell r="CS384">
            <v>0</v>
          </cell>
          <cell r="CT384">
            <v>0</v>
          </cell>
          <cell r="CU384">
            <v>0</v>
          </cell>
          <cell r="CV384">
            <v>0</v>
          </cell>
          <cell r="CW384">
            <v>0</v>
          </cell>
          <cell r="CX384">
            <v>0</v>
          </cell>
          <cell r="CY384">
            <v>0</v>
          </cell>
          <cell r="CZ384">
            <v>0</v>
          </cell>
          <cell r="DA384">
            <v>0</v>
          </cell>
          <cell r="DB384">
            <v>0</v>
          </cell>
          <cell r="DC384">
            <v>0</v>
          </cell>
        </row>
        <row r="385">
          <cell r="AB385"/>
          <cell r="AC385"/>
          <cell r="AD385"/>
          <cell r="AE385"/>
          <cell r="AF385"/>
          <cell r="AG385"/>
          <cell r="AH385"/>
          <cell r="AI385"/>
          <cell r="AJ385">
            <v>36860.999988425923</v>
          </cell>
          <cell r="AK385"/>
          <cell r="AL385"/>
          <cell r="AM385"/>
          <cell r="AN385"/>
          <cell r="AO385"/>
          <cell r="AP385"/>
          <cell r="AQ385"/>
          <cell r="AR385"/>
          <cell r="AS385"/>
          <cell r="AT385"/>
          <cell r="AU385"/>
          <cell r="AV385"/>
          <cell r="AW385"/>
          <cell r="AX385"/>
          <cell r="AY385"/>
          <cell r="AZ385"/>
          <cell r="BA385"/>
          <cell r="BB385"/>
          <cell r="BC385"/>
          <cell r="BD385"/>
          <cell r="BE385"/>
          <cell r="BF385"/>
          <cell r="BG385"/>
          <cell r="BH385"/>
          <cell r="BI385"/>
          <cell r="BJ385"/>
          <cell r="BK385"/>
          <cell r="BL385"/>
          <cell r="BM385"/>
          <cell r="BN385"/>
          <cell r="BO385"/>
          <cell r="BP385"/>
          <cell r="BQ385"/>
          <cell r="BR385"/>
          <cell r="BS385"/>
          <cell r="BT385"/>
          <cell r="BU385"/>
          <cell r="BV385"/>
          <cell r="BW385"/>
          <cell r="BX385"/>
          <cell r="BY385"/>
          <cell r="BZ385"/>
          <cell r="CA385"/>
          <cell r="CB385"/>
          <cell r="CC385"/>
          <cell r="CD385"/>
          <cell r="CE385"/>
          <cell r="CF385"/>
          <cell r="CG385"/>
          <cell r="CH385"/>
          <cell r="CI385"/>
          <cell r="CJ385"/>
          <cell r="CK385"/>
          <cell r="CL385"/>
          <cell r="CM385"/>
          <cell r="CN385"/>
          <cell r="CO385"/>
          <cell r="CP385"/>
          <cell r="CQ385"/>
          <cell r="CR385"/>
          <cell r="CS385"/>
          <cell r="CT385"/>
          <cell r="CU385"/>
          <cell r="CV385"/>
          <cell r="CW385"/>
          <cell r="CX385"/>
          <cell r="CY385"/>
          <cell r="CZ385"/>
          <cell r="DA385"/>
          <cell r="DB385"/>
          <cell r="DC385"/>
        </row>
        <row r="400">
          <cell r="U400">
            <v>36800</v>
          </cell>
        </row>
        <row r="401">
          <cell r="U401">
            <v>36801</v>
          </cell>
        </row>
        <row r="402">
          <cell r="U402">
            <v>36802</v>
          </cell>
        </row>
        <row r="403">
          <cell r="U403">
            <v>36803</v>
          </cell>
        </row>
        <row r="404">
          <cell r="U404">
            <v>36804</v>
          </cell>
        </row>
        <row r="405">
          <cell r="U405"/>
        </row>
        <row r="406">
          <cell r="U406">
            <v>36806</v>
          </cell>
        </row>
        <row r="407">
          <cell r="U407">
            <v>36807</v>
          </cell>
        </row>
        <row r="408">
          <cell r="U408">
            <v>36808</v>
          </cell>
        </row>
        <row r="409">
          <cell r="U409">
            <v>36809</v>
          </cell>
        </row>
        <row r="410">
          <cell r="U410">
            <v>36810</v>
          </cell>
        </row>
        <row r="411">
          <cell r="U411">
            <v>36811</v>
          </cell>
        </row>
        <row r="412">
          <cell r="U412"/>
        </row>
        <row r="413">
          <cell r="U413">
            <v>36813</v>
          </cell>
        </row>
        <row r="414">
          <cell r="U414">
            <v>36814</v>
          </cell>
        </row>
        <row r="415">
          <cell r="U415">
            <v>36815</v>
          </cell>
        </row>
        <row r="416">
          <cell r="U416">
            <v>36816</v>
          </cell>
        </row>
        <row r="417">
          <cell r="U417">
            <v>36817</v>
          </cell>
        </row>
        <row r="418">
          <cell r="U418">
            <v>36818</v>
          </cell>
        </row>
        <row r="419">
          <cell r="U419"/>
        </row>
        <row r="420">
          <cell r="U420">
            <v>36820</v>
          </cell>
        </row>
        <row r="421">
          <cell r="U421">
            <v>36821</v>
          </cell>
        </row>
        <row r="422">
          <cell r="U422">
            <v>36822</v>
          </cell>
        </row>
        <row r="423">
          <cell r="U423">
            <v>36823</v>
          </cell>
        </row>
        <row r="424">
          <cell r="U424">
            <v>36824</v>
          </cell>
        </row>
        <row r="425">
          <cell r="U425">
            <v>36825</v>
          </cell>
        </row>
        <row r="426">
          <cell r="U426"/>
        </row>
        <row r="427">
          <cell r="U427">
            <v>36827</v>
          </cell>
        </row>
        <row r="428">
          <cell r="U428">
            <v>36828</v>
          </cell>
        </row>
        <row r="429">
          <cell r="U429">
            <v>36829</v>
          </cell>
        </row>
        <row r="430">
          <cell r="U430">
            <v>36830</v>
          </cell>
        </row>
        <row r="431">
          <cell r="U431">
            <v>36831</v>
          </cell>
        </row>
        <row r="432">
          <cell r="U432">
            <v>36832</v>
          </cell>
        </row>
        <row r="433">
          <cell r="U433"/>
        </row>
        <row r="434">
          <cell r="U434">
            <v>36834</v>
          </cell>
        </row>
        <row r="435">
          <cell r="U435">
            <v>36835</v>
          </cell>
        </row>
        <row r="436">
          <cell r="U436">
            <v>36836</v>
          </cell>
        </row>
        <row r="437">
          <cell r="U437">
            <v>36837</v>
          </cell>
        </row>
        <row r="438">
          <cell r="U438">
            <v>36838</v>
          </cell>
        </row>
        <row r="439">
          <cell r="U439">
            <v>36839</v>
          </cell>
        </row>
        <row r="440">
          <cell r="U440"/>
        </row>
        <row r="441">
          <cell r="U441">
            <v>36841</v>
          </cell>
        </row>
        <row r="442">
          <cell r="U442">
            <v>36842</v>
          </cell>
        </row>
        <row r="443">
          <cell r="U443">
            <v>36843</v>
          </cell>
        </row>
        <row r="444">
          <cell r="U444">
            <v>36844</v>
          </cell>
        </row>
        <row r="445">
          <cell r="U445">
            <v>36845</v>
          </cell>
        </row>
        <row r="446">
          <cell r="U446">
            <v>36846</v>
          </cell>
        </row>
        <row r="447">
          <cell r="U447"/>
        </row>
        <row r="448">
          <cell r="U448">
            <v>36848</v>
          </cell>
        </row>
        <row r="449">
          <cell r="U449">
            <v>36849</v>
          </cell>
        </row>
        <row r="450">
          <cell r="U450">
            <v>36850</v>
          </cell>
        </row>
        <row r="451">
          <cell r="U451">
            <v>36851</v>
          </cell>
        </row>
        <row r="452">
          <cell r="U452">
            <v>36852</v>
          </cell>
        </row>
        <row r="453">
          <cell r="U453">
            <v>36853</v>
          </cell>
        </row>
        <row r="454">
          <cell r="U454"/>
        </row>
        <row r="455">
          <cell r="U455">
            <v>36855</v>
          </cell>
        </row>
        <row r="456">
          <cell r="U456">
            <v>36856</v>
          </cell>
        </row>
        <row r="457">
          <cell r="U457">
            <v>36857</v>
          </cell>
        </row>
        <row r="458">
          <cell r="U458">
            <v>36858</v>
          </cell>
        </row>
        <row r="459">
          <cell r="U459">
            <v>36859</v>
          </cell>
        </row>
        <row r="460">
          <cell r="U460">
            <v>36860</v>
          </cell>
        </row>
        <row r="461">
          <cell r="U461"/>
        </row>
        <row r="462">
          <cell r="U462">
            <v>36862</v>
          </cell>
        </row>
        <row r="463">
          <cell r="U463">
            <v>36863</v>
          </cell>
        </row>
        <row r="464">
          <cell r="U464">
            <v>36864</v>
          </cell>
        </row>
        <row r="465">
          <cell r="U465">
            <v>36865</v>
          </cell>
        </row>
        <row r="466">
          <cell r="U466">
            <v>36866</v>
          </cell>
        </row>
        <row r="467">
          <cell r="U467">
            <v>36867</v>
          </cell>
        </row>
        <row r="468">
          <cell r="U468"/>
        </row>
        <row r="469">
          <cell r="U469">
            <v>36869</v>
          </cell>
        </row>
        <row r="470">
          <cell r="U470">
            <v>36870</v>
          </cell>
        </row>
        <row r="471">
          <cell r="U471">
            <v>36871</v>
          </cell>
        </row>
        <row r="472">
          <cell r="U472">
            <v>36872</v>
          </cell>
        </row>
        <row r="473">
          <cell r="U473">
            <v>36873</v>
          </cell>
        </row>
        <row r="474">
          <cell r="U474">
            <v>36874</v>
          </cell>
        </row>
        <row r="475">
          <cell r="U475"/>
        </row>
        <row r="476">
          <cell r="U476">
            <v>36876</v>
          </cell>
        </row>
        <row r="477">
          <cell r="U477">
            <v>36877</v>
          </cell>
        </row>
        <row r="478">
          <cell r="U478">
            <v>36878</v>
          </cell>
        </row>
        <row r="479">
          <cell r="U479">
            <v>36879</v>
          </cell>
        </row>
        <row r="480">
          <cell r="U480">
            <v>36880</v>
          </cell>
        </row>
        <row r="481">
          <cell r="U481">
            <v>36881</v>
          </cell>
        </row>
        <row r="482">
          <cell r="U482"/>
        </row>
        <row r="483">
          <cell r="U483">
            <v>36883</v>
          </cell>
        </row>
        <row r="484">
          <cell r="U484">
            <v>36884</v>
          </cell>
        </row>
        <row r="485">
          <cell r="U485">
            <v>36885</v>
          </cell>
        </row>
        <row r="486">
          <cell r="U486">
            <v>36886</v>
          </cell>
        </row>
        <row r="487">
          <cell r="U487">
            <v>36887</v>
          </cell>
        </row>
        <row r="488">
          <cell r="U488">
            <v>36888</v>
          </cell>
        </row>
        <row r="489">
          <cell r="U489"/>
        </row>
        <row r="490">
          <cell r="U490">
            <v>36890</v>
          </cell>
        </row>
        <row r="491">
          <cell r="U491">
            <v>36891</v>
          </cell>
        </row>
        <row r="492">
          <cell r="U492">
            <v>36892</v>
          </cell>
        </row>
        <row r="493">
          <cell r="U493">
            <v>36893</v>
          </cell>
        </row>
        <row r="494">
          <cell r="U494">
            <v>36894</v>
          </cell>
        </row>
        <row r="495">
          <cell r="U495">
            <v>36895</v>
          </cell>
        </row>
        <row r="496">
          <cell r="U496"/>
        </row>
        <row r="497">
          <cell r="U497">
            <v>36897</v>
          </cell>
        </row>
        <row r="498">
          <cell r="U498">
            <v>36898</v>
          </cell>
        </row>
        <row r="499">
          <cell r="U499">
            <v>36899</v>
          </cell>
        </row>
        <row r="500">
          <cell r="U500">
            <v>36900</v>
          </cell>
        </row>
        <row r="501">
          <cell r="U501">
            <v>36901</v>
          </cell>
        </row>
        <row r="502">
          <cell r="U502">
            <v>36902</v>
          </cell>
        </row>
        <row r="503">
          <cell r="U503"/>
        </row>
        <row r="504">
          <cell r="U504">
            <v>36904</v>
          </cell>
        </row>
        <row r="505">
          <cell r="U505">
            <v>36905</v>
          </cell>
        </row>
        <row r="506">
          <cell r="U506">
            <v>36906</v>
          </cell>
        </row>
        <row r="507">
          <cell r="U507">
            <v>36907</v>
          </cell>
        </row>
        <row r="508">
          <cell r="U508">
            <v>36908</v>
          </cell>
        </row>
        <row r="509">
          <cell r="U509">
            <v>36909</v>
          </cell>
        </row>
        <row r="510">
          <cell r="U510"/>
        </row>
        <row r="511">
          <cell r="U511">
            <v>36911</v>
          </cell>
        </row>
        <row r="512">
          <cell r="U512">
            <v>36912</v>
          </cell>
        </row>
        <row r="513">
          <cell r="U513">
            <v>36913</v>
          </cell>
        </row>
        <row r="514">
          <cell r="U514">
            <v>36914</v>
          </cell>
        </row>
        <row r="515">
          <cell r="U515">
            <v>36915</v>
          </cell>
        </row>
        <row r="516">
          <cell r="U516">
            <v>36916</v>
          </cell>
        </row>
        <row r="517">
          <cell r="U517"/>
        </row>
        <row r="518">
          <cell r="U518">
            <v>36918</v>
          </cell>
        </row>
        <row r="519">
          <cell r="U519">
            <v>36919</v>
          </cell>
        </row>
        <row r="520">
          <cell r="U520">
            <v>36920</v>
          </cell>
        </row>
        <row r="521">
          <cell r="U521">
            <v>36921</v>
          </cell>
        </row>
        <row r="522">
          <cell r="U522">
            <v>36922</v>
          </cell>
        </row>
        <row r="523">
          <cell r="U523">
            <v>36923</v>
          </cell>
        </row>
        <row r="524">
          <cell r="U524"/>
        </row>
        <row r="525">
          <cell r="U525">
            <v>36925</v>
          </cell>
        </row>
        <row r="526">
          <cell r="U526">
            <v>36926</v>
          </cell>
        </row>
        <row r="527">
          <cell r="U527">
            <v>36927</v>
          </cell>
        </row>
        <row r="528">
          <cell r="U528">
            <v>36928</v>
          </cell>
        </row>
        <row r="529">
          <cell r="U529">
            <v>36929</v>
          </cell>
        </row>
        <row r="530">
          <cell r="U530">
            <v>36930</v>
          </cell>
        </row>
        <row r="531">
          <cell r="U531"/>
        </row>
        <row r="532">
          <cell r="U532">
            <v>36932</v>
          </cell>
        </row>
        <row r="533">
          <cell r="U533">
            <v>36933</v>
          </cell>
        </row>
        <row r="534">
          <cell r="U534">
            <v>36934</v>
          </cell>
        </row>
        <row r="535">
          <cell r="U535">
            <v>36935</v>
          </cell>
        </row>
        <row r="536">
          <cell r="U536">
            <v>36936</v>
          </cell>
        </row>
        <row r="537">
          <cell r="U537">
            <v>36937</v>
          </cell>
        </row>
        <row r="538">
          <cell r="U538"/>
        </row>
        <row r="539">
          <cell r="U539">
            <v>36939</v>
          </cell>
        </row>
        <row r="540">
          <cell r="U540">
            <v>36940</v>
          </cell>
        </row>
        <row r="541">
          <cell r="U541">
            <v>36941</v>
          </cell>
        </row>
        <row r="542">
          <cell r="U542">
            <v>36942</v>
          </cell>
        </row>
        <row r="543">
          <cell r="U543">
            <v>36943</v>
          </cell>
        </row>
        <row r="544">
          <cell r="U544">
            <v>36944</v>
          </cell>
        </row>
        <row r="545">
          <cell r="U545"/>
        </row>
        <row r="546">
          <cell r="U546">
            <v>36946</v>
          </cell>
        </row>
        <row r="547">
          <cell r="U547">
            <v>36947</v>
          </cell>
        </row>
        <row r="548">
          <cell r="U548">
            <v>36948</v>
          </cell>
        </row>
        <row r="549">
          <cell r="U549">
            <v>36949</v>
          </cell>
        </row>
        <row r="550">
          <cell r="U550">
            <v>36950</v>
          </cell>
        </row>
        <row r="551">
          <cell r="U551"/>
        </row>
        <row r="552">
          <cell r="U552"/>
        </row>
        <row r="553">
          <cell r="U553"/>
        </row>
        <row r="554">
          <cell r="U554"/>
        </row>
        <row r="555">
          <cell r="U555"/>
        </row>
        <row r="556">
          <cell r="U556"/>
        </row>
        <row r="557">
          <cell r="U557"/>
        </row>
        <row r="558">
          <cell r="U558"/>
        </row>
        <row r="559">
          <cell r="U559"/>
        </row>
        <row r="560">
          <cell r="U560"/>
        </row>
        <row r="561">
          <cell r="U561"/>
        </row>
        <row r="562">
          <cell r="U562"/>
        </row>
        <row r="563">
          <cell r="U563"/>
        </row>
        <row r="564">
          <cell r="U564"/>
        </row>
        <row r="565">
          <cell r="U565"/>
        </row>
        <row r="566">
          <cell r="U566"/>
        </row>
        <row r="567">
          <cell r="U567"/>
        </row>
        <row r="568">
          <cell r="U568"/>
        </row>
        <row r="569">
          <cell r="U569"/>
        </row>
        <row r="570">
          <cell r="U570"/>
        </row>
        <row r="571">
          <cell r="U571"/>
        </row>
        <row r="572">
          <cell r="U572"/>
        </row>
        <row r="573">
          <cell r="U573"/>
        </row>
        <row r="574">
          <cell r="U574"/>
        </row>
        <row r="575">
          <cell r="U575"/>
        </row>
        <row r="576">
          <cell r="U576"/>
        </row>
        <row r="577">
          <cell r="U577"/>
        </row>
        <row r="578">
          <cell r="U578"/>
        </row>
        <row r="579">
          <cell r="U579"/>
        </row>
        <row r="580">
          <cell r="U580"/>
        </row>
        <row r="581">
          <cell r="U581"/>
        </row>
        <row r="582">
          <cell r="U582"/>
        </row>
        <row r="583">
          <cell r="U583"/>
        </row>
        <row r="584">
          <cell r="U584"/>
        </row>
        <row r="585">
          <cell r="U585"/>
        </row>
        <row r="586">
          <cell r="U586"/>
        </row>
        <row r="587">
          <cell r="U587"/>
        </row>
        <row r="588">
          <cell r="U588"/>
        </row>
        <row r="589">
          <cell r="U589"/>
        </row>
        <row r="590">
          <cell r="U590"/>
        </row>
        <row r="591">
          <cell r="U591"/>
        </row>
        <row r="592">
          <cell r="U592"/>
        </row>
        <row r="593">
          <cell r="U593"/>
        </row>
        <row r="594">
          <cell r="U594"/>
        </row>
        <row r="595">
          <cell r="U595"/>
        </row>
        <row r="596">
          <cell r="U596"/>
        </row>
        <row r="597">
          <cell r="U597"/>
        </row>
        <row r="598">
          <cell r="U598"/>
        </row>
        <row r="599">
          <cell r="U599"/>
        </row>
        <row r="600">
          <cell r="U600"/>
        </row>
        <row r="601">
          <cell r="U601"/>
        </row>
        <row r="602">
          <cell r="U602"/>
        </row>
        <row r="603">
          <cell r="U603"/>
        </row>
        <row r="604">
          <cell r="U604"/>
        </row>
        <row r="605">
          <cell r="U605"/>
        </row>
        <row r="606">
          <cell r="U606"/>
        </row>
        <row r="607">
          <cell r="U607"/>
        </row>
        <row r="608">
          <cell r="U608"/>
        </row>
        <row r="609">
          <cell r="U609"/>
        </row>
        <row r="610">
          <cell r="U610"/>
        </row>
        <row r="611">
          <cell r="U611"/>
        </row>
        <row r="612">
          <cell r="U612"/>
        </row>
        <row r="613">
          <cell r="U613"/>
        </row>
        <row r="614">
          <cell r="U614"/>
        </row>
        <row r="615">
          <cell r="U615"/>
        </row>
        <row r="616">
          <cell r="U616"/>
        </row>
        <row r="617">
          <cell r="U617"/>
        </row>
        <row r="618">
          <cell r="U618"/>
        </row>
        <row r="619">
          <cell r="U619"/>
        </row>
        <row r="620">
          <cell r="U620"/>
        </row>
        <row r="621">
          <cell r="U621"/>
        </row>
        <row r="622">
          <cell r="U622"/>
        </row>
        <row r="623">
          <cell r="U623"/>
        </row>
        <row r="624">
          <cell r="U624"/>
        </row>
        <row r="625">
          <cell r="U625"/>
        </row>
        <row r="626">
          <cell r="U626"/>
        </row>
        <row r="627">
          <cell r="U627"/>
        </row>
        <row r="628">
          <cell r="U628"/>
        </row>
        <row r="629">
          <cell r="U629"/>
        </row>
        <row r="630">
          <cell r="U630"/>
        </row>
        <row r="631">
          <cell r="U631"/>
        </row>
        <row r="632">
          <cell r="U632"/>
        </row>
        <row r="633">
          <cell r="U633"/>
        </row>
        <row r="634">
          <cell r="U634"/>
        </row>
        <row r="635">
          <cell r="U635"/>
        </row>
        <row r="636">
          <cell r="U636"/>
        </row>
        <row r="637">
          <cell r="U637"/>
        </row>
        <row r="638">
          <cell r="U638"/>
        </row>
        <row r="639">
          <cell r="U639"/>
        </row>
        <row r="640">
          <cell r="U640"/>
        </row>
        <row r="641">
          <cell r="U641"/>
        </row>
        <row r="642">
          <cell r="U642"/>
        </row>
        <row r="643">
          <cell r="U643"/>
        </row>
        <row r="644">
          <cell r="U644"/>
        </row>
        <row r="645">
          <cell r="U645"/>
        </row>
        <row r="646">
          <cell r="U646"/>
        </row>
        <row r="647">
          <cell r="U647"/>
        </row>
        <row r="648">
          <cell r="U648"/>
        </row>
        <row r="649">
          <cell r="U649"/>
        </row>
        <row r="650">
          <cell r="U650"/>
        </row>
        <row r="651">
          <cell r="U651"/>
        </row>
        <row r="652">
          <cell r="U652"/>
        </row>
        <row r="653">
          <cell r="U653"/>
        </row>
        <row r="654">
          <cell r="U654"/>
        </row>
        <row r="655">
          <cell r="U655"/>
        </row>
        <row r="656">
          <cell r="U656"/>
        </row>
        <row r="657">
          <cell r="U657"/>
        </row>
        <row r="658">
          <cell r="U658"/>
        </row>
        <row r="659">
          <cell r="U659"/>
        </row>
        <row r="660">
          <cell r="U660"/>
        </row>
        <row r="661">
          <cell r="U661"/>
        </row>
        <row r="662">
          <cell r="U662"/>
        </row>
        <row r="663">
          <cell r="U663"/>
        </row>
        <row r="664">
          <cell r="U664"/>
        </row>
        <row r="665">
          <cell r="U665"/>
        </row>
        <row r="666">
          <cell r="U666"/>
        </row>
        <row r="667">
          <cell r="U667"/>
        </row>
        <row r="668">
          <cell r="U668"/>
        </row>
        <row r="669">
          <cell r="U669"/>
        </row>
        <row r="670">
          <cell r="U670"/>
        </row>
        <row r="671">
          <cell r="U671"/>
        </row>
        <row r="672">
          <cell r="U672"/>
        </row>
        <row r="673">
          <cell r="U673"/>
        </row>
        <row r="674">
          <cell r="U674"/>
        </row>
        <row r="675">
          <cell r="U675"/>
        </row>
        <row r="676">
          <cell r="U676"/>
        </row>
        <row r="677">
          <cell r="U677"/>
        </row>
        <row r="678">
          <cell r="U678"/>
        </row>
        <row r="679">
          <cell r="U679"/>
        </row>
        <row r="680">
          <cell r="U680"/>
        </row>
        <row r="681">
          <cell r="U681"/>
        </row>
        <row r="682">
          <cell r="U682"/>
        </row>
        <row r="683">
          <cell r="U683"/>
        </row>
        <row r="684">
          <cell r="U684"/>
        </row>
        <row r="685">
          <cell r="U685"/>
        </row>
        <row r="686">
          <cell r="U686"/>
        </row>
        <row r="687">
          <cell r="U687"/>
        </row>
        <row r="688">
          <cell r="U688"/>
        </row>
        <row r="689">
          <cell r="U689"/>
        </row>
        <row r="690">
          <cell r="U690"/>
        </row>
        <row r="691">
          <cell r="U691"/>
        </row>
        <row r="692">
          <cell r="U692"/>
        </row>
        <row r="693">
          <cell r="U693"/>
        </row>
        <row r="694">
          <cell r="U694"/>
        </row>
        <row r="695">
          <cell r="U695"/>
        </row>
        <row r="696">
          <cell r="U696"/>
        </row>
        <row r="697">
          <cell r="U697"/>
        </row>
        <row r="698">
          <cell r="U698"/>
        </row>
        <row r="699">
          <cell r="U699"/>
        </row>
        <row r="700">
          <cell r="U700"/>
        </row>
        <row r="701">
          <cell r="U701"/>
        </row>
        <row r="702">
          <cell r="U702"/>
        </row>
        <row r="703">
          <cell r="U703"/>
        </row>
        <row r="704">
          <cell r="U704"/>
        </row>
        <row r="705">
          <cell r="U705"/>
        </row>
        <row r="706">
          <cell r="U706"/>
        </row>
        <row r="707">
          <cell r="U707"/>
        </row>
        <row r="708">
          <cell r="U708"/>
        </row>
        <row r="709">
          <cell r="U709"/>
        </row>
        <row r="710">
          <cell r="U710"/>
        </row>
        <row r="711">
          <cell r="U711"/>
        </row>
        <row r="712">
          <cell r="U712"/>
        </row>
        <row r="713">
          <cell r="U713"/>
        </row>
        <row r="714">
          <cell r="U714"/>
        </row>
        <row r="715">
          <cell r="U715"/>
        </row>
        <row r="716">
          <cell r="U716"/>
        </row>
        <row r="717">
          <cell r="U717"/>
        </row>
        <row r="718">
          <cell r="U718"/>
        </row>
        <row r="719">
          <cell r="U719"/>
        </row>
        <row r="720">
          <cell r="U720"/>
        </row>
        <row r="721">
          <cell r="U721"/>
        </row>
        <row r="722">
          <cell r="U722"/>
        </row>
        <row r="723">
          <cell r="U723"/>
        </row>
        <row r="724">
          <cell r="U724"/>
        </row>
        <row r="725">
          <cell r="U725"/>
        </row>
        <row r="726">
          <cell r="U726"/>
        </row>
        <row r="727">
          <cell r="U727"/>
        </row>
        <row r="728">
          <cell r="U728"/>
        </row>
        <row r="729">
          <cell r="U729"/>
        </row>
        <row r="730">
          <cell r="U730"/>
        </row>
        <row r="731">
          <cell r="U731"/>
        </row>
        <row r="732">
          <cell r="U732"/>
        </row>
        <row r="733">
          <cell r="U733"/>
        </row>
        <row r="734">
          <cell r="U734"/>
        </row>
        <row r="735">
          <cell r="U735"/>
        </row>
        <row r="736">
          <cell r="U736"/>
        </row>
        <row r="737">
          <cell r="U737"/>
        </row>
        <row r="738">
          <cell r="U738"/>
        </row>
        <row r="739">
          <cell r="U739"/>
        </row>
        <row r="740">
          <cell r="U740"/>
        </row>
        <row r="741">
          <cell r="U741"/>
        </row>
        <row r="742">
          <cell r="U742"/>
        </row>
        <row r="743">
          <cell r="U743"/>
        </row>
        <row r="744">
          <cell r="U744"/>
        </row>
        <row r="745">
          <cell r="U745"/>
        </row>
        <row r="746">
          <cell r="U746"/>
        </row>
        <row r="747">
          <cell r="U747"/>
        </row>
        <row r="748">
          <cell r="U748"/>
        </row>
        <row r="749">
          <cell r="U749"/>
        </row>
        <row r="750">
          <cell r="U750"/>
        </row>
        <row r="751">
          <cell r="U751"/>
        </row>
        <row r="752">
          <cell r="U752"/>
        </row>
        <row r="753">
          <cell r="U753"/>
        </row>
        <row r="754">
          <cell r="U754"/>
        </row>
        <row r="755">
          <cell r="U755"/>
        </row>
        <row r="756">
          <cell r="U756"/>
        </row>
        <row r="757">
          <cell r="U757"/>
        </row>
        <row r="758">
          <cell r="U758"/>
        </row>
        <row r="759">
          <cell r="U759"/>
        </row>
        <row r="760">
          <cell r="U760"/>
        </row>
        <row r="761">
          <cell r="U761"/>
        </row>
        <row r="762">
          <cell r="U762"/>
        </row>
        <row r="763">
          <cell r="U763"/>
        </row>
        <row r="764">
          <cell r="U764"/>
        </row>
        <row r="765">
          <cell r="U765"/>
        </row>
        <row r="766">
          <cell r="U766"/>
        </row>
        <row r="767">
          <cell r="U767"/>
        </row>
        <row r="768">
          <cell r="U768"/>
        </row>
        <row r="769">
          <cell r="U769"/>
        </row>
        <row r="770">
          <cell r="U770"/>
        </row>
        <row r="771">
          <cell r="U771"/>
        </row>
        <row r="772">
          <cell r="U772"/>
        </row>
        <row r="773">
          <cell r="U773"/>
        </row>
        <row r="774">
          <cell r="U774"/>
        </row>
        <row r="775">
          <cell r="U775"/>
        </row>
        <row r="776">
          <cell r="U776"/>
        </row>
        <row r="777">
          <cell r="U777"/>
        </row>
        <row r="778">
          <cell r="U778"/>
        </row>
        <row r="779">
          <cell r="U779"/>
        </row>
        <row r="780">
          <cell r="U780"/>
        </row>
        <row r="781">
          <cell r="U781"/>
        </row>
        <row r="782">
          <cell r="U782"/>
        </row>
        <row r="783">
          <cell r="U783"/>
        </row>
        <row r="784">
          <cell r="U784"/>
        </row>
        <row r="785">
          <cell r="U785"/>
        </row>
        <row r="786">
          <cell r="U786"/>
        </row>
        <row r="787">
          <cell r="U787"/>
        </row>
        <row r="788">
          <cell r="U788"/>
        </row>
        <row r="789">
          <cell r="U789"/>
        </row>
        <row r="790">
          <cell r="U790"/>
        </row>
        <row r="791">
          <cell r="U791"/>
        </row>
        <row r="792">
          <cell r="U792"/>
        </row>
        <row r="793">
          <cell r="U793"/>
        </row>
        <row r="794">
          <cell r="U794"/>
        </row>
        <row r="795">
          <cell r="U795"/>
        </row>
        <row r="796">
          <cell r="U796"/>
        </row>
        <row r="797">
          <cell r="U797"/>
        </row>
        <row r="798">
          <cell r="U798"/>
        </row>
        <row r="799">
          <cell r="U799"/>
        </row>
        <row r="800">
          <cell r="U800"/>
        </row>
        <row r="801">
          <cell r="U801"/>
        </row>
        <row r="802">
          <cell r="U802"/>
        </row>
        <row r="803">
          <cell r="U803"/>
        </row>
        <row r="804">
          <cell r="U804"/>
        </row>
        <row r="805">
          <cell r="U805"/>
        </row>
        <row r="806">
          <cell r="U806"/>
        </row>
        <row r="807">
          <cell r="U807"/>
        </row>
        <row r="808">
          <cell r="U808"/>
        </row>
        <row r="809">
          <cell r="U809"/>
        </row>
        <row r="810">
          <cell r="U810"/>
        </row>
        <row r="811">
          <cell r="U811"/>
        </row>
        <row r="812">
          <cell r="U812"/>
        </row>
        <row r="813">
          <cell r="U813"/>
        </row>
        <row r="814">
          <cell r="U814"/>
        </row>
        <row r="815">
          <cell r="U815"/>
        </row>
        <row r="816">
          <cell r="U816"/>
        </row>
        <row r="817">
          <cell r="U817"/>
        </row>
        <row r="818">
          <cell r="U818"/>
        </row>
        <row r="819">
          <cell r="U819"/>
        </row>
        <row r="820">
          <cell r="U820"/>
        </row>
        <row r="821">
          <cell r="U821"/>
        </row>
        <row r="822">
          <cell r="U822"/>
        </row>
        <row r="823">
          <cell r="U823"/>
        </row>
        <row r="824">
          <cell r="U824"/>
        </row>
        <row r="825">
          <cell r="U825"/>
        </row>
        <row r="826">
          <cell r="U826"/>
        </row>
        <row r="827">
          <cell r="U827"/>
        </row>
        <row r="828">
          <cell r="U828"/>
        </row>
        <row r="829">
          <cell r="U829"/>
        </row>
        <row r="830">
          <cell r="U830"/>
        </row>
        <row r="831">
          <cell r="U831"/>
        </row>
        <row r="832">
          <cell r="U832"/>
        </row>
        <row r="833">
          <cell r="U833"/>
        </row>
        <row r="834">
          <cell r="U834"/>
        </row>
        <row r="835">
          <cell r="U835"/>
        </row>
        <row r="836">
          <cell r="U836"/>
        </row>
        <row r="837">
          <cell r="U837"/>
        </row>
        <row r="838">
          <cell r="U838"/>
        </row>
        <row r="839">
          <cell r="U839"/>
        </row>
        <row r="840">
          <cell r="U840"/>
        </row>
        <row r="841">
          <cell r="U841"/>
        </row>
        <row r="842">
          <cell r="U842"/>
        </row>
        <row r="843">
          <cell r="U843"/>
        </row>
        <row r="844">
          <cell r="U844"/>
        </row>
        <row r="845">
          <cell r="U845"/>
        </row>
        <row r="846">
          <cell r="U846"/>
        </row>
        <row r="847">
          <cell r="U847"/>
        </row>
        <row r="848">
          <cell r="U848"/>
        </row>
        <row r="849">
          <cell r="U849"/>
        </row>
        <row r="850">
          <cell r="U850"/>
        </row>
        <row r="851">
          <cell r="U851"/>
        </row>
        <row r="852">
          <cell r="U852"/>
        </row>
        <row r="853">
          <cell r="U853"/>
        </row>
        <row r="854">
          <cell r="U854"/>
        </row>
        <row r="855">
          <cell r="U855"/>
        </row>
        <row r="856">
          <cell r="U856"/>
        </row>
        <row r="857">
          <cell r="U857"/>
        </row>
        <row r="858">
          <cell r="U858"/>
        </row>
        <row r="859">
          <cell r="U859"/>
        </row>
        <row r="860">
          <cell r="U860"/>
        </row>
        <row r="861">
          <cell r="U861"/>
        </row>
        <row r="862">
          <cell r="U862"/>
        </row>
        <row r="863">
          <cell r="U863"/>
        </row>
        <row r="864">
          <cell r="U864"/>
        </row>
        <row r="865">
          <cell r="U865"/>
        </row>
        <row r="866">
          <cell r="U866"/>
        </row>
        <row r="867">
          <cell r="U867"/>
        </row>
        <row r="868">
          <cell r="U868"/>
        </row>
        <row r="869">
          <cell r="U869"/>
        </row>
        <row r="870">
          <cell r="U870"/>
        </row>
        <row r="871">
          <cell r="U871"/>
        </row>
        <row r="872">
          <cell r="U872"/>
        </row>
        <row r="873">
          <cell r="U873"/>
        </row>
        <row r="874">
          <cell r="U874"/>
        </row>
        <row r="875">
          <cell r="U875"/>
        </row>
        <row r="876">
          <cell r="U876"/>
        </row>
        <row r="877">
          <cell r="U877"/>
        </row>
        <row r="878">
          <cell r="U878"/>
        </row>
        <row r="879">
          <cell r="U879"/>
        </row>
        <row r="880">
          <cell r="U880"/>
        </row>
        <row r="881">
          <cell r="U881"/>
        </row>
        <row r="882">
          <cell r="U882"/>
        </row>
        <row r="883">
          <cell r="U883"/>
        </row>
        <row r="884">
          <cell r="U884"/>
        </row>
        <row r="885">
          <cell r="U885"/>
        </row>
        <row r="886">
          <cell r="U886"/>
        </row>
        <row r="887">
          <cell r="U887"/>
        </row>
        <row r="888">
          <cell r="U888"/>
        </row>
        <row r="889">
          <cell r="U889"/>
        </row>
        <row r="890">
          <cell r="U890"/>
        </row>
        <row r="891">
          <cell r="U891"/>
        </row>
        <row r="892">
          <cell r="U892"/>
        </row>
        <row r="893">
          <cell r="U893"/>
        </row>
        <row r="894">
          <cell r="U894"/>
        </row>
        <row r="895">
          <cell r="U895"/>
        </row>
        <row r="896">
          <cell r="U896"/>
        </row>
        <row r="897">
          <cell r="U897"/>
        </row>
        <row r="898">
          <cell r="U898"/>
        </row>
        <row r="899">
          <cell r="U899"/>
        </row>
        <row r="900">
          <cell r="U900"/>
        </row>
        <row r="901">
          <cell r="U901"/>
        </row>
        <row r="902">
          <cell r="U902"/>
        </row>
        <row r="903">
          <cell r="U903"/>
        </row>
        <row r="904">
          <cell r="U904"/>
        </row>
        <row r="905">
          <cell r="U905"/>
        </row>
        <row r="906">
          <cell r="U906"/>
        </row>
        <row r="907">
          <cell r="U907"/>
        </row>
        <row r="908">
          <cell r="U908"/>
        </row>
        <row r="909">
          <cell r="U909"/>
        </row>
        <row r="910">
          <cell r="U910"/>
        </row>
        <row r="911">
          <cell r="U911"/>
        </row>
        <row r="912">
          <cell r="U912"/>
        </row>
        <row r="913">
          <cell r="U913"/>
        </row>
        <row r="914">
          <cell r="U914"/>
        </row>
        <row r="915">
          <cell r="U915"/>
        </row>
        <row r="916">
          <cell r="U916"/>
        </row>
        <row r="917">
          <cell r="U917"/>
        </row>
        <row r="918">
          <cell r="U918"/>
        </row>
        <row r="919">
          <cell r="U919"/>
        </row>
        <row r="920">
          <cell r="U920"/>
        </row>
        <row r="921">
          <cell r="U921"/>
        </row>
        <row r="922">
          <cell r="U922"/>
        </row>
        <row r="923">
          <cell r="U923"/>
        </row>
        <row r="924">
          <cell r="U924"/>
        </row>
        <row r="925">
          <cell r="U925"/>
        </row>
        <row r="926">
          <cell r="U926"/>
        </row>
        <row r="927">
          <cell r="U927"/>
        </row>
        <row r="928">
          <cell r="U928"/>
        </row>
        <row r="929">
          <cell r="U929"/>
        </row>
        <row r="930">
          <cell r="U930"/>
        </row>
        <row r="931">
          <cell r="U931"/>
        </row>
        <row r="932">
          <cell r="U932"/>
        </row>
        <row r="933">
          <cell r="U933"/>
        </row>
        <row r="934">
          <cell r="U934"/>
        </row>
        <row r="935">
          <cell r="U935"/>
        </row>
        <row r="936">
          <cell r="U936"/>
        </row>
        <row r="937">
          <cell r="U937"/>
        </row>
        <row r="938">
          <cell r="U938"/>
        </row>
        <row r="939">
          <cell r="U939"/>
        </row>
        <row r="940">
          <cell r="U940"/>
        </row>
        <row r="941">
          <cell r="U941"/>
        </row>
        <row r="942">
          <cell r="U942"/>
        </row>
        <row r="943">
          <cell r="U943"/>
        </row>
        <row r="944">
          <cell r="U944"/>
        </row>
        <row r="945">
          <cell r="U945"/>
        </row>
        <row r="946">
          <cell r="U946"/>
        </row>
        <row r="947">
          <cell r="U947"/>
        </row>
        <row r="948">
          <cell r="U948"/>
        </row>
        <row r="949">
          <cell r="U949"/>
        </row>
        <row r="950">
          <cell r="U950"/>
        </row>
        <row r="951">
          <cell r="U951"/>
        </row>
        <row r="952">
          <cell r="U952"/>
        </row>
        <row r="953">
          <cell r="U953"/>
        </row>
        <row r="954">
          <cell r="U954"/>
        </row>
        <row r="955">
          <cell r="U955"/>
        </row>
        <row r="956">
          <cell r="U956"/>
        </row>
        <row r="957">
          <cell r="U957"/>
        </row>
        <row r="958">
          <cell r="U958"/>
        </row>
        <row r="959">
          <cell r="U959"/>
        </row>
        <row r="960">
          <cell r="U960"/>
        </row>
        <row r="961">
          <cell r="U961"/>
        </row>
        <row r="962">
          <cell r="U962"/>
        </row>
        <row r="963">
          <cell r="U963"/>
        </row>
        <row r="964">
          <cell r="U964"/>
        </row>
        <row r="965">
          <cell r="U965"/>
        </row>
        <row r="966">
          <cell r="U966"/>
        </row>
        <row r="967">
          <cell r="U967"/>
        </row>
        <row r="968">
          <cell r="U968"/>
        </row>
        <row r="969">
          <cell r="U969"/>
        </row>
        <row r="970">
          <cell r="U970"/>
        </row>
        <row r="971">
          <cell r="U971"/>
        </row>
        <row r="972">
          <cell r="U972"/>
        </row>
        <row r="973">
          <cell r="U973"/>
        </row>
        <row r="974">
          <cell r="U974"/>
        </row>
        <row r="975">
          <cell r="U975"/>
        </row>
        <row r="976">
          <cell r="U976"/>
        </row>
        <row r="977">
          <cell r="U977"/>
        </row>
        <row r="978">
          <cell r="U978"/>
        </row>
        <row r="979">
          <cell r="U979"/>
        </row>
        <row r="980">
          <cell r="U980"/>
        </row>
        <row r="981">
          <cell r="U981"/>
        </row>
        <row r="982">
          <cell r="U982"/>
        </row>
        <row r="983">
          <cell r="U983"/>
        </row>
        <row r="984">
          <cell r="U984"/>
        </row>
        <row r="985">
          <cell r="U985"/>
        </row>
        <row r="986">
          <cell r="U986"/>
        </row>
        <row r="987">
          <cell r="U987"/>
        </row>
        <row r="988">
          <cell r="U988"/>
        </row>
        <row r="989">
          <cell r="U989"/>
        </row>
        <row r="990">
          <cell r="U990"/>
        </row>
        <row r="991">
          <cell r="U991"/>
        </row>
        <row r="992">
          <cell r="U992"/>
        </row>
        <row r="993">
          <cell r="U993"/>
        </row>
        <row r="994">
          <cell r="U994"/>
        </row>
        <row r="995">
          <cell r="U995"/>
        </row>
        <row r="996">
          <cell r="U996"/>
        </row>
        <row r="997">
          <cell r="U997"/>
        </row>
        <row r="998">
          <cell r="U998"/>
        </row>
        <row r="999">
          <cell r="U999"/>
        </row>
        <row r="1000">
          <cell r="U1000"/>
        </row>
        <row r="1001">
          <cell r="U1001"/>
        </row>
        <row r="1002">
          <cell r="U1002"/>
        </row>
        <row r="1003">
          <cell r="U1003"/>
        </row>
        <row r="1004">
          <cell r="U1004"/>
        </row>
        <row r="1005">
          <cell r="U1005"/>
        </row>
        <row r="1006">
          <cell r="U1006"/>
        </row>
        <row r="1007">
          <cell r="U1007"/>
        </row>
        <row r="1008">
          <cell r="U1008"/>
        </row>
        <row r="1009">
          <cell r="U1009"/>
        </row>
        <row r="1010">
          <cell r="U1010"/>
        </row>
        <row r="1011">
          <cell r="U1011"/>
        </row>
        <row r="1012">
          <cell r="U1012"/>
        </row>
        <row r="1013">
          <cell r="U1013"/>
        </row>
        <row r="1014">
          <cell r="U1014"/>
        </row>
        <row r="1015">
          <cell r="U1015"/>
        </row>
        <row r="1016">
          <cell r="U1016"/>
        </row>
        <row r="1017">
          <cell r="U1017"/>
        </row>
        <row r="1018">
          <cell r="U1018"/>
        </row>
        <row r="1019">
          <cell r="U1019"/>
        </row>
        <row r="1020">
          <cell r="U1020"/>
        </row>
        <row r="1021">
          <cell r="U1021"/>
        </row>
        <row r="1022">
          <cell r="U1022"/>
        </row>
        <row r="1023">
          <cell r="U1023"/>
        </row>
        <row r="1024">
          <cell r="U1024"/>
        </row>
        <row r="1025">
          <cell r="U1025"/>
        </row>
        <row r="1026">
          <cell r="U1026"/>
        </row>
        <row r="1027">
          <cell r="U1027"/>
        </row>
        <row r="1028">
          <cell r="U1028"/>
        </row>
        <row r="1029">
          <cell r="U1029"/>
        </row>
        <row r="1030">
          <cell r="U1030"/>
        </row>
        <row r="1031">
          <cell r="U1031"/>
        </row>
        <row r="1032">
          <cell r="U1032"/>
        </row>
        <row r="1033">
          <cell r="U1033"/>
        </row>
        <row r="1034">
          <cell r="U1034"/>
        </row>
        <row r="1035">
          <cell r="U1035"/>
        </row>
        <row r="1036">
          <cell r="U1036"/>
        </row>
        <row r="1037">
          <cell r="U1037"/>
        </row>
        <row r="1038">
          <cell r="U1038"/>
        </row>
        <row r="1039">
          <cell r="U1039"/>
        </row>
        <row r="1040">
          <cell r="U1040"/>
        </row>
        <row r="1041">
          <cell r="U1041"/>
        </row>
        <row r="1042">
          <cell r="U1042"/>
        </row>
        <row r="1043">
          <cell r="U1043"/>
        </row>
        <row r="1044">
          <cell r="U1044"/>
        </row>
        <row r="1045">
          <cell r="U1045"/>
        </row>
        <row r="1046">
          <cell r="U1046"/>
        </row>
        <row r="1047">
          <cell r="U1047"/>
        </row>
        <row r="1048">
          <cell r="U1048"/>
        </row>
        <row r="1049">
          <cell r="U1049"/>
        </row>
        <row r="1050">
          <cell r="U1050"/>
        </row>
        <row r="1051">
          <cell r="U1051"/>
        </row>
        <row r="1052">
          <cell r="U1052"/>
        </row>
        <row r="1053">
          <cell r="U1053"/>
        </row>
        <row r="1054">
          <cell r="U1054"/>
        </row>
        <row r="1055">
          <cell r="U1055"/>
        </row>
        <row r="1056">
          <cell r="U1056"/>
        </row>
        <row r="1057">
          <cell r="U1057"/>
        </row>
        <row r="1058">
          <cell r="U1058"/>
        </row>
        <row r="1059">
          <cell r="U1059"/>
        </row>
        <row r="1060">
          <cell r="U1060"/>
        </row>
        <row r="1061">
          <cell r="U1061"/>
        </row>
        <row r="1062">
          <cell r="U1062"/>
        </row>
        <row r="1063">
          <cell r="U1063"/>
        </row>
        <row r="1064">
          <cell r="U1064"/>
        </row>
        <row r="1065">
          <cell r="U1065"/>
        </row>
        <row r="1066">
          <cell r="U1066"/>
        </row>
        <row r="1067">
          <cell r="U1067"/>
        </row>
        <row r="1068">
          <cell r="U1068"/>
        </row>
        <row r="1069">
          <cell r="U1069"/>
        </row>
        <row r="1070">
          <cell r="U1070"/>
        </row>
        <row r="1071">
          <cell r="U1071"/>
        </row>
        <row r="1072">
          <cell r="U1072"/>
        </row>
        <row r="1073">
          <cell r="U1073"/>
        </row>
        <row r="1074">
          <cell r="U1074"/>
        </row>
        <row r="1075">
          <cell r="U1075"/>
        </row>
        <row r="1076">
          <cell r="U1076"/>
        </row>
        <row r="1077">
          <cell r="U1077"/>
        </row>
        <row r="1078">
          <cell r="U1078"/>
        </row>
        <row r="1079">
          <cell r="U1079"/>
        </row>
        <row r="1080">
          <cell r="U1080"/>
        </row>
        <row r="1081">
          <cell r="U1081"/>
        </row>
        <row r="1082">
          <cell r="U1082"/>
        </row>
        <row r="1083">
          <cell r="U1083"/>
        </row>
        <row r="1084">
          <cell r="U1084"/>
        </row>
        <row r="1085">
          <cell r="U1085"/>
        </row>
        <row r="1086">
          <cell r="U1086"/>
        </row>
        <row r="1087">
          <cell r="U1087"/>
        </row>
        <row r="1088">
          <cell r="U1088"/>
        </row>
        <row r="1089">
          <cell r="U1089"/>
        </row>
        <row r="1090">
          <cell r="U1090"/>
        </row>
        <row r="1091">
          <cell r="U1091"/>
        </row>
        <row r="1092">
          <cell r="U1092"/>
        </row>
        <row r="1093">
          <cell r="U1093"/>
        </row>
        <row r="1094">
          <cell r="U1094"/>
        </row>
        <row r="1095">
          <cell r="U1095"/>
        </row>
        <row r="1096">
          <cell r="U1096"/>
        </row>
        <row r="1097">
          <cell r="U1097"/>
        </row>
        <row r="1098">
          <cell r="U1098"/>
        </row>
        <row r="1099">
          <cell r="U1099"/>
        </row>
        <row r="1100">
          <cell r="U1100"/>
        </row>
        <row r="1101">
          <cell r="U1101"/>
        </row>
        <row r="1102">
          <cell r="U1102"/>
        </row>
        <row r="1103">
          <cell r="U1103"/>
        </row>
        <row r="1104">
          <cell r="U1104"/>
        </row>
        <row r="1105">
          <cell r="U1105"/>
        </row>
        <row r="1106">
          <cell r="U1106"/>
        </row>
        <row r="1107">
          <cell r="U1107"/>
        </row>
        <row r="1108">
          <cell r="U1108"/>
        </row>
        <row r="1109">
          <cell r="U1109"/>
        </row>
        <row r="1110">
          <cell r="U1110"/>
        </row>
        <row r="1111">
          <cell r="U1111"/>
        </row>
        <row r="1112">
          <cell r="U1112"/>
        </row>
        <row r="1113">
          <cell r="U1113"/>
        </row>
        <row r="1114">
          <cell r="U1114"/>
        </row>
        <row r="1115">
          <cell r="U1115"/>
        </row>
        <row r="1116">
          <cell r="U1116"/>
        </row>
        <row r="1117">
          <cell r="U1117"/>
        </row>
        <row r="1118">
          <cell r="U1118"/>
        </row>
        <row r="1119">
          <cell r="U1119"/>
        </row>
        <row r="1120">
          <cell r="U1120"/>
        </row>
        <row r="1121">
          <cell r="U1121"/>
        </row>
        <row r="1122">
          <cell r="U1122"/>
        </row>
        <row r="1123">
          <cell r="U1123"/>
        </row>
        <row r="1124">
          <cell r="U1124"/>
        </row>
        <row r="1125">
          <cell r="U1125"/>
        </row>
        <row r="1126">
          <cell r="U1126"/>
        </row>
        <row r="1127">
          <cell r="U1127"/>
        </row>
        <row r="1128">
          <cell r="U1128"/>
        </row>
        <row r="1129">
          <cell r="U1129"/>
        </row>
        <row r="1130">
          <cell r="U1130"/>
        </row>
        <row r="1131">
          <cell r="U1131"/>
        </row>
        <row r="1132">
          <cell r="U1132"/>
        </row>
        <row r="1133">
          <cell r="U1133"/>
        </row>
        <row r="1134">
          <cell r="U1134"/>
        </row>
        <row r="1135">
          <cell r="U1135"/>
        </row>
        <row r="1136">
          <cell r="U1136"/>
        </row>
        <row r="1137">
          <cell r="U1137"/>
        </row>
        <row r="1138">
          <cell r="U1138"/>
        </row>
        <row r="1139">
          <cell r="U1139"/>
        </row>
        <row r="1140">
          <cell r="U1140"/>
        </row>
        <row r="1141">
          <cell r="U1141"/>
        </row>
        <row r="1142">
          <cell r="U1142"/>
        </row>
        <row r="1143">
          <cell r="U1143"/>
        </row>
        <row r="1144">
          <cell r="U1144"/>
        </row>
        <row r="1145">
          <cell r="U1145"/>
        </row>
        <row r="1146">
          <cell r="U1146"/>
        </row>
        <row r="1147">
          <cell r="U1147"/>
        </row>
        <row r="1148">
          <cell r="U1148"/>
        </row>
        <row r="1149">
          <cell r="U1149"/>
        </row>
        <row r="1150">
          <cell r="U1150"/>
        </row>
        <row r="1151">
          <cell r="U1151"/>
        </row>
        <row r="1152">
          <cell r="U1152"/>
        </row>
        <row r="1153">
          <cell r="U1153"/>
        </row>
        <row r="1154">
          <cell r="U1154"/>
        </row>
        <row r="1155">
          <cell r="U1155"/>
        </row>
        <row r="1156">
          <cell r="U1156"/>
        </row>
        <row r="1157">
          <cell r="U1157"/>
        </row>
        <row r="1158">
          <cell r="U1158"/>
        </row>
        <row r="1159">
          <cell r="U1159"/>
        </row>
        <row r="1160">
          <cell r="U1160"/>
        </row>
        <row r="1161">
          <cell r="U1161"/>
        </row>
        <row r="1162">
          <cell r="U1162"/>
        </row>
        <row r="1163">
          <cell r="U1163"/>
        </row>
        <row r="1164">
          <cell r="U1164"/>
        </row>
        <row r="1165">
          <cell r="U1165"/>
        </row>
        <row r="1166">
          <cell r="U1166"/>
        </row>
        <row r="1167">
          <cell r="U1167"/>
        </row>
        <row r="1168">
          <cell r="U1168"/>
        </row>
        <row r="1169">
          <cell r="U1169"/>
        </row>
        <row r="1170">
          <cell r="U1170"/>
        </row>
        <row r="1171">
          <cell r="U1171"/>
        </row>
        <row r="1172">
          <cell r="U1172"/>
        </row>
        <row r="1173">
          <cell r="U1173"/>
        </row>
        <row r="1174">
          <cell r="U1174"/>
        </row>
        <row r="1175">
          <cell r="U1175"/>
        </row>
        <row r="1176">
          <cell r="U1176"/>
        </row>
        <row r="1177">
          <cell r="U1177"/>
        </row>
        <row r="1178">
          <cell r="U1178"/>
        </row>
        <row r="1179">
          <cell r="U1179"/>
        </row>
        <row r="1180">
          <cell r="U1180"/>
        </row>
        <row r="1181">
          <cell r="U1181"/>
        </row>
        <row r="1182">
          <cell r="U1182"/>
        </row>
        <row r="1183">
          <cell r="U1183"/>
        </row>
        <row r="1184">
          <cell r="U1184"/>
        </row>
        <row r="1185">
          <cell r="U1185"/>
        </row>
        <row r="1186">
          <cell r="U1186"/>
        </row>
        <row r="1187">
          <cell r="U1187"/>
        </row>
        <row r="1188">
          <cell r="U1188"/>
        </row>
        <row r="1189">
          <cell r="U1189"/>
        </row>
        <row r="1190">
          <cell r="U1190"/>
        </row>
        <row r="1191">
          <cell r="U1191"/>
        </row>
        <row r="1192">
          <cell r="U1192"/>
        </row>
        <row r="1193">
          <cell r="U1193"/>
        </row>
        <row r="1194">
          <cell r="U1194"/>
        </row>
        <row r="1195">
          <cell r="U1195"/>
        </row>
        <row r="1196">
          <cell r="U1196"/>
        </row>
        <row r="1197">
          <cell r="U1197"/>
        </row>
        <row r="1198">
          <cell r="U1198"/>
        </row>
        <row r="1199">
          <cell r="U1199"/>
        </row>
        <row r="1200">
          <cell r="U1200"/>
        </row>
        <row r="1201">
          <cell r="U1201"/>
        </row>
        <row r="1202">
          <cell r="U1202"/>
        </row>
        <row r="1203">
          <cell r="U1203"/>
        </row>
        <row r="1204">
          <cell r="U1204"/>
        </row>
        <row r="1205">
          <cell r="U1205"/>
        </row>
        <row r="1206">
          <cell r="U1206"/>
        </row>
        <row r="1207">
          <cell r="U1207"/>
        </row>
        <row r="1208">
          <cell r="U1208"/>
        </row>
        <row r="1209">
          <cell r="U1209"/>
        </row>
        <row r="1210">
          <cell r="U1210"/>
        </row>
        <row r="1211">
          <cell r="U1211"/>
        </row>
        <row r="1212">
          <cell r="U1212"/>
        </row>
        <row r="1213">
          <cell r="U1213"/>
        </row>
        <row r="1214">
          <cell r="U1214"/>
        </row>
        <row r="1215">
          <cell r="U1215"/>
        </row>
        <row r="1216">
          <cell r="U1216"/>
        </row>
        <row r="1217">
          <cell r="U1217"/>
        </row>
        <row r="1218">
          <cell r="U1218"/>
        </row>
        <row r="1219">
          <cell r="U1219"/>
        </row>
        <row r="1220">
          <cell r="U1220"/>
        </row>
        <row r="1221">
          <cell r="U1221"/>
        </row>
        <row r="1222">
          <cell r="U1222"/>
        </row>
        <row r="1223">
          <cell r="U1223"/>
        </row>
        <row r="1224">
          <cell r="U1224"/>
        </row>
        <row r="1225">
          <cell r="U1225"/>
        </row>
        <row r="1226">
          <cell r="U1226"/>
        </row>
        <row r="1227">
          <cell r="U1227"/>
        </row>
        <row r="1228">
          <cell r="U1228"/>
        </row>
        <row r="1229">
          <cell r="U1229"/>
        </row>
        <row r="1230">
          <cell r="U1230"/>
        </row>
        <row r="1231">
          <cell r="U1231"/>
        </row>
        <row r="1232">
          <cell r="U1232"/>
        </row>
        <row r="1233">
          <cell r="U1233"/>
        </row>
        <row r="1234">
          <cell r="U1234"/>
        </row>
        <row r="1235">
          <cell r="U1235"/>
        </row>
        <row r="1236">
          <cell r="U1236"/>
        </row>
        <row r="1237">
          <cell r="U1237"/>
        </row>
        <row r="1238">
          <cell r="U1238"/>
        </row>
        <row r="1239">
          <cell r="U1239"/>
        </row>
        <row r="1240">
          <cell r="U1240"/>
        </row>
        <row r="1241">
          <cell r="U1241"/>
        </row>
        <row r="1242">
          <cell r="U1242"/>
        </row>
        <row r="1243">
          <cell r="U1243"/>
        </row>
        <row r="1244">
          <cell r="U1244"/>
        </row>
        <row r="1245">
          <cell r="U1245"/>
        </row>
        <row r="1246">
          <cell r="U1246"/>
        </row>
        <row r="1247">
          <cell r="U1247"/>
        </row>
        <row r="1248">
          <cell r="U1248"/>
        </row>
        <row r="1249">
          <cell r="U1249"/>
        </row>
        <row r="1250">
          <cell r="U1250"/>
        </row>
        <row r="1251">
          <cell r="U1251"/>
        </row>
        <row r="1252">
          <cell r="U1252"/>
        </row>
        <row r="1253">
          <cell r="U1253"/>
        </row>
        <row r="1254">
          <cell r="U1254"/>
        </row>
        <row r="1255">
          <cell r="U1255"/>
        </row>
        <row r="1256">
          <cell r="U1256"/>
        </row>
        <row r="1257">
          <cell r="U1257"/>
        </row>
        <row r="1258">
          <cell r="U1258"/>
        </row>
        <row r="1259">
          <cell r="U1259"/>
        </row>
        <row r="1260">
          <cell r="U1260"/>
        </row>
        <row r="1261">
          <cell r="U1261"/>
        </row>
        <row r="1262">
          <cell r="U1262"/>
        </row>
        <row r="1263">
          <cell r="U1263"/>
        </row>
        <row r="1264">
          <cell r="U1264"/>
        </row>
        <row r="1265">
          <cell r="U1265"/>
        </row>
        <row r="1266">
          <cell r="U1266"/>
        </row>
        <row r="1267">
          <cell r="U1267"/>
        </row>
        <row r="1268">
          <cell r="U1268"/>
        </row>
        <row r="1269">
          <cell r="U1269"/>
        </row>
        <row r="1270">
          <cell r="U1270"/>
        </row>
        <row r="1271">
          <cell r="U1271"/>
        </row>
        <row r="1272">
          <cell r="U1272"/>
        </row>
        <row r="1273">
          <cell r="U1273"/>
        </row>
        <row r="1274">
          <cell r="U1274"/>
        </row>
        <row r="1275">
          <cell r="U1275"/>
        </row>
        <row r="1276">
          <cell r="U1276"/>
        </row>
        <row r="1277">
          <cell r="U1277"/>
        </row>
        <row r="1278">
          <cell r="U1278"/>
        </row>
        <row r="1279">
          <cell r="U1279"/>
        </row>
        <row r="1280">
          <cell r="U1280"/>
        </row>
        <row r="1281">
          <cell r="U1281"/>
        </row>
        <row r="1282">
          <cell r="U1282"/>
        </row>
        <row r="1283">
          <cell r="U1283"/>
        </row>
        <row r="1284">
          <cell r="U1284"/>
        </row>
        <row r="1285">
          <cell r="U1285"/>
        </row>
        <row r="1286">
          <cell r="U1286"/>
        </row>
        <row r="1287">
          <cell r="U1287"/>
        </row>
        <row r="1288">
          <cell r="U1288"/>
        </row>
        <row r="1289">
          <cell r="U1289"/>
        </row>
        <row r="1290">
          <cell r="U1290"/>
        </row>
        <row r="1291">
          <cell r="U1291"/>
        </row>
        <row r="1292">
          <cell r="U1292"/>
        </row>
        <row r="1293">
          <cell r="U1293"/>
        </row>
        <row r="1294">
          <cell r="U1294"/>
        </row>
        <row r="1295">
          <cell r="U1295"/>
        </row>
        <row r="1296">
          <cell r="U1296"/>
        </row>
        <row r="1297">
          <cell r="U1297"/>
        </row>
        <row r="1298">
          <cell r="U1298"/>
        </row>
        <row r="1299">
          <cell r="U1299"/>
        </row>
        <row r="1300">
          <cell r="U1300"/>
        </row>
        <row r="1301">
          <cell r="U1301"/>
        </row>
        <row r="1302">
          <cell r="U1302"/>
        </row>
        <row r="1303">
          <cell r="U1303"/>
        </row>
        <row r="1304">
          <cell r="U1304"/>
        </row>
        <row r="1305">
          <cell r="U1305"/>
        </row>
        <row r="1306">
          <cell r="U1306"/>
        </row>
        <row r="1307">
          <cell r="U1307"/>
        </row>
        <row r="1308">
          <cell r="U1308"/>
        </row>
        <row r="1309">
          <cell r="U1309"/>
        </row>
        <row r="1310">
          <cell r="U1310"/>
        </row>
        <row r="1311">
          <cell r="U1311"/>
        </row>
        <row r="1312">
          <cell r="U1312"/>
        </row>
        <row r="1313">
          <cell r="U1313"/>
        </row>
        <row r="1314">
          <cell r="U1314"/>
        </row>
        <row r="1315">
          <cell r="U1315"/>
        </row>
        <row r="1316">
          <cell r="U1316"/>
        </row>
        <row r="1317">
          <cell r="U1317"/>
        </row>
        <row r="1318">
          <cell r="U1318"/>
        </row>
        <row r="1319">
          <cell r="U1319"/>
        </row>
        <row r="1320">
          <cell r="U1320"/>
        </row>
        <row r="1321">
          <cell r="U1321"/>
        </row>
        <row r="1322">
          <cell r="U1322"/>
        </row>
        <row r="1323">
          <cell r="U1323"/>
        </row>
        <row r="1324">
          <cell r="U1324"/>
        </row>
        <row r="1325">
          <cell r="U1325"/>
        </row>
        <row r="1326">
          <cell r="U1326"/>
        </row>
        <row r="1327">
          <cell r="U1327"/>
        </row>
        <row r="1328">
          <cell r="U1328"/>
        </row>
        <row r="1329">
          <cell r="U1329"/>
        </row>
        <row r="1330">
          <cell r="U1330"/>
        </row>
        <row r="1331">
          <cell r="U1331"/>
        </row>
        <row r="1332">
          <cell r="U1332"/>
        </row>
        <row r="1333">
          <cell r="U1333"/>
        </row>
        <row r="1334">
          <cell r="U1334"/>
        </row>
        <row r="1335">
          <cell r="U1335"/>
        </row>
        <row r="1336">
          <cell r="U1336"/>
        </row>
        <row r="1337">
          <cell r="U1337"/>
        </row>
        <row r="1338">
          <cell r="U1338"/>
        </row>
        <row r="1339">
          <cell r="U1339"/>
        </row>
        <row r="1340">
          <cell r="U1340"/>
        </row>
        <row r="1341">
          <cell r="U1341"/>
        </row>
        <row r="1342">
          <cell r="U1342"/>
        </row>
        <row r="1343">
          <cell r="U1343"/>
        </row>
        <row r="1344">
          <cell r="U1344"/>
        </row>
        <row r="1345">
          <cell r="U1345"/>
        </row>
        <row r="1346">
          <cell r="U1346"/>
        </row>
        <row r="1347">
          <cell r="U1347"/>
        </row>
        <row r="1348">
          <cell r="U1348"/>
        </row>
        <row r="1349">
          <cell r="U1349"/>
        </row>
        <row r="1350">
          <cell r="U1350"/>
        </row>
        <row r="1351">
          <cell r="U1351"/>
        </row>
        <row r="1352">
          <cell r="U1352"/>
        </row>
        <row r="1353">
          <cell r="U1353"/>
        </row>
        <row r="1354">
          <cell r="U1354"/>
        </row>
        <row r="1355">
          <cell r="U1355"/>
        </row>
        <row r="1356">
          <cell r="U1356"/>
        </row>
        <row r="1357">
          <cell r="U1357"/>
        </row>
        <row r="1358">
          <cell r="U1358"/>
        </row>
        <row r="1359">
          <cell r="U1359"/>
        </row>
        <row r="1360">
          <cell r="U1360"/>
        </row>
        <row r="1361">
          <cell r="U1361"/>
        </row>
        <row r="1362">
          <cell r="U1362"/>
        </row>
        <row r="1363">
          <cell r="U1363"/>
        </row>
        <row r="1364">
          <cell r="U1364"/>
        </row>
        <row r="1365">
          <cell r="U1365"/>
        </row>
        <row r="1366">
          <cell r="U1366"/>
        </row>
        <row r="1367">
          <cell r="U1367"/>
        </row>
        <row r="1368">
          <cell r="U1368"/>
        </row>
        <row r="1369">
          <cell r="U1369"/>
        </row>
        <row r="1370">
          <cell r="U1370"/>
        </row>
        <row r="1371">
          <cell r="U1371"/>
        </row>
        <row r="1372">
          <cell r="U1372"/>
        </row>
        <row r="1373">
          <cell r="U1373"/>
        </row>
        <row r="1374">
          <cell r="U1374"/>
        </row>
        <row r="1375">
          <cell r="U1375"/>
        </row>
        <row r="1376">
          <cell r="U1376"/>
        </row>
        <row r="1377">
          <cell r="U1377"/>
        </row>
        <row r="1378">
          <cell r="U1378"/>
        </row>
        <row r="1379">
          <cell r="U1379"/>
        </row>
        <row r="1380">
          <cell r="U1380"/>
        </row>
        <row r="1381">
          <cell r="U1381"/>
        </row>
        <row r="1382">
          <cell r="U1382"/>
        </row>
        <row r="1383">
          <cell r="U1383"/>
        </row>
        <row r="1384">
          <cell r="U1384"/>
        </row>
        <row r="1385">
          <cell r="U1385"/>
        </row>
        <row r="1386">
          <cell r="U1386"/>
        </row>
        <row r="1387">
          <cell r="U1387"/>
        </row>
        <row r="1388">
          <cell r="U1388"/>
        </row>
        <row r="1389">
          <cell r="U1389"/>
        </row>
        <row r="1390">
          <cell r="U1390"/>
        </row>
        <row r="1391">
          <cell r="U1391"/>
        </row>
        <row r="1392">
          <cell r="U1392"/>
        </row>
        <row r="1393">
          <cell r="U1393"/>
        </row>
        <row r="1394">
          <cell r="U1394"/>
        </row>
        <row r="1395">
          <cell r="U1395"/>
        </row>
        <row r="1396">
          <cell r="U1396"/>
        </row>
        <row r="1397">
          <cell r="U1397"/>
        </row>
        <row r="1398">
          <cell r="U1398"/>
        </row>
        <row r="1399">
          <cell r="U1399"/>
        </row>
        <row r="1400">
          <cell r="U1400"/>
        </row>
        <row r="1401">
          <cell r="U1401"/>
        </row>
        <row r="1402">
          <cell r="U1402"/>
        </row>
        <row r="1403">
          <cell r="U1403"/>
        </row>
        <row r="1404">
          <cell r="U1404"/>
        </row>
        <row r="1405">
          <cell r="U1405"/>
        </row>
        <row r="1406">
          <cell r="U1406"/>
        </row>
        <row r="1407">
          <cell r="U1407"/>
        </row>
        <row r="1408">
          <cell r="U1408"/>
        </row>
        <row r="1409">
          <cell r="U1409"/>
        </row>
        <row r="1410">
          <cell r="U1410"/>
        </row>
        <row r="1411">
          <cell r="U1411"/>
        </row>
        <row r="1412">
          <cell r="U1412"/>
        </row>
        <row r="1413">
          <cell r="U1413"/>
        </row>
        <row r="1414">
          <cell r="U1414"/>
        </row>
        <row r="1415">
          <cell r="U1415"/>
        </row>
        <row r="1416">
          <cell r="U1416"/>
        </row>
        <row r="1417">
          <cell r="U1417"/>
        </row>
        <row r="1418">
          <cell r="U1418"/>
        </row>
        <row r="1419">
          <cell r="U1419"/>
        </row>
        <row r="1420">
          <cell r="U1420"/>
        </row>
        <row r="1421">
          <cell r="U1421"/>
        </row>
        <row r="1422">
          <cell r="U1422"/>
        </row>
        <row r="1423">
          <cell r="U1423"/>
        </row>
        <row r="1424">
          <cell r="U1424"/>
        </row>
        <row r="1425">
          <cell r="U1425"/>
        </row>
        <row r="1426">
          <cell r="U1426"/>
        </row>
        <row r="1427">
          <cell r="U1427"/>
        </row>
        <row r="1428">
          <cell r="U1428"/>
        </row>
        <row r="1429">
          <cell r="U1429"/>
        </row>
        <row r="1430">
          <cell r="U1430"/>
        </row>
        <row r="1431">
          <cell r="U1431"/>
        </row>
        <row r="1432">
          <cell r="U1432"/>
        </row>
        <row r="1433">
          <cell r="U1433"/>
        </row>
        <row r="1434">
          <cell r="U1434"/>
        </row>
        <row r="1435">
          <cell r="U1435"/>
        </row>
        <row r="1436">
          <cell r="U1436"/>
        </row>
        <row r="1437">
          <cell r="U1437"/>
        </row>
        <row r="1438">
          <cell r="U1438"/>
        </row>
        <row r="1439">
          <cell r="U1439"/>
        </row>
        <row r="1440">
          <cell r="U1440"/>
        </row>
        <row r="1441">
          <cell r="U1441"/>
        </row>
        <row r="1442">
          <cell r="U1442"/>
        </row>
        <row r="1443">
          <cell r="U1443"/>
        </row>
        <row r="1444">
          <cell r="U1444"/>
        </row>
        <row r="1445">
          <cell r="U1445"/>
        </row>
        <row r="1446">
          <cell r="U1446"/>
        </row>
        <row r="1447">
          <cell r="U1447"/>
        </row>
        <row r="1448">
          <cell r="U1448"/>
        </row>
        <row r="1449">
          <cell r="U1449"/>
        </row>
        <row r="1450">
          <cell r="U1450"/>
        </row>
        <row r="1451">
          <cell r="U1451"/>
        </row>
        <row r="1452">
          <cell r="U1452"/>
        </row>
        <row r="1453">
          <cell r="U1453"/>
        </row>
        <row r="1454">
          <cell r="U1454"/>
        </row>
        <row r="1455">
          <cell r="U1455"/>
        </row>
        <row r="1456">
          <cell r="U1456"/>
        </row>
        <row r="1457">
          <cell r="U1457"/>
        </row>
        <row r="1458">
          <cell r="U1458"/>
        </row>
        <row r="1459">
          <cell r="U1459"/>
        </row>
        <row r="1460">
          <cell r="U1460"/>
        </row>
        <row r="1461">
          <cell r="U1461"/>
        </row>
        <row r="1462">
          <cell r="U1462"/>
        </row>
        <row r="1463">
          <cell r="U1463"/>
        </row>
        <row r="1464">
          <cell r="U1464"/>
        </row>
        <row r="1465">
          <cell r="U1465"/>
        </row>
        <row r="1466">
          <cell r="U1466"/>
        </row>
        <row r="1467">
          <cell r="U1467"/>
        </row>
        <row r="1468">
          <cell r="U1468"/>
        </row>
        <row r="1469">
          <cell r="U1469"/>
        </row>
        <row r="1470">
          <cell r="U1470"/>
        </row>
        <row r="1471">
          <cell r="U1471"/>
        </row>
        <row r="1472">
          <cell r="U1472"/>
        </row>
        <row r="1473">
          <cell r="U1473"/>
        </row>
        <row r="1474">
          <cell r="U1474"/>
        </row>
        <row r="1475">
          <cell r="U1475"/>
        </row>
        <row r="1476">
          <cell r="U1476"/>
        </row>
        <row r="1477">
          <cell r="U1477"/>
        </row>
        <row r="1478">
          <cell r="U1478"/>
        </row>
        <row r="1479">
          <cell r="U1479"/>
        </row>
        <row r="1480">
          <cell r="U1480"/>
        </row>
        <row r="1481">
          <cell r="U1481"/>
        </row>
        <row r="1482">
          <cell r="U1482"/>
        </row>
        <row r="1483">
          <cell r="U1483"/>
        </row>
        <row r="1484">
          <cell r="U1484"/>
        </row>
        <row r="1485">
          <cell r="U1485"/>
        </row>
        <row r="1486">
          <cell r="U1486"/>
        </row>
        <row r="1487">
          <cell r="U1487"/>
        </row>
        <row r="1488">
          <cell r="U1488"/>
        </row>
        <row r="1489">
          <cell r="U1489"/>
        </row>
        <row r="1490">
          <cell r="U1490"/>
        </row>
        <row r="1491">
          <cell r="U1491"/>
        </row>
        <row r="1492">
          <cell r="U1492"/>
        </row>
        <row r="1493">
          <cell r="U1493"/>
        </row>
        <row r="1494">
          <cell r="U1494"/>
        </row>
        <row r="1495">
          <cell r="U1495"/>
        </row>
        <row r="1496">
          <cell r="U1496"/>
        </row>
        <row r="1497">
          <cell r="U1497"/>
        </row>
        <row r="1498">
          <cell r="U1498"/>
        </row>
        <row r="1499">
          <cell r="U1499"/>
        </row>
        <row r="1500">
          <cell r="U1500"/>
        </row>
        <row r="1501">
          <cell r="U1501"/>
        </row>
        <row r="1502">
          <cell r="U1502"/>
        </row>
        <row r="1503">
          <cell r="U1503"/>
        </row>
        <row r="1504">
          <cell r="U1504"/>
        </row>
        <row r="1505">
          <cell r="U1505"/>
        </row>
        <row r="1506">
          <cell r="U1506"/>
        </row>
        <row r="1507">
          <cell r="U1507"/>
        </row>
        <row r="1508">
          <cell r="U1508"/>
        </row>
        <row r="1509">
          <cell r="U1509"/>
        </row>
        <row r="1510">
          <cell r="U1510"/>
        </row>
        <row r="1511">
          <cell r="U1511"/>
        </row>
        <row r="1512">
          <cell r="U1512"/>
        </row>
        <row r="1513">
          <cell r="U1513"/>
        </row>
        <row r="1514">
          <cell r="U1514"/>
        </row>
        <row r="1515">
          <cell r="U1515"/>
        </row>
        <row r="1516">
          <cell r="U1516"/>
        </row>
        <row r="1517">
          <cell r="U1517"/>
        </row>
        <row r="1518">
          <cell r="U1518"/>
        </row>
        <row r="1519">
          <cell r="U1519"/>
        </row>
        <row r="1520">
          <cell r="U1520"/>
        </row>
        <row r="1521">
          <cell r="U1521"/>
        </row>
        <row r="1522">
          <cell r="U1522"/>
        </row>
        <row r="1523">
          <cell r="U1523"/>
        </row>
        <row r="1524">
          <cell r="U1524"/>
        </row>
        <row r="1525">
          <cell r="U1525"/>
        </row>
        <row r="1526">
          <cell r="U1526"/>
        </row>
        <row r="1527">
          <cell r="U1527"/>
        </row>
        <row r="1528">
          <cell r="U1528"/>
        </row>
        <row r="1529">
          <cell r="U1529"/>
        </row>
        <row r="1530">
          <cell r="U1530"/>
        </row>
        <row r="1531">
          <cell r="U1531"/>
        </row>
        <row r="1532">
          <cell r="U1532"/>
        </row>
        <row r="1533">
          <cell r="U1533"/>
        </row>
        <row r="1534">
          <cell r="U1534"/>
        </row>
        <row r="1535">
          <cell r="U1535"/>
        </row>
        <row r="1536">
          <cell r="U1536"/>
        </row>
        <row r="1537">
          <cell r="U1537"/>
        </row>
        <row r="1538">
          <cell r="U1538"/>
        </row>
        <row r="1539">
          <cell r="U1539"/>
        </row>
        <row r="1540">
          <cell r="U1540"/>
        </row>
        <row r="1541">
          <cell r="U1541"/>
        </row>
        <row r="1542">
          <cell r="U1542"/>
        </row>
        <row r="1543">
          <cell r="U1543"/>
        </row>
        <row r="1544">
          <cell r="U1544"/>
        </row>
        <row r="1545">
          <cell r="U1545"/>
        </row>
        <row r="1546">
          <cell r="U1546"/>
        </row>
        <row r="1547">
          <cell r="U1547"/>
        </row>
        <row r="1548">
          <cell r="U1548"/>
        </row>
        <row r="1549">
          <cell r="U1549"/>
        </row>
        <row r="1550">
          <cell r="U1550"/>
        </row>
        <row r="1551">
          <cell r="U1551"/>
        </row>
        <row r="1552">
          <cell r="U1552"/>
        </row>
        <row r="1553">
          <cell r="U1553"/>
        </row>
        <row r="1554">
          <cell r="U1554"/>
        </row>
        <row r="1555">
          <cell r="U1555"/>
        </row>
        <row r="1556">
          <cell r="U1556"/>
        </row>
        <row r="1557">
          <cell r="U1557"/>
        </row>
        <row r="1558">
          <cell r="U1558"/>
        </row>
        <row r="1559">
          <cell r="U1559"/>
        </row>
        <row r="1560">
          <cell r="U1560"/>
        </row>
        <row r="1561">
          <cell r="U1561"/>
        </row>
        <row r="1562">
          <cell r="U1562"/>
        </row>
        <row r="1563">
          <cell r="U1563"/>
        </row>
        <row r="1564">
          <cell r="U1564"/>
        </row>
        <row r="1565">
          <cell r="U1565"/>
        </row>
        <row r="1566">
          <cell r="U1566"/>
        </row>
        <row r="1567">
          <cell r="U1567"/>
        </row>
        <row r="1568">
          <cell r="U1568"/>
        </row>
        <row r="1569">
          <cell r="U1569"/>
        </row>
        <row r="1570">
          <cell r="U1570"/>
        </row>
        <row r="1571">
          <cell r="U1571"/>
        </row>
        <row r="1572">
          <cell r="U1572"/>
        </row>
        <row r="1573">
          <cell r="U1573"/>
        </row>
        <row r="1574">
          <cell r="U1574"/>
        </row>
        <row r="1575">
          <cell r="U1575"/>
        </row>
        <row r="1576">
          <cell r="U1576"/>
        </row>
        <row r="1577">
          <cell r="U1577"/>
        </row>
        <row r="1578">
          <cell r="U1578"/>
        </row>
        <row r="1579">
          <cell r="U1579"/>
        </row>
        <row r="1580">
          <cell r="U1580"/>
        </row>
        <row r="1581">
          <cell r="U1581"/>
        </row>
        <row r="1582">
          <cell r="U1582"/>
        </row>
        <row r="1583">
          <cell r="U1583"/>
        </row>
        <row r="1584">
          <cell r="U1584"/>
        </row>
        <row r="1585">
          <cell r="U1585"/>
        </row>
        <row r="1586">
          <cell r="U1586"/>
        </row>
        <row r="1587">
          <cell r="U1587"/>
        </row>
        <row r="1588">
          <cell r="U1588"/>
        </row>
        <row r="1589">
          <cell r="U1589"/>
        </row>
        <row r="1590">
          <cell r="U1590"/>
        </row>
        <row r="1591">
          <cell r="U1591"/>
        </row>
        <row r="1592">
          <cell r="U1592"/>
        </row>
        <row r="1593">
          <cell r="U1593"/>
        </row>
        <row r="1594">
          <cell r="U1594"/>
        </row>
        <row r="1595">
          <cell r="U1595"/>
        </row>
        <row r="1596">
          <cell r="U1596"/>
        </row>
        <row r="1597">
          <cell r="U1597"/>
        </row>
        <row r="1598">
          <cell r="U1598"/>
        </row>
        <row r="1599">
          <cell r="U1599"/>
        </row>
        <row r="1600">
          <cell r="U1600"/>
        </row>
        <row r="1601">
          <cell r="U1601"/>
        </row>
        <row r="1602">
          <cell r="U1602"/>
        </row>
        <row r="1603">
          <cell r="U1603"/>
        </row>
        <row r="1604">
          <cell r="U1604"/>
        </row>
        <row r="1605">
          <cell r="U1605"/>
        </row>
        <row r="1606">
          <cell r="U1606"/>
        </row>
        <row r="1607">
          <cell r="U1607"/>
        </row>
        <row r="1608">
          <cell r="U1608"/>
        </row>
        <row r="1609">
          <cell r="U1609"/>
        </row>
        <row r="1610">
          <cell r="U1610"/>
        </row>
        <row r="1611">
          <cell r="U1611"/>
        </row>
        <row r="1612">
          <cell r="U1612"/>
        </row>
        <row r="1613">
          <cell r="U1613"/>
        </row>
        <row r="1614">
          <cell r="U1614"/>
        </row>
        <row r="1615">
          <cell r="U1615"/>
        </row>
        <row r="1616">
          <cell r="U1616"/>
        </row>
        <row r="1617">
          <cell r="U1617"/>
        </row>
        <row r="1618">
          <cell r="U1618"/>
        </row>
        <row r="1619">
          <cell r="U1619"/>
        </row>
        <row r="1620">
          <cell r="U1620"/>
        </row>
        <row r="1621">
          <cell r="U1621"/>
        </row>
        <row r="1622">
          <cell r="U1622"/>
        </row>
        <row r="1623">
          <cell r="U1623"/>
        </row>
        <row r="1624">
          <cell r="U1624"/>
        </row>
        <row r="1625">
          <cell r="U1625"/>
        </row>
        <row r="1626">
          <cell r="U1626"/>
        </row>
        <row r="1627">
          <cell r="U1627"/>
        </row>
        <row r="1628">
          <cell r="U1628"/>
        </row>
        <row r="1629">
          <cell r="U1629"/>
        </row>
        <row r="1630">
          <cell r="U1630"/>
        </row>
        <row r="1631">
          <cell r="U1631"/>
        </row>
        <row r="1632">
          <cell r="U1632"/>
        </row>
        <row r="1633">
          <cell r="U1633"/>
        </row>
        <row r="1634">
          <cell r="U1634"/>
        </row>
        <row r="1635">
          <cell r="U1635"/>
        </row>
        <row r="1636">
          <cell r="U1636"/>
        </row>
        <row r="1637">
          <cell r="U1637"/>
        </row>
        <row r="1638">
          <cell r="U1638"/>
        </row>
        <row r="1639">
          <cell r="U1639"/>
        </row>
        <row r="1640">
          <cell r="U1640"/>
        </row>
        <row r="1641">
          <cell r="U1641"/>
        </row>
        <row r="1642">
          <cell r="U1642"/>
        </row>
        <row r="1643">
          <cell r="U1643"/>
        </row>
        <row r="1644">
          <cell r="U1644"/>
        </row>
        <row r="1645">
          <cell r="U1645"/>
        </row>
        <row r="1646">
          <cell r="U1646"/>
        </row>
        <row r="1647">
          <cell r="U1647"/>
        </row>
        <row r="1648">
          <cell r="U1648"/>
        </row>
        <row r="1649">
          <cell r="U1649"/>
        </row>
        <row r="1650">
          <cell r="U1650"/>
        </row>
        <row r="1651">
          <cell r="U1651"/>
        </row>
        <row r="1652">
          <cell r="U1652"/>
        </row>
        <row r="1653">
          <cell r="U1653"/>
        </row>
        <row r="1654">
          <cell r="U1654"/>
        </row>
        <row r="1655">
          <cell r="U1655"/>
        </row>
        <row r="1656">
          <cell r="U1656"/>
        </row>
        <row r="1657">
          <cell r="U1657"/>
        </row>
        <row r="1658">
          <cell r="U1658"/>
        </row>
        <row r="1659">
          <cell r="U1659"/>
        </row>
        <row r="1660">
          <cell r="U1660"/>
        </row>
        <row r="1661">
          <cell r="U1661"/>
        </row>
        <row r="1662">
          <cell r="U1662"/>
        </row>
        <row r="1663">
          <cell r="U1663"/>
        </row>
        <row r="1664">
          <cell r="U1664"/>
        </row>
        <row r="1665">
          <cell r="U1665"/>
        </row>
        <row r="1666">
          <cell r="U1666"/>
        </row>
        <row r="1667">
          <cell r="U1667"/>
        </row>
        <row r="1668">
          <cell r="U1668"/>
        </row>
        <row r="1669">
          <cell r="U1669"/>
        </row>
        <row r="1670">
          <cell r="U1670"/>
        </row>
        <row r="1671">
          <cell r="U1671"/>
        </row>
        <row r="1672">
          <cell r="U1672"/>
        </row>
        <row r="1673">
          <cell r="U1673"/>
        </row>
        <row r="1674">
          <cell r="U1674"/>
        </row>
        <row r="1675">
          <cell r="U1675"/>
        </row>
        <row r="1676">
          <cell r="U1676"/>
        </row>
        <row r="1677">
          <cell r="U1677"/>
        </row>
        <row r="1678">
          <cell r="U1678"/>
        </row>
        <row r="1679">
          <cell r="U1679"/>
        </row>
        <row r="1680">
          <cell r="U1680"/>
        </row>
        <row r="1681">
          <cell r="U1681"/>
        </row>
        <row r="1682">
          <cell r="U1682"/>
        </row>
        <row r="1683">
          <cell r="U1683"/>
        </row>
        <row r="1684">
          <cell r="U1684"/>
        </row>
        <row r="1685">
          <cell r="U1685"/>
        </row>
        <row r="1686">
          <cell r="U1686"/>
        </row>
        <row r="1687">
          <cell r="U1687"/>
        </row>
        <row r="1688">
          <cell r="U1688"/>
        </row>
        <row r="1689">
          <cell r="U1689"/>
        </row>
        <row r="1690">
          <cell r="U1690"/>
        </row>
        <row r="1691">
          <cell r="U1691"/>
        </row>
        <row r="1692">
          <cell r="U1692"/>
        </row>
        <row r="1693">
          <cell r="U1693"/>
        </row>
        <row r="1694">
          <cell r="U1694"/>
        </row>
        <row r="1695">
          <cell r="U1695"/>
        </row>
        <row r="1696">
          <cell r="U1696"/>
        </row>
        <row r="1697">
          <cell r="U1697"/>
        </row>
        <row r="1698">
          <cell r="U1698"/>
        </row>
        <row r="1699">
          <cell r="U1699"/>
        </row>
        <row r="1700">
          <cell r="U1700"/>
        </row>
        <row r="1701">
          <cell r="U1701"/>
        </row>
        <row r="1702">
          <cell r="U1702"/>
        </row>
        <row r="1703">
          <cell r="U1703"/>
        </row>
        <row r="1704">
          <cell r="U1704"/>
        </row>
        <row r="1705">
          <cell r="U1705"/>
        </row>
        <row r="1706">
          <cell r="U1706"/>
        </row>
        <row r="1707">
          <cell r="U1707"/>
        </row>
        <row r="1708">
          <cell r="U1708"/>
        </row>
        <row r="1709">
          <cell r="U1709"/>
        </row>
        <row r="1710">
          <cell r="U1710"/>
        </row>
        <row r="1711">
          <cell r="U1711"/>
        </row>
        <row r="1712">
          <cell r="U1712"/>
        </row>
        <row r="1713">
          <cell r="U1713"/>
        </row>
        <row r="1714">
          <cell r="U1714"/>
        </row>
        <row r="1715">
          <cell r="U1715"/>
        </row>
        <row r="1716">
          <cell r="U1716"/>
        </row>
        <row r="1717">
          <cell r="U1717"/>
        </row>
        <row r="1718">
          <cell r="U1718"/>
        </row>
        <row r="1719">
          <cell r="U1719"/>
        </row>
        <row r="1720">
          <cell r="U1720"/>
        </row>
        <row r="1721">
          <cell r="U1721"/>
        </row>
        <row r="1722">
          <cell r="U1722"/>
        </row>
        <row r="1723">
          <cell r="U1723"/>
        </row>
        <row r="1724">
          <cell r="U1724"/>
        </row>
        <row r="1725">
          <cell r="U1725"/>
        </row>
        <row r="1726">
          <cell r="U1726"/>
        </row>
        <row r="1727">
          <cell r="U1727"/>
        </row>
        <row r="1728">
          <cell r="U1728"/>
        </row>
        <row r="1729">
          <cell r="U1729"/>
        </row>
        <row r="1730">
          <cell r="U1730"/>
        </row>
        <row r="1731">
          <cell r="U1731"/>
        </row>
        <row r="1732">
          <cell r="U1732"/>
        </row>
        <row r="1733">
          <cell r="U1733"/>
        </row>
        <row r="1734">
          <cell r="U1734"/>
        </row>
        <row r="1735">
          <cell r="U1735"/>
        </row>
        <row r="1736">
          <cell r="U1736"/>
        </row>
        <row r="1737">
          <cell r="U1737"/>
        </row>
        <row r="1738">
          <cell r="U1738"/>
        </row>
        <row r="1739">
          <cell r="U1739"/>
        </row>
        <row r="1740">
          <cell r="U1740"/>
        </row>
        <row r="1741">
          <cell r="U1741"/>
        </row>
        <row r="1742">
          <cell r="U1742"/>
        </row>
        <row r="1743">
          <cell r="U1743"/>
        </row>
        <row r="1744">
          <cell r="U1744"/>
        </row>
        <row r="1745">
          <cell r="U1745"/>
        </row>
        <row r="1746">
          <cell r="U1746"/>
        </row>
        <row r="1747">
          <cell r="U1747"/>
        </row>
        <row r="1748">
          <cell r="U1748"/>
        </row>
        <row r="1749">
          <cell r="U1749"/>
        </row>
        <row r="1750">
          <cell r="U1750"/>
        </row>
        <row r="1751">
          <cell r="U1751"/>
        </row>
        <row r="1752">
          <cell r="U1752"/>
        </row>
        <row r="1753">
          <cell r="U1753"/>
        </row>
        <row r="1754">
          <cell r="U1754"/>
        </row>
        <row r="1755">
          <cell r="U1755"/>
        </row>
        <row r="1756">
          <cell r="U1756"/>
        </row>
        <row r="1757">
          <cell r="U1757"/>
        </row>
        <row r="1758">
          <cell r="U1758"/>
        </row>
        <row r="1759">
          <cell r="U1759"/>
        </row>
        <row r="1760">
          <cell r="U1760"/>
        </row>
        <row r="1761">
          <cell r="U1761"/>
        </row>
        <row r="1762">
          <cell r="U1762"/>
        </row>
        <row r="1763">
          <cell r="U1763"/>
        </row>
        <row r="1764">
          <cell r="U1764"/>
        </row>
        <row r="1765">
          <cell r="U1765"/>
        </row>
        <row r="1766">
          <cell r="U1766"/>
        </row>
        <row r="1767">
          <cell r="U1767"/>
        </row>
        <row r="1768">
          <cell r="U1768"/>
        </row>
        <row r="1769">
          <cell r="U1769"/>
        </row>
        <row r="1770">
          <cell r="U1770"/>
        </row>
        <row r="1771">
          <cell r="U1771"/>
        </row>
        <row r="1772">
          <cell r="U1772"/>
        </row>
        <row r="1773">
          <cell r="U1773"/>
        </row>
        <row r="1774">
          <cell r="U1774"/>
        </row>
        <row r="1775">
          <cell r="U1775"/>
        </row>
        <row r="1776">
          <cell r="U1776"/>
        </row>
        <row r="1777">
          <cell r="U1777"/>
        </row>
        <row r="1778">
          <cell r="U1778"/>
        </row>
        <row r="1779">
          <cell r="U1779"/>
        </row>
        <row r="1780">
          <cell r="U1780"/>
        </row>
        <row r="1781">
          <cell r="U1781"/>
        </row>
        <row r="1782">
          <cell r="U1782"/>
        </row>
        <row r="1783">
          <cell r="U1783"/>
        </row>
        <row r="1784">
          <cell r="U1784"/>
        </row>
        <row r="1785">
          <cell r="U1785"/>
        </row>
        <row r="1786">
          <cell r="U1786"/>
        </row>
        <row r="1787">
          <cell r="U1787"/>
        </row>
        <row r="1788">
          <cell r="U1788"/>
        </row>
        <row r="1789">
          <cell r="U1789"/>
        </row>
        <row r="1790">
          <cell r="U1790"/>
        </row>
        <row r="1791">
          <cell r="U1791"/>
        </row>
        <row r="1792">
          <cell r="U1792"/>
        </row>
        <row r="1793">
          <cell r="U1793"/>
        </row>
        <row r="1794">
          <cell r="U1794"/>
        </row>
        <row r="1795">
          <cell r="U1795"/>
        </row>
        <row r="1796">
          <cell r="U1796"/>
        </row>
        <row r="1797">
          <cell r="U1797"/>
        </row>
        <row r="1798">
          <cell r="U1798"/>
        </row>
        <row r="1799">
          <cell r="U1799"/>
        </row>
        <row r="1800">
          <cell r="U1800"/>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Index"/>
      <sheetName val="1-Proj sum"/>
      <sheetName val="2-Scope"/>
      <sheetName val="3-Progres"/>
      <sheetName val="4-look ahead"/>
      <sheetName val="5 Project Progress"/>
      <sheetName val="6 Prgrm"/>
      <sheetName val="7 Tech log "/>
      <sheetName val="8 S Curve"/>
      <sheetName val="9 Man power  "/>
      <sheetName val="10 List of equipment"/>
      <sheetName val="11-Photographs"/>
      <sheetName val="12Area Concern"/>
    </sheetNames>
    <sheetDataSet>
      <sheetData sheetId="0">
        <row r="29">
          <cell r="A29" t="str">
            <v>WATER SUPPLY PIPELINE TO DIFFERENT ISLANDS ADJACENT TO RAS AL AKHDAR AREA</v>
          </cell>
        </row>
        <row r="31">
          <cell r="A31" t="str">
            <v>CONTRACT No. D-8252 VO-03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uble Flanged"/>
      <sheetName val="K bill-1"/>
      <sheetName val="K bill-2"/>
      <sheetName val="K bill-3"/>
      <sheetName val="K bill-4"/>
      <sheetName val="K bill-5"/>
      <sheetName val="K bill-6"/>
      <sheetName val="K SUMMARY "/>
      <sheetName val="OH"/>
      <sheetName val="Labour"/>
      <sheetName val="Owned Equipment "/>
      <sheetName val="Rented Equipment"/>
      <sheetName val="Cashflow"/>
      <sheetName val="Proofing "/>
      <sheetName val="Chambers "/>
      <sheetName val="Concrete Estim"/>
      <sheetName val="Ducts-marker Post +fence"/>
      <sheetName val="Fittings BD"/>
      <sheetName val="Estim-Bill No 1"/>
      <sheetName val="NDRC"/>
      <sheetName val="Dismantling "/>
      <sheetName val="Covers"/>
      <sheetName val="Valves "/>
      <sheetName val="Valves Pilot Oper"/>
      <sheetName val="Strainer "/>
      <sheetName val="Estim-Bill No 2"/>
      <sheetName val="Estim-Bill No 3"/>
      <sheetName val="Flanges Access"/>
      <sheetName val="DI Pipes "/>
      <sheetName val="Gasket+Bolts "/>
      <sheetName val="Currency Rate "/>
      <sheetName val="Burge "/>
      <sheetName val="Estim-Bill No 5"/>
      <sheetName val="Sheet1"/>
      <sheetName val="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5">
          <cell r="A15">
            <v>1.1000000000000001</v>
          </cell>
        </row>
        <row r="16">
          <cell r="A16">
            <v>1.2</v>
          </cell>
        </row>
        <row r="17">
          <cell r="A17">
            <v>1.3</v>
          </cell>
        </row>
        <row r="18">
          <cell r="A18">
            <v>1.4</v>
          </cell>
        </row>
        <row r="19">
          <cell r="A19">
            <v>1.5</v>
          </cell>
        </row>
        <row r="21">
          <cell r="A21">
            <v>1.6</v>
          </cell>
        </row>
        <row r="22">
          <cell r="A22">
            <v>1.7</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quip  (4)"/>
      <sheetName val="Labour4"/>
      <sheetName val="Labour3"/>
      <sheetName val="Labour2"/>
      <sheetName val="P1841"/>
      <sheetName val="Equip  (2)"/>
      <sheetName val="P1841 (5)"/>
      <sheetName val="Equip  (3)"/>
      <sheetName val="MANPOWER (2)"/>
      <sheetName val="Labour4 (2)"/>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LM-bill-1"/>
      <sheetName val="ELM-bill-3"/>
      <sheetName val="ELM-bill-5"/>
      <sheetName val="ELM-bill-6"/>
      <sheetName val="ELM-Summary"/>
      <sheetName val="Currency Rate "/>
      <sheetName val="Equipment"/>
      <sheetName val="Fuel+Oil"/>
      <sheetName val="Labour"/>
      <sheetName val="Esti-Bill1"/>
      <sheetName val="Port Charges"/>
      <sheetName val="Esti-Bill 2"/>
      <sheetName val="Esti-Bill3"/>
      <sheetName val="Estimation-Bill 5"/>
      <sheetName val="Fence"/>
      <sheetName val="Ducts"/>
      <sheetName val="Assessmet"/>
      <sheetName val="Proofing "/>
      <sheetName val="Chambers "/>
      <sheetName val="Flange Ada-Dis Joints "/>
      <sheetName val="Covers "/>
      <sheetName val="Skids"/>
      <sheetName val="Rubber Gas+SS Stab"/>
      <sheetName val="Valves "/>
      <sheetName val="bill-1"/>
      <sheetName val="bill-2"/>
      <sheetName val="bill-3"/>
      <sheetName val="bill-4"/>
      <sheetName val="bill-5"/>
      <sheetName val="bill-6"/>
      <sheetName val="Summary"/>
      <sheetName val="Cashflow"/>
      <sheetName val="OH-2012"/>
      <sheetName val="Comp."/>
      <sheetName val="Supply of Pipes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cell r="AB1">
            <v>28</v>
          </cell>
          <cell r="AC1">
            <v>29</v>
          </cell>
          <cell r="AD1">
            <v>30</v>
          </cell>
          <cell r="AE1">
            <v>31</v>
          </cell>
          <cell r="AF1">
            <v>32</v>
          </cell>
        </row>
        <row r="2">
          <cell r="E2" t="str">
            <v>ACIPCO</v>
          </cell>
          <cell r="M2" t="str">
            <v>Kubota</v>
          </cell>
          <cell r="U2" t="str">
            <v xml:space="preserve">SG PAM </v>
          </cell>
          <cell r="AF2" t="str">
            <v xml:space="preserve">SEDE Rates </v>
          </cell>
        </row>
        <row r="3">
          <cell r="A3" t="str">
            <v>Item</v>
          </cell>
          <cell r="B3" t="str">
            <v>Description</v>
          </cell>
          <cell r="C3" t="str">
            <v>Quantity</v>
          </cell>
          <cell r="D3" t="str">
            <v>Unit</v>
          </cell>
          <cell r="E3" t="str">
            <v xml:space="preserve">Rate </v>
          </cell>
          <cell r="F3" t="str">
            <v>Total</v>
          </cell>
          <cell r="G3" t="str">
            <v xml:space="preserve">Rate </v>
          </cell>
          <cell r="H3" t="str">
            <v xml:space="preserve">Total </v>
          </cell>
          <cell r="I3" t="str">
            <v xml:space="preserve">Custom Duties </v>
          </cell>
          <cell r="J3" t="str">
            <v xml:space="preserve">Total Customs </v>
          </cell>
          <cell r="K3" t="str">
            <v xml:space="preserve">Total Lm +Customs </v>
          </cell>
          <cell r="L3" t="str">
            <v xml:space="preserve">Grand Total </v>
          </cell>
          <cell r="M3" t="str">
            <v xml:space="preserve">Rate </v>
          </cell>
          <cell r="N3" t="str">
            <v>Total</v>
          </cell>
          <cell r="O3" t="str">
            <v xml:space="preserve">Rate </v>
          </cell>
          <cell r="P3" t="str">
            <v xml:space="preserve">Total </v>
          </cell>
          <cell r="Q3" t="str">
            <v xml:space="preserve">Custom Duties </v>
          </cell>
          <cell r="R3" t="str">
            <v xml:space="preserve">Total Customs </v>
          </cell>
          <cell r="S3" t="str">
            <v xml:space="preserve">Total Lm +Customs </v>
          </cell>
          <cell r="T3" t="str">
            <v xml:space="preserve">Grand Total </v>
          </cell>
          <cell r="U3" t="str">
            <v xml:space="preserve">Rate </v>
          </cell>
          <cell r="V3" t="str">
            <v>Discount</v>
          </cell>
          <cell r="W3" t="str">
            <v>Total</v>
          </cell>
          <cell r="X3" t="str">
            <v xml:space="preserve">Rate </v>
          </cell>
          <cell r="Y3" t="str">
            <v xml:space="preserve">Total </v>
          </cell>
          <cell r="Z3" t="str">
            <v xml:space="preserve">Custom Duties </v>
          </cell>
          <cell r="AA3" t="str">
            <v xml:space="preserve">Total Customs </v>
          </cell>
          <cell r="AB3" t="str">
            <v xml:space="preserve">Total Lm +Customs </v>
          </cell>
          <cell r="AC3" t="str">
            <v xml:space="preserve">Grand Total </v>
          </cell>
          <cell r="AF3" t="str">
            <v xml:space="preserve">Rate </v>
          </cell>
          <cell r="AG3" t="str">
            <v xml:space="preserve">Total </v>
          </cell>
        </row>
        <row r="4">
          <cell r="E4" t="str">
            <v xml:space="preserve">$/Lm </v>
          </cell>
          <cell r="F4" t="str">
            <v>$</v>
          </cell>
          <cell r="G4" t="str">
            <v xml:space="preserve">DH/Lm </v>
          </cell>
          <cell r="H4" t="str">
            <v xml:space="preserve">Dhs </v>
          </cell>
          <cell r="I4" t="str">
            <v xml:space="preserve">DH/Lm </v>
          </cell>
          <cell r="J4" t="str">
            <v xml:space="preserve">Dhs </v>
          </cell>
          <cell r="K4" t="str">
            <v xml:space="preserve">DH/Lm </v>
          </cell>
          <cell r="L4" t="str">
            <v xml:space="preserve">Dhs </v>
          </cell>
          <cell r="M4" t="str">
            <v xml:space="preserve">$/Lm </v>
          </cell>
          <cell r="N4" t="str">
            <v>$</v>
          </cell>
          <cell r="O4" t="str">
            <v xml:space="preserve">DH/Lm </v>
          </cell>
          <cell r="P4" t="str">
            <v xml:space="preserve">Dhs </v>
          </cell>
          <cell r="Q4" t="str">
            <v xml:space="preserve">DH/Lm </v>
          </cell>
          <cell r="R4" t="str">
            <v xml:space="preserve">Dhs </v>
          </cell>
          <cell r="S4" t="str">
            <v xml:space="preserve">DH/Lm </v>
          </cell>
          <cell r="T4" t="str">
            <v xml:space="preserve">Dhs </v>
          </cell>
          <cell r="U4" t="str">
            <v xml:space="preserve">$/Lm </v>
          </cell>
          <cell r="V4" t="str">
            <v xml:space="preserve">$/Lm </v>
          </cell>
          <cell r="W4" t="str">
            <v>$</v>
          </cell>
          <cell r="X4" t="str">
            <v xml:space="preserve">DH/Lm </v>
          </cell>
          <cell r="Y4" t="str">
            <v xml:space="preserve">Dhs </v>
          </cell>
          <cell r="Z4" t="str">
            <v xml:space="preserve">DH/Lm </v>
          </cell>
          <cell r="AA4" t="str">
            <v xml:space="preserve">Dhs </v>
          </cell>
          <cell r="AB4" t="str">
            <v xml:space="preserve">DH/Lm </v>
          </cell>
          <cell r="AC4" t="str">
            <v xml:space="preserve">Dhs </v>
          </cell>
          <cell r="AF4" t="str">
            <v xml:space="preserve">DH/Lm </v>
          </cell>
          <cell r="AG4" t="str">
            <v xml:space="preserve">Dhs </v>
          </cell>
        </row>
        <row r="5">
          <cell r="I5">
            <v>0.05</v>
          </cell>
        </row>
        <row r="6">
          <cell r="D6" t="str">
            <v>Currency</v>
          </cell>
          <cell r="G6">
            <v>3.68</v>
          </cell>
        </row>
        <row r="8">
          <cell r="D8" t="str">
            <v xml:space="preserve">Pipes </v>
          </cell>
          <cell r="F8">
            <v>37450112.240000002</v>
          </cell>
          <cell r="G8">
            <v>0</v>
          </cell>
          <cell r="H8">
            <v>137816412.72</v>
          </cell>
          <cell r="I8">
            <v>0</v>
          </cell>
          <cell r="J8">
            <v>6891034.8700000001</v>
          </cell>
          <cell r="K8">
            <v>0</v>
          </cell>
          <cell r="L8">
            <v>144707447.59</v>
          </cell>
          <cell r="M8">
            <v>0</v>
          </cell>
          <cell r="N8">
            <v>42741509.659999996</v>
          </cell>
          <cell r="O8">
            <v>0</v>
          </cell>
          <cell r="P8">
            <v>157289017.97999999</v>
          </cell>
          <cell r="Q8">
            <v>0</v>
          </cell>
          <cell r="R8">
            <v>7864549.8099999996</v>
          </cell>
          <cell r="S8">
            <v>0</v>
          </cell>
          <cell r="T8">
            <v>165153567.78999999</v>
          </cell>
          <cell r="U8">
            <v>0</v>
          </cell>
          <cell r="V8">
            <v>0.14000000000000001</v>
          </cell>
          <cell r="W8">
            <v>37566851.649999999</v>
          </cell>
          <cell r="X8">
            <v>0</v>
          </cell>
          <cell r="Y8">
            <v>138246185.34999999</v>
          </cell>
          <cell r="Z8">
            <v>0</v>
          </cell>
          <cell r="AA8">
            <v>6912076.3499999996</v>
          </cell>
          <cell r="AB8">
            <v>0</v>
          </cell>
          <cell r="AC8">
            <v>145158261.69999999</v>
          </cell>
          <cell r="AF8" t="str">
            <v xml:space="preserve">Wastage </v>
          </cell>
          <cell r="AG8">
            <v>145583334.44</v>
          </cell>
        </row>
        <row r="9">
          <cell r="D9" t="str">
            <v xml:space="preserve">PE Sleeves </v>
          </cell>
          <cell r="F9">
            <v>-129603.62</v>
          </cell>
          <cell r="H9">
            <v>-476941.32</v>
          </cell>
          <cell r="L9">
            <v>-476941.32</v>
          </cell>
          <cell r="T9">
            <v>0</v>
          </cell>
          <cell r="AC9">
            <v>0</v>
          </cell>
          <cell r="AF9">
            <v>3.0000000000000001E-3</v>
          </cell>
        </row>
        <row r="10">
          <cell r="D10" t="str">
            <v xml:space="preserve">Fittings </v>
          </cell>
          <cell r="F10">
            <v>1572123.1</v>
          </cell>
          <cell r="G10">
            <v>0</v>
          </cell>
          <cell r="H10">
            <v>5785413.0999999996</v>
          </cell>
          <cell r="I10">
            <v>0</v>
          </cell>
          <cell r="J10">
            <v>289270.59999999998</v>
          </cell>
          <cell r="K10">
            <v>0</v>
          </cell>
          <cell r="L10">
            <v>6074683.7000000002</v>
          </cell>
          <cell r="M10">
            <v>0</v>
          </cell>
          <cell r="N10">
            <v>1641476.37</v>
          </cell>
          <cell r="O10">
            <v>0</v>
          </cell>
          <cell r="P10">
            <v>6040633.4299999997</v>
          </cell>
          <cell r="Q10">
            <v>0</v>
          </cell>
          <cell r="R10">
            <v>302032.15999999997</v>
          </cell>
          <cell r="S10">
            <v>0</v>
          </cell>
          <cell r="T10">
            <v>6342665.5899999999</v>
          </cell>
          <cell r="U10">
            <v>0</v>
          </cell>
          <cell r="W10">
            <v>1683176.95</v>
          </cell>
          <cell r="X10">
            <v>0</v>
          </cell>
          <cell r="Y10">
            <v>6194090.1500000004</v>
          </cell>
          <cell r="Z10">
            <v>0</v>
          </cell>
          <cell r="AA10">
            <v>309705.06</v>
          </cell>
          <cell r="AB10">
            <v>0</v>
          </cell>
          <cell r="AC10">
            <v>6503795.21</v>
          </cell>
          <cell r="AG10">
            <v>6503795.21</v>
          </cell>
        </row>
        <row r="11">
          <cell r="D11" t="str">
            <v xml:space="preserve">Total </v>
          </cell>
          <cell r="F11">
            <v>38892631.719999999</v>
          </cell>
          <cell r="G11">
            <v>0</v>
          </cell>
          <cell r="H11">
            <v>143124884.5</v>
          </cell>
          <cell r="I11">
            <v>0</v>
          </cell>
          <cell r="J11">
            <v>7180305.4699999997</v>
          </cell>
          <cell r="K11">
            <v>0</v>
          </cell>
          <cell r="L11">
            <v>150305189.97</v>
          </cell>
          <cell r="M11">
            <v>0</v>
          </cell>
          <cell r="N11">
            <v>44382986.030000001</v>
          </cell>
          <cell r="O11">
            <v>0</v>
          </cell>
          <cell r="P11">
            <v>163329651.41</v>
          </cell>
          <cell r="Q11">
            <v>0</v>
          </cell>
          <cell r="R11">
            <v>8166581.9699999997</v>
          </cell>
          <cell r="S11">
            <v>0</v>
          </cell>
          <cell r="T11">
            <v>171496233.38</v>
          </cell>
          <cell r="U11">
            <v>0</v>
          </cell>
          <cell r="W11">
            <v>39250028.600000001</v>
          </cell>
          <cell r="X11">
            <v>0</v>
          </cell>
          <cell r="Y11">
            <v>144440275.5</v>
          </cell>
          <cell r="Z11">
            <v>0</v>
          </cell>
          <cell r="AA11">
            <v>7221781.4100000001</v>
          </cell>
          <cell r="AB11">
            <v>0</v>
          </cell>
          <cell r="AC11">
            <v>151662056.91</v>
          </cell>
          <cell r="AG11">
            <v>152087129.65000001</v>
          </cell>
        </row>
        <row r="12">
          <cell r="B12" t="str">
            <v>BILL NO. 1.1</v>
          </cell>
        </row>
        <row r="13">
          <cell r="B13" t="str">
            <v>SUPPLY OF PIPES</v>
          </cell>
        </row>
        <row r="15">
          <cell r="B15" t="str">
            <v>Supply Class K9 ductile iron pipe in accordance to</v>
          </cell>
        </row>
        <row r="16">
          <cell r="B16" t="str">
            <v>ISO 2531 with spigot and socket joints, zinc and bitumen</v>
          </cell>
        </row>
        <row r="17">
          <cell r="B17" t="str">
            <v>external coating and internal cement mortar lining</v>
          </cell>
        </row>
        <row r="18">
          <cell r="B18" t="str">
            <v>including polyethylene sleeves, warning tape, gaskets,</v>
          </cell>
        </row>
        <row r="19">
          <cell r="B19" t="str">
            <v>and all accessories as specified for the following</v>
          </cell>
        </row>
        <row r="20">
          <cell r="B20" t="str">
            <v>pipe sizes:</v>
          </cell>
        </row>
        <row r="22">
          <cell r="A22" t="str">
            <v>1.1.1.1</v>
          </cell>
          <cell r="B22" t="str">
            <v>1000mm dia. (2.5% of length to be gauged)</v>
          </cell>
          <cell r="C22">
            <v>110100</v>
          </cell>
          <cell r="D22" t="str">
            <v>m</v>
          </cell>
          <cell r="E22">
            <v>327</v>
          </cell>
          <cell r="F22">
            <v>36002700</v>
          </cell>
          <cell r="G22">
            <v>1203.3599999999999</v>
          </cell>
          <cell r="H22">
            <v>132489936</v>
          </cell>
          <cell r="I22">
            <v>60.17</v>
          </cell>
          <cell r="J22">
            <v>6624717</v>
          </cell>
          <cell r="K22">
            <v>1263.53</v>
          </cell>
          <cell r="L22">
            <v>139114653</v>
          </cell>
          <cell r="M22">
            <v>372.82</v>
          </cell>
          <cell r="N22">
            <v>41047482</v>
          </cell>
          <cell r="O22">
            <v>1371.98</v>
          </cell>
          <cell r="P22">
            <v>151054998</v>
          </cell>
          <cell r="Q22">
            <v>68.599999999999994</v>
          </cell>
          <cell r="R22">
            <v>7552860</v>
          </cell>
          <cell r="S22">
            <v>1440.58</v>
          </cell>
          <cell r="T22">
            <v>158607858</v>
          </cell>
          <cell r="U22">
            <v>376.02</v>
          </cell>
          <cell r="V22">
            <v>324.63</v>
          </cell>
          <cell r="W22">
            <v>35741763</v>
          </cell>
          <cell r="X22">
            <v>1194.6400000000001</v>
          </cell>
          <cell r="Y22">
            <v>131529864</v>
          </cell>
          <cell r="Z22">
            <v>59.73</v>
          </cell>
          <cell r="AA22">
            <v>6576273</v>
          </cell>
          <cell r="AB22">
            <v>1254.3699999999999</v>
          </cell>
          <cell r="AC22">
            <v>138106137</v>
          </cell>
          <cell r="AF22">
            <v>1258.1300000000001</v>
          </cell>
          <cell r="AG22">
            <v>138520113</v>
          </cell>
        </row>
        <row r="23">
          <cell r="A23" t="str">
            <v>1.1.1.2</v>
          </cell>
          <cell r="B23" t="str">
            <v>800mm dia. (10% of length to be gauged)</v>
          </cell>
          <cell r="C23">
            <v>82</v>
          </cell>
          <cell r="D23" t="str">
            <v>m</v>
          </cell>
          <cell r="E23">
            <v>248.23</v>
          </cell>
          <cell r="F23">
            <v>20354.86</v>
          </cell>
          <cell r="G23">
            <v>913.49</v>
          </cell>
          <cell r="H23">
            <v>74906.179999999993</v>
          </cell>
          <cell r="I23">
            <v>45.67</v>
          </cell>
          <cell r="J23">
            <v>3744.94</v>
          </cell>
          <cell r="K23">
            <v>959.16</v>
          </cell>
          <cell r="L23">
            <v>78651.12</v>
          </cell>
          <cell r="M23">
            <v>264.52</v>
          </cell>
          <cell r="N23">
            <v>21690.639999999999</v>
          </cell>
          <cell r="O23">
            <v>973.43</v>
          </cell>
          <cell r="P23">
            <v>79821.259999999995</v>
          </cell>
          <cell r="Q23">
            <v>48.67</v>
          </cell>
          <cell r="R23">
            <v>3990.94</v>
          </cell>
          <cell r="S23">
            <v>1022.1</v>
          </cell>
          <cell r="T23">
            <v>83812.2</v>
          </cell>
          <cell r="U23">
            <v>245.74</v>
          </cell>
          <cell r="V23">
            <v>211.34</v>
          </cell>
          <cell r="W23">
            <v>17329.88</v>
          </cell>
          <cell r="X23">
            <v>777.73</v>
          </cell>
          <cell r="Y23">
            <v>63773.86</v>
          </cell>
          <cell r="Z23">
            <v>38.89</v>
          </cell>
          <cell r="AA23">
            <v>3188.98</v>
          </cell>
          <cell r="AB23">
            <v>816.62</v>
          </cell>
          <cell r="AC23">
            <v>66962.84</v>
          </cell>
          <cell r="AF23">
            <v>819.07</v>
          </cell>
          <cell r="AG23">
            <v>67163.740000000005</v>
          </cell>
        </row>
        <row r="24">
          <cell r="A24" t="str">
            <v>1.1.1.3</v>
          </cell>
          <cell r="B24" t="str">
            <v>600mm dia. (10% of length to be gauged)</v>
          </cell>
          <cell r="C24">
            <v>2142</v>
          </cell>
          <cell r="D24" t="str">
            <v>m</v>
          </cell>
          <cell r="E24">
            <v>159.07</v>
          </cell>
          <cell r="F24">
            <v>340727.94</v>
          </cell>
          <cell r="G24">
            <v>585.38</v>
          </cell>
          <cell r="H24">
            <v>1253883.96</v>
          </cell>
          <cell r="I24">
            <v>29.27</v>
          </cell>
          <cell r="J24">
            <v>62696.34</v>
          </cell>
          <cell r="K24">
            <v>614.65</v>
          </cell>
          <cell r="L24">
            <v>1316580.3</v>
          </cell>
          <cell r="M24">
            <v>163.38</v>
          </cell>
          <cell r="N24">
            <v>349959.96</v>
          </cell>
          <cell r="O24">
            <v>601.24</v>
          </cell>
          <cell r="P24">
            <v>1287856.08</v>
          </cell>
          <cell r="Q24">
            <v>30.06</v>
          </cell>
          <cell r="R24">
            <v>64388.52</v>
          </cell>
          <cell r="S24">
            <v>631.29999999999995</v>
          </cell>
          <cell r="T24">
            <v>1352244.6</v>
          </cell>
          <cell r="U24">
            <v>156.24</v>
          </cell>
          <cell r="V24">
            <v>134.37</v>
          </cell>
          <cell r="W24">
            <v>287820.53999999998</v>
          </cell>
          <cell r="X24">
            <v>494.48</v>
          </cell>
          <cell r="Y24">
            <v>1059176.1599999999</v>
          </cell>
          <cell r="Z24">
            <v>24.72</v>
          </cell>
          <cell r="AA24">
            <v>52950.239999999998</v>
          </cell>
          <cell r="AB24">
            <v>519.20000000000005</v>
          </cell>
          <cell r="AC24">
            <v>1112126.3999999999</v>
          </cell>
          <cell r="AF24">
            <v>520.76</v>
          </cell>
          <cell r="AG24">
            <v>1115467.92</v>
          </cell>
        </row>
        <row r="25">
          <cell r="A25" t="str">
            <v>1.1.1.4</v>
          </cell>
          <cell r="B25" t="str">
            <v>400mm dia. (10% of length to be gauged)</v>
          </cell>
          <cell r="C25">
            <v>510</v>
          </cell>
          <cell r="D25" t="str">
            <v>m</v>
          </cell>
          <cell r="E25">
            <v>88.83</v>
          </cell>
          <cell r="F25">
            <v>45303.3</v>
          </cell>
          <cell r="G25">
            <v>326.89</v>
          </cell>
          <cell r="H25">
            <v>166713.9</v>
          </cell>
          <cell r="I25">
            <v>16.34</v>
          </cell>
          <cell r="J25">
            <v>8333.4</v>
          </cell>
          <cell r="K25">
            <v>343.23</v>
          </cell>
          <cell r="L25">
            <v>175047.3</v>
          </cell>
          <cell r="M25">
            <v>89.59</v>
          </cell>
          <cell r="N25">
            <v>45690.9</v>
          </cell>
          <cell r="O25">
            <v>329.69</v>
          </cell>
          <cell r="P25">
            <v>168141.9</v>
          </cell>
          <cell r="Q25">
            <v>16.48</v>
          </cell>
          <cell r="R25">
            <v>8404.7999999999993</v>
          </cell>
          <cell r="S25">
            <v>346.17</v>
          </cell>
          <cell r="T25">
            <v>176546.7</v>
          </cell>
          <cell r="U25">
            <v>91.4</v>
          </cell>
          <cell r="V25">
            <v>78.599999999999994</v>
          </cell>
          <cell r="W25">
            <v>40086</v>
          </cell>
          <cell r="X25">
            <v>289.25</v>
          </cell>
          <cell r="Y25">
            <v>147517.5</v>
          </cell>
          <cell r="Z25">
            <v>14.46</v>
          </cell>
          <cell r="AA25">
            <v>7374.6</v>
          </cell>
          <cell r="AB25">
            <v>303.70999999999998</v>
          </cell>
          <cell r="AC25">
            <v>154892.1</v>
          </cell>
          <cell r="AF25">
            <v>304.62</v>
          </cell>
          <cell r="AG25">
            <v>155356.20000000001</v>
          </cell>
        </row>
        <row r="26">
          <cell r="A26" t="str">
            <v>1.1.1.5</v>
          </cell>
          <cell r="B26" t="str">
            <v>300mm dia.</v>
          </cell>
          <cell r="C26">
            <v>20</v>
          </cell>
          <cell r="D26" t="str">
            <v>m</v>
          </cell>
          <cell r="E26">
            <v>58.58</v>
          </cell>
          <cell r="F26">
            <v>1171.5999999999999</v>
          </cell>
          <cell r="G26">
            <v>215.57</v>
          </cell>
          <cell r="H26">
            <v>4311.3999999999996</v>
          </cell>
          <cell r="I26">
            <v>10.78</v>
          </cell>
          <cell r="J26">
            <v>215.6</v>
          </cell>
          <cell r="K26">
            <v>226.35</v>
          </cell>
          <cell r="L26">
            <v>4527</v>
          </cell>
          <cell r="M26">
            <v>57.85</v>
          </cell>
          <cell r="N26">
            <v>1157</v>
          </cell>
          <cell r="O26">
            <v>212.89</v>
          </cell>
          <cell r="P26">
            <v>4257.8</v>
          </cell>
          <cell r="Q26">
            <v>10.64</v>
          </cell>
          <cell r="R26">
            <v>212.8</v>
          </cell>
          <cell r="S26">
            <v>223.53</v>
          </cell>
          <cell r="T26">
            <v>4470.6000000000004</v>
          </cell>
          <cell r="U26">
            <v>66.25</v>
          </cell>
          <cell r="V26">
            <v>56.98</v>
          </cell>
          <cell r="W26">
            <v>1139.5999999999999</v>
          </cell>
          <cell r="X26">
            <v>209.69</v>
          </cell>
          <cell r="Y26">
            <v>4193.8</v>
          </cell>
          <cell r="Z26">
            <v>10.48</v>
          </cell>
          <cell r="AA26">
            <v>209.6</v>
          </cell>
          <cell r="AB26">
            <v>220.17</v>
          </cell>
          <cell r="AC26">
            <v>4403.3999999999996</v>
          </cell>
          <cell r="AF26">
            <v>220.83</v>
          </cell>
          <cell r="AG26">
            <v>4416.6000000000004</v>
          </cell>
        </row>
        <row r="27">
          <cell r="A27" t="str">
            <v>1.1.1.6</v>
          </cell>
          <cell r="B27" t="str">
            <v>200mm dia.</v>
          </cell>
          <cell r="C27">
            <v>392</v>
          </cell>
          <cell r="D27" t="str">
            <v>m</v>
          </cell>
          <cell r="E27">
            <v>35.200000000000003</v>
          </cell>
          <cell r="F27">
            <v>13798.4</v>
          </cell>
          <cell r="G27">
            <v>129.54</v>
          </cell>
          <cell r="H27">
            <v>50779.68</v>
          </cell>
          <cell r="I27">
            <v>6.48</v>
          </cell>
          <cell r="J27">
            <v>2540.16</v>
          </cell>
          <cell r="K27">
            <v>136.02000000000001</v>
          </cell>
          <cell r="L27">
            <v>53319.839999999997</v>
          </cell>
          <cell r="M27">
            <v>34</v>
          </cell>
          <cell r="N27">
            <v>13328</v>
          </cell>
          <cell r="O27">
            <v>125.12</v>
          </cell>
          <cell r="P27">
            <v>49047.040000000001</v>
          </cell>
          <cell r="Q27">
            <v>6.26</v>
          </cell>
          <cell r="R27">
            <v>2453.92</v>
          </cell>
          <cell r="S27">
            <v>131.38</v>
          </cell>
          <cell r="T27">
            <v>51500.959999999999</v>
          </cell>
          <cell r="U27">
            <v>42.09</v>
          </cell>
          <cell r="V27">
            <v>36.200000000000003</v>
          </cell>
          <cell r="W27">
            <v>14190.4</v>
          </cell>
          <cell r="X27">
            <v>133.22</v>
          </cell>
          <cell r="Y27">
            <v>52222.239999999998</v>
          </cell>
          <cell r="Z27">
            <v>6.66</v>
          </cell>
          <cell r="AA27">
            <v>2610.7199999999998</v>
          </cell>
          <cell r="AB27">
            <v>139.88</v>
          </cell>
          <cell r="AC27">
            <v>54832.959999999999</v>
          </cell>
          <cell r="AF27">
            <v>140.30000000000001</v>
          </cell>
          <cell r="AG27">
            <v>54997.599999999999</v>
          </cell>
        </row>
        <row r="28">
          <cell r="A28" t="str">
            <v>1.1.1.7</v>
          </cell>
          <cell r="B28" t="str">
            <v>100mm dia.</v>
          </cell>
          <cell r="C28">
            <v>102</v>
          </cell>
          <cell r="D28" t="str">
            <v>m</v>
          </cell>
          <cell r="E28">
            <v>18.489999999999998</v>
          </cell>
          <cell r="F28">
            <v>1885.98</v>
          </cell>
          <cell r="G28">
            <v>68.040000000000006</v>
          </cell>
          <cell r="H28">
            <v>6940.08</v>
          </cell>
          <cell r="I28">
            <v>3.4</v>
          </cell>
          <cell r="J28">
            <v>346.8</v>
          </cell>
          <cell r="K28">
            <v>71.44</v>
          </cell>
          <cell r="L28">
            <v>7286.88</v>
          </cell>
          <cell r="M28">
            <v>16.07</v>
          </cell>
          <cell r="N28">
            <v>1639.14</v>
          </cell>
          <cell r="O28">
            <v>59.14</v>
          </cell>
          <cell r="P28">
            <v>6032.28</v>
          </cell>
          <cell r="Q28">
            <v>2.96</v>
          </cell>
          <cell r="R28">
            <v>301.92</v>
          </cell>
          <cell r="S28">
            <v>62.1</v>
          </cell>
          <cell r="T28">
            <v>6334.2</v>
          </cell>
          <cell r="U28">
            <v>19.309999999999999</v>
          </cell>
          <cell r="V28">
            <v>16.61</v>
          </cell>
          <cell r="W28">
            <v>1694.22</v>
          </cell>
          <cell r="X28">
            <v>61.12</v>
          </cell>
          <cell r="Y28">
            <v>6234.24</v>
          </cell>
          <cell r="Z28">
            <v>3.06</v>
          </cell>
          <cell r="AA28">
            <v>312.12</v>
          </cell>
          <cell r="AB28">
            <v>64.180000000000007</v>
          </cell>
          <cell r="AC28">
            <v>6546.36</v>
          </cell>
          <cell r="AF28">
            <v>64.37</v>
          </cell>
          <cell r="AG28">
            <v>6565.74</v>
          </cell>
        </row>
        <row r="29">
          <cell r="F29">
            <v>0</v>
          </cell>
          <cell r="G29">
            <v>0</v>
          </cell>
          <cell r="H29">
            <v>0</v>
          </cell>
          <cell r="I29">
            <v>0</v>
          </cell>
          <cell r="J29">
            <v>0</v>
          </cell>
          <cell r="K29">
            <v>0</v>
          </cell>
          <cell r="L29">
            <v>0</v>
          </cell>
          <cell r="N29">
            <v>0</v>
          </cell>
          <cell r="O29">
            <v>0</v>
          </cell>
          <cell r="P29">
            <v>0</v>
          </cell>
          <cell r="Q29">
            <v>0</v>
          </cell>
          <cell r="R29">
            <v>0</v>
          </cell>
          <cell r="S29">
            <v>0</v>
          </cell>
          <cell r="T29">
            <v>0</v>
          </cell>
          <cell r="W29">
            <v>0</v>
          </cell>
          <cell r="X29">
            <v>0</v>
          </cell>
          <cell r="Y29">
            <v>0</v>
          </cell>
          <cell r="Z29">
            <v>0</v>
          </cell>
          <cell r="AA29">
            <v>0</v>
          </cell>
          <cell r="AB29">
            <v>0</v>
          </cell>
          <cell r="AC29">
            <v>0</v>
          </cell>
          <cell r="AF29">
            <v>0</v>
          </cell>
          <cell r="AG29">
            <v>0</v>
          </cell>
        </row>
        <row r="30">
          <cell r="B30" t="str">
            <v>Supply pipes as per Item 1.1.1 but suitable to accommodate</v>
          </cell>
          <cell r="F30">
            <v>0</v>
          </cell>
          <cell r="G30">
            <v>0</v>
          </cell>
          <cell r="H30">
            <v>0</v>
          </cell>
          <cell r="I30">
            <v>0</v>
          </cell>
          <cell r="J30">
            <v>0</v>
          </cell>
          <cell r="K30">
            <v>0</v>
          </cell>
          <cell r="L30">
            <v>0</v>
          </cell>
          <cell r="N30">
            <v>0</v>
          </cell>
          <cell r="O30">
            <v>0</v>
          </cell>
          <cell r="P30">
            <v>0</v>
          </cell>
          <cell r="Q30">
            <v>0</v>
          </cell>
          <cell r="R30">
            <v>0</v>
          </cell>
          <cell r="S30">
            <v>0</v>
          </cell>
          <cell r="T30">
            <v>0</v>
          </cell>
          <cell r="W30">
            <v>0</v>
          </cell>
          <cell r="X30">
            <v>0</v>
          </cell>
          <cell r="Y30">
            <v>0</v>
          </cell>
          <cell r="Z30">
            <v>0</v>
          </cell>
          <cell r="AA30">
            <v>0</v>
          </cell>
          <cell r="AB30">
            <v>0</v>
          </cell>
          <cell r="AC30">
            <v>0</v>
          </cell>
          <cell r="AF30">
            <v>0</v>
          </cell>
          <cell r="AG30">
            <v>0</v>
          </cell>
        </row>
        <row r="31">
          <cell r="B31" t="str">
            <v xml:space="preserve">a mechanical restrained joint all as specified of the </v>
          </cell>
          <cell r="F31">
            <v>0</v>
          </cell>
          <cell r="G31">
            <v>0</v>
          </cell>
          <cell r="H31">
            <v>0</v>
          </cell>
          <cell r="I31">
            <v>0</v>
          </cell>
          <cell r="J31">
            <v>0</v>
          </cell>
          <cell r="K31">
            <v>0</v>
          </cell>
          <cell r="L31">
            <v>0</v>
          </cell>
          <cell r="N31">
            <v>0</v>
          </cell>
          <cell r="O31">
            <v>0</v>
          </cell>
          <cell r="P31">
            <v>0</v>
          </cell>
          <cell r="Q31">
            <v>0</v>
          </cell>
          <cell r="R31">
            <v>0</v>
          </cell>
          <cell r="S31">
            <v>0</v>
          </cell>
          <cell r="T31">
            <v>0</v>
          </cell>
          <cell r="W31">
            <v>0</v>
          </cell>
          <cell r="X31">
            <v>0</v>
          </cell>
          <cell r="Y31">
            <v>0</v>
          </cell>
          <cell r="Z31">
            <v>0</v>
          </cell>
          <cell r="AA31">
            <v>0</v>
          </cell>
          <cell r="AB31">
            <v>0</v>
          </cell>
          <cell r="AC31">
            <v>0</v>
          </cell>
          <cell r="AF31">
            <v>0</v>
          </cell>
          <cell r="AG31">
            <v>0</v>
          </cell>
        </row>
        <row r="32">
          <cell r="B32" t="str">
            <v>following sizes:</v>
          </cell>
          <cell r="F32">
            <v>0</v>
          </cell>
          <cell r="G32">
            <v>0</v>
          </cell>
          <cell r="H32">
            <v>0</v>
          </cell>
          <cell r="I32">
            <v>0</v>
          </cell>
          <cell r="J32">
            <v>0</v>
          </cell>
          <cell r="K32">
            <v>0</v>
          </cell>
          <cell r="L32">
            <v>0</v>
          </cell>
          <cell r="N32">
            <v>0</v>
          </cell>
          <cell r="O32">
            <v>0</v>
          </cell>
          <cell r="P32">
            <v>0</v>
          </cell>
          <cell r="Q32">
            <v>0</v>
          </cell>
          <cell r="R32">
            <v>0</v>
          </cell>
          <cell r="S32">
            <v>0</v>
          </cell>
          <cell r="T32">
            <v>0</v>
          </cell>
          <cell r="W32">
            <v>0</v>
          </cell>
          <cell r="X32">
            <v>0</v>
          </cell>
          <cell r="Y32">
            <v>0</v>
          </cell>
          <cell r="Z32">
            <v>0</v>
          </cell>
          <cell r="AA32">
            <v>0</v>
          </cell>
          <cell r="AB32">
            <v>0</v>
          </cell>
          <cell r="AC32">
            <v>0</v>
          </cell>
          <cell r="AF32">
            <v>0</v>
          </cell>
          <cell r="AG32">
            <v>0</v>
          </cell>
        </row>
        <row r="33">
          <cell r="F33">
            <v>0</v>
          </cell>
          <cell r="G33">
            <v>0</v>
          </cell>
          <cell r="H33">
            <v>0</v>
          </cell>
          <cell r="I33">
            <v>0</v>
          </cell>
          <cell r="J33">
            <v>0</v>
          </cell>
          <cell r="K33">
            <v>0</v>
          </cell>
          <cell r="L33">
            <v>0</v>
          </cell>
          <cell r="N33">
            <v>0</v>
          </cell>
          <cell r="O33">
            <v>0</v>
          </cell>
          <cell r="P33">
            <v>0</v>
          </cell>
          <cell r="Q33">
            <v>0</v>
          </cell>
          <cell r="R33">
            <v>0</v>
          </cell>
          <cell r="S33">
            <v>0</v>
          </cell>
          <cell r="T33">
            <v>0</v>
          </cell>
          <cell r="W33">
            <v>0</v>
          </cell>
          <cell r="X33">
            <v>0</v>
          </cell>
          <cell r="Y33">
            <v>0</v>
          </cell>
          <cell r="Z33">
            <v>0</v>
          </cell>
          <cell r="AA33">
            <v>0</v>
          </cell>
          <cell r="AB33">
            <v>0</v>
          </cell>
          <cell r="AC33">
            <v>0</v>
          </cell>
          <cell r="AF33">
            <v>0</v>
          </cell>
          <cell r="AG33">
            <v>0</v>
          </cell>
        </row>
        <row r="34">
          <cell r="A34" t="str">
            <v>1.1.2.1</v>
          </cell>
          <cell r="B34" t="str">
            <v>1000mm dia.</v>
          </cell>
          <cell r="C34">
            <v>1000</v>
          </cell>
          <cell r="D34" t="str">
            <v>m</v>
          </cell>
          <cell r="E34">
            <v>486.11</v>
          </cell>
          <cell r="F34">
            <v>486110</v>
          </cell>
          <cell r="G34">
            <v>1788.88</v>
          </cell>
          <cell r="H34">
            <v>1788880</v>
          </cell>
          <cell r="I34">
            <v>89.44</v>
          </cell>
          <cell r="J34">
            <v>89440</v>
          </cell>
          <cell r="K34">
            <v>1878.32</v>
          </cell>
          <cell r="L34">
            <v>1878320</v>
          </cell>
          <cell r="M34">
            <v>486.11</v>
          </cell>
          <cell r="N34">
            <v>486110</v>
          </cell>
          <cell r="O34">
            <v>1788.88</v>
          </cell>
          <cell r="P34">
            <v>1788880</v>
          </cell>
          <cell r="Q34">
            <v>89.44</v>
          </cell>
          <cell r="R34">
            <v>89440</v>
          </cell>
          <cell r="S34">
            <v>1878.32</v>
          </cell>
          <cell r="T34">
            <v>1878320</v>
          </cell>
          <cell r="U34">
            <v>619.47</v>
          </cell>
          <cell r="V34">
            <v>532.74</v>
          </cell>
          <cell r="W34">
            <v>532740</v>
          </cell>
          <cell r="X34">
            <v>1960.48</v>
          </cell>
          <cell r="Y34">
            <v>1960480</v>
          </cell>
          <cell r="Z34">
            <v>98.02</v>
          </cell>
          <cell r="AA34">
            <v>98020</v>
          </cell>
          <cell r="AB34">
            <v>2058.5</v>
          </cell>
          <cell r="AC34">
            <v>2058500</v>
          </cell>
          <cell r="AF34">
            <v>2064.6799999999998</v>
          </cell>
          <cell r="AG34">
            <v>2064680</v>
          </cell>
        </row>
        <row r="35">
          <cell r="A35" t="str">
            <v>1.1.2.2</v>
          </cell>
          <cell r="B35" t="str">
            <v>600mm dia.</v>
          </cell>
          <cell r="C35">
            <v>200</v>
          </cell>
          <cell r="D35" t="str">
            <v>m</v>
          </cell>
          <cell r="E35">
            <v>218.74</v>
          </cell>
          <cell r="F35">
            <v>43748</v>
          </cell>
          <cell r="G35">
            <v>804.96</v>
          </cell>
          <cell r="H35">
            <v>160992</v>
          </cell>
          <cell r="I35">
            <v>40.25</v>
          </cell>
          <cell r="J35">
            <v>8050</v>
          </cell>
          <cell r="K35">
            <v>845.21</v>
          </cell>
          <cell r="L35">
            <v>169042</v>
          </cell>
          <cell r="M35">
            <v>218.74</v>
          </cell>
          <cell r="N35">
            <v>43748</v>
          </cell>
          <cell r="O35">
            <v>804.96</v>
          </cell>
          <cell r="P35">
            <v>160992</v>
          </cell>
          <cell r="Q35">
            <v>40.25</v>
          </cell>
          <cell r="R35">
            <v>8050</v>
          </cell>
          <cell r="S35">
            <v>845.21</v>
          </cell>
          <cell r="T35">
            <v>169042</v>
          </cell>
          <cell r="U35">
            <v>229.28</v>
          </cell>
          <cell r="V35">
            <v>197.18</v>
          </cell>
          <cell r="W35">
            <v>39436</v>
          </cell>
          <cell r="X35">
            <v>725.62</v>
          </cell>
          <cell r="Y35">
            <v>145124</v>
          </cell>
          <cell r="Z35">
            <v>36.28</v>
          </cell>
          <cell r="AA35">
            <v>7256</v>
          </cell>
          <cell r="AB35">
            <v>761.9</v>
          </cell>
          <cell r="AC35">
            <v>152380</v>
          </cell>
          <cell r="AF35">
            <v>764.19</v>
          </cell>
          <cell r="AG35">
            <v>152838</v>
          </cell>
        </row>
        <row r="36">
          <cell r="A36" t="str">
            <v>1.1.2.3</v>
          </cell>
          <cell r="B36" t="str">
            <v>400mm dia.</v>
          </cell>
          <cell r="C36">
            <v>50</v>
          </cell>
          <cell r="D36" t="str">
            <v>m</v>
          </cell>
          <cell r="E36">
            <v>127.59</v>
          </cell>
          <cell r="F36">
            <v>6379.5</v>
          </cell>
          <cell r="G36">
            <v>469.53</v>
          </cell>
          <cell r="H36">
            <v>23476.5</v>
          </cell>
          <cell r="I36">
            <v>23.48</v>
          </cell>
          <cell r="J36">
            <v>1174</v>
          </cell>
          <cell r="K36">
            <v>493.01</v>
          </cell>
          <cell r="L36">
            <v>24650.5</v>
          </cell>
          <cell r="M36">
            <v>127.59</v>
          </cell>
          <cell r="N36">
            <v>6379.5</v>
          </cell>
          <cell r="O36">
            <v>469.53</v>
          </cell>
          <cell r="P36">
            <v>23476.5</v>
          </cell>
          <cell r="Q36">
            <v>23.48</v>
          </cell>
          <cell r="R36">
            <v>1174</v>
          </cell>
          <cell r="S36">
            <v>493.01</v>
          </cell>
          <cell r="T36">
            <v>24650.5</v>
          </cell>
          <cell r="U36">
            <v>132.88999999999999</v>
          </cell>
          <cell r="V36">
            <v>114.29</v>
          </cell>
          <cell r="W36">
            <v>5714.5</v>
          </cell>
          <cell r="X36">
            <v>420.59</v>
          </cell>
          <cell r="Y36">
            <v>21029.5</v>
          </cell>
          <cell r="Z36">
            <v>21.03</v>
          </cell>
          <cell r="AA36">
            <v>1051.5</v>
          </cell>
          <cell r="AB36">
            <v>441.62</v>
          </cell>
          <cell r="AC36">
            <v>22081</v>
          </cell>
          <cell r="AF36">
            <v>442.94</v>
          </cell>
          <cell r="AG36">
            <v>22147</v>
          </cell>
        </row>
        <row r="37">
          <cell r="A37" t="str">
            <v>1.1.2.4</v>
          </cell>
          <cell r="B37" t="str">
            <v>200mm dia.</v>
          </cell>
          <cell r="C37">
            <v>300</v>
          </cell>
          <cell r="D37" t="str">
            <v>m</v>
          </cell>
          <cell r="E37">
            <v>70.73</v>
          </cell>
          <cell r="F37">
            <v>21219</v>
          </cell>
          <cell r="G37">
            <v>260.29000000000002</v>
          </cell>
          <cell r="H37">
            <v>78087</v>
          </cell>
          <cell r="I37">
            <v>13.01</v>
          </cell>
          <cell r="J37">
            <v>3903</v>
          </cell>
          <cell r="K37">
            <v>273.3</v>
          </cell>
          <cell r="L37">
            <v>81990</v>
          </cell>
          <cell r="M37">
            <v>70.73</v>
          </cell>
          <cell r="N37">
            <v>21219</v>
          </cell>
          <cell r="O37">
            <v>260.29000000000002</v>
          </cell>
          <cell r="P37">
            <v>78087</v>
          </cell>
          <cell r="Q37">
            <v>13.01</v>
          </cell>
          <cell r="R37">
            <v>3903</v>
          </cell>
          <cell r="S37">
            <v>273.3</v>
          </cell>
          <cell r="T37">
            <v>81990</v>
          </cell>
          <cell r="U37">
            <v>63.07</v>
          </cell>
          <cell r="V37">
            <v>54.24</v>
          </cell>
          <cell r="W37">
            <v>16272</v>
          </cell>
          <cell r="X37">
            <v>199.6</v>
          </cell>
          <cell r="Y37">
            <v>59880</v>
          </cell>
          <cell r="Z37">
            <v>9.98</v>
          </cell>
          <cell r="AA37">
            <v>2994</v>
          </cell>
          <cell r="AB37">
            <v>209.58</v>
          </cell>
          <cell r="AC37">
            <v>62874</v>
          </cell>
          <cell r="AF37">
            <v>210.21</v>
          </cell>
          <cell r="AG37">
            <v>63063</v>
          </cell>
        </row>
        <row r="38">
          <cell r="F38">
            <v>0</v>
          </cell>
          <cell r="G38">
            <v>0</v>
          </cell>
          <cell r="H38">
            <v>0</v>
          </cell>
          <cell r="I38">
            <v>0</v>
          </cell>
          <cell r="J38">
            <v>0</v>
          </cell>
          <cell r="K38">
            <v>0</v>
          </cell>
          <cell r="L38">
            <v>0</v>
          </cell>
          <cell r="N38">
            <v>0</v>
          </cell>
          <cell r="O38">
            <v>0</v>
          </cell>
          <cell r="P38">
            <v>0</v>
          </cell>
          <cell r="Q38">
            <v>0</v>
          </cell>
          <cell r="R38">
            <v>0</v>
          </cell>
          <cell r="S38">
            <v>0</v>
          </cell>
          <cell r="T38">
            <v>0</v>
          </cell>
          <cell r="V38">
            <v>0</v>
          </cell>
          <cell r="W38">
            <v>0</v>
          </cell>
          <cell r="X38">
            <v>0</v>
          </cell>
          <cell r="Y38">
            <v>0</v>
          </cell>
          <cell r="Z38">
            <v>0</v>
          </cell>
          <cell r="AA38">
            <v>0</v>
          </cell>
          <cell r="AB38">
            <v>0</v>
          </cell>
          <cell r="AC38">
            <v>0</v>
          </cell>
          <cell r="AF38">
            <v>0</v>
          </cell>
          <cell r="AG38">
            <v>0</v>
          </cell>
        </row>
        <row r="39">
          <cell r="B39" t="str">
            <v>Supply D.I. Pipes as per Item 1.1.1 but with double spigot</v>
          </cell>
          <cell r="F39">
            <v>0</v>
          </cell>
          <cell r="G39">
            <v>0</v>
          </cell>
          <cell r="H39">
            <v>0</v>
          </cell>
          <cell r="I39">
            <v>0</v>
          </cell>
          <cell r="J39">
            <v>0</v>
          </cell>
          <cell r="K39">
            <v>0</v>
          </cell>
          <cell r="L39">
            <v>0</v>
          </cell>
          <cell r="N39">
            <v>0</v>
          </cell>
          <cell r="O39">
            <v>0</v>
          </cell>
          <cell r="P39">
            <v>0</v>
          </cell>
          <cell r="Q39">
            <v>0</v>
          </cell>
          <cell r="R39">
            <v>0</v>
          </cell>
          <cell r="S39">
            <v>0</v>
          </cell>
          <cell r="T39">
            <v>0</v>
          </cell>
          <cell r="V39">
            <v>0</v>
          </cell>
          <cell r="W39">
            <v>0</v>
          </cell>
          <cell r="X39">
            <v>0</v>
          </cell>
          <cell r="Y39">
            <v>0</v>
          </cell>
          <cell r="Z39">
            <v>0</v>
          </cell>
          <cell r="AA39">
            <v>0</v>
          </cell>
          <cell r="AB39">
            <v>0</v>
          </cell>
          <cell r="AC39">
            <v>0</v>
          </cell>
          <cell r="AF39">
            <v>0</v>
          </cell>
          <cell r="AG39">
            <v>0</v>
          </cell>
        </row>
        <row r="40">
          <cell r="B40" t="str">
            <v xml:space="preserve">joints and with internal cement lining and external  </v>
          </cell>
          <cell r="F40">
            <v>0</v>
          </cell>
          <cell r="G40">
            <v>0</v>
          </cell>
          <cell r="H40">
            <v>0</v>
          </cell>
          <cell r="I40">
            <v>0</v>
          </cell>
          <cell r="J40">
            <v>0</v>
          </cell>
          <cell r="K40">
            <v>0</v>
          </cell>
          <cell r="L40">
            <v>0</v>
          </cell>
          <cell r="N40">
            <v>0</v>
          </cell>
          <cell r="O40">
            <v>0</v>
          </cell>
          <cell r="P40">
            <v>0</v>
          </cell>
          <cell r="Q40">
            <v>0</v>
          </cell>
          <cell r="R40">
            <v>0</v>
          </cell>
          <cell r="S40">
            <v>0</v>
          </cell>
          <cell r="T40">
            <v>0</v>
          </cell>
          <cell r="V40">
            <v>0</v>
          </cell>
          <cell r="W40">
            <v>0</v>
          </cell>
          <cell r="X40">
            <v>0</v>
          </cell>
          <cell r="Y40">
            <v>0</v>
          </cell>
          <cell r="Z40">
            <v>0</v>
          </cell>
          <cell r="AA40">
            <v>0</v>
          </cell>
          <cell r="AB40">
            <v>0</v>
          </cell>
          <cell r="AC40">
            <v>0</v>
          </cell>
          <cell r="AF40">
            <v>0</v>
          </cell>
          <cell r="AG40">
            <v>0</v>
          </cell>
        </row>
        <row r="41">
          <cell r="B41" t="str">
            <v xml:space="preserve">protection of zinc plus liquid applied epoxy coating of </v>
          </cell>
          <cell r="F41">
            <v>0</v>
          </cell>
          <cell r="G41">
            <v>0</v>
          </cell>
          <cell r="H41">
            <v>0</v>
          </cell>
          <cell r="I41">
            <v>0</v>
          </cell>
          <cell r="J41">
            <v>0</v>
          </cell>
          <cell r="K41">
            <v>0</v>
          </cell>
          <cell r="L41">
            <v>0</v>
          </cell>
          <cell r="N41">
            <v>0</v>
          </cell>
          <cell r="O41">
            <v>0</v>
          </cell>
          <cell r="P41">
            <v>0</v>
          </cell>
          <cell r="Q41">
            <v>0</v>
          </cell>
          <cell r="R41">
            <v>0</v>
          </cell>
          <cell r="S41">
            <v>0</v>
          </cell>
          <cell r="T41">
            <v>0</v>
          </cell>
          <cell r="V41">
            <v>0</v>
          </cell>
          <cell r="W41">
            <v>0</v>
          </cell>
          <cell r="X41">
            <v>0</v>
          </cell>
          <cell r="Y41">
            <v>0</v>
          </cell>
          <cell r="Z41">
            <v>0</v>
          </cell>
          <cell r="AA41">
            <v>0</v>
          </cell>
          <cell r="AB41">
            <v>0</v>
          </cell>
          <cell r="AC41">
            <v>0</v>
          </cell>
          <cell r="AF41">
            <v>0</v>
          </cell>
          <cell r="AG41">
            <v>0</v>
          </cell>
        </row>
        <row r="42">
          <cell r="B42" t="str">
            <v>the following sizes:</v>
          </cell>
          <cell r="F42">
            <v>0</v>
          </cell>
          <cell r="G42">
            <v>0</v>
          </cell>
          <cell r="H42">
            <v>0</v>
          </cell>
          <cell r="I42">
            <v>0</v>
          </cell>
          <cell r="J42">
            <v>0</v>
          </cell>
          <cell r="K42">
            <v>0</v>
          </cell>
          <cell r="L42">
            <v>0</v>
          </cell>
          <cell r="N42">
            <v>0</v>
          </cell>
          <cell r="O42">
            <v>0</v>
          </cell>
          <cell r="P42">
            <v>0</v>
          </cell>
          <cell r="Q42">
            <v>0</v>
          </cell>
          <cell r="R42">
            <v>0</v>
          </cell>
          <cell r="S42">
            <v>0</v>
          </cell>
          <cell r="T42">
            <v>0</v>
          </cell>
          <cell r="V42">
            <v>0</v>
          </cell>
          <cell r="W42">
            <v>0</v>
          </cell>
          <cell r="X42">
            <v>0</v>
          </cell>
          <cell r="Y42">
            <v>0</v>
          </cell>
          <cell r="Z42">
            <v>0</v>
          </cell>
          <cell r="AA42">
            <v>0</v>
          </cell>
          <cell r="AB42">
            <v>0</v>
          </cell>
          <cell r="AC42">
            <v>0</v>
          </cell>
          <cell r="AF42">
            <v>0</v>
          </cell>
          <cell r="AG42">
            <v>0</v>
          </cell>
        </row>
        <row r="43">
          <cell r="F43">
            <v>0</v>
          </cell>
          <cell r="G43">
            <v>0</v>
          </cell>
          <cell r="H43">
            <v>0</v>
          </cell>
          <cell r="I43">
            <v>0</v>
          </cell>
          <cell r="J43">
            <v>0</v>
          </cell>
          <cell r="K43">
            <v>0</v>
          </cell>
          <cell r="L43">
            <v>0</v>
          </cell>
          <cell r="N43">
            <v>0</v>
          </cell>
          <cell r="O43">
            <v>0</v>
          </cell>
          <cell r="P43">
            <v>0</v>
          </cell>
          <cell r="Q43">
            <v>0</v>
          </cell>
          <cell r="R43">
            <v>0</v>
          </cell>
          <cell r="S43">
            <v>0</v>
          </cell>
          <cell r="T43">
            <v>0</v>
          </cell>
          <cell r="V43">
            <v>0</v>
          </cell>
          <cell r="W43">
            <v>0</v>
          </cell>
          <cell r="X43">
            <v>0</v>
          </cell>
          <cell r="Y43">
            <v>0</v>
          </cell>
          <cell r="Z43">
            <v>0</v>
          </cell>
          <cell r="AA43">
            <v>0</v>
          </cell>
          <cell r="AB43">
            <v>0</v>
          </cell>
          <cell r="AC43">
            <v>0</v>
          </cell>
          <cell r="AF43">
            <v>0</v>
          </cell>
          <cell r="AG43">
            <v>0</v>
          </cell>
        </row>
        <row r="44">
          <cell r="A44" t="str">
            <v>1.1.3.1</v>
          </cell>
          <cell r="B44" t="str">
            <v>1000mm dia. (length = 2 meters)</v>
          </cell>
          <cell r="C44">
            <v>64</v>
          </cell>
          <cell r="D44" t="str">
            <v>m</v>
          </cell>
          <cell r="E44">
            <v>563.33000000000004</v>
          </cell>
          <cell r="F44">
            <v>36053.120000000003</v>
          </cell>
          <cell r="G44">
            <v>2073.0500000000002</v>
          </cell>
          <cell r="H44">
            <v>132675.20000000001</v>
          </cell>
          <cell r="I44">
            <v>103.65</v>
          </cell>
          <cell r="J44">
            <v>6633.6</v>
          </cell>
          <cell r="K44">
            <v>2176.6999999999998</v>
          </cell>
          <cell r="L44">
            <v>139308.79999999999</v>
          </cell>
          <cell r="M44">
            <v>2102.7800000000002</v>
          </cell>
          <cell r="N44">
            <v>134577.92000000001</v>
          </cell>
          <cell r="O44">
            <v>7738.23</v>
          </cell>
          <cell r="P44">
            <v>495246.72</v>
          </cell>
          <cell r="Q44">
            <v>386.91</v>
          </cell>
          <cell r="R44">
            <v>24762.240000000002</v>
          </cell>
          <cell r="S44">
            <v>8125.14</v>
          </cell>
          <cell r="T44">
            <v>520008.96000000002</v>
          </cell>
          <cell r="U44">
            <v>2816.77</v>
          </cell>
          <cell r="V44">
            <v>2422.42</v>
          </cell>
          <cell r="W44">
            <v>155034.88</v>
          </cell>
          <cell r="X44">
            <v>8914.51</v>
          </cell>
          <cell r="Y44">
            <v>570528.64</v>
          </cell>
          <cell r="Z44">
            <v>445.73</v>
          </cell>
          <cell r="AA44">
            <v>28526.720000000001</v>
          </cell>
          <cell r="AB44">
            <v>9360.24</v>
          </cell>
          <cell r="AC44">
            <v>599055.35999999999</v>
          </cell>
          <cell r="AF44">
            <v>9360.24</v>
          </cell>
          <cell r="AG44">
            <v>599055.35999999999</v>
          </cell>
        </row>
        <row r="45">
          <cell r="A45" t="str">
            <v>1.1.3.2</v>
          </cell>
          <cell r="B45" t="str">
            <v>700mm dia.  (length = 2 meters)</v>
          </cell>
          <cell r="C45">
            <v>4</v>
          </cell>
          <cell r="D45" t="str">
            <v>m</v>
          </cell>
          <cell r="E45">
            <v>382.95</v>
          </cell>
          <cell r="F45">
            <v>1531.8</v>
          </cell>
          <cell r="G45">
            <v>1409.26</v>
          </cell>
          <cell r="H45">
            <v>5637.04</v>
          </cell>
          <cell r="I45">
            <v>70.459999999999994</v>
          </cell>
          <cell r="J45">
            <v>281.83999999999997</v>
          </cell>
          <cell r="K45">
            <v>1479.72</v>
          </cell>
          <cell r="L45">
            <v>5918.88</v>
          </cell>
          <cell r="M45">
            <v>1179.3800000000001</v>
          </cell>
          <cell r="N45">
            <v>4717.5200000000004</v>
          </cell>
          <cell r="O45">
            <v>4340.12</v>
          </cell>
          <cell r="P45">
            <v>17360.48</v>
          </cell>
          <cell r="Q45">
            <v>217.01</v>
          </cell>
          <cell r="R45">
            <v>868.04</v>
          </cell>
          <cell r="S45">
            <v>4557.13</v>
          </cell>
          <cell r="T45">
            <v>18228.52</v>
          </cell>
          <cell r="U45">
            <v>1946.43</v>
          </cell>
          <cell r="V45">
            <v>1673.93</v>
          </cell>
          <cell r="W45">
            <v>6695.72</v>
          </cell>
          <cell r="X45">
            <v>6160.06</v>
          </cell>
          <cell r="Y45">
            <v>24640.240000000002</v>
          </cell>
          <cell r="Z45">
            <v>308</v>
          </cell>
          <cell r="AA45">
            <v>1232</v>
          </cell>
          <cell r="AB45">
            <v>6468.06</v>
          </cell>
          <cell r="AC45">
            <v>25872.240000000002</v>
          </cell>
          <cell r="AF45">
            <v>6468.06</v>
          </cell>
          <cell r="AG45">
            <v>25872.240000000002</v>
          </cell>
        </row>
        <row r="46">
          <cell r="A46" t="str">
            <v>1.1.3.3</v>
          </cell>
          <cell r="B46" t="str">
            <v>600mm dia.  (length = 2 meters)</v>
          </cell>
          <cell r="C46">
            <v>6</v>
          </cell>
          <cell r="D46" t="str">
            <v>m</v>
          </cell>
          <cell r="E46">
            <v>250.68</v>
          </cell>
          <cell r="F46">
            <v>1504.08</v>
          </cell>
          <cell r="G46">
            <v>922.5</v>
          </cell>
          <cell r="H46">
            <v>5535</v>
          </cell>
          <cell r="I46">
            <v>46.13</v>
          </cell>
          <cell r="J46">
            <v>276.77999999999997</v>
          </cell>
          <cell r="K46">
            <v>968.63</v>
          </cell>
          <cell r="L46">
            <v>5811.78</v>
          </cell>
          <cell r="M46">
            <v>928.03</v>
          </cell>
          <cell r="N46">
            <v>5568.18</v>
          </cell>
          <cell r="O46">
            <v>3415.15</v>
          </cell>
          <cell r="P46">
            <v>20490.900000000001</v>
          </cell>
          <cell r="Q46">
            <v>170.76</v>
          </cell>
          <cell r="R46">
            <v>1024.56</v>
          </cell>
          <cell r="S46">
            <v>3585.91</v>
          </cell>
          <cell r="T46">
            <v>21515.46</v>
          </cell>
          <cell r="U46">
            <v>1597.57</v>
          </cell>
          <cell r="V46">
            <v>1373.91</v>
          </cell>
          <cell r="W46">
            <v>8243.4599999999991</v>
          </cell>
          <cell r="X46">
            <v>5055.99</v>
          </cell>
          <cell r="Y46">
            <v>30335.94</v>
          </cell>
          <cell r="Z46">
            <v>252.8</v>
          </cell>
          <cell r="AA46">
            <v>1516.8</v>
          </cell>
          <cell r="AB46">
            <v>5308.79</v>
          </cell>
          <cell r="AC46">
            <v>31852.74</v>
          </cell>
          <cell r="AF46">
            <v>5308.79</v>
          </cell>
          <cell r="AG46">
            <v>31852.74</v>
          </cell>
        </row>
        <row r="47">
          <cell r="A47" t="str">
            <v>1.1.3.4</v>
          </cell>
          <cell r="B47" t="str">
            <v>400mm dia.  (length = 2 meters)</v>
          </cell>
          <cell r="C47">
            <v>4</v>
          </cell>
          <cell r="D47" t="str">
            <v>m</v>
          </cell>
          <cell r="E47">
            <v>143.38</v>
          </cell>
          <cell r="F47">
            <v>573.52</v>
          </cell>
          <cell r="G47">
            <v>527.64</v>
          </cell>
          <cell r="H47">
            <v>2110.56</v>
          </cell>
          <cell r="I47">
            <v>26.38</v>
          </cell>
          <cell r="J47">
            <v>105.52</v>
          </cell>
          <cell r="K47">
            <v>554.02</v>
          </cell>
          <cell r="L47">
            <v>2216.08</v>
          </cell>
          <cell r="M47">
            <v>507.76</v>
          </cell>
          <cell r="N47">
            <v>2031.04</v>
          </cell>
          <cell r="O47">
            <v>1868.56</v>
          </cell>
          <cell r="P47">
            <v>7474.24</v>
          </cell>
          <cell r="Q47">
            <v>93.43</v>
          </cell>
          <cell r="R47">
            <v>373.72</v>
          </cell>
          <cell r="S47">
            <v>1961.99</v>
          </cell>
          <cell r="T47">
            <v>7847.96</v>
          </cell>
          <cell r="U47">
            <v>1064.3699999999999</v>
          </cell>
          <cell r="V47">
            <v>915.36</v>
          </cell>
          <cell r="W47">
            <v>3661.44</v>
          </cell>
          <cell r="X47">
            <v>3368.52</v>
          </cell>
          <cell r="Y47">
            <v>13474.08</v>
          </cell>
          <cell r="Z47">
            <v>168.43</v>
          </cell>
          <cell r="AA47">
            <v>673.72</v>
          </cell>
          <cell r="AB47">
            <v>3536.95</v>
          </cell>
          <cell r="AC47">
            <v>14147.8</v>
          </cell>
          <cell r="AF47">
            <v>3536.95</v>
          </cell>
          <cell r="AG47">
            <v>14147.8</v>
          </cell>
        </row>
        <row r="48">
          <cell r="A48" t="str">
            <v>1.1.3.5</v>
          </cell>
          <cell r="B48" t="str">
            <v>300mm dia.  (length = 2 meters)</v>
          </cell>
          <cell r="C48">
            <v>4</v>
          </cell>
          <cell r="D48" t="str">
            <v>m</v>
          </cell>
          <cell r="E48">
            <v>84.18</v>
          </cell>
          <cell r="F48">
            <v>336.72</v>
          </cell>
          <cell r="G48">
            <v>309.77999999999997</v>
          </cell>
          <cell r="H48">
            <v>1239.1199999999999</v>
          </cell>
          <cell r="I48">
            <v>15.49</v>
          </cell>
          <cell r="J48">
            <v>61.96</v>
          </cell>
          <cell r="K48">
            <v>325.27</v>
          </cell>
          <cell r="L48">
            <v>1301.08</v>
          </cell>
          <cell r="M48">
            <v>341.88</v>
          </cell>
          <cell r="N48">
            <v>1367.52</v>
          </cell>
          <cell r="O48">
            <v>1258.1199999999999</v>
          </cell>
          <cell r="P48">
            <v>5032.4799999999996</v>
          </cell>
          <cell r="Q48">
            <v>62.91</v>
          </cell>
          <cell r="R48">
            <v>251.64</v>
          </cell>
          <cell r="S48">
            <v>1321.03</v>
          </cell>
          <cell r="T48">
            <v>5284.12</v>
          </cell>
          <cell r="U48">
            <v>816.35</v>
          </cell>
          <cell r="V48">
            <v>702.06</v>
          </cell>
          <cell r="W48">
            <v>2808.24</v>
          </cell>
          <cell r="X48">
            <v>2583.58</v>
          </cell>
          <cell r="Y48">
            <v>10334.32</v>
          </cell>
          <cell r="Z48">
            <v>129.18</v>
          </cell>
          <cell r="AA48">
            <v>516.72</v>
          </cell>
          <cell r="AB48">
            <v>2712.76</v>
          </cell>
          <cell r="AC48">
            <v>10851.04</v>
          </cell>
          <cell r="AF48">
            <v>2712.76</v>
          </cell>
          <cell r="AG48">
            <v>10851.04</v>
          </cell>
        </row>
        <row r="49">
          <cell r="A49" t="str">
            <v>1.1.3.6</v>
          </cell>
          <cell r="B49" t="str">
            <v>200mm dia.  (length = 2 meters)</v>
          </cell>
          <cell r="C49">
            <v>30</v>
          </cell>
          <cell r="D49" t="str">
            <v>m</v>
          </cell>
          <cell r="E49">
            <v>54.58</v>
          </cell>
          <cell r="F49">
            <v>1637.4</v>
          </cell>
          <cell r="G49">
            <v>200.85</v>
          </cell>
          <cell r="H49">
            <v>6025.5</v>
          </cell>
          <cell r="I49">
            <v>10.039999999999999</v>
          </cell>
          <cell r="J49">
            <v>301.2</v>
          </cell>
          <cell r="K49">
            <v>210.89</v>
          </cell>
          <cell r="L49">
            <v>6326.7</v>
          </cell>
          <cell r="M49">
            <v>200.49</v>
          </cell>
          <cell r="N49">
            <v>6014.7</v>
          </cell>
          <cell r="O49">
            <v>737.8</v>
          </cell>
          <cell r="P49">
            <v>22134</v>
          </cell>
          <cell r="Q49">
            <v>36.89</v>
          </cell>
          <cell r="R49">
            <v>1106.7</v>
          </cell>
          <cell r="S49">
            <v>774.69</v>
          </cell>
          <cell r="T49">
            <v>23240.7</v>
          </cell>
          <cell r="U49">
            <v>233.18</v>
          </cell>
          <cell r="V49">
            <v>200.53</v>
          </cell>
          <cell r="W49">
            <v>6015.9</v>
          </cell>
          <cell r="X49">
            <v>737.95</v>
          </cell>
          <cell r="Y49">
            <v>22138.5</v>
          </cell>
          <cell r="Z49">
            <v>36.9</v>
          </cell>
          <cell r="AA49">
            <v>1107</v>
          </cell>
          <cell r="AB49">
            <v>774.85</v>
          </cell>
          <cell r="AC49">
            <v>23245.5</v>
          </cell>
          <cell r="AF49">
            <v>774.85</v>
          </cell>
          <cell r="AG49">
            <v>23245.5</v>
          </cell>
        </row>
        <row r="50">
          <cell r="A50" t="str">
            <v>1.1.3.7</v>
          </cell>
          <cell r="B50" t="str">
            <v>100mm dia.  (length = 2 meters)</v>
          </cell>
          <cell r="C50">
            <v>2</v>
          </cell>
          <cell r="D50" t="str">
            <v>m</v>
          </cell>
          <cell r="E50">
            <v>35.15</v>
          </cell>
          <cell r="F50">
            <v>70.3</v>
          </cell>
          <cell r="G50">
            <v>129.35</v>
          </cell>
          <cell r="H50">
            <v>258.7</v>
          </cell>
          <cell r="I50">
            <v>6.47</v>
          </cell>
          <cell r="J50">
            <v>12.94</v>
          </cell>
          <cell r="K50">
            <v>135.82</v>
          </cell>
          <cell r="L50">
            <v>271.64</v>
          </cell>
          <cell r="M50">
            <v>89.15</v>
          </cell>
          <cell r="N50">
            <v>178.3</v>
          </cell>
          <cell r="O50">
            <v>328.07</v>
          </cell>
          <cell r="P50">
            <v>656.14</v>
          </cell>
          <cell r="Q50">
            <v>16.399999999999999</v>
          </cell>
          <cell r="R50">
            <v>32.799999999999997</v>
          </cell>
          <cell r="S50">
            <v>344.47</v>
          </cell>
          <cell r="T50">
            <v>688.94</v>
          </cell>
          <cell r="U50">
            <v>43.36</v>
          </cell>
          <cell r="V50">
            <v>37.29</v>
          </cell>
          <cell r="W50">
            <v>74.58</v>
          </cell>
          <cell r="X50">
            <v>137.22999999999999</v>
          </cell>
          <cell r="Y50">
            <v>274.45999999999998</v>
          </cell>
          <cell r="Z50">
            <v>6.86</v>
          </cell>
          <cell r="AA50">
            <v>13.72</v>
          </cell>
          <cell r="AB50">
            <v>144.09</v>
          </cell>
          <cell r="AC50">
            <v>288.18</v>
          </cell>
          <cell r="AF50">
            <v>144.09</v>
          </cell>
          <cell r="AG50">
            <v>288.18</v>
          </cell>
        </row>
        <row r="51">
          <cell r="F51">
            <v>0</v>
          </cell>
          <cell r="G51">
            <v>0</v>
          </cell>
          <cell r="H51">
            <v>0</v>
          </cell>
          <cell r="I51">
            <v>0</v>
          </cell>
          <cell r="J51">
            <v>0</v>
          </cell>
          <cell r="K51">
            <v>0</v>
          </cell>
          <cell r="L51">
            <v>0</v>
          </cell>
          <cell r="N51">
            <v>0</v>
          </cell>
          <cell r="O51">
            <v>0</v>
          </cell>
          <cell r="P51">
            <v>0</v>
          </cell>
          <cell r="Q51">
            <v>0</v>
          </cell>
          <cell r="R51">
            <v>0</v>
          </cell>
          <cell r="S51">
            <v>0</v>
          </cell>
          <cell r="T51">
            <v>0</v>
          </cell>
          <cell r="V51">
            <v>0</v>
          </cell>
          <cell r="W51">
            <v>0</v>
          </cell>
          <cell r="X51">
            <v>0</v>
          </cell>
          <cell r="Y51">
            <v>0</v>
          </cell>
          <cell r="Z51">
            <v>0</v>
          </cell>
          <cell r="AA51">
            <v>0</v>
          </cell>
          <cell r="AB51">
            <v>0</v>
          </cell>
          <cell r="AC51">
            <v>0</v>
          </cell>
          <cell r="AF51">
            <v>0</v>
          </cell>
          <cell r="AG51">
            <v>0</v>
          </cell>
        </row>
        <row r="52">
          <cell r="B52" t="str">
            <v>Supply all materials (including locking glands,</v>
          </cell>
          <cell r="F52">
            <v>0</v>
          </cell>
          <cell r="G52">
            <v>0</v>
          </cell>
          <cell r="H52">
            <v>0</v>
          </cell>
          <cell r="I52">
            <v>0</v>
          </cell>
          <cell r="J52">
            <v>0</v>
          </cell>
          <cell r="K52">
            <v>0</v>
          </cell>
          <cell r="L52">
            <v>0</v>
          </cell>
          <cell r="N52">
            <v>0</v>
          </cell>
          <cell r="O52">
            <v>0</v>
          </cell>
          <cell r="P52">
            <v>0</v>
          </cell>
          <cell r="Q52">
            <v>0</v>
          </cell>
          <cell r="R52">
            <v>0</v>
          </cell>
          <cell r="S52">
            <v>0</v>
          </cell>
          <cell r="T52">
            <v>0</v>
          </cell>
          <cell r="V52">
            <v>0</v>
          </cell>
          <cell r="W52">
            <v>0</v>
          </cell>
          <cell r="X52">
            <v>0</v>
          </cell>
          <cell r="Y52">
            <v>0</v>
          </cell>
          <cell r="Z52">
            <v>0</v>
          </cell>
          <cell r="AA52">
            <v>0</v>
          </cell>
          <cell r="AB52">
            <v>0</v>
          </cell>
          <cell r="AC52">
            <v>0</v>
          </cell>
          <cell r="AF52">
            <v>0</v>
          </cell>
          <cell r="AG52">
            <v>0</v>
          </cell>
        </row>
        <row r="53">
          <cell r="B53" t="str">
            <v>locking ring, bolts, nuts, gaskets, etc. or retaining rings/</v>
          </cell>
          <cell r="F53">
            <v>0</v>
          </cell>
          <cell r="G53">
            <v>0</v>
          </cell>
          <cell r="H53">
            <v>0</v>
          </cell>
          <cell r="I53">
            <v>0</v>
          </cell>
          <cell r="J53">
            <v>0</v>
          </cell>
          <cell r="K53">
            <v>0</v>
          </cell>
          <cell r="L53">
            <v>0</v>
          </cell>
          <cell r="N53">
            <v>0</v>
          </cell>
          <cell r="O53">
            <v>0</v>
          </cell>
          <cell r="P53">
            <v>0</v>
          </cell>
          <cell r="Q53">
            <v>0</v>
          </cell>
          <cell r="R53">
            <v>0</v>
          </cell>
          <cell r="S53">
            <v>0</v>
          </cell>
          <cell r="T53">
            <v>0</v>
          </cell>
          <cell r="V53">
            <v>0</v>
          </cell>
          <cell r="W53">
            <v>0</v>
          </cell>
          <cell r="X53">
            <v>0</v>
          </cell>
          <cell r="Y53">
            <v>0</v>
          </cell>
          <cell r="Z53">
            <v>0</v>
          </cell>
          <cell r="AA53">
            <v>0</v>
          </cell>
          <cell r="AB53">
            <v>0</v>
          </cell>
          <cell r="AC53">
            <v>0</v>
          </cell>
          <cell r="AF53">
            <v>0</v>
          </cell>
          <cell r="AG53">
            <v>0</v>
          </cell>
        </row>
        <row r="54">
          <cell r="B54" t="str">
            <v>anchoring segments according to the type of locking</v>
          </cell>
          <cell r="F54">
            <v>0</v>
          </cell>
          <cell r="G54">
            <v>0</v>
          </cell>
          <cell r="H54">
            <v>0</v>
          </cell>
          <cell r="I54">
            <v>0</v>
          </cell>
          <cell r="J54">
            <v>0</v>
          </cell>
          <cell r="K54">
            <v>0</v>
          </cell>
          <cell r="L54">
            <v>0</v>
          </cell>
          <cell r="N54">
            <v>0</v>
          </cell>
          <cell r="O54">
            <v>0</v>
          </cell>
          <cell r="P54">
            <v>0</v>
          </cell>
          <cell r="Q54">
            <v>0</v>
          </cell>
          <cell r="R54">
            <v>0</v>
          </cell>
          <cell r="S54">
            <v>0</v>
          </cell>
          <cell r="T54">
            <v>0</v>
          </cell>
          <cell r="V54">
            <v>0</v>
          </cell>
          <cell r="W54">
            <v>0</v>
          </cell>
          <cell r="X54">
            <v>0</v>
          </cell>
          <cell r="Y54">
            <v>0</v>
          </cell>
          <cell r="Z54">
            <v>0</v>
          </cell>
          <cell r="AA54">
            <v>0</v>
          </cell>
          <cell r="AB54">
            <v>0</v>
          </cell>
          <cell r="AC54">
            <v>0</v>
          </cell>
          <cell r="AF54">
            <v>0</v>
          </cell>
          <cell r="AG54">
            <v>0</v>
          </cell>
        </row>
        <row r="55">
          <cell r="B55" t="str">
            <v xml:space="preserve">joint being used) necessary to fabricate on site a </v>
          </cell>
          <cell r="F55">
            <v>0</v>
          </cell>
          <cell r="G55">
            <v>0</v>
          </cell>
          <cell r="H55">
            <v>0</v>
          </cell>
          <cell r="I55">
            <v>0</v>
          </cell>
          <cell r="J55">
            <v>0</v>
          </cell>
          <cell r="K55">
            <v>0</v>
          </cell>
          <cell r="L55">
            <v>0</v>
          </cell>
          <cell r="N55">
            <v>0</v>
          </cell>
          <cell r="O55">
            <v>0</v>
          </cell>
          <cell r="P55">
            <v>0</v>
          </cell>
          <cell r="Q55">
            <v>0</v>
          </cell>
          <cell r="R55">
            <v>0</v>
          </cell>
          <cell r="S55">
            <v>0</v>
          </cell>
          <cell r="T55">
            <v>0</v>
          </cell>
          <cell r="V55">
            <v>0</v>
          </cell>
          <cell r="W55">
            <v>0</v>
          </cell>
          <cell r="X55">
            <v>0</v>
          </cell>
          <cell r="Y55">
            <v>0</v>
          </cell>
          <cell r="Z55">
            <v>0</v>
          </cell>
          <cell r="AA55">
            <v>0</v>
          </cell>
          <cell r="AB55">
            <v>0</v>
          </cell>
          <cell r="AC55">
            <v>0</v>
          </cell>
          <cell r="AF55">
            <v>0</v>
          </cell>
          <cell r="AG55">
            <v>0</v>
          </cell>
        </row>
        <row r="56">
          <cell r="B56" t="str">
            <v xml:space="preserve">mechanically restrained joint between pipes suitable </v>
          </cell>
          <cell r="F56">
            <v>0</v>
          </cell>
          <cell r="G56">
            <v>0</v>
          </cell>
          <cell r="H56">
            <v>0</v>
          </cell>
          <cell r="I56">
            <v>0</v>
          </cell>
          <cell r="J56">
            <v>0</v>
          </cell>
          <cell r="K56">
            <v>0</v>
          </cell>
          <cell r="L56">
            <v>0</v>
          </cell>
          <cell r="N56">
            <v>0</v>
          </cell>
          <cell r="O56">
            <v>0</v>
          </cell>
          <cell r="P56">
            <v>0</v>
          </cell>
          <cell r="Q56">
            <v>0</v>
          </cell>
          <cell r="R56">
            <v>0</v>
          </cell>
          <cell r="S56">
            <v>0</v>
          </cell>
          <cell r="T56">
            <v>0</v>
          </cell>
          <cell r="V56">
            <v>0</v>
          </cell>
          <cell r="W56">
            <v>0</v>
          </cell>
          <cell r="X56">
            <v>0</v>
          </cell>
          <cell r="Y56">
            <v>0</v>
          </cell>
          <cell r="Z56">
            <v>0</v>
          </cell>
          <cell r="AA56">
            <v>0</v>
          </cell>
          <cell r="AB56">
            <v>0</v>
          </cell>
          <cell r="AC56">
            <v>0</v>
          </cell>
          <cell r="AF56">
            <v>0</v>
          </cell>
          <cell r="AG56">
            <v>0</v>
          </cell>
        </row>
        <row r="57">
          <cell r="B57" t="str">
            <v>(or made suitable) to accommodate restrained joints and/or</v>
          </cell>
          <cell r="F57">
            <v>0</v>
          </cell>
          <cell r="G57">
            <v>0</v>
          </cell>
          <cell r="H57">
            <v>0</v>
          </cell>
          <cell r="I57">
            <v>0</v>
          </cell>
          <cell r="J57">
            <v>0</v>
          </cell>
          <cell r="K57">
            <v>0</v>
          </cell>
          <cell r="L57">
            <v>0</v>
          </cell>
          <cell r="N57">
            <v>0</v>
          </cell>
          <cell r="O57">
            <v>0</v>
          </cell>
          <cell r="P57">
            <v>0</v>
          </cell>
          <cell r="Q57">
            <v>0</v>
          </cell>
          <cell r="R57">
            <v>0</v>
          </cell>
          <cell r="S57">
            <v>0</v>
          </cell>
          <cell r="T57">
            <v>0</v>
          </cell>
          <cell r="V57">
            <v>0</v>
          </cell>
          <cell r="W57">
            <v>0</v>
          </cell>
          <cell r="X57">
            <v>0</v>
          </cell>
          <cell r="Y57">
            <v>0</v>
          </cell>
          <cell r="Z57">
            <v>0</v>
          </cell>
          <cell r="AA57">
            <v>0</v>
          </cell>
          <cell r="AB57">
            <v>0</v>
          </cell>
          <cell r="AC57">
            <v>0</v>
          </cell>
          <cell r="AF57">
            <v>0</v>
          </cell>
          <cell r="AG57">
            <v>0</v>
          </cell>
        </row>
        <row r="58">
          <cell r="B58" t="str">
            <v xml:space="preserve">fittings (all fittings shall be suitable to accommodate </v>
          </cell>
          <cell r="F58">
            <v>0</v>
          </cell>
          <cell r="G58">
            <v>0</v>
          </cell>
          <cell r="H58">
            <v>0</v>
          </cell>
          <cell r="I58">
            <v>0</v>
          </cell>
          <cell r="J58">
            <v>0</v>
          </cell>
          <cell r="K58">
            <v>0</v>
          </cell>
          <cell r="L58">
            <v>0</v>
          </cell>
          <cell r="N58">
            <v>0</v>
          </cell>
          <cell r="O58">
            <v>0</v>
          </cell>
          <cell r="P58">
            <v>0</v>
          </cell>
          <cell r="Q58">
            <v>0</v>
          </cell>
          <cell r="R58">
            <v>0</v>
          </cell>
          <cell r="S58">
            <v>0</v>
          </cell>
          <cell r="T58">
            <v>0</v>
          </cell>
          <cell r="V58">
            <v>0</v>
          </cell>
          <cell r="W58">
            <v>0</v>
          </cell>
          <cell r="X58">
            <v>0</v>
          </cell>
          <cell r="Y58">
            <v>0</v>
          </cell>
          <cell r="Z58">
            <v>0</v>
          </cell>
          <cell r="AA58">
            <v>0</v>
          </cell>
          <cell r="AB58">
            <v>0</v>
          </cell>
          <cell r="AC58">
            <v>0</v>
          </cell>
          <cell r="AF58">
            <v>0</v>
          </cell>
          <cell r="AG58">
            <v>0</v>
          </cell>
        </row>
        <row r="59">
          <cell r="B59" t="str">
            <v>restrained joints), all to manufacturer's</v>
          </cell>
          <cell r="F59">
            <v>0</v>
          </cell>
          <cell r="G59">
            <v>0</v>
          </cell>
          <cell r="H59">
            <v>0</v>
          </cell>
          <cell r="I59">
            <v>0</v>
          </cell>
          <cell r="J59">
            <v>0</v>
          </cell>
          <cell r="K59">
            <v>0</v>
          </cell>
          <cell r="L59">
            <v>0</v>
          </cell>
          <cell r="N59">
            <v>0</v>
          </cell>
          <cell r="O59">
            <v>0</v>
          </cell>
          <cell r="P59">
            <v>0</v>
          </cell>
          <cell r="Q59">
            <v>0</v>
          </cell>
          <cell r="R59">
            <v>0</v>
          </cell>
          <cell r="S59">
            <v>0</v>
          </cell>
          <cell r="T59">
            <v>0</v>
          </cell>
          <cell r="V59">
            <v>0</v>
          </cell>
          <cell r="W59">
            <v>0</v>
          </cell>
          <cell r="X59">
            <v>0</v>
          </cell>
          <cell r="Y59">
            <v>0</v>
          </cell>
          <cell r="Z59">
            <v>0</v>
          </cell>
          <cell r="AA59">
            <v>0</v>
          </cell>
          <cell r="AB59">
            <v>0</v>
          </cell>
          <cell r="AC59">
            <v>0</v>
          </cell>
          <cell r="AF59">
            <v>0</v>
          </cell>
          <cell r="AG59">
            <v>0</v>
          </cell>
        </row>
        <row r="60">
          <cell r="B60" t="str">
            <v>recommendations</v>
          </cell>
          <cell r="F60">
            <v>0</v>
          </cell>
          <cell r="G60">
            <v>0</v>
          </cell>
          <cell r="H60">
            <v>0</v>
          </cell>
          <cell r="I60">
            <v>0</v>
          </cell>
          <cell r="J60">
            <v>0</v>
          </cell>
          <cell r="K60">
            <v>0</v>
          </cell>
          <cell r="L60">
            <v>0</v>
          </cell>
          <cell r="N60">
            <v>0</v>
          </cell>
          <cell r="O60">
            <v>0</v>
          </cell>
          <cell r="P60">
            <v>0</v>
          </cell>
          <cell r="Q60">
            <v>0</v>
          </cell>
          <cell r="R60">
            <v>0</v>
          </cell>
          <cell r="S60">
            <v>0</v>
          </cell>
          <cell r="T60">
            <v>0</v>
          </cell>
          <cell r="V60">
            <v>0</v>
          </cell>
          <cell r="W60">
            <v>0</v>
          </cell>
          <cell r="X60">
            <v>0</v>
          </cell>
          <cell r="Y60">
            <v>0</v>
          </cell>
          <cell r="Z60">
            <v>0</v>
          </cell>
          <cell r="AA60">
            <v>0</v>
          </cell>
          <cell r="AB60">
            <v>0</v>
          </cell>
          <cell r="AC60">
            <v>0</v>
          </cell>
          <cell r="AF60">
            <v>0</v>
          </cell>
          <cell r="AG60">
            <v>0</v>
          </cell>
        </row>
        <row r="61">
          <cell r="F61">
            <v>0</v>
          </cell>
          <cell r="G61">
            <v>0</v>
          </cell>
          <cell r="H61">
            <v>0</v>
          </cell>
          <cell r="I61">
            <v>0</v>
          </cell>
          <cell r="J61">
            <v>0</v>
          </cell>
          <cell r="K61">
            <v>0</v>
          </cell>
          <cell r="L61">
            <v>0</v>
          </cell>
          <cell r="N61">
            <v>0</v>
          </cell>
          <cell r="O61">
            <v>0</v>
          </cell>
          <cell r="P61">
            <v>0</v>
          </cell>
          <cell r="Q61">
            <v>0</v>
          </cell>
          <cell r="R61">
            <v>0</v>
          </cell>
          <cell r="S61">
            <v>0</v>
          </cell>
          <cell r="T61">
            <v>0</v>
          </cell>
          <cell r="V61">
            <v>0</v>
          </cell>
          <cell r="W61">
            <v>0</v>
          </cell>
          <cell r="X61">
            <v>0</v>
          </cell>
          <cell r="Y61">
            <v>0</v>
          </cell>
          <cell r="Z61">
            <v>0</v>
          </cell>
          <cell r="AA61">
            <v>0</v>
          </cell>
          <cell r="AB61">
            <v>0</v>
          </cell>
          <cell r="AC61">
            <v>0</v>
          </cell>
          <cell r="AF61">
            <v>0</v>
          </cell>
          <cell r="AG61">
            <v>0</v>
          </cell>
        </row>
        <row r="62">
          <cell r="A62" t="str">
            <v>1.1.4.1</v>
          </cell>
          <cell r="B62" t="str">
            <v>1000mm dia.</v>
          </cell>
          <cell r="C62">
            <v>400</v>
          </cell>
          <cell r="D62" t="str">
            <v>Set</v>
          </cell>
          <cell r="E62">
            <v>773</v>
          </cell>
          <cell r="F62">
            <v>309200</v>
          </cell>
          <cell r="G62">
            <v>2844.64</v>
          </cell>
          <cell r="H62">
            <v>1137856</v>
          </cell>
          <cell r="I62">
            <v>142.22999999999999</v>
          </cell>
          <cell r="J62">
            <v>56892</v>
          </cell>
          <cell r="K62">
            <v>2986.87</v>
          </cell>
          <cell r="L62">
            <v>1194748</v>
          </cell>
          <cell r="M62">
            <v>773</v>
          </cell>
          <cell r="N62">
            <v>309200</v>
          </cell>
          <cell r="O62">
            <v>2844.64</v>
          </cell>
          <cell r="P62">
            <v>1137856</v>
          </cell>
          <cell r="Q62">
            <v>142.22999999999999</v>
          </cell>
          <cell r="R62">
            <v>56892</v>
          </cell>
          <cell r="S62">
            <v>2986.87</v>
          </cell>
          <cell r="T62">
            <v>1194748</v>
          </cell>
          <cell r="U62">
            <v>1345.84</v>
          </cell>
          <cell r="V62">
            <v>1157.42</v>
          </cell>
          <cell r="W62">
            <v>462968</v>
          </cell>
          <cell r="X62">
            <v>4259.3100000000004</v>
          </cell>
          <cell r="Y62">
            <v>1703724</v>
          </cell>
          <cell r="Z62">
            <v>212.97</v>
          </cell>
          <cell r="AA62">
            <v>85188</v>
          </cell>
          <cell r="AB62">
            <v>4472.28</v>
          </cell>
          <cell r="AC62">
            <v>1788912</v>
          </cell>
          <cell r="AF62">
            <v>4472.28</v>
          </cell>
          <cell r="AG62">
            <v>1788912</v>
          </cell>
        </row>
        <row r="63">
          <cell r="A63" t="str">
            <v>1.1.4.2</v>
          </cell>
          <cell r="B63" t="str">
            <v>600mm dia.</v>
          </cell>
          <cell r="C63">
            <v>50</v>
          </cell>
          <cell r="D63" t="str">
            <v>Set</v>
          </cell>
          <cell r="E63">
            <v>360</v>
          </cell>
          <cell r="F63">
            <v>18000</v>
          </cell>
          <cell r="G63">
            <v>1324.8</v>
          </cell>
          <cell r="H63">
            <v>66240</v>
          </cell>
          <cell r="I63">
            <v>66.239999999999995</v>
          </cell>
          <cell r="J63">
            <v>3312</v>
          </cell>
          <cell r="K63">
            <v>1391.04</v>
          </cell>
          <cell r="L63">
            <v>69552</v>
          </cell>
          <cell r="M63">
            <v>360</v>
          </cell>
          <cell r="N63">
            <v>18000</v>
          </cell>
          <cell r="O63">
            <v>1324.8</v>
          </cell>
          <cell r="P63">
            <v>66240</v>
          </cell>
          <cell r="Q63">
            <v>66.239999999999995</v>
          </cell>
          <cell r="R63">
            <v>3312</v>
          </cell>
          <cell r="S63">
            <v>1391.04</v>
          </cell>
          <cell r="T63">
            <v>69552</v>
          </cell>
          <cell r="U63">
            <v>342.79</v>
          </cell>
          <cell r="V63">
            <v>294.8</v>
          </cell>
          <cell r="W63">
            <v>14740</v>
          </cell>
          <cell r="X63">
            <v>1084.8599999999999</v>
          </cell>
          <cell r="Y63">
            <v>54243</v>
          </cell>
          <cell r="Z63">
            <v>54.24</v>
          </cell>
          <cell r="AA63">
            <v>2712</v>
          </cell>
          <cell r="AB63">
            <v>1139.0999999999999</v>
          </cell>
          <cell r="AC63">
            <v>56955</v>
          </cell>
          <cell r="AF63">
            <v>1139.0999999999999</v>
          </cell>
          <cell r="AG63">
            <v>56955</v>
          </cell>
        </row>
        <row r="64">
          <cell r="A64" t="str">
            <v>1.1.4.3</v>
          </cell>
          <cell r="B64" t="str">
            <v>400mm dia.</v>
          </cell>
          <cell r="C64">
            <v>23</v>
          </cell>
          <cell r="D64" t="str">
            <v>Set</v>
          </cell>
          <cell r="E64">
            <v>205</v>
          </cell>
          <cell r="F64">
            <v>4715</v>
          </cell>
          <cell r="G64">
            <v>754.4</v>
          </cell>
          <cell r="H64">
            <v>17351.2</v>
          </cell>
          <cell r="I64">
            <v>37.72</v>
          </cell>
          <cell r="J64">
            <v>867.56</v>
          </cell>
          <cell r="K64">
            <v>792.12</v>
          </cell>
          <cell r="L64">
            <v>18218.759999999998</v>
          </cell>
          <cell r="M64">
            <v>205</v>
          </cell>
          <cell r="N64">
            <v>4715</v>
          </cell>
          <cell r="O64">
            <v>754.4</v>
          </cell>
          <cell r="P64">
            <v>17351.2</v>
          </cell>
          <cell r="Q64">
            <v>37.72</v>
          </cell>
          <cell r="R64">
            <v>867.56</v>
          </cell>
          <cell r="S64">
            <v>792.12</v>
          </cell>
          <cell r="T64">
            <v>18218.759999999998</v>
          </cell>
          <cell r="U64">
            <v>171.31</v>
          </cell>
          <cell r="V64">
            <v>147.33000000000001</v>
          </cell>
          <cell r="W64">
            <v>3388.59</v>
          </cell>
          <cell r="X64">
            <v>542.16999999999996</v>
          </cell>
          <cell r="Y64">
            <v>12469.91</v>
          </cell>
          <cell r="Z64">
            <v>27.11</v>
          </cell>
          <cell r="AA64">
            <v>623.53</v>
          </cell>
          <cell r="AB64">
            <v>569.28</v>
          </cell>
          <cell r="AC64">
            <v>13093.44</v>
          </cell>
          <cell r="AF64">
            <v>569.28</v>
          </cell>
          <cell r="AG64">
            <v>13093.44</v>
          </cell>
        </row>
        <row r="65">
          <cell r="A65" t="str">
            <v>1.1.4.4</v>
          </cell>
          <cell r="B65" t="str">
            <v>200mm dia.</v>
          </cell>
          <cell r="C65">
            <v>169</v>
          </cell>
          <cell r="D65" t="str">
            <v>Set</v>
          </cell>
          <cell r="E65">
            <v>78</v>
          </cell>
          <cell r="F65">
            <v>13182</v>
          </cell>
          <cell r="G65">
            <v>287.04000000000002</v>
          </cell>
          <cell r="H65">
            <v>48509.760000000002</v>
          </cell>
          <cell r="I65">
            <v>14.35</v>
          </cell>
          <cell r="J65">
            <v>2425.15</v>
          </cell>
          <cell r="K65">
            <v>301.39</v>
          </cell>
          <cell r="L65">
            <v>50934.91</v>
          </cell>
          <cell r="M65">
            <v>78</v>
          </cell>
          <cell r="N65">
            <v>13182</v>
          </cell>
          <cell r="O65">
            <v>287.04000000000002</v>
          </cell>
          <cell r="P65">
            <v>48509.760000000002</v>
          </cell>
          <cell r="Q65">
            <v>14.35</v>
          </cell>
          <cell r="R65">
            <v>2425.15</v>
          </cell>
          <cell r="S65">
            <v>301.39</v>
          </cell>
          <cell r="T65">
            <v>50934.91</v>
          </cell>
          <cell r="U65">
            <v>79.650000000000006</v>
          </cell>
          <cell r="V65">
            <v>68.5</v>
          </cell>
          <cell r="W65">
            <v>11576.5</v>
          </cell>
          <cell r="X65">
            <v>252.08</v>
          </cell>
          <cell r="Y65">
            <v>42601.52</v>
          </cell>
          <cell r="Z65">
            <v>12.6</v>
          </cell>
          <cell r="AA65">
            <v>2129.4</v>
          </cell>
          <cell r="AB65">
            <v>264.68</v>
          </cell>
          <cell r="AC65">
            <v>44730.92</v>
          </cell>
          <cell r="AF65">
            <v>264.68</v>
          </cell>
          <cell r="AG65">
            <v>44730.92</v>
          </cell>
        </row>
        <row r="66">
          <cell r="F66">
            <v>0</v>
          </cell>
          <cell r="G66">
            <v>0</v>
          </cell>
          <cell r="H66">
            <v>0</v>
          </cell>
          <cell r="I66">
            <v>0</v>
          </cell>
          <cell r="J66">
            <v>0</v>
          </cell>
          <cell r="K66">
            <v>0</v>
          </cell>
          <cell r="L66">
            <v>0</v>
          </cell>
          <cell r="N66">
            <v>0</v>
          </cell>
          <cell r="O66">
            <v>0</v>
          </cell>
          <cell r="P66">
            <v>0</v>
          </cell>
          <cell r="Q66">
            <v>0</v>
          </cell>
          <cell r="R66">
            <v>0</v>
          </cell>
          <cell r="S66">
            <v>0</v>
          </cell>
          <cell r="T66">
            <v>0</v>
          </cell>
          <cell r="V66">
            <v>0</v>
          </cell>
          <cell r="W66">
            <v>0</v>
          </cell>
          <cell r="X66">
            <v>0</v>
          </cell>
          <cell r="Y66">
            <v>0</v>
          </cell>
          <cell r="Z66">
            <v>0</v>
          </cell>
          <cell r="AA66">
            <v>0</v>
          </cell>
          <cell r="AB66">
            <v>0</v>
          </cell>
          <cell r="AC66">
            <v>0</v>
          </cell>
          <cell r="AF66">
            <v>0</v>
          </cell>
          <cell r="AG66">
            <v>0</v>
          </cell>
        </row>
        <row r="67">
          <cell r="F67">
            <v>0</v>
          </cell>
          <cell r="G67">
            <v>0</v>
          </cell>
          <cell r="H67">
            <v>0</v>
          </cell>
          <cell r="I67">
            <v>0</v>
          </cell>
          <cell r="J67">
            <v>0</v>
          </cell>
          <cell r="K67">
            <v>0</v>
          </cell>
          <cell r="L67">
            <v>0</v>
          </cell>
          <cell r="N67">
            <v>0</v>
          </cell>
          <cell r="O67">
            <v>0</v>
          </cell>
          <cell r="P67">
            <v>0</v>
          </cell>
          <cell r="Q67">
            <v>0</v>
          </cell>
          <cell r="R67">
            <v>0</v>
          </cell>
          <cell r="S67">
            <v>0</v>
          </cell>
          <cell r="T67">
            <v>0</v>
          </cell>
          <cell r="V67">
            <v>0</v>
          </cell>
          <cell r="W67">
            <v>0</v>
          </cell>
          <cell r="X67">
            <v>0</v>
          </cell>
          <cell r="Y67">
            <v>0</v>
          </cell>
          <cell r="Z67">
            <v>0</v>
          </cell>
          <cell r="AA67">
            <v>0</v>
          </cell>
          <cell r="AB67">
            <v>0</v>
          </cell>
          <cell r="AC67">
            <v>0</v>
          </cell>
          <cell r="AF67">
            <v>0</v>
          </cell>
          <cell r="AG67">
            <v>0</v>
          </cell>
        </row>
        <row r="68">
          <cell r="V68">
            <v>0</v>
          </cell>
          <cell r="W68">
            <v>0</v>
          </cell>
          <cell r="AF68">
            <v>0</v>
          </cell>
          <cell r="AG68">
            <v>0</v>
          </cell>
        </row>
        <row r="69">
          <cell r="V69">
            <v>0</v>
          </cell>
          <cell r="W69">
            <v>0</v>
          </cell>
          <cell r="AF69">
            <v>0</v>
          </cell>
          <cell r="AG69">
            <v>0</v>
          </cell>
        </row>
        <row r="70">
          <cell r="V70">
            <v>0</v>
          </cell>
          <cell r="W70">
            <v>0</v>
          </cell>
          <cell r="AF70">
            <v>0</v>
          </cell>
          <cell r="AG70">
            <v>0</v>
          </cell>
        </row>
        <row r="71">
          <cell r="V71">
            <v>0</v>
          </cell>
          <cell r="W71">
            <v>0</v>
          </cell>
          <cell r="AF71">
            <v>0</v>
          </cell>
          <cell r="AG71">
            <v>0</v>
          </cell>
        </row>
        <row r="72">
          <cell r="V72">
            <v>0</v>
          </cell>
          <cell r="W72">
            <v>0</v>
          </cell>
          <cell r="AF72">
            <v>0</v>
          </cell>
          <cell r="AG72">
            <v>0</v>
          </cell>
        </row>
        <row r="73">
          <cell r="F73">
            <v>0</v>
          </cell>
          <cell r="G73">
            <v>0</v>
          </cell>
          <cell r="H73">
            <v>0</v>
          </cell>
          <cell r="I73">
            <v>0</v>
          </cell>
          <cell r="J73">
            <v>0</v>
          </cell>
          <cell r="K73">
            <v>0</v>
          </cell>
          <cell r="L73">
            <v>0</v>
          </cell>
          <cell r="N73">
            <v>0</v>
          </cell>
          <cell r="O73">
            <v>0</v>
          </cell>
          <cell r="P73">
            <v>0</v>
          </cell>
          <cell r="Q73">
            <v>0</v>
          </cell>
          <cell r="R73">
            <v>0</v>
          </cell>
          <cell r="S73">
            <v>0</v>
          </cell>
          <cell r="T73">
            <v>0</v>
          </cell>
          <cell r="V73">
            <v>0</v>
          </cell>
          <cell r="W73">
            <v>0</v>
          </cell>
          <cell r="X73">
            <v>0</v>
          </cell>
          <cell r="Y73">
            <v>0</v>
          </cell>
          <cell r="Z73">
            <v>0</v>
          </cell>
          <cell r="AA73">
            <v>0</v>
          </cell>
          <cell r="AB73">
            <v>0</v>
          </cell>
          <cell r="AC73">
            <v>0</v>
          </cell>
          <cell r="AF73">
            <v>0</v>
          </cell>
          <cell r="AG73">
            <v>0</v>
          </cell>
        </row>
        <row r="74">
          <cell r="F74">
            <v>0</v>
          </cell>
          <cell r="G74">
            <v>0</v>
          </cell>
          <cell r="H74">
            <v>0</v>
          </cell>
          <cell r="I74">
            <v>0</v>
          </cell>
          <cell r="J74">
            <v>0</v>
          </cell>
          <cell r="K74">
            <v>0</v>
          </cell>
          <cell r="L74">
            <v>0</v>
          </cell>
          <cell r="N74">
            <v>0</v>
          </cell>
          <cell r="O74">
            <v>0</v>
          </cell>
          <cell r="P74">
            <v>0</v>
          </cell>
          <cell r="Q74">
            <v>0</v>
          </cell>
          <cell r="R74">
            <v>0</v>
          </cell>
          <cell r="S74">
            <v>0</v>
          </cell>
          <cell r="T74">
            <v>0</v>
          </cell>
          <cell r="V74">
            <v>0</v>
          </cell>
          <cell r="W74">
            <v>0</v>
          </cell>
          <cell r="X74">
            <v>0</v>
          </cell>
          <cell r="Y74">
            <v>0</v>
          </cell>
          <cell r="Z74">
            <v>0</v>
          </cell>
          <cell r="AA74">
            <v>0</v>
          </cell>
          <cell r="AB74">
            <v>0</v>
          </cell>
          <cell r="AC74">
            <v>0</v>
          </cell>
          <cell r="AF74">
            <v>0</v>
          </cell>
          <cell r="AG74">
            <v>0</v>
          </cell>
        </row>
        <row r="75">
          <cell r="F75">
            <v>0</v>
          </cell>
          <cell r="G75">
            <v>0</v>
          </cell>
          <cell r="H75">
            <v>0</v>
          </cell>
          <cell r="I75">
            <v>0</v>
          </cell>
          <cell r="J75">
            <v>0</v>
          </cell>
          <cell r="K75">
            <v>0</v>
          </cell>
          <cell r="L75">
            <v>0</v>
          </cell>
          <cell r="N75">
            <v>0</v>
          </cell>
          <cell r="O75">
            <v>0</v>
          </cell>
          <cell r="P75">
            <v>0</v>
          </cell>
          <cell r="Q75">
            <v>0</v>
          </cell>
          <cell r="R75">
            <v>0</v>
          </cell>
          <cell r="S75">
            <v>0</v>
          </cell>
          <cell r="T75">
            <v>0</v>
          </cell>
          <cell r="V75">
            <v>0</v>
          </cell>
          <cell r="W75">
            <v>0</v>
          </cell>
          <cell r="X75">
            <v>0</v>
          </cell>
          <cell r="Y75">
            <v>0</v>
          </cell>
          <cell r="Z75">
            <v>0</v>
          </cell>
          <cell r="AA75">
            <v>0</v>
          </cell>
          <cell r="AB75">
            <v>0</v>
          </cell>
          <cell r="AC75">
            <v>0</v>
          </cell>
          <cell r="AF75">
            <v>0</v>
          </cell>
          <cell r="AG75">
            <v>0</v>
          </cell>
        </row>
        <row r="76">
          <cell r="B76" t="str">
            <v>Supply Class K9 ductile iron pipe with PN25 flanged</v>
          </cell>
          <cell r="F76">
            <v>0</v>
          </cell>
          <cell r="G76">
            <v>0</v>
          </cell>
          <cell r="H76">
            <v>0</v>
          </cell>
          <cell r="I76">
            <v>0</v>
          </cell>
          <cell r="J76">
            <v>0</v>
          </cell>
          <cell r="K76">
            <v>0</v>
          </cell>
          <cell r="L76">
            <v>0</v>
          </cell>
          <cell r="N76">
            <v>0</v>
          </cell>
          <cell r="O76">
            <v>0</v>
          </cell>
          <cell r="P76">
            <v>0</v>
          </cell>
          <cell r="Q76">
            <v>0</v>
          </cell>
          <cell r="R76">
            <v>0</v>
          </cell>
          <cell r="S76">
            <v>0</v>
          </cell>
          <cell r="T76">
            <v>0</v>
          </cell>
          <cell r="V76">
            <v>0</v>
          </cell>
          <cell r="W76">
            <v>0</v>
          </cell>
          <cell r="X76">
            <v>0</v>
          </cell>
          <cell r="Y76">
            <v>0</v>
          </cell>
          <cell r="Z76">
            <v>0</v>
          </cell>
          <cell r="AA76">
            <v>0</v>
          </cell>
          <cell r="AB76">
            <v>0</v>
          </cell>
          <cell r="AC76">
            <v>0</v>
          </cell>
          <cell r="AF76">
            <v>0</v>
          </cell>
          <cell r="AG76">
            <v>0</v>
          </cell>
        </row>
        <row r="77">
          <cell r="B77" t="str">
            <v xml:space="preserve"> joints (variable length between 1 to 6 meters as required</v>
          </cell>
          <cell r="F77">
            <v>0</v>
          </cell>
          <cell r="G77">
            <v>0</v>
          </cell>
          <cell r="H77">
            <v>0</v>
          </cell>
          <cell r="I77">
            <v>0</v>
          </cell>
          <cell r="J77">
            <v>0</v>
          </cell>
          <cell r="K77">
            <v>0</v>
          </cell>
          <cell r="L77">
            <v>0</v>
          </cell>
          <cell r="N77">
            <v>0</v>
          </cell>
          <cell r="O77">
            <v>0</v>
          </cell>
          <cell r="P77">
            <v>0</v>
          </cell>
          <cell r="Q77">
            <v>0</v>
          </cell>
          <cell r="R77">
            <v>0</v>
          </cell>
          <cell r="S77">
            <v>0</v>
          </cell>
          <cell r="T77">
            <v>0</v>
          </cell>
          <cell r="V77">
            <v>0</v>
          </cell>
          <cell r="W77">
            <v>0</v>
          </cell>
          <cell r="X77">
            <v>0</v>
          </cell>
          <cell r="Y77">
            <v>0</v>
          </cell>
          <cell r="Z77">
            <v>0</v>
          </cell>
          <cell r="AA77">
            <v>0</v>
          </cell>
          <cell r="AB77">
            <v>0</v>
          </cell>
          <cell r="AC77">
            <v>0</v>
          </cell>
          <cell r="AF77">
            <v>0</v>
          </cell>
          <cell r="AG77">
            <v>0</v>
          </cell>
        </row>
        <row r="78">
          <cell r="B78" t="str">
            <v>by site conditions and instructed by the Engineer)</v>
          </cell>
          <cell r="F78">
            <v>0</v>
          </cell>
          <cell r="G78">
            <v>0</v>
          </cell>
          <cell r="H78">
            <v>0</v>
          </cell>
          <cell r="I78">
            <v>0</v>
          </cell>
          <cell r="J78">
            <v>0</v>
          </cell>
          <cell r="K78">
            <v>0</v>
          </cell>
          <cell r="L78">
            <v>0</v>
          </cell>
          <cell r="N78">
            <v>0</v>
          </cell>
          <cell r="O78">
            <v>0</v>
          </cell>
          <cell r="P78">
            <v>0</v>
          </cell>
          <cell r="Q78">
            <v>0</v>
          </cell>
          <cell r="R78">
            <v>0</v>
          </cell>
          <cell r="S78">
            <v>0</v>
          </cell>
          <cell r="T78">
            <v>0</v>
          </cell>
          <cell r="V78">
            <v>0</v>
          </cell>
          <cell r="W78">
            <v>0</v>
          </cell>
          <cell r="X78">
            <v>0</v>
          </cell>
          <cell r="Y78">
            <v>0</v>
          </cell>
          <cell r="Z78">
            <v>0</v>
          </cell>
          <cell r="AA78">
            <v>0</v>
          </cell>
          <cell r="AB78">
            <v>0</v>
          </cell>
          <cell r="AC78">
            <v>0</v>
          </cell>
          <cell r="AF78">
            <v>0</v>
          </cell>
          <cell r="AG78">
            <v>0</v>
          </cell>
        </row>
        <row r="79">
          <cell r="B79" t="str">
            <v>with zinc and bitumen external coating</v>
          </cell>
          <cell r="F79">
            <v>0</v>
          </cell>
          <cell r="G79">
            <v>0</v>
          </cell>
          <cell r="H79">
            <v>0</v>
          </cell>
          <cell r="I79">
            <v>0</v>
          </cell>
          <cell r="J79">
            <v>0</v>
          </cell>
          <cell r="K79">
            <v>0</v>
          </cell>
          <cell r="L79">
            <v>0</v>
          </cell>
          <cell r="N79">
            <v>0</v>
          </cell>
          <cell r="O79">
            <v>0</v>
          </cell>
          <cell r="P79">
            <v>0</v>
          </cell>
          <cell r="Q79">
            <v>0</v>
          </cell>
          <cell r="R79">
            <v>0</v>
          </cell>
          <cell r="S79">
            <v>0</v>
          </cell>
          <cell r="T79">
            <v>0</v>
          </cell>
          <cell r="V79">
            <v>0</v>
          </cell>
          <cell r="W79">
            <v>0</v>
          </cell>
          <cell r="X79">
            <v>0</v>
          </cell>
          <cell r="Y79">
            <v>0</v>
          </cell>
          <cell r="Z79">
            <v>0</v>
          </cell>
          <cell r="AA79">
            <v>0</v>
          </cell>
          <cell r="AB79">
            <v>0</v>
          </cell>
          <cell r="AC79">
            <v>0</v>
          </cell>
          <cell r="AF79">
            <v>0</v>
          </cell>
          <cell r="AG79">
            <v>0</v>
          </cell>
        </row>
        <row r="80">
          <cell r="B80" t="str">
            <v xml:space="preserve">and internal cement mortar lining including </v>
          </cell>
          <cell r="F80">
            <v>0</v>
          </cell>
          <cell r="G80">
            <v>0</v>
          </cell>
          <cell r="H80">
            <v>0</v>
          </cell>
          <cell r="I80">
            <v>0</v>
          </cell>
          <cell r="J80">
            <v>0</v>
          </cell>
          <cell r="K80">
            <v>0</v>
          </cell>
          <cell r="L80">
            <v>0</v>
          </cell>
          <cell r="N80">
            <v>0</v>
          </cell>
          <cell r="O80">
            <v>0</v>
          </cell>
          <cell r="P80">
            <v>0</v>
          </cell>
          <cell r="Q80">
            <v>0</v>
          </cell>
          <cell r="R80">
            <v>0</v>
          </cell>
          <cell r="S80">
            <v>0</v>
          </cell>
          <cell r="T80">
            <v>0</v>
          </cell>
          <cell r="V80">
            <v>0</v>
          </cell>
          <cell r="W80">
            <v>0</v>
          </cell>
          <cell r="X80">
            <v>0</v>
          </cell>
          <cell r="Y80">
            <v>0</v>
          </cell>
          <cell r="Z80">
            <v>0</v>
          </cell>
          <cell r="AA80">
            <v>0</v>
          </cell>
          <cell r="AB80">
            <v>0</v>
          </cell>
          <cell r="AC80">
            <v>0</v>
          </cell>
          <cell r="AF80">
            <v>0</v>
          </cell>
          <cell r="AG80">
            <v>0</v>
          </cell>
        </row>
        <row r="81">
          <cell r="B81" t="str">
            <v>polyethylene sleeves, warning tape, gaskets</v>
          </cell>
          <cell r="F81">
            <v>0</v>
          </cell>
          <cell r="G81">
            <v>0</v>
          </cell>
          <cell r="H81">
            <v>0</v>
          </cell>
          <cell r="I81">
            <v>0</v>
          </cell>
          <cell r="J81">
            <v>0</v>
          </cell>
          <cell r="K81">
            <v>0</v>
          </cell>
          <cell r="L81">
            <v>0</v>
          </cell>
          <cell r="N81">
            <v>0</v>
          </cell>
          <cell r="O81">
            <v>0</v>
          </cell>
          <cell r="P81">
            <v>0</v>
          </cell>
          <cell r="Q81">
            <v>0</v>
          </cell>
          <cell r="R81">
            <v>0</v>
          </cell>
          <cell r="S81">
            <v>0</v>
          </cell>
          <cell r="T81">
            <v>0</v>
          </cell>
          <cell r="V81">
            <v>0</v>
          </cell>
          <cell r="W81">
            <v>0</v>
          </cell>
          <cell r="X81">
            <v>0</v>
          </cell>
          <cell r="Y81">
            <v>0</v>
          </cell>
          <cell r="Z81">
            <v>0</v>
          </cell>
          <cell r="AA81">
            <v>0</v>
          </cell>
          <cell r="AB81">
            <v>0</v>
          </cell>
          <cell r="AC81">
            <v>0</v>
          </cell>
          <cell r="AF81">
            <v>0</v>
          </cell>
          <cell r="AG81">
            <v>0</v>
          </cell>
        </row>
        <row r="82">
          <cell r="B82" t="str">
            <v>bolts, nuts, etc. and all accessories</v>
          </cell>
          <cell r="F82">
            <v>0</v>
          </cell>
          <cell r="G82">
            <v>0</v>
          </cell>
          <cell r="H82">
            <v>0</v>
          </cell>
          <cell r="I82">
            <v>0</v>
          </cell>
          <cell r="J82">
            <v>0</v>
          </cell>
          <cell r="K82">
            <v>0</v>
          </cell>
          <cell r="L82">
            <v>0</v>
          </cell>
          <cell r="N82">
            <v>0</v>
          </cell>
          <cell r="O82">
            <v>0</v>
          </cell>
          <cell r="P82">
            <v>0</v>
          </cell>
          <cell r="Q82">
            <v>0</v>
          </cell>
          <cell r="R82">
            <v>0</v>
          </cell>
          <cell r="S82">
            <v>0</v>
          </cell>
          <cell r="T82">
            <v>0</v>
          </cell>
          <cell r="V82">
            <v>0</v>
          </cell>
          <cell r="W82">
            <v>0</v>
          </cell>
          <cell r="X82">
            <v>0</v>
          </cell>
          <cell r="Y82">
            <v>0</v>
          </cell>
          <cell r="Z82">
            <v>0</v>
          </cell>
          <cell r="AA82">
            <v>0</v>
          </cell>
          <cell r="AB82">
            <v>0</v>
          </cell>
          <cell r="AC82">
            <v>0</v>
          </cell>
          <cell r="AF82">
            <v>0</v>
          </cell>
          <cell r="AG82">
            <v>0</v>
          </cell>
        </row>
        <row r="83">
          <cell r="B83" t="str">
            <v>as specified for the following pipe sizes:</v>
          </cell>
          <cell r="F83">
            <v>0</v>
          </cell>
          <cell r="G83">
            <v>0</v>
          </cell>
          <cell r="H83">
            <v>0</v>
          </cell>
          <cell r="I83">
            <v>0</v>
          </cell>
          <cell r="J83">
            <v>0</v>
          </cell>
          <cell r="K83">
            <v>0</v>
          </cell>
          <cell r="L83">
            <v>0</v>
          </cell>
          <cell r="N83">
            <v>0</v>
          </cell>
          <cell r="O83">
            <v>0</v>
          </cell>
          <cell r="P83">
            <v>0</v>
          </cell>
          <cell r="Q83">
            <v>0</v>
          </cell>
          <cell r="R83">
            <v>0</v>
          </cell>
          <cell r="S83">
            <v>0</v>
          </cell>
          <cell r="T83">
            <v>0</v>
          </cell>
          <cell r="V83">
            <v>0</v>
          </cell>
          <cell r="W83">
            <v>0</v>
          </cell>
          <cell r="X83">
            <v>0</v>
          </cell>
          <cell r="Y83">
            <v>0</v>
          </cell>
          <cell r="Z83">
            <v>0</v>
          </cell>
          <cell r="AA83">
            <v>0</v>
          </cell>
          <cell r="AB83">
            <v>0</v>
          </cell>
          <cell r="AC83">
            <v>0</v>
          </cell>
          <cell r="AF83">
            <v>0</v>
          </cell>
          <cell r="AG83">
            <v>0</v>
          </cell>
        </row>
        <row r="84">
          <cell r="F84">
            <v>0</v>
          </cell>
          <cell r="G84">
            <v>0</v>
          </cell>
          <cell r="H84">
            <v>0</v>
          </cell>
          <cell r="I84">
            <v>0</v>
          </cell>
          <cell r="J84">
            <v>0</v>
          </cell>
          <cell r="K84">
            <v>0</v>
          </cell>
          <cell r="L84">
            <v>0</v>
          </cell>
          <cell r="N84">
            <v>0</v>
          </cell>
          <cell r="O84">
            <v>0</v>
          </cell>
          <cell r="P84">
            <v>0</v>
          </cell>
          <cell r="Q84">
            <v>0</v>
          </cell>
          <cell r="R84">
            <v>0</v>
          </cell>
          <cell r="S84">
            <v>0</v>
          </cell>
          <cell r="T84">
            <v>0</v>
          </cell>
          <cell r="V84">
            <v>0</v>
          </cell>
          <cell r="W84">
            <v>0</v>
          </cell>
          <cell r="X84">
            <v>0</v>
          </cell>
          <cell r="Y84">
            <v>0</v>
          </cell>
          <cell r="Z84">
            <v>0</v>
          </cell>
          <cell r="AA84">
            <v>0</v>
          </cell>
          <cell r="AB84">
            <v>0</v>
          </cell>
          <cell r="AC84">
            <v>0</v>
          </cell>
          <cell r="AF84">
            <v>0</v>
          </cell>
          <cell r="AG84">
            <v>0</v>
          </cell>
        </row>
        <row r="85">
          <cell r="A85" t="str">
            <v>1.1.5.1</v>
          </cell>
          <cell r="B85" t="str">
            <v>1000mm dia.</v>
          </cell>
          <cell r="C85">
            <v>20</v>
          </cell>
          <cell r="D85" t="str">
            <v>m</v>
          </cell>
          <cell r="E85">
            <v>1016.34</v>
          </cell>
          <cell r="F85">
            <v>20326.8</v>
          </cell>
          <cell r="G85">
            <v>3740.13</v>
          </cell>
          <cell r="H85">
            <v>74802.600000000006</v>
          </cell>
          <cell r="I85">
            <v>187.01</v>
          </cell>
          <cell r="J85">
            <v>3740.2</v>
          </cell>
          <cell r="K85">
            <v>3927.14</v>
          </cell>
          <cell r="L85">
            <v>78542.8</v>
          </cell>
          <cell r="M85">
            <v>3044.21</v>
          </cell>
          <cell r="N85">
            <v>60884.2</v>
          </cell>
          <cell r="O85">
            <v>11202.69</v>
          </cell>
          <cell r="P85">
            <v>224053.8</v>
          </cell>
          <cell r="Q85">
            <v>560.13</v>
          </cell>
          <cell r="R85">
            <v>11202.6</v>
          </cell>
          <cell r="S85">
            <v>11762.82</v>
          </cell>
          <cell r="T85">
            <v>235256.4</v>
          </cell>
          <cell r="U85">
            <v>3821.82</v>
          </cell>
          <cell r="V85">
            <v>3286.77</v>
          </cell>
          <cell r="W85">
            <v>65735.399999999994</v>
          </cell>
          <cell r="X85">
            <v>12095.31</v>
          </cell>
          <cell r="Y85">
            <v>241906.2</v>
          </cell>
          <cell r="Z85">
            <v>604.77</v>
          </cell>
          <cell r="AA85">
            <v>12095.4</v>
          </cell>
          <cell r="AB85">
            <v>12700.08</v>
          </cell>
          <cell r="AC85">
            <v>254001.6</v>
          </cell>
          <cell r="AF85">
            <v>12700.08</v>
          </cell>
          <cell r="AG85">
            <v>254001.6</v>
          </cell>
        </row>
        <row r="86">
          <cell r="A86" t="str">
            <v>1.1.5.2</v>
          </cell>
          <cell r="B86" t="str">
            <v>800mm dia.</v>
          </cell>
          <cell r="C86">
            <v>20</v>
          </cell>
          <cell r="D86" t="str">
            <v>m</v>
          </cell>
          <cell r="E86">
            <v>707.01</v>
          </cell>
          <cell r="F86">
            <v>14140.2</v>
          </cell>
          <cell r="G86">
            <v>2601.8000000000002</v>
          </cell>
          <cell r="H86">
            <v>52036</v>
          </cell>
          <cell r="I86">
            <v>130.09</v>
          </cell>
          <cell r="J86">
            <v>2601.8000000000002</v>
          </cell>
          <cell r="K86">
            <v>2731.89</v>
          </cell>
          <cell r="L86">
            <v>54637.8</v>
          </cell>
          <cell r="M86">
            <v>2009.18</v>
          </cell>
          <cell r="N86">
            <v>40183.599999999999</v>
          </cell>
          <cell r="O86">
            <v>7393.78</v>
          </cell>
          <cell r="P86">
            <v>147875.6</v>
          </cell>
          <cell r="Q86">
            <v>369.69</v>
          </cell>
          <cell r="R86">
            <v>7393.8</v>
          </cell>
          <cell r="S86">
            <v>7763.47</v>
          </cell>
          <cell r="T86">
            <v>155269.4</v>
          </cell>
          <cell r="U86">
            <v>2969.78</v>
          </cell>
          <cell r="V86">
            <v>2554.0100000000002</v>
          </cell>
          <cell r="W86">
            <v>51080.2</v>
          </cell>
          <cell r="X86">
            <v>9398.76</v>
          </cell>
          <cell r="Y86">
            <v>187975.2</v>
          </cell>
          <cell r="Z86">
            <v>469.94</v>
          </cell>
          <cell r="AA86">
            <v>9398.7999999999993</v>
          </cell>
          <cell r="AB86">
            <v>9868.7000000000007</v>
          </cell>
          <cell r="AC86">
            <v>197374</v>
          </cell>
          <cell r="AF86">
            <v>9868.7000000000007</v>
          </cell>
          <cell r="AG86">
            <v>197374</v>
          </cell>
        </row>
        <row r="87">
          <cell r="A87" t="str">
            <v>1.1.5.3</v>
          </cell>
          <cell r="B87" t="str">
            <v>600mm dia.</v>
          </cell>
          <cell r="C87">
            <v>48</v>
          </cell>
          <cell r="D87" t="str">
            <v>m</v>
          </cell>
          <cell r="E87">
            <v>437.29</v>
          </cell>
          <cell r="F87">
            <v>20989.919999999998</v>
          </cell>
          <cell r="G87">
            <v>1609.23</v>
          </cell>
          <cell r="H87">
            <v>77243.039999999994</v>
          </cell>
          <cell r="I87">
            <v>80.459999999999994</v>
          </cell>
          <cell r="J87">
            <v>3862.08</v>
          </cell>
          <cell r="K87">
            <v>1689.69</v>
          </cell>
          <cell r="L87">
            <v>81105.119999999995</v>
          </cell>
          <cell r="M87">
            <v>1231.78</v>
          </cell>
          <cell r="N87">
            <v>59125.440000000002</v>
          </cell>
          <cell r="O87">
            <v>4532.95</v>
          </cell>
          <cell r="P87">
            <v>217581.6</v>
          </cell>
          <cell r="Q87">
            <v>226.65</v>
          </cell>
          <cell r="R87">
            <v>10879.2</v>
          </cell>
          <cell r="S87">
            <v>4759.6000000000004</v>
          </cell>
          <cell r="T87">
            <v>228460.79999999999</v>
          </cell>
          <cell r="U87">
            <v>802.04</v>
          </cell>
          <cell r="V87">
            <v>689.75</v>
          </cell>
          <cell r="W87">
            <v>33108</v>
          </cell>
          <cell r="X87">
            <v>2538.2800000000002</v>
          </cell>
          <cell r="Y87">
            <v>121837.44</v>
          </cell>
          <cell r="Z87">
            <v>126.91</v>
          </cell>
          <cell r="AA87">
            <v>6091.68</v>
          </cell>
          <cell r="AB87">
            <v>2665.19</v>
          </cell>
          <cell r="AC87">
            <v>127929.12</v>
          </cell>
          <cell r="AF87">
            <v>2665.19</v>
          </cell>
          <cell r="AG87">
            <v>127929.12</v>
          </cell>
        </row>
        <row r="88">
          <cell r="A88" t="str">
            <v>1.1.5.4</v>
          </cell>
          <cell r="B88" t="str">
            <v>400mm dia.</v>
          </cell>
          <cell r="C88">
            <v>10</v>
          </cell>
          <cell r="D88" t="str">
            <v>m</v>
          </cell>
          <cell r="E88">
            <v>276.87</v>
          </cell>
          <cell r="F88">
            <v>2768.7</v>
          </cell>
          <cell r="G88">
            <v>1018.88</v>
          </cell>
          <cell r="H88">
            <v>10188.799999999999</v>
          </cell>
          <cell r="I88">
            <v>50.94</v>
          </cell>
          <cell r="J88">
            <v>509.4</v>
          </cell>
          <cell r="K88">
            <v>1069.82</v>
          </cell>
          <cell r="L88">
            <v>10698.2</v>
          </cell>
          <cell r="M88">
            <v>681.53</v>
          </cell>
          <cell r="N88">
            <v>6815.3</v>
          </cell>
          <cell r="O88">
            <v>2508.0300000000002</v>
          </cell>
          <cell r="P88">
            <v>25080.3</v>
          </cell>
          <cell r="Q88">
            <v>125.4</v>
          </cell>
          <cell r="R88">
            <v>1254</v>
          </cell>
          <cell r="S88">
            <v>2633.43</v>
          </cell>
          <cell r="T88">
            <v>26334.3</v>
          </cell>
          <cell r="U88">
            <v>357.22</v>
          </cell>
          <cell r="V88">
            <v>307.20999999999998</v>
          </cell>
          <cell r="W88">
            <v>3072.1</v>
          </cell>
          <cell r="X88">
            <v>1130.53</v>
          </cell>
          <cell r="Y88">
            <v>11305.3</v>
          </cell>
          <cell r="Z88">
            <v>56.53</v>
          </cell>
          <cell r="AA88">
            <v>565.29999999999995</v>
          </cell>
          <cell r="AB88">
            <v>1187.06</v>
          </cell>
          <cell r="AC88">
            <v>11870.6</v>
          </cell>
          <cell r="AF88">
            <v>1187.06</v>
          </cell>
          <cell r="AG88">
            <v>11870.6</v>
          </cell>
        </row>
        <row r="89">
          <cell r="A89" t="str">
            <v>1.1.5.5</v>
          </cell>
          <cell r="B89" t="str">
            <v>300mm dia.</v>
          </cell>
          <cell r="C89">
            <v>10</v>
          </cell>
          <cell r="D89" t="str">
            <v>m</v>
          </cell>
          <cell r="E89">
            <v>140.75</v>
          </cell>
          <cell r="F89">
            <v>1407.5</v>
          </cell>
          <cell r="G89">
            <v>517.96</v>
          </cell>
          <cell r="H89">
            <v>5179.6000000000004</v>
          </cell>
          <cell r="I89">
            <v>25.9</v>
          </cell>
          <cell r="J89">
            <v>259</v>
          </cell>
          <cell r="K89">
            <v>543.86</v>
          </cell>
          <cell r="L89">
            <v>5438.6</v>
          </cell>
          <cell r="M89">
            <v>842.1</v>
          </cell>
          <cell r="N89">
            <v>8421</v>
          </cell>
          <cell r="O89">
            <v>3098.93</v>
          </cell>
          <cell r="P89">
            <v>30989.3</v>
          </cell>
          <cell r="Q89">
            <v>154.94999999999999</v>
          </cell>
          <cell r="R89">
            <v>1549.5</v>
          </cell>
          <cell r="S89">
            <v>3253.88</v>
          </cell>
          <cell r="T89">
            <v>32538.799999999999</v>
          </cell>
          <cell r="U89">
            <v>238.01</v>
          </cell>
          <cell r="V89">
            <v>204.69</v>
          </cell>
          <cell r="W89">
            <v>2046.9</v>
          </cell>
          <cell r="X89">
            <v>753.26</v>
          </cell>
          <cell r="Y89">
            <v>7532.6</v>
          </cell>
          <cell r="Z89">
            <v>37.659999999999997</v>
          </cell>
          <cell r="AA89">
            <v>376.6</v>
          </cell>
          <cell r="AB89">
            <v>790.92</v>
          </cell>
          <cell r="AC89">
            <v>7909.2</v>
          </cell>
          <cell r="AF89">
            <v>790.92</v>
          </cell>
          <cell r="AG89">
            <v>7909.2</v>
          </cell>
        </row>
        <row r="90">
          <cell r="A90" t="str">
            <v>1.1.5.6</v>
          </cell>
          <cell r="B90" t="str">
            <v>200mm dia.</v>
          </cell>
          <cell r="C90">
            <v>10</v>
          </cell>
          <cell r="D90" t="str">
            <v>m</v>
          </cell>
          <cell r="E90">
            <v>87.26</v>
          </cell>
          <cell r="F90">
            <v>872.6</v>
          </cell>
          <cell r="G90">
            <v>321.12</v>
          </cell>
          <cell r="H90">
            <v>3211.2</v>
          </cell>
          <cell r="I90">
            <v>16.059999999999999</v>
          </cell>
          <cell r="J90">
            <v>160.6</v>
          </cell>
          <cell r="K90">
            <v>337.18</v>
          </cell>
          <cell r="L90">
            <v>3371.8</v>
          </cell>
          <cell r="M90">
            <v>871.98</v>
          </cell>
          <cell r="N90">
            <v>8719.7999999999993</v>
          </cell>
          <cell r="O90">
            <v>3208.89</v>
          </cell>
          <cell r="P90">
            <v>32088.9</v>
          </cell>
          <cell r="Q90">
            <v>160.44</v>
          </cell>
          <cell r="R90">
            <v>1604.4</v>
          </cell>
          <cell r="S90">
            <v>3369.33</v>
          </cell>
          <cell r="T90">
            <v>33693.300000000003</v>
          </cell>
          <cell r="U90">
            <v>146.99</v>
          </cell>
          <cell r="V90">
            <v>126.41</v>
          </cell>
          <cell r="W90">
            <v>1264.0999999999999</v>
          </cell>
          <cell r="X90">
            <v>465.19</v>
          </cell>
          <cell r="Y90">
            <v>4651.8999999999996</v>
          </cell>
          <cell r="Z90">
            <v>23.26</v>
          </cell>
          <cell r="AA90">
            <v>232.6</v>
          </cell>
          <cell r="AB90">
            <v>488.45</v>
          </cell>
          <cell r="AC90">
            <v>4884.5</v>
          </cell>
          <cell r="AF90">
            <v>488.45</v>
          </cell>
          <cell r="AG90">
            <v>4884.5</v>
          </cell>
        </row>
        <row r="91">
          <cell r="F91">
            <v>0</v>
          </cell>
          <cell r="G91">
            <v>0</v>
          </cell>
          <cell r="H91">
            <v>0</v>
          </cell>
          <cell r="I91">
            <v>0</v>
          </cell>
          <cell r="J91">
            <v>0</v>
          </cell>
          <cell r="K91">
            <v>0</v>
          </cell>
          <cell r="L91">
            <v>0</v>
          </cell>
          <cell r="N91">
            <v>0</v>
          </cell>
          <cell r="O91">
            <v>0</v>
          </cell>
          <cell r="P91">
            <v>0</v>
          </cell>
          <cell r="Q91">
            <v>0</v>
          </cell>
          <cell r="R91">
            <v>0</v>
          </cell>
          <cell r="S91">
            <v>0</v>
          </cell>
          <cell r="T91">
            <v>0</v>
          </cell>
          <cell r="V91">
            <v>0</v>
          </cell>
          <cell r="W91">
            <v>0</v>
          </cell>
          <cell r="X91">
            <v>0</v>
          </cell>
          <cell r="Y91">
            <v>0</v>
          </cell>
          <cell r="Z91">
            <v>0</v>
          </cell>
          <cell r="AA91">
            <v>0</v>
          </cell>
          <cell r="AB91">
            <v>0</v>
          </cell>
          <cell r="AC91">
            <v>0</v>
          </cell>
          <cell r="AF91">
            <v>0</v>
          </cell>
          <cell r="AG91">
            <v>0</v>
          </cell>
        </row>
        <row r="92">
          <cell r="V92">
            <v>0</v>
          </cell>
          <cell r="W92">
            <v>0</v>
          </cell>
          <cell r="AF92">
            <v>0</v>
          </cell>
          <cell r="AG92">
            <v>0</v>
          </cell>
        </row>
        <row r="93">
          <cell r="V93">
            <v>0</v>
          </cell>
          <cell r="W93">
            <v>0</v>
          </cell>
          <cell r="AF93">
            <v>0</v>
          </cell>
          <cell r="AG93">
            <v>0</v>
          </cell>
        </row>
        <row r="94">
          <cell r="V94">
            <v>0</v>
          </cell>
          <cell r="W94">
            <v>0</v>
          </cell>
          <cell r="AF94">
            <v>0</v>
          </cell>
          <cell r="AG94">
            <v>0</v>
          </cell>
        </row>
        <row r="95">
          <cell r="V95">
            <v>0</v>
          </cell>
          <cell r="W95">
            <v>0</v>
          </cell>
          <cell r="AF95">
            <v>0</v>
          </cell>
          <cell r="AG95">
            <v>0</v>
          </cell>
        </row>
        <row r="96">
          <cell r="V96">
            <v>0</v>
          </cell>
          <cell r="W96">
            <v>0</v>
          </cell>
          <cell r="AF96">
            <v>0</v>
          </cell>
          <cell r="AG96">
            <v>0</v>
          </cell>
        </row>
        <row r="97">
          <cell r="V97">
            <v>0</v>
          </cell>
          <cell r="W97">
            <v>0</v>
          </cell>
          <cell r="AF97">
            <v>0</v>
          </cell>
          <cell r="AG97">
            <v>0</v>
          </cell>
        </row>
        <row r="98">
          <cell r="V98">
            <v>0</v>
          </cell>
          <cell r="W98">
            <v>0</v>
          </cell>
          <cell r="AF98">
            <v>0</v>
          </cell>
          <cell r="AG98">
            <v>0</v>
          </cell>
        </row>
        <row r="99">
          <cell r="V99">
            <v>0</v>
          </cell>
          <cell r="W99">
            <v>0</v>
          </cell>
          <cell r="AF99">
            <v>0</v>
          </cell>
          <cell r="AG99">
            <v>0</v>
          </cell>
        </row>
        <row r="100">
          <cell r="F100">
            <v>0</v>
          </cell>
          <cell r="G100">
            <v>0</v>
          </cell>
          <cell r="H100">
            <v>0</v>
          </cell>
          <cell r="I100">
            <v>0</v>
          </cell>
          <cell r="J100">
            <v>0</v>
          </cell>
          <cell r="K100">
            <v>0</v>
          </cell>
          <cell r="L100">
            <v>0</v>
          </cell>
          <cell r="N100">
            <v>0</v>
          </cell>
          <cell r="O100">
            <v>0</v>
          </cell>
          <cell r="P100">
            <v>0</v>
          </cell>
          <cell r="Q100">
            <v>0</v>
          </cell>
          <cell r="R100">
            <v>0</v>
          </cell>
          <cell r="S100">
            <v>0</v>
          </cell>
          <cell r="T100">
            <v>0</v>
          </cell>
          <cell r="V100">
            <v>0</v>
          </cell>
          <cell r="W100">
            <v>0</v>
          </cell>
          <cell r="X100">
            <v>0</v>
          </cell>
          <cell r="Y100">
            <v>0</v>
          </cell>
          <cell r="Z100">
            <v>0</v>
          </cell>
          <cell r="AA100">
            <v>0</v>
          </cell>
          <cell r="AB100">
            <v>0</v>
          </cell>
          <cell r="AC100">
            <v>0</v>
          </cell>
          <cell r="AF100">
            <v>0</v>
          </cell>
          <cell r="AG100">
            <v>0</v>
          </cell>
        </row>
        <row r="101">
          <cell r="B101" t="str">
            <v xml:space="preserve">Supply Gaskets for spigot/socket pipes or flanged pipes </v>
          </cell>
          <cell r="F101">
            <v>0</v>
          </cell>
          <cell r="G101">
            <v>0</v>
          </cell>
          <cell r="H101">
            <v>0</v>
          </cell>
          <cell r="I101">
            <v>0</v>
          </cell>
          <cell r="J101">
            <v>0</v>
          </cell>
          <cell r="K101">
            <v>0</v>
          </cell>
          <cell r="L101">
            <v>0</v>
          </cell>
          <cell r="N101">
            <v>0</v>
          </cell>
          <cell r="O101">
            <v>0</v>
          </cell>
          <cell r="P101">
            <v>0</v>
          </cell>
          <cell r="Q101">
            <v>0</v>
          </cell>
          <cell r="R101">
            <v>0</v>
          </cell>
          <cell r="S101">
            <v>0</v>
          </cell>
          <cell r="T101">
            <v>0</v>
          </cell>
          <cell r="V101">
            <v>0</v>
          </cell>
          <cell r="W101">
            <v>0</v>
          </cell>
          <cell r="X101">
            <v>0</v>
          </cell>
          <cell r="Y101">
            <v>0</v>
          </cell>
          <cell r="Z101">
            <v>0</v>
          </cell>
          <cell r="AA101">
            <v>0</v>
          </cell>
          <cell r="AB101">
            <v>0</v>
          </cell>
          <cell r="AC101">
            <v>0</v>
          </cell>
          <cell r="AF101">
            <v>0</v>
          </cell>
          <cell r="AG101">
            <v>0</v>
          </cell>
        </row>
        <row r="102">
          <cell r="B102" t="str">
            <v>for pipes of the following sizes:</v>
          </cell>
          <cell r="F102">
            <v>0</v>
          </cell>
          <cell r="G102">
            <v>0</v>
          </cell>
          <cell r="H102">
            <v>0</v>
          </cell>
          <cell r="I102">
            <v>0</v>
          </cell>
          <cell r="J102">
            <v>0</v>
          </cell>
          <cell r="K102">
            <v>0</v>
          </cell>
          <cell r="L102">
            <v>0</v>
          </cell>
          <cell r="N102">
            <v>0</v>
          </cell>
          <cell r="O102">
            <v>0</v>
          </cell>
          <cell r="P102">
            <v>0</v>
          </cell>
          <cell r="Q102">
            <v>0</v>
          </cell>
          <cell r="R102">
            <v>0</v>
          </cell>
          <cell r="S102">
            <v>0</v>
          </cell>
          <cell r="T102">
            <v>0</v>
          </cell>
          <cell r="V102">
            <v>0</v>
          </cell>
          <cell r="W102">
            <v>0</v>
          </cell>
          <cell r="X102">
            <v>0</v>
          </cell>
          <cell r="Y102">
            <v>0</v>
          </cell>
          <cell r="Z102">
            <v>0</v>
          </cell>
          <cell r="AA102">
            <v>0</v>
          </cell>
          <cell r="AB102">
            <v>0</v>
          </cell>
          <cell r="AC102">
            <v>0</v>
          </cell>
          <cell r="AF102">
            <v>0</v>
          </cell>
          <cell r="AG102">
            <v>0</v>
          </cell>
        </row>
        <row r="103">
          <cell r="F103">
            <v>0</v>
          </cell>
          <cell r="G103">
            <v>0</v>
          </cell>
          <cell r="H103">
            <v>0</v>
          </cell>
          <cell r="I103">
            <v>0</v>
          </cell>
          <cell r="J103">
            <v>0</v>
          </cell>
          <cell r="K103">
            <v>0</v>
          </cell>
          <cell r="L103">
            <v>0</v>
          </cell>
          <cell r="N103">
            <v>0</v>
          </cell>
          <cell r="O103">
            <v>0</v>
          </cell>
          <cell r="P103">
            <v>0</v>
          </cell>
          <cell r="Q103">
            <v>0</v>
          </cell>
          <cell r="R103">
            <v>0</v>
          </cell>
          <cell r="S103">
            <v>0</v>
          </cell>
          <cell r="T103">
            <v>0</v>
          </cell>
          <cell r="V103">
            <v>0</v>
          </cell>
          <cell r="W103">
            <v>0</v>
          </cell>
          <cell r="X103">
            <v>0</v>
          </cell>
          <cell r="Y103">
            <v>0</v>
          </cell>
          <cell r="Z103">
            <v>0</v>
          </cell>
          <cell r="AA103">
            <v>0</v>
          </cell>
          <cell r="AB103">
            <v>0</v>
          </cell>
          <cell r="AC103">
            <v>0</v>
          </cell>
          <cell r="AF103">
            <v>0</v>
          </cell>
          <cell r="AG103">
            <v>0</v>
          </cell>
        </row>
        <row r="104">
          <cell r="A104" t="str">
            <v>1.1.6.3</v>
          </cell>
          <cell r="B104" t="str">
            <v>1000 mm dia.</v>
          </cell>
          <cell r="C104">
            <v>50</v>
          </cell>
          <cell r="D104" t="str">
            <v>No.</v>
          </cell>
          <cell r="E104">
            <v>52.9</v>
          </cell>
          <cell r="F104">
            <v>2645</v>
          </cell>
          <cell r="G104">
            <v>194.67</v>
          </cell>
          <cell r="H104">
            <v>9733.5</v>
          </cell>
          <cell r="I104">
            <v>9.73</v>
          </cell>
          <cell r="J104">
            <v>486.5</v>
          </cell>
          <cell r="K104">
            <v>204.4</v>
          </cell>
          <cell r="L104">
            <v>10220</v>
          </cell>
          <cell r="M104">
            <v>52.9</v>
          </cell>
          <cell r="N104">
            <v>2645</v>
          </cell>
          <cell r="O104">
            <v>194.67</v>
          </cell>
          <cell r="P104">
            <v>9733.5</v>
          </cell>
          <cell r="Q104">
            <v>9.73</v>
          </cell>
          <cell r="R104">
            <v>486.5</v>
          </cell>
          <cell r="S104">
            <v>204.4</v>
          </cell>
          <cell r="T104">
            <v>10220</v>
          </cell>
          <cell r="U104">
            <v>56.49</v>
          </cell>
          <cell r="V104">
            <v>48.58</v>
          </cell>
          <cell r="W104">
            <v>2429</v>
          </cell>
          <cell r="X104">
            <v>178.77</v>
          </cell>
          <cell r="Y104">
            <v>8938.5</v>
          </cell>
          <cell r="Z104">
            <v>8.94</v>
          </cell>
          <cell r="AA104">
            <v>447</v>
          </cell>
          <cell r="AB104">
            <v>187.71</v>
          </cell>
          <cell r="AC104">
            <v>9385.5</v>
          </cell>
          <cell r="AF104">
            <v>187.71</v>
          </cell>
          <cell r="AG104">
            <v>9385.5</v>
          </cell>
        </row>
        <row r="105">
          <cell r="A105" t="str">
            <v>1.1.6.4</v>
          </cell>
          <cell r="B105" t="str">
            <v>800 mm dia.</v>
          </cell>
          <cell r="C105">
            <v>20</v>
          </cell>
          <cell r="D105" t="str">
            <v>No.</v>
          </cell>
          <cell r="E105">
            <v>25.07</v>
          </cell>
          <cell r="F105">
            <v>501.4</v>
          </cell>
          <cell r="G105">
            <v>92.26</v>
          </cell>
          <cell r="H105">
            <v>1845.2</v>
          </cell>
          <cell r="I105">
            <v>4.6100000000000003</v>
          </cell>
          <cell r="J105">
            <v>92.2</v>
          </cell>
          <cell r="K105">
            <v>96.87</v>
          </cell>
          <cell r="L105">
            <v>1937.4</v>
          </cell>
          <cell r="M105">
            <v>25.07</v>
          </cell>
          <cell r="N105">
            <v>501.4</v>
          </cell>
          <cell r="O105">
            <v>92.26</v>
          </cell>
          <cell r="P105">
            <v>1845.2</v>
          </cell>
          <cell r="Q105">
            <v>4.6100000000000003</v>
          </cell>
          <cell r="R105">
            <v>92.2</v>
          </cell>
          <cell r="S105">
            <v>96.87</v>
          </cell>
          <cell r="T105">
            <v>1937.4</v>
          </cell>
          <cell r="U105">
            <v>34.15</v>
          </cell>
          <cell r="V105">
            <v>29.37</v>
          </cell>
          <cell r="W105">
            <v>587.4</v>
          </cell>
          <cell r="X105">
            <v>108.08</v>
          </cell>
          <cell r="Y105">
            <v>2161.6</v>
          </cell>
          <cell r="Z105">
            <v>5.4</v>
          </cell>
          <cell r="AA105">
            <v>108</v>
          </cell>
          <cell r="AB105">
            <v>113.48</v>
          </cell>
          <cell r="AC105">
            <v>2269.6</v>
          </cell>
          <cell r="AF105">
            <v>113.48</v>
          </cell>
          <cell r="AG105">
            <v>2269.6</v>
          </cell>
        </row>
        <row r="106">
          <cell r="A106" t="str">
            <v>1.1.6.5</v>
          </cell>
          <cell r="B106" t="str">
            <v>600 mm dia.</v>
          </cell>
          <cell r="C106">
            <v>20</v>
          </cell>
          <cell r="D106" t="str">
            <v>No.</v>
          </cell>
          <cell r="E106">
            <v>10.56</v>
          </cell>
          <cell r="F106">
            <v>211.2</v>
          </cell>
          <cell r="G106">
            <v>38.86</v>
          </cell>
          <cell r="H106">
            <v>777.2</v>
          </cell>
          <cell r="I106">
            <v>1.94</v>
          </cell>
          <cell r="J106">
            <v>38.799999999999997</v>
          </cell>
          <cell r="K106">
            <v>40.799999999999997</v>
          </cell>
          <cell r="L106">
            <v>816</v>
          </cell>
          <cell r="M106">
            <v>10.56</v>
          </cell>
          <cell r="N106">
            <v>211.2</v>
          </cell>
          <cell r="O106">
            <v>38.86</v>
          </cell>
          <cell r="P106">
            <v>777.2</v>
          </cell>
          <cell r="Q106">
            <v>1.94</v>
          </cell>
          <cell r="R106">
            <v>38.799999999999997</v>
          </cell>
          <cell r="S106">
            <v>40.799999999999997</v>
          </cell>
          <cell r="T106">
            <v>816</v>
          </cell>
          <cell r="U106">
            <v>18.420000000000002</v>
          </cell>
          <cell r="V106">
            <v>15.84</v>
          </cell>
          <cell r="W106">
            <v>316.8</v>
          </cell>
          <cell r="X106">
            <v>58.29</v>
          </cell>
          <cell r="Y106">
            <v>1165.8</v>
          </cell>
          <cell r="Z106">
            <v>2.91</v>
          </cell>
          <cell r="AA106">
            <v>58.2</v>
          </cell>
          <cell r="AB106">
            <v>61.2</v>
          </cell>
          <cell r="AC106">
            <v>1224</v>
          </cell>
          <cell r="AF106">
            <v>61.2</v>
          </cell>
          <cell r="AG106">
            <v>1224</v>
          </cell>
        </row>
        <row r="107">
          <cell r="A107" t="str">
            <v>1.1.6.6</v>
          </cell>
          <cell r="B107" t="str">
            <v>400 mm dia.</v>
          </cell>
          <cell r="C107">
            <v>20</v>
          </cell>
          <cell r="D107" t="str">
            <v>No.</v>
          </cell>
          <cell r="E107">
            <v>6.76</v>
          </cell>
          <cell r="F107">
            <v>135.19999999999999</v>
          </cell>
          <cell r="G107">
            <v>24.88</v>
          </cell>
          <cell r="H107">
            <v>497.6</v>
          </cell>
          <cell r="I107">
            <v>1.24</v>
          </cell>
          <cell r="J107">
            <v>24.8</v>
          </cell>
          <cell r="K107">
            <v>26.12</v>
          </cell>
          <cell r="L107">
            <v>522.4</v>
          </cell>
          <cell r="M107">
            <v>6.76</v>
          </cell>
          <cell r="N107">
            <v>135.19999999999999</v>
          </cell>
          <cell r="O107">
            <v>24.88</v>
          </cell>
          <cell r="P107">
            <v>497.6</v>
          </cell>
          <cell r="Q107">
            <v>1.24</v>
          </cell>
          <cell r="R107">
            <v>24.8</v>
          </cell>
          <cell r="S107">
            <v>26.12</v>
          </cell>
          <cell r="T107">
            <v>522.4</v>
          </cell>
          <cell r="U107">
            <v>9.0399999999999991</v>
          </cell>
          <cell r="V107">
            <v>7.77</v>
          </cell>
          <cell r="W107">
            <v>155.4</v>
          </cell>
          <cell r="X107">
            <v>28.59</v>
          </cell>
          <cell r="Y107">
            <v>571.79999999999995</v>
          </cell>
          <cell r="Z107">
            <v>1.43</v>
          </cell>
          <cell r="AA107">
            <v>28.6</v>
          </cell>
          <cell r="AB107">
            <v>30.02</v>
          </cell>
          <cell r="AC107">
            <v>600.4</v>
          </cell>
          <cell r="AF107">
            <v>30.02</v>
          </cell>
          <cell r="AG107">
            <v>600.4</v>
          </cell>
        </row>
        <row r="108">
          <cell r="A108" t="str">
            <v>1.1.6.7</v>
          </cell>
          <cell r="B108" t="str">
            <v>300 mm dia.</v>
          </cell>
          <cell r="C108">
            <v>10</v>
          </cell>
          <cell r="D108" t="str">
            <v>No.</v>
          </cell>
          <cell r="E108">
            <v>3.22</v>
          </cell>
          <cell r="F108">
            <v>32.200000000000003</v>
          </cell>
          <cell r="G108">
            <v>11.85</v>
          </cell>
          <cell r="H108">
            <v>118.5</v>
          </cell>
          <cell r="I108">
            <v>0.59</v>
          </cell>
          <cell r="J108">
            <v>5.9</v>
          </cell>
          <cell r="K108">
            <v>12.44</v>
          </cell>
          <cell r="L108">
            <v>124.4</v>
          </cell>
          <cell r="M108">
            <v>3.22</v>
          </cell>
          <cell r="N108">
            <v>32.200000000000003</v>
          </cell>
          <cell r="O108">
            <v>11.85</v>
          </cell>
          <cell r="P108">
            <v>118.5</v>
          </cell>
          <cell r="Q108">
            <v>0.59</v>
          </cell>
          <cell r="R108">
            <v>5.9</v>
          </cell>
          <cell r="S108">
            <v>12.44</v>
          </cell>
          <cell r="T108">
            <v>124.4</v>
          </cell>
          <cell r="U108">
            <v>5.87</v>
          </cell>
          <cell r="V108">
            <v>5.05</v>
          </cell>
          <cell r="W108">
            <v>50.5</v>
          </cell>
          <cell r="X108">
            <v>18.579999999999998</v>
          </cell>
          <cell r="Y108">
            <v>185.8</v>
          </cell>
          <cell r="Z108">
            <v>0.93</v>
          </cell>
          <cell r="AA108">
            <v>9.3000000000000007</v>
          </cell>
          <cell r="AB108">
            <v>19.510000000000002</v>
          </cell>
          <cell r="AC108">
            <v>195.1</v>
          </cell>
          <cell r="AF108">
            <v>19.510000000000002</v>
          </cell>
          <cell r="AG108">
            <v>195.1</v>
          </cell>
        </row>
        <row r="109">
          <cell r="A109" t="str">
            <v>1.1.6.8</v>
          </cell>
          <cell r="B109" t="str">
            <v>200 mm dia.</v>
          </cell>
          <cell r="C109">
            <v>20</v>
          </cell>
          <cell r="D109" t="str">
            <v>No.</v>
          </cell>
          <cell r="E109">
            <v>2.19</v>
          </cell>
          <cell r="F109">
            <v>43.8</v>
          </cell>
          <cell r="G109">
            <v>8.06</v>
          </cell>
          <cell r="H109">
            <v>161.19999999999999</v>
          </cell>
          <cell r="I109">
            <v>0.4</v>
          </cell>
          <cell r="J109">
            <v>8</v>
          </cell>
          <cell r="K109">
            <v>8.4600000000000009</v>
          </cell>
          <cell r="L109">
            <v>169.2</v>
          </cell>
          <cell r="M109">
            <v>2.19</v>
          </cell>
          <cell r="N109">
            <v>43.8</v>
          </cell>
          <cell r="O109">
            <v>8.06</v>
          </cell>
          <cell r="P109">
            <v>161.19999999999999</v>
          </cell>
          <cell r="Q109">
            <v>0.4</v>
          </cell>
          <cell r="R109">
            <v>8</v>
          </cell>
          <cell r="S109">
            <v>8.4600000000000009</v>
          </cell>
          <cell r="T109">
            <v>169.2</v>
          </cell>
          <cell r="U109">
            <v>3.22</v>
          </cell>
          <cell r="V109">
            <v>2.77</v>
          </cell>
          <cell r="W109">
            <v>55.4</v>
          </cell>
          <cell r="X109">
            <v>10.19</v>
          </cell>
          <cell r="Y109">
            <v>203.8</v>
          </cell>
          <cell r="Z109">
            <v>0.51</v>
          </cell>
          <cell r="AA109">
            <v>10.199999999999999</v>
          </cell>
          <cell r="AB109">
            <v>10.7</v>
          </cell>
          <cell r="AC109">
            <v>214</v>
          </cell>
          <cell r="AF109">
            <v>10.7</v>
          </cell>
          <cell r="AG109">
            <v>214</v>
          </cell>
        </row>
        <row r="110">
          <cell r="A110" t="str">
            <v>1.1.6.9</v>
          </cell>
          <cell r="B110" t="str">
            <v>150 mm dia.</v>
          </cell>
          <cell r="C110">
            <v>10</v>
          </cell>
          <cell r="D110" t="str">
            <v>No.</v>
          </cell>
          <cell r="E110">
            <v>1.38</v>
          </cell>
          <cell r="F110">
            <v>13.8</v>
          </cell>
          <cell r="G110">
            <v>5.08</v>
          </cell>
          <cell r="H110">
            <v>50.8</v>
          </cell>
          <cell r="I110">
            <v>0.25</v>
          </cell>
          <cell r="J110">
            <v>2.5</v>
          </cell>
          <cell r="K110">
            <v>5.33</v>
          </cell>
          <cell r="L110">
            <v>53.3</v>
          </cell>
          <cell r="M110">
            <v>1.38</v>
          </cell>
          <cell r="N110">
            <v>13.8</v>
          </cell>
          <cell r="O110">
            <v>5.08</v>
          </cell>
          <cell r="P110">
            <v>50.8</v>
          </cell>
          <cell r="Q110">
            <v>0.25</v>
          </cell>
          <cell r="R110">
            <v>2.5</v>
          </cell>
          <cell r="S110">
            <v>5.33</v>
          </cell>
          <cell r="T110">
            <v>53.3</v>
          </cell>
          <cell r="U110">
            <v>2.34</v>
          </cell>
          <cell r="V110">
            <v>2.0099999999999998</v>
          </cell>
          <cell r="W110">
            <v>20.100000000000001</v>
          </cell>
          <cell r="X110">
            <v>7.4</v>
          </cell>
          <cell r="Y110">
            <v>74</v>
          </cell>
          <cell r="Z110">
            <v>0.37</v>
          </cell>
          <cell r="AA110">
            <v>3.7</v>
          </cell>
          <cell r="AB110">
            <v>7.77</v>
          </cell>
          <cell r="AC110">
            <v>77.7</v>
          </cell>
          <cell r="AF110">
            <v>7.77</v>
          </cell>
          <cell r="AG110">
            <v>77.7</v>
          </cell>
        </row>
        <row r="111">
          <cell r="F111">
            <v>0</v>
          </cell>
          <cell r="G111">
            <v>0</v>
          </cell>
          <cell r="H111">
            <v>0</v>
          </cell>
          <cell r="I111">
            <v>0</v>
          </cell>
          <cell r="J111">
            <v>0</v>
          </cell>
          <cell r="K111">
            <v>0</v>
          </cell>
          <cell r="L111">
            <v>0</v>
          </cell>
          <cell r="N111">
            <v>0</v>
          </cell>
          <cell r="O111">
            <v>0</v>
          </cell>
          <cell r="P111">
            <v>0</v>
          </cell>
          <cell r="Q111">
            <v>0</v>
          </cell>
          <cell r="R111">
            <v>0</v>
          </cell>
          <cell r="S111">
            <v>0</v>
          </cell>
          <cell r="T111">
            <v>0</v>
          </cell>
          <cell r="V111">
            <v>0</v>
          </cell>
          <cell r="W111">
            <v>0</v>
          </cell>
          <cell r="X111">
            <v>0</v>
          </cell>
          <cell r="Y111">
            <v>0</v>
          </cell>
          <cell r="Z111">
            <v>0</v>
          </cell>
          <cell r="AA111">
            <v>0</v>
          </cell>
          <cell r="AB111">
            <v>0</v>
          </cell>
          <cell r="AC111">
            <v>0</v>
          </cell>
          <cell r="AF111">
            <v>0</v>
          </cell>
          <cell r="AG111">
            <v>0</v>
          </cell>
        </row>
        <row r="112">
          <cell r="B112" t="str">
            <v xml:space="preserve">Supply a complete set of bolts, nuts, washers, etc. </v>
          </cell>
          <cell r="F112">
            <v>0</v>
          </cell>
          <cell r="G112">
            <v>0</v>
          </cell>
          <cell r="H112">
            <v>0</v>
          </cell>
          <cell r="I112">
            <v>0</v>
          </cell>
          <cell r="J112">
            <v>0</v>
          </cell>
          <cell r="K112">
            <v>0</v>
          </cell>
          <cell r="L112">
            <v>0</v>
          </cell>
          <cell r="N112">
            <v>0</v>
          </cell>
          <cell r="O112">
            <v>0</v>
          </cell>
          <cell r="P112">
            <v>0</v>
          </cell>
          <cell r="Q112">
            <v>0</v>
          </cell>
          <cell r="R112">
            <v>0</v>
          </cell>
          <cell r="S112">
            <v>0</v>
          </cell>
          <cell r="T112">
            <v>0</v>
          </cell>
          <cell r="V112">
            <v>0</v>
          </cell>
          <cell r="W112">
            <v>0</v>
          </cell>
          <cell r="X112">
            <v>0</v>
          </cell>
          <cell r="Y112">
            <v>0</v>
          </cell>
          <cell r="Z112">
            <v>0</v>
          </cell>
          <cell r="AA112">
            <v>0</v>
          </cell>
          <cell r="AB112">
            <v>0</v>
          </cell>
          <cell r="AC112">
            <v>0</v>
          </cell>
          <cell r="AF112">
            <v>0</v>
          </cell>
          <cell r="AG112">
            <v>0</v>
          </cell>
        </row>
        <row r="113">
          <cell r="B113" t="str">
            <v>required to joint flanged pipes, fitting or valves of the</v>
          </cell>
          <cell r="F113">
            <v>0</v>
          </cell>
          <cell r="G113">
            <v>0</v>
          </cell>
          <cell r="H113">
            <v>0</v>
          </cell>
          <cell r="I113">
            <v>0</v>
          </cell>
          <cell r="J113">
            <v>0</v>
          </cell>
          <cell r="K113">
            <v>0</v>
          </cell>
          <cell r="L113">
            <v>0</v>
          </cell>
          <cell r="N113">
            <v>0</v>
          </cell>
          <cell r="O113">
            <v>0</v>
          </cell>
          <cell r="P113">
            <v>0</v>
          </cell>
          <cell r="Q113">
            <v>0</v>
          </cell>
          <cell r="R113">
            <v>0</v>
          </cell>
          <cell r="S113">
            <v>0</v>
          </cell>
          <cell r="T113">
            <v>0</v>
          </cell>
          <cell r="V113">
            <v>0</v>
          </cell>
          <cell r="W113">
            <v>0</v>
          </cell>
          <cell r="X113">
            <v>0</v>
          </cell>
          <cell r="Y113">
            <v>0</v>
          </cell>
          <cell r="Z113">
            <v>0</v>
          </cell>
          <cell r="AA113">
            <v>0</v>
          </cell>
          <cell r="AB113">
            <v>0</v>
          </cell>
          <cell r="AC113">
            <v>0</v>
          </cell>
          <cell r="AF113">
            <v>0</v>
          </cell>
          <cell r="AG113">
            <v>0</v>
          </cell>
        </row>
        <row r="114">
          <cell r="B114" t="str">
            <v>following sizes:</v>
          </cell>
          <cell r="F114">
            <v>0</v>
          </cell>
          <cell r="G114">
            <v>0</v>
          </cell>
          <cell r="H114">
            <v>0</v>
          </cell>
          <cell r="I114">
            <v>0</v>
          </cell>
          <cell r="J114">
            <v>0</v>
          </cell>
          <cell r="K114">
            <v>0</v>
          </cell>
          <cell r="L114">
            <v>0</v>
          </cell>
          <cell r="N114">
            <v>0</v>
          </cell>
          <cell r="O114">
            <v>0</v>
          </cell>
          <cell r="P114">
            <v>0</v>
          </cell>
          <cell r="Q114">
            <v>0</v>
          </cell>
          <cell r="R114">
            <v>0</v>
          </cell>
          <cell r="S114">
            <v>0</v>
          </cell>
          <cell r="T114">
            <v>0</v>
          </cell>
          <cell r="V114">
            <v>0</v>
          </cell>
          <cell r="W114">
            <v>0</v>
          </cell>
          <cell r="X114">
            <v>0</v>
          </cell>
          <cell r="Y114">
            <v>0</v>
          </cell>
          <cell r="Z114">
            <v>0</v>
          </cell>
          <cell r="AA114">
            <v>0</v>
          </cell>
          <cell r="AB114">
            <v>0</v>
          </cell>
          <cell r="AC114">
            <v>0</v>
          </cell>
          <cell r="AF114">
            <v>0</v>
          </cell>
          <cell r="AG114">
            <v>0</v>
          </cell>
        </row>
        <row r="115">
          <cell r="F115">
            <v>0</v>
          </cell>
          <cell r="G115">
            <v>0</v>
          </cell>
          <cell r="H115">
            <v>0</v>
          </cell>
          <cell r="I115">
            <v>0</v>
          </cell>
          <cell r="J115">
            <v>0</v>
          </cell>
          <cell r="K115">
            <v>0</v>
          </cell>
          <cell r="L115">
            <v>0</v>
          </cell>
          <cell r="N115">
            <v>0</v>
          </cell>
          <cell r="O115">
            <v>0</v>
          </cell>
          <cell r="P115">
            <v>0</v>
          </cell>
          <cell r="Q115">
            <v>0</v>
          </cell>
          <cell r="R115">
            <v>0</v>
          </cell>
          <cell r="S115">
            <v>0</v>
          </cell>
          <cell r="T115">
            <v>0</v>
          </cell>
          <cell r="V115">
            <v>0</v>
          </cell>
          <cell r="W115">
            <v>0</v>
          </cell>
          <cell r="X115">
            <v>0</v>
          </cell>
          <cell r="Y115">
            <v>0</v>
          </cell>
          <cell r="Z115">
            <v>0</v>
          </cell>
          <cell r="AA115">
            <v>0</v>
          </cell>
          <cell r="AB115">
            <v>0</v>
          </cell>
          <cell r="AC115">
            <v>0</v>
          </cell>
          <cell r="AF115">
            <v>0</v>
          </cell>
          <cell r="AG115">
            <v>0</v>
          </cell>
        </row>
        <row r="116">
          <cell r="A116" t="str">
            <v>1.1.6.10</v>
          </cell>
          <cell r="B116" t="str">
            <v>1000 mm dia.</v>
          </cell>
          <cell r="C116">
            <v>20</v>
          </cell>
          <cell r="D116" t="str">
            <v>Set</v>
          </cell>
          <cell r="E116">
            <v>326.3</v>
          </cell>
          <cell r="F116">
            <v>6526</v>
          </cell>
          <cell r="G116">
            <v>1200.78</v>
          </cell>
          <cell r="H116">
            <v>24015.599999999999</v>
          </cell>
          <cell r="I116">
            <v>60.04</v>
          </cell>
          <cell r="J116">
            <v>1200.8</v>
          </cell>
          <cell r="K116">
            <v>1260.82</v>
          </cell>
          <cell r="L116">
            <v>25216.400000000001</v>
          </cell>
          <cell r="M116">
            <v>326.3</v>
          </cell>
          <cell r="N116">
            <v>6526</v>
          </cell>
          <cell r="O116">
            <v>1200.78</v>
          </cell>
          <cell r="P116">
            <v>24015.599999999999</v>
          </cell>
          <cell r="Q116">
            <v>60.04</v>
          </cell>
          <cell r="R116">
            <v>1200.8</v>
          </cell>
          <cell r="S116">
            <v>1260.82</v>
          </cell>
          <cell r="T116">
            <v>25216.400000000001</v>
          </cell>
          <cell r="U116">
            <v>778.34</v>
          </cell>
          <cell r="V116">
            <v>669.37</v>
          </cell>
          <cell r="W116">
            <v>13387.4</v>
          </cell>
          <cell r="X116">
            <v>2463.2800000000002</v>
          </cell>
          <cell r="Y116">
            <v>49265.599999999999</v>
          </cell>
          <cell r="Z116">
            <v>123.16</v>
          </cell>
          <cell r="AA116">
            <v>2463.1999999999998</v>
          </cell>
          <cell r="AB116">
            <v>2586.44</v>
          </cell>
          <cell r="AC116">
            <v>51728.800000000003</v>
          </cell>
          <cell r="AF116">
            <v>2586.44</v>
          </cell>
          <cell r="AG116">
            <v>51728.800000000003</v>
          </cell>
        </row>
        <row r="117">
          <cell r="A117" t="str">
            <v>1.1.6.11</v>
          </cell>
          <cell r="B117" t="str">
            <v>800 mm dia.</v>
          </cell>
          <cell r="C117">
            <v>20</v>
          </cell>
          <cell r="D117" t="str">
            <v>Set</v>
          </cell>
          <cell r="E117">
            <v>242.8</v>
          </cell>
          <cell r="F117">
            <v>4856</v>
          </cell>
          <cell r="G117">
            <v>893.5</v>
          </cell>
          <cell r="H117">
            <v>17870</v>
          </cell>
          <cell r="I117">
            <v>44.68</v>
          </cell>
          <cell r="J117">
            <v>893.6</v>
          </cell>
          <cell r="K117">
            <v>938.18</v>
          </cell>
          <cell r="L117">
            <v>18763.599999999999</v>
          </cell>
          <cell r="M117">
            <v>242.8</v>
          </cell>
          <cell r="N117">
            <v>4856</v>
          </cell>
          <cell r="O117">
            <v>893.5</v>
          </cell>
          <cell r="P117">
            <v>17870</v>
          </cell>
          <cell r="Q117">
            <v>44.68</v>
          </cell>
          <cell r="R117">
            <v>893.6</v>
          </cell>
          <cell r="S117">
            <v>938.18</v>
          </cell>
          <cell r="T117">
            <v>18763.599999999999</v>
          </cell>
          <cell r="U117">
            <v>708.42</v>
          </cell>
          <cell r="V117">
            <v>609.24</v>
          </cell>
          <cell r="W117">
            <v>12184.8</v>
          </cell>
          <cell r="X117">
            <v>2242</v>
          </cell>
          <cell r="Y117">
            <v>44840</v>
          </cell>
          <cell r="Z117">
            <v>112.1</v>
          </cell>
          <cell r="AA117">
            <v>2242</v>
          </cell>
          <cell r="AB117">
            <v>2354.1</v>
          </cell>
          <cell r="AC117">
            <v>47082</v>
          </cell>
          <cell r="AF117">
            <v>2354.1</v>
          </cell>
          <cell r="AG117">
            <v>47082</v>
          </cell>
        </row>
        <row r="118">
          <cell r="A118" t="str">
            <v>1.1.6.12</v>
          </cell>
          <cell r="B118" t="str">
            <v>600 mm dia</v>
          </cell>
          <cell r="C118">
            <v>20</v>
          </cell>
          <cell r="D118" t="str">
            <v>Set</v>
          </cell>
          <cell r="E118">
            <v>123.6</v>
          </cell>
          <cell r="F118">
            <v>2472</v>
          </cell>
          <cell r="G118">
            <v>454.85</v>
          </cell>
          <cell r="H118">
            <v>9097</v>
          </cell>
          <cell r="I118">
            <v>22.74</v>
          </cell>
          <cell r="J118">
            <v>454.8</v>
          </cell>
          <cell r="K118">
            <v>477.59</v>
          </cell>
          <cell r="L118">
            <v>9551.7999999999993</v>
          </cell>
          <cell r="M118">
            <v>123.6</v>
          </cell>
          <cell r="N118">
            <v>2472</v>
          </cell>
          <cell r="O118">
            <v>454.85</v>
          </cell>
          <cell r="P118">
            <v>9097</v>
          </cell>
          <cell r="Q118">
            <v>22.74</v>
          </cell>
          <cell r="R118">
            <v>454.8</v>
          </cell>
          <cell r="S118">
            <v>477.59</v>
          </cell>
          <cell r="T118">
            <v>9551.7999999999993</v>
          </cell>
          <cell r="U118">
            <v>275.42</v>
          </cell>
          <cell r="V118">
            <v>236.86</v>
          </cell>
          <cell r="W118">
            <v>4737.2</v>
          </cell>
          <cell r="X118">
            <v>871.64</v>
          </cell>
          <cell r="Y118">
            <v>17432.8</v>
          </cell>
          <cell r="Z118">
            <v>43.58</v>
          </cell>
          <cell r="AA118">
            <v>871.6</v>
          </cell>
          <cell r="AB118">
            <v>915.22</v>
          </cell>
          <cell r="AC118">
            <v>18304.400000000001</v>
          </cell>
          <cell r="AF118">
            <v>915.22</v>
          </cell>
          <cell r="AG118">
            <v>18304.400000000001</v>
          </cell>
        </row>
        <row r="119">
          <cell r="A119" t="str">
            <v>1.1.6.13</v>
          </cell>
          <cell r="B119" t="str">
            <v>400 mm dia</v>
          </cell>
          <cell r="C119">
            <v>20</v>
          </cell>
          <cell r="D119" t="str">
            <v>Set</v>
          </cell>
          <cell r="E119">
            <v>64.98</v>
          </cell>
          <cell r="F119">
            <v>1299.5999999999999</v>
          </cell>
          <cell r="G119">
            <v>239.13</v>
          </cell>
          <cell r="H119">
            <v>4782.6000000000004</v>
          </cell>
          <cell r="I119">
            <v>11.96</v>
          </cell>
          <cell r="J119">
            <v>239.2</v>
          </cell>
          <cell r="K119">
            <v>251.09</v>
          </cell>
          <cell r="L119">
            <v>5021.8</v>
          </cell>
          <cell r="M119">
            <v>64.98</v>
          </cell>
          <cell r="N119">
            <v>1299.5999999999999</v>
          </cell>
          <cell r="O119">
            <v>239.13</v>
          </cell>
          <cell r="P119">
            <v>4782.6000000000004</v>
          </cell>
          <cell r="Q119">
            <v>11.96</v>
          </cell>
          <cell r="R119">
            <v>239.2</v>
          </cell>
          <cell r="S119">
            <v>251.09</v>
          </cell>
          <cell r="T119">
            <v>5021.8</v>
          </cell>
          <cell r="U119">
            <v>128.41</v>
          </cell>
          <cell r="V119">
            <v>110.43</v>
          </cell>
          <cell r="W119">
            <v>2208.6</v>
          </cell>
          <cell r="X119">
            <v>406.38</v>
          </cell>
          <cell r="Y119">
            <v>8127.6</v>
          </cell>
          <cell r="Z119">
            <v>20.32</v>
          </cell>
          <cell r="AA119">
            <v>406.4</v>
          </cell>
          <cell r="AB119">
            <v>426.7</v>
          </cell>
          <cell r="AC119">
            <v>8534</v>
          </cell>
          <cell r="AF119">
            <v>426.7</v>
          </cell>
          <cell r="AG119">
            <v>8534</v>
          </cell>
        </row>
        <row r="120">
          <cell r="A120" t="str">
            <v>1.1.6.14</v>
          </cell>
          <cell r="B120" t="str">
            <v>300 mm dia</v>
          </cell>
          <cell r="C120">
            <v>10</v>
          </cell>
          <cell r="D120" t="str">
            <v>Set</v>
          </cell>
          <cell r="E120">
            <v>37.880000000000003</v>
          </cell>
          <cell r="F120">
            <v>378.8</v>
          </cell>
          <cell r="G120">
            <v>139.4</v>
          </cell>
          <cell r="H120">
            <v>1394</v>
          </cell>
          <cell r="I120">
            <v>6.97</v>
          </cell>
          <cell r="J120">
            <v>69.7</v>
          </cell>
          <cell r="K120">
            <v>146.37</v>
          </cell>
          <cell r="L120">
            <v>1463.7</v>
          </cell>
          <cell r="M120">
            <v>37.880000000000003</v>
          </cell>
          <cell r="N120">
            <v>378.8</v>
          </cell>
          <cell r="O120">
            <v>139.4</v>
          </cell>
          <cell r="P120">
            <v>1394</v>
          </cell>
          <cell r="Q120">
            <v>6.97</v>
          </cell>
          <cell r="R120">
            <v>69.7</v>
          </cell>
          <cell r="S120">
            <v>146.37</v>
          </cell>
          <cell r="T120">
            <v>1463.7</v>
          </cell>
          <cell r="U120">
            <v>55.07</v>
          </cell>
          <cell r="V120">
            <v>47.36</v>
          </cell>
          <cell r="W120">
            <v>473.6</v>
          </cell>
          <cell r="X120">
            <v>174.28</v>
          </cell>
          <cell r="Y120">
            <v>1742.8</v>
          </cell>
          <cell r="Z120">
            <v>8.7100000000000009</v>
          </cell>
          <cell r="AA120">
            <v>87.1</v>
          </cell>
          <cell r="AB120">
            <v>182.99</v>
          </cell>
          <cell r="AC120">
            <v>1829.9</v>
          </cell>
          <cell r="AF120">
            <v>182.99</v>
          </cell>
          <cell r="AG120">
            <v>1829.9</v>
          </cell>
        </row>
        <row r="121">
          <cell r="A121" t="str">
            <v>1.1.6.15</v>
          </cell>
          <cell r="B121" t="str">
            <v>200 mm dia.</v>
          </cell>
          <cell r="C121">
            <v>10</v>
          </cell>
          <cell r="D121" t="str">
            <v>Set</v>
          </cell>
          <cell r="E121">
            <v>16.3</v>
          </cell>
          <cell r="F121">
            <v>163</v>
          </cell>
          <cell r="G121">
            <v>59.98</v>
          </cell>
          <cell r="H121">
            <v>599.79999999999995</v>
          </cell>
          <cell r="I121">
            <v>3</v>
          </cell>
          <cell r="J121">
            <v>30</v>
          </cell>
          <cell r="K121">
            <v>62.98</v>
          </cell>
          <cell r="L121">
            <v>629.79999999999995</v>
          </cell>
          <cell r="M121">
            <v>16.3</v>
          </cell>
          <cell r="N121">
            <v>163</v>
          </cell>
          <cell r="O121">
            <v>59.98</v>
          </cell>
          <cell r="P121">
            <v>599.79999999999995</v>
          </cell>
          <cell r="Q121">
            <v>3</v>
          </cell>
          <cell r="R121">
            <v>30</v>
          </cell>
          <cell r="S121">
            <v>62.98</v>
          </cell>
          <cell r="T121">
            <v>629.79999999999995</v>
          </cell>
          <cell r="U121">
            <v>38.86</v>
          </cell>
          <cell r="V121">
            <v>33.42</v>
          </cell>
          <cell r="W121">
            <v>334.2</v>
          </cell>
          <cell r="X121">
            <v>122.99</v>
          </cell>
          <cell r="Y121">
            <v>1229.9000000000001</v>
          </cell>
          <cell r="Z121">
            <v>6.15</v>
          </cell>
          <cell r="AA121">
            <v>61.5</v>
          </cell>
          <cell r="AB121">
            <v>129.13999999999999</v>
          </cell>
          <cell r="AC121">
            <v>1291.4000000000001</v>
          </cell>
          <cell r="AF121">
            <v>129.13999999999999</v>
          </cell>
          <cell r="AG121">
            <v>1291.4000000000001</v>
          </cell>
        </row>
        <row r="122">
          <cell r="A122" t="str">
            <v>1.1.6.16</v>
          </cell>
          <cell r="B122" t="str">
            <v>150 mm dia.</v>
          </cell>
          <cell r="C122">
            <v>10</v>
          </cell>
          <cell r="D122" t="str">
            <v>Set</v>
          </cell>
          <cell r="E122">
            <v>12.6</v>
          </cell>
          <cell r="F122">
            <v>126</v>
          </cell>
          <cell r="G122">
            <v>46.37</v>
          </cell>
          <cell r="H122">
            <v>463.7</v>
          </cell>
          <cell r="I122">
            <v>2.3199999999999998</v>
          </cell>
          <cell r="J122">
            <v>23.2</v>
          </cell>
          <cell r="K122">
            <v>48.69</v>
          </cell>
          <cell r="L122">
            <v>486.9</v>
          </cell>
          <cell r="M122">
            <v>12.6</v>
          </cell>
          <cell r="N122">
            <v>126</v>
          </cell>
          <cell r="O122">
            <v>46.37</v>
          </cell>
          <cell r="P122">
            <v>463.7</v>
          </cell>
          <cell r="Q122">
            <v>2.3199999999999998</v>
          </cell>
          <cell r="R122">
            <v>23.2</v>
          </cell>
          <cell r="S122">
            <v>48.69</v>
          </cell>
          <cell r="T122">
            <v>486.9</v>
          </cell>
          <cell r="U122">
            <v>24.55</v>
          </cell>
          <cell r="V122">
            <v>21.11</v>
          </cell>
          <cell r="W122">
            <v>211.1</v>
          </cell>
          <cell r="X122">
            <v>77.680000000000007</v>
          </cell>
          <cell r="Y122">
            <v>776.8</v>
          </cell>
          <cell r="Z122">
            <v>3.88</v>
          </cell>
          <cell r="AA122">
            <v>38.799999999999997</v>
          </cell>
          <cell r="AB122">
            <v>81.56</v>
          </cell>
          <cell r="AC122">
            <v>815.6</v>
          </cell>
          <cell r="AF122">
            <v>81.56</v>
          </cell>
          <cell r="AG122">
            <v>815.6</v>
          </cell>
        </row>
        <row r="123">
          <cell r="F123">
            <v>0</v>
          </cell>
          <cell r="G123">
            <v>0</v>
          </cell>
          <cell r="H123">
            <v>0</v>
          </cell>
          <cell r="I123">
            <v>0</v>
          </cell>
          <cell r="J123">
            <v>0</v>
          </cell>
          <cell r="K123">
            <v>0</v>
          </cell>
          <cell r="L123">
            <v>0</v>
          </cell>
          <cell r="N123">
            <v>0</v>
          </cell>
          <cell r="O123">
            <v>0</v>
          </cell>
          <cell r="P123">
            <v>0</v>
          </cell>
          <cell r="Q123">
            <v>0</v>
          </cell>
          <cell r="R123">
            <v>0</v>
          </cell>
          <cell r="S123">
            <v>0</v>
          </cell>
          <cell r="T123">
            <v>0</v>
          </cell>
          <cell r="V123">
            <v>0</v>
          </cell>
          <cell r="W123">
            <v>0</v>
          </cell>
          <cell r="X123">
            <v>0</v>
          </cell>
          <cell r="Y123">
            <v>0</v>
          </cell>
          <cell r="Z123">
            <v>0</v>
          </cell>
          <cell r="AA123">
            <v>0</v>
          </cell>
          <cell r="AB123">
            <v>0</v>
          </cell>
          <cell r="AC123">
            <v>0</v>
          </cell>
          <cell r="AF123">
            <v>0</v>
          </cell>
          <cell r="AG123">
            <v>0</v>
          </cell>
        </row>
        <row r="124">
          <cell r="F124">
            <v>0</v>
          </cell>
          <cell r="G124">
            <v>0</v>
          </cell>
          <cell r="H124">
            <v>0</v>
          </cell>
          <cell r="I124">
            <v>0</v>
          </cell>
          <cell r="J124">
            <v>0</v>
          </cell>
          <cell r="K124">
            <v>0</v>
          </cell>
          <cell r="L124">
            <v>0</v>
          </cell>
          <cell r="N124">
            <v>0</v>
          </cell>
          <cell r="O124">
            <v>0</v>
          </cell>
          <cell r="P124">
            <v>0</v>
          </cell>
          <cell r="Q124">
            <v>0</v>
          </cell>
          <cell r="R124">
            <v>0</v>
          </cell>
          <cell r="S124">
            <v>0</v>
          </cell>
          <cell r="T124">
            <v>0</v>
          </cell>
          <cell r="V124">
            <v>0</v>
          </cell>
          <cell r="W124">
            <v>0</v>
          </cell>
          <cell r="X124">
            <v>0</v>
          </cell>
          <cell r="Y124">
            <v>0</v>
          </cell>
          <cell r="Z124">
            <v>0</v>
          </cell>
          <cell r="AA124">
            <v>0</v>
          </cell>
          <cell r="AB124">
            <v>0</v>
          </cell>
          <cell r="AC124">
            <v>0</v>
          </cell>
          <cell r="AF124">
            <v>0</v>
          </cell>
          <cell r="AG124">
            <v>0</v>
          </cell>
        </row>
        <row r="125">
          <cell r="F125">
            <v>0</v>
          </cell>
          <cell r="G125">
            <v>0</v>
          </cell>
          <cell r="H125">
            <v>0</v>
          </cell>
          <cell r="I125">
            <v>0</v>
          </cell>
          <cell r="J125">
            <v>0</v>
          </cell>
          <cell r="K125">
            <v>0</v>
          </cell>
          <cell r="L125">
            <v>0</v>
          </cell>
          <cell r="N125">
            <v>0</v>
          </cell>
          <cell r="O125">
            <v>0</v>
          </cell>
          <cell r="P125">
            <v>0</v>
          </cell>
          <cell r="Q125">
            <v>0</v>
          </cell>
          <cell r="R125">
            <v>0</v>
          </cell>
          <cell r="S125">
            <v>0</v>
          </cell>
          <cell r="T125">
            <v>0</v>
          </cell>
          <cell r="V125">
            <v>0</v>
          </cell>
          <cell r="W125">
            <v>0</v>
          </cell>
          <cell r="X125">
            <v>0</v>
          </cell>
          <cell r="Y125">
            <v>0</v>
          </cell>
          <cell r="Z125">
            <v>0</v>
          </cell>
          <cell r="AA125">
            <v>0</v>
          </cell>
          <cell r="AB125">
            <v>0</v>
          </cell>
          <cell r="AC125">
            <v>0</v>
          </cell>
          <cell r="AF125">
            <v>0</v>
          </cell>
          <cell r="AG125">
            <v>0</v>
          </cell>
        </row>
        <row r="126">
          <cell r="F126">
            <v>0</v>
          </cell>
          <cell r="G126">
            <v>0</v>
          </cell>
          <cell r="H126">
            <v>0</v>
          </cell>
          <cell r="I126">
            <v>0</v>
          </cell>
          <cell r="J126">
            <v>0</v>
          </cell>
          <cell r="K126">
            <v>0</v>
          </cell>
          <cell r="L126">
            <v>0</v>
          </cell>
          <cell r="N126">
            <v>0</v>
          </cell>
          <cell r="O126">
            <v>0</v>
          </cell>
          <cell r="P126">
            <v>0</v>
          </cell>
          <cell r="Q126">
            <v>0</v>
          </cell>
          <cell r="R126">
            <v>0</v>
          </cell>
          <cell r="S126">
            <v>0</v>
          </cell>
          <cell r="T126">
            <v>0</v>
          </cell>
          <cell r="V126">
            <v>0</v>
          </cell>
          <cell r="W126">
            <v>0</v>
          </cell>
          <cell r="X126">
            <v>0</v>
          </cell>
          <cell r="Y126">
            <v>0</v>
          </cell>
          <cell r="Z126">
            <v>0</v>
          </cell>
          <cell r="AA126">
            <v>0</v>
          </cell>
          <cell r="AB126">
            <v>0</v>
          </cell>
          <cell r="AC126">
            <v>0</v>
          </cell>
          <cell r="AF126">
            <v>0</v>
          </cell>
          <cell r="AG126">
            <v>0</v>
          </cell>
        </row>
        <row r="127">
          <cell r="F127">
            <v>0</v>
          </cell>
          <cell r="G127">
            <v>0</v>
          </cell>
          <cell r="H127">
            <v>0</v>
          </cell>
          <cell r="I127">
            <v>0</v>
          </cell>
          <cell r="J127">
            <v>0</v>
          </cell>
          <cell r="K127">
            <v>0</v>
          </cell>
          <cell r="L127">
            <v>0</v>
          </cell>
          <cell r="N127">
            <v>0</v>
          </cell>
          <cell r="O127">
            <v>0</v>
          </cell>
          <cell r="P127">
            <v>0</v>
          </cell>
          <cell r="Q127">
            <v>0</v>
          </cell>
          <cell r="R127">
            <v>0</v>
          </cell>
          <cell r="S127">
            <v>0</v>
          </cell>
          <cell r="T127">
            <v>0</v>
          </cell>
          <cell r="V127">
            <v>0</v>
          </cell>
          <cell r="W127">
            <v>0</v>
          </cell>
          <cell r="X127">
            <v>0</v>
          </cell>
          <cell r="Y127">
            <v>0</v>
          </cell>
          <cell r="Z127">
            <v>0</v>
          </cell>
          <cell r="AA127">
            <v>0</v>
          </cell>
          <cell r="AB127">
            <v>0</v>
          </cell>
          <cell r="AC127">
            <v>0</v>
          </cell>
          <cell r="AF127">
            <v>0</v>
          </cell>
          <cell r="AG127">
            <v>0</v>
          </cell>
        </row>
        <row r="128">
          <cell r="F128">
            <v>0</v>
          </cell>
          <cell r="G128">
            <v>0</v>
          </cell>
          <cell r="H128">
            <v>0</v>
          </cell>
          <cell r="I128">
            <v>0</v>
          </cell>
          <cell r="J128">
            <v>0</v>
          </cell>
          <cell r="K128">
            <v>0</v>
          </cell>
          <cell r="L128">
            <v>0</v>
          </cell>
          <cell r="N128">
            <v>0</v>
          </cell>
          <cell r="O128">
            <v>0</v>
          </cell>
          <cell r="P128">
            <v>0</v>
          </cell>
          <cell r="Q128">
            <v>0</v>
          </cell>
          <cell r="R128">
            <v>0</v>
          </cell>
          <cell r="S128">
            <v>0</v>
          </cell>
          <cell r="T128">
            <v>0</v>
          </cell>
          <cell r="V128">
            <v>0</v>
          </cell>
          <cell r="W128">
            <v>0</v>
          </cell>
          <cell r="X128">
            <v>0</v>
          </cell>
          <cell r="Y128">
            <v>0</v>
          </cell>
          <cell r="Z128">
            <v>0</v>
          </cell>
          <cell r="AA128">
            <v>0</v>
          </cell>
          <cell r="AB128">
            <v>0</v>
          </cell>
          <cell r="AC128">
            <v>0</v>
          </cell>
          <cell r="AF128">
            <v>0</v>
          </cell>
          <cell r="AG128">
            <v>0</v>
          </cell>
        </row>
        <row r="129">
          <cell r="F129">
            <v>0</v>
          </cell>
          <cell r="G129">
            <v>0</v>
          </cell>
          <cell r="H129">
            <v>0</v>
          </cell>
          <cell r="I129">
            <v>0</v>
          </cell>
          <cell r="J129">
            <v>0</v>
          </cell>
          <cell r="K129">
            <v>0</v>
          </cell>
          <cell r="L129">
            <v>0</v>
          </cell>
          <cell r="N129">
            <v>0</v>
          </cell>
          <cell r="O129">
            <v>0</v>
          </cell>
          <cell r="P129">
            <v>0</v>
          </cell>
          <cell r="Q129">
            <v>0</v>
          </cell>
          <cell r="R129">
            <v>0</v>
          </cell>
          <cell r="S129">
            <v>0</v>
          </cell>
          <cell r="T129">
            <v>0</v>
          </cell>
          <cell r="V129">
            <v>0</v>
          </cell>
          <cell r="W129">
            <v>0</v>
          </cell>
          <cell r="X129">
            <v>0</v>
          </cell>
          <cell r="Y129">
            <v>0</v>
          </cell>
          <cell r="Z129">
            <v>0</v>
          </cell>
          <cell r="AA129">
            <v>0</v>
          </cell>
          <cell r="AB129">
            <v>0</v>
          </cell>
          <cell r="AC129">
            <v>0</v>
          </cell>
          <cell r="AF129">
            <v>0</v>
          </cell>
          <cell r="AG129">
            <v>0</v>
          </cell>
        </row>
        <row r="130">
          <cell r="F130">
            <v>0</v>
          </cell>
          <cell r="G130">
            <v>0</v>
          </cell>
          <cell r="H130">
            <v>0</v>
          </cell>
          <cell r="I130">
            <v>0</v>
          </cell>
          <cell r="J130">
            <v>0</v>
          </cell>
          <cell r="K130">
            <v>0</v>
          </cell>
          <cell r="L130">
            <v>0</v>
          </cell>
          <cell r="N130">
            <v>0</v>
          </cell>
          <cell r="O130">
            <v>0</v>
          </cell>
          <cell r="P130">
            <v>0</v>
          </cell>
          <cell r="Q130">
            <v>0</v>
          </cell>
          <cell r="R130">
            <v>0</v>
          </cell>
          <cell r="S130">
            <v>0</v>
          </cell>
          <cell r="T130">
            <v>0</v>
          </cell>
          <cell r="V130">
            <v>0</v>
          </cell>
          <cell r="W130">
            <v>0</v>
          </cell>
          <cell r="X130">
            <v>0</v>
          </cell>
          <cell r="Y130">
            <v>0</v>
          </cell>
          <cell r="Z130">
            <v>0</v>
          </cell>
          <cell r="AA130">
            <v>0</v>
          </cell>
          <cell r="AB130">
            <v>0</v>
          </cell>
          <cell r="AC130">
            <v>0</v>
          </cell>
          <cell r="AF130">
            <v>0</v>
          </cell>
          <cell r="AG130">
            <v>0</v>
          </cell>
        </row>
        <row r="131">
          <cell r="F131">
            <v>0</v>
          </cell>
          <cell r="G131">
            <v>0</v>
          </cell>
          <cell r="H131">
            <v>0</v>
          </cell>
          <cell r="I131">
            <v>0</v>
          </cell>
          <cell r="J131">
            <v>0</v>
          </cell>
          <cell r="K131">
            <v>0</v>
          </cell>
          <cell r="L131">
            <v>0</v>
          </cell>
          <cell r="N131">
            <v>0</v>
          </cell>
          <cell r="O131">
            <v>0</v>
          </cell>
          <cell r="P131">
            <v>0</v>
          </cell>
          <cell r="Q131">
            <v>0</v>
          </cell>
          <cell r="R131">
            <v>0</v>
          </cell>
          <cell r="S131">
            <v>0</v>
          </cell>
          <cell r="T131">
            <v>0</v>
          </cell>
          <cell r="V131">
            <v>0</v>
          </cell>
          <cell r="W131">
            <v>0</v>
          </cell>
          <cell r="X131">
            <v>0</v>
          </cell>
          <cell r="Y131">
            <v>0</v>
          </cell>
          <cell r="Z131">
            <v>0</v>
          </cell>
          <cell r="AA131">
            <v>0</v>
          </cell>
          <cell r="AB131">
            <v>0</v>
          </cell>
          <cell r="AC131">
            <v>0</v>
          </cell>
          <cell r="AF131">
            <v>0</v>
          </cell>
          <cell r="AG131">
            <v>0</v>
          </cell>
        </row>
        <row r="132">
          <cell r="F132">
            <v>0</v>
          </cell>
          <cell r="G132">
            <v>0</v>
          </cell>
          <cell r="H132">
            <v>0</v>
          </cell>
          <cell r="I132">
            <v>0</v>
          </cell>
          <cell r="J132">
            <v>0</v>
          </cell>
          <cell r="K132">
            <v>0</v>
          </cell>
          <cell r="L132">
            <v>0</v>
          </cell>
          <cell r="N132">
            <v>0</v>
          </cell>
          <cell r="O132">
            <v>0</v>
          </cell>
          <cell r="P132">
            <v>0</v>
          </cell>
          <cell r="Q132">
            <v>0</v>
          </cell>
          <cell r="R132">
            <v>0</v>
          </cell>
          <cell r="S132">
            <v>0</v>
          </cell>
          <cell r="T132">
            <v>0</v>
          </cell>
          <cell r="V132">
            <v>0</v>
          </cell>
          <cell r="W132">
            <v>0</v>
          </cell>
          <cell r="X132">
            <v>0</v>
          </cell>
          <cell r="Y132">
            <v>0</v>
          </cell>
          <cell r="Z132">
            <v>0</v>
          </cell>
          <cell r="AA132">
            <v>0</v>
          </cell>
          <cell r="AB132">
            <v>0</v>
          </cell>
          <cell r="AC132">
            <v>0</v>
          </cell>
          <cell r="AF132">
            <v>0</v>
          </cell>
          <cell r="AG132">
            <v>0</v>
          </cell>
        </row>
        <row r="133">
          <cell r="F133">
            <v>0</v>
          </cell>
          <cell r="G133">
            <v>0</v>
          </cell>
          <cell r="H133">
            <v>0</v>
          </cell>
          <cell r="I133">
            <v>0</v>
          </cell>
          <cell r="J133">
            <v>0</v>
          </cell>
          <cell r="K133">
            <v>0</v>
          </cell>
          <cell r="L133">
            <v>0</v>
          </cell>
          <cell r="N133">
            <v>0</v>
          </cell>
          <cell r="O133">
            <v>0</v>
          </cell>
          <cell r="P133">
            <v>0</v>
          </cell>
          <cell r="Q133">
            <v>0</v>
          </cell>
          <cell r="R133">
            <v>0</v>
          </cell>
          <cell r="S133">
            <v>0</v>
          </cell>
          <cell r="T133">
            <v>0</v>
          </cell>
          <cell r="V133">
            <v>0</v>
          </cell>
          <cell r="W133">
            <v>0</v>
          </cell>
          <cell r="X133">
            <v>0</v>
          </cell>
          <cell r="Y133">
            <v>0</v>
          </cell>
          <cell r="Z133">
            <v>0</v>
          </cell>
          <cell r="AA133">
            <v>0</v>
          </cell>
          <cell r="AB133">
            <v>0</v>
          </cell>
          <cell r="AC133">
            <v>0</v>
          </cell>
          <cell r="AF133">
            <v>0</v>
          </cell>
          <cell r="AG133">
            <v>0</v>
          </cell>
        </row>
        <row r="134">
          <cell r="F134">
            <v>0</v>
          </cell>
          <cell r="G134">
            <v>0</v>
          </cell>
          <cell r="H134">
            <v>0</v>
          </cell>
          <cell r="I134">
            <v>0</v>
          </cell>
          <cell r="J134">
            <v>0</v>
          </cell>
          <cell r="K134">
            <v>0</v>
          </cell>
          <cell r="L134">
            <v>0</v>
          </cell>
          <cell r="N134">
            <v>0</v>
          </cell>
          <cell r="O134">
            <v>0</v>
          </cell>
          <cell r="P134">
            <v>0</v>
          </cell>
          <cell r="Q134">
            <v>0</v>
          </cell>
          <cell r="R134">
            <v>0</v>
          </cell>
          <cell r="S134">
            <v>0</v>
          </cell>
          <cell r="T134">
            <v>0</v>
          </cell>
          <cell r="V134">
            <v>0</v>
          </cell>
          <cell r="W134">
            <v>0</v>
          </cell>
          <cell r="X134">
            <v>0</v>
          </cell>
          <cell r="Y134">
            <v>0</v>
          </cell>
          <cell r="Z134">
            <v>0</v>
          </cell>
          <cell r="AA134">
            <v>0</v>
          </cell>
          <cell r="AB134">
            <v>0</v>
          </cell>
          <cell r="AC134">
            <v>0</v>
          </cell>
          <cell r="AF134">
            <v>0</v>
          </cell>
          <cell r="AG134">
            <v>0</v>
          </cell>
        </row>
        <row r="135">
          <cell r="F135">
            <v>0</v>
          </cell>
          <cell r="G135">
            <v>0</v>
          </cell>
          <cell r="H135">
            <v>0</v>
          </cell>
          <cell r="I135">
            <v>0</v>
          </cell>
          <cell r="J135">
            <v>0</v>
          </cell>
          <cell r="K135">
            <v>0</v>
          </cell>
          <cell r="L135">
            <v>0</v>
          </cell>
          <cell r="N135">
            <v>0</v>
          </cell>
          <cell r="O135">
            <v>0</v>
          </cell>
          <cell r="P135">
            <v>0</v>
          </cell>
          <cell r="Q135">
            <v>0</v>
          </cell>
          <cell r="R135">
            <v>0</v>
          </cell>
          <cell r="S135">
            <v>0</v>
          </cell>
          <cell r="T135">
            <v>0</v>
          </cell>
          <cell r="V135">
            <v>0</v>
          </cell>
          <cell r="W135">
            <v>0</v>
          </cell>
          <cell r="X135">
            <v>0</v>
          </cell>
          <cell r="Y135">
            <v>0</v>
          </cell>
          <cell r="Z135">
            <v>0</v>
          </cell>
          <cell r="AA135">
            <v>0</v>
          </cell>
          <cell r="AB135">
            <v>0</v>
          </cell>
          <cell r="AC135">
            <v>0</v>
          </cell>
          <cell r="AF135">
            <v>0</v>
          </cell>
          <cell r="AG135">
            <v>0</v>
          </cell>
        </row>
        <row r="136">
          <cell r="F136">
            <v>37450112.240000002</v>
          </cell>
          <cell r="G136">
            <v>0</v>
          </cell>
          <cell r="H136">
            <v>137816412.72</v>
          </cell>
          <cell r="I136">
            <v>0</v>
          </cell>
          <cell r="J136">
            <v>6891034.8700000001</v>
          </cell>
          <cell r="K136">
            <v>0</v>
          </cell>
          <cell r="L136">
            <v>144707447.59</v>
          </cell>
          <cell r="N136">
            <v>42741509.659999996</v>
          </cell>
          <cell r="O136">
            <v>0</v>
          </cell>
          <cell r="P136">
            <v>157289017.97999999</v>
          </cell>
          <cell r="Q136">
            <v>0</v>
          </cell>
          <cell r="R136">
            <v>7864549.8099999996</v>
          </cell>
          <cell r="S136">
            <v>0</v>
          </cell>
          <cell r="T136">
            <v>165153567.78999999</v>
          </cell>
          <cell r="V136">
            <v>0</v>
          </cell>
          <cell r="W136">
            <v>37566851.649999999</v>
          </cell>
          <cell r="X136">
            <v>0</v>
          </cell>
          <cell r="Y136">
            <v>138246185.34999999</v>
          </cell>
          <cell r="Z136">
            <v>0</v>
          </cell>
          <cell r="AA136">
            <v>6912076.3499999996</v>
          </cell>
          <cell r="AB136">
            <v>0</v>
          </cell>
          <cell r="AC136">
            <v>145158261.69999999</v>
          </cell>
          <cell r="AF136">
            <v>0</v>
          </cell>
          <cell r="AG136">
            <v>145583334.44</v>
          </cell>
        </row>
        <row r="137">
          <cell r="F137">
            <v>0</v>
          </cell>
          <cell r="G137">
            <v>0</v>
          </cell>
          <cell r="H137">
            <v>0</v>
          </cell>
          <cell r="I137">
            <v>0</v>
          </cell>
          <cell r="J137">
            <v>0</v>
          </cell>
          <cell r="K137">
            <v>0</v>
          </cell>
          <cell r="L137">
            <v>0</v>
          </cell>
          <cell r="N137">
            <v>0</v>
          </cell>
          <cell r="O137">
            <v>0</v>
          </cell>
          <cell r="P137">
            <v>0</v>
          </cell>
          <cell r="Q137">
            <v>0</v>
          </cell>
          <cell r="R137">
            <v>0</v>
          </cell>
          <cell r="S137">
            <v>0</v>
          </cell>
          <cell r="T137">
            <v>0</v>
          </cell>
          <cell r="V137">
            <v>0</v>
          </cell>
          <cell r="W137">
            <v>0</v>
          </cell>
          <cell r="X137">
            <v>0</v>
          </cell>
          <cell r="Y137">
            <v>0</v>
          </cell>
          <cell r="Z137">
            <v>0</v>
          </cell>
          <cell r="AA137">
            <v>0</v>
          </cell>
          <cell r="AB137">
            <v>0</v>
          </cell>
          <cell r="AC137">
            <v>0</v>
          </cell>
          <cell r="AF137">
            <v>0</v>
          </cell>
          <cell r="AG137">
            <v>0</v>
          </cell>
        </row>
        <row r="138">
          <cell r="F138">
            <v>0</v>
          </cell>
          <cell r="G138">
            <v>0</v>
          </cell>
          <cell r="H138">
            <v>0</v>
          </cell>
          <cell r="I138">
            <v>0</v>
          </cell>
          <cell r="J138">
            <v>0</v>
          </cell>
          <cell r="K138">
            <v>0</v>
          </cell>
          <cell r="L138">
            <v>0</v>
          </cell>
          <cell r="N138">
            <v>0</v>
          </cell>
          <cell r="O138">
            <v>0</v>
          </cell>
          <cell r="P138">
            <v>0</v>
          </cell>
          <cell r="Q138">
            <v>0</v>
          </cell>
          <cell r="R138">
            <v>0</v>
          </cell>
          <cell r="S138">
            <v>0</v>
          </cell>
          <cell r="T138">
            <v>0</v>
          </cell>
          <cell r="V138">
            <v>0</v>
          </cell>
          <cell r="W138">
            <v>0</v>
          </cell>
          <cell r="X138">
            <v>0</v>
          </cell>
          <cell r="Y138">
            <v>0</v>
          </cell>
          <cell r="Z138">
            <v>0</v>
          </cell>
          <cell r="AA138">
            <v>0</v>
          </cell>
          <cell r="AB138">
            <v>0</v>
          </cell>
          <cell r="AC138">
            <v>0</v>
          </cell>
          <cell r="AF138">
            <v>0</v>
          </cell>
          <cell r="AG138">
            <v>0</v>
          </cell>
        </row>
        <row r="139">
          <cell r="V139">
            <v>0</v>
          </cell>
        </row>
        <row r="140">
          <cell r="F140">
            <v>0</v>
          </cell>
          <cell r="G140">
            <v>0</v>
          </cell>
          <cell r="H140">
            <v>0</v>
          </cell>
          <cell r="I140">
            <v>0</v>
          </cell>
          <cell r="J140">
            <v>0</v>
          </cell>
          <cell r="K140">
            <v>0</v>
          </cell>
          <cell r="L140">
            <v>0</v>
          </cell>
          <cell r="N140">
            <v>0</v>
          </cell>
          <cell r="O140">
            <v>0</v>
          </cell>
          <cell r="P140">
            <v>0</v>
          </cell>
          <cell r="Q140">
            <v>0</v>
          </cell>
          <cell r="R140">
            <v>0</v>
          </cell>
          <cell r="S140">
            <v>0</v>
          </cell>
          <cell r="T140">
            <v>0</v>
          </cell>
          <cell r="V140">
            <v>0</v>
          </cell>
          <cell r="W140">
            <v>0</v>
          </cell>
          <cell r="X140">
            <v>0</v>
          </cell>
          <cell r="Y140">
            <v>0</v>
          </cell>
          <cell r="Z140">
            <v>0</v>
          </cell>
          <cell r="AA140">
            <v>0</v>
          </cell>
          <cell r="AB140">
            <v>0</v>
          </cell>
          <cell r="AC140">
            <v>0</v>
          </cell>
          <cell r="AF140">
            <v>0</v>
          </cell>
          <cell r="AG140">
            <v>0</v>
          </cell>
        </row>
        <row r="141">
          <cell r="B141" t="str">
            <v>BILL NO. 1.2</v>
          </cell>
          <cell r="F141">
            <v>0</v>
          </cell>
          <cell r="G141">
            <v>0</v>
          </cell>
          <cell r="H141">
            <v>0</v>
          </cell>
          <cell r="I141">
            <v>0</v>
          </cell>
          <cell r="J141">
            <v>0</v>
          </cell>
          <cell r="K141">
            <v>0</v>
          </cell>
          <cell r="L141">
            <v>0</v>
          </cell>
          <cell r="N141">
            <v>0</v>
          </cell>
          <cell r="O141">
            <v>0</v>
          </cell>
          <cell r="P141">
            <v>0</v>
          </cell>
          <cell r="Q141">
            <v>0</v>
          </cell>
          <cell r="R141">
            <v>0</v>
          </cell>
          <cell r="S141">
            <v>0</v>
          </cell>
          <cell r="T141">
            <v>0</v>
          </cell>
          <cell r="V141">
            <v>0</v>
          </cell>
          <cell r="W141">
            <v>0</v>
          </cell>
          <cell r="X141">
            <v>0</v>
          </cell>
          <cell r="Y141">
            <v>0</v>
          </cell>
          <cell r="Z141">
            <v>0</v>
          </cell>
          <cell r="AA141">
            <v>0</v>
          </cell>
          <cell r="AB141">
            <v>0</v>
          </cell>
          <cell r="AC141">
            <v>0</v>
          </cell>
          <cell r="AF141">
            <v>0</v>
          </cell>
          <cell r="AG141">
            <v>0</v>
          </cell>
        </row>
        <row r="142">
          <cell r="B142" t="str">
            <v>SUPPLY OF FITTINGS</v>
          </cell>
          <cell r="F142">
            <v>0</v>
          </cell>
          <cell r="G142">
            <v>0</v>
          </cell>
          <cell r="H142">
            <v>0</v>
          </cell>
          <cell r="I142">
            <v>0</v>
          </cell>
          <cell r="J142">
            <v>0</v>
          </cell>
          <cell r="K142">
            <v>0</v>
          </cell>
          <cell r="L142">
            <v>0</v>
          </cell>
          <cell r="N142">
            <v>0</v>
          </cell>
          <cell r="O142">
            <v>0</v>
          </cell>
          <cell r="P142">
            <v>0</v>
          </cell>
          <cell r="Q142">
            <v>0</v>
          </cell>
          <cell r="R142">
            <v>0</v>
          </cell>
          <cell r="S142">
            <v>0</v>
          </cell>
          <cell r="T142">
            <v>0</v>
          </cell>
          <cell r="V142">
            <v>0</v>
          </cell>
          <cell r="W142">
            <v>0</v>
          </cell>
          <cell r="X142">
            <v>0</v>
          </cell>
          <cell r="Y142">
            <v>0</v>
          </cell>
          <cell r="Z142">
            <v>0</v>
          </cell>
          <cell r="AA142">
            <v>0</v>
          </cell>
          <cell r="AB142">
            <v>0</v>
          </cell>
          <cell r="AC142">
            <v>0</v>
          </cell>
          <cell r="AF142">
            <v>0</v>
          </cell>
          <cell r="AG142">
            <v>0</v>
          </cell>
        </row>
        <row r="143">
          <cell r="F143">
            <v>0</v>
          </cell>
          <cell r="G143">
            <v>0</v>
          </cell>
          <cell r="H143">
            <v>0</v>
          </cell>
          <cell r="I143">
            <v>0</v>
          </cell>
          <cell r="J143">
            <v>0</v>
          </cell>
          <cell r="K143">
            <v>0</v>
          </cell>
          <cell r="L143">
            <v>0</v>
          </cell>
          <cell r="N143">
            <v>0</v>
          </cell>
          <cell r="O143">
            <v>0</v>
          </cell>
          <cell r="P143">
            <v>0</v>
          </cell>
          <cell r="Q143">
            <v>0</v>
          </cell>
          <cell r="R143">
            <v>0</v>
          </cell>
          <cell r="S143">
            <v>0</v>
          </cell>
          <cell r="T143">
            <v>0</v>
          </cell>
          <cell r="V143">
            <v>0</v>
          </cell>
          <cell r="W143">
            <v>0</v>
          </cell>
          <cell r="X143">
            <v>0</v>
          </cell>
          <cell r="Y143">
            <v>0</v>
          </cell>
          <cell r="Z143">
            <v>0</v>
          </cell>
          <cell r="AA143">
            <v>0</v>
          </cell>
          <cell r="AB143">
            <v>0</v>
          </cell>
          <cell r="AC143">
            <v>0</v>
          </cell>
          <cell r="AF143">
            <v>0</v>
          </cell>
          <cell r="AG143">
            <v>0</v>
          </cell>
        </row>
        <row r="144">
          <cell r="B144" t="str">
            <v xml:space="preserve">Supply ductile iron pipe fittings (PN 25 unless otherwise </v>
          </cell>
          <cell r="F144">
            <v>0</v>
          </cell>
          <cell r="G144">
            <v>0</v>
          </cell>
          <cell r="H144">
            <v>0</v>
          </cell>
          <cell r="I144">
            <v>0</v>
          </cell>
          <cell r="J144">
            <v>0</v>
          </cell>
          <cell r="K144">
            <v>0</v>
          </cell>
          <cell r="L144">
            <v>0</v>
          </cell>
          <cell r="N144">
            <v>0</v>
          </cell>
          <cell r="O144">
            <v>0</v>
          </cell>
          <cell r="P144">
            <v>0</v>
          </cell>
          <cell r="Q144">
            <v>0</v>
          </cell>
          <cell r="R144">
            <v>0</v>
          </cell>
          <cell r="S144">
            <v>0</v>
          </cell>
          <cell r="T144">
            <v>0</v>
          </cell>
          <cell r="V144">
            <v>0</v>
          </cell>
          <cell r="W144">
            <v>0</v>
          </cell>
          <cell r="X144">
            <v>0</v>
          </cell>
          <cell r="Y144">
            <v>0</v>
          </cell>
          <cell r="Z144">
            <v>0</v>
          </cell>
          <cell r="AA144">
            <v>0</v>
          </cell>
          <cell r="AB144">
            <v>0</v>
          </cell>
          <cell r="AC144">
            <v>0</v>
          </cell>
          <cell r="AF144">
            <v>0</v>
          </cell>
          <cell r="AG144">
            <v>0</v>
          </cell>
        </row>
        <row r="145">
          <cell r="B145" t="str">
            <v xml:space="preserve">noted) compatible with K9 pipe in accordance with ISO 2531 </v>
          </cell>
          <cell r="F145">
            <v>0</v>
          </cell>
          <cell r="G145">
            <v>0</v>
          </cell>
          <cell r="H145">
            <v>0</v>
          </cell>
          <cell r="I145">
            <v>0</v>
          </cell>
          <cell r="J145">
            <v>0</v>
          </cell>
          <cell r="K145">
            <v>0</v>
          </cell>
          <cell r="L145">
            <v>0</v>
          </cell>
          <cell r="N145">
            <v>0</v>
          </cell>
          <cell r="O145">
            <v>0</v>
          </cell>
          <cell r="P145">
            <v>0</v>
          </cell>
          <cell r="Q145">
            <v>0</v>
          </cell>
          <cell r="R145">
            <v>0</v>
          </cell>
          <cell r="S145">
            <v>0</v>
          </cell>
          <cell r="T145">
            <v>0</v>
          </cell>
          <cell r="V145">
            <v>0</v>
          </cell>
          <cell r="W145">
            <v>0</v>
          </cell>
          <cell r="X145">
            <v>0</v>
          </cell>
          <cell r="Y145">
            <v>0</v>
          </cell>
          <cell r="Z145">
            <v>0</v>
          </cell>
          <cell r="AA145">
            <v>0</v>
          </cell>
          <cell r="AB145">
            <v>0</v>
          </cell>
          <cell r="AC145">
            <v>0</v>
          </cell>
          <cell r="AF145">
            <v>0</v>
          </cell>
          <cell r="AG145">
            <v>0</v>
          </cell>
        </row>
        <row r="146">
          <cell r="B146" t="str">
            <v xml:space="preserve">including polyethylene sleeving, gaskets, bolts and nuts for </v>
          </cell>
          <cell r="F146">
            <v>0</v>
          </cell>
          <cell r="G146">
            <v>0</v>
          </cell>
          <cell r="H146">
            <v>0</v>
          </cell>
          <cell r="I146">
            <v>0</v>
          </cell>
          <cell r="J146">
            <v>0</v>
          </cell>
          <cell r="K146">
            <v>0</v>
          </cell>
          <cell r="L146">
            <v>0</v>
          </cell>
          <cell r="N146">
            <v>0</v>
          </cell>
          <cell r="O146">
            <v>0</v>
          </cell>
          <cell r="P146">
            <v>0</v>
          </cell>
          <cell r="Q146">
            <v>0</v>
          </cell>
          <cell r="R146">
            <v>0</v>
          </cell>
          <cell r="S146">
            <v>0</v>
          </cell>
          <cell r="T146">
            <v>0</v>
          </cell>
          <cell r="V146">
            <v>0</v>
          </cell>
          <cell r="W146">
            <v>0</v>
          </cell>
          <cell r="X146">
            <v>0</v>
          </cell>
          <cell r="Y146">
            <v>0</v>
          </cell>
          <cell r="Z146">
            <v>0</v>
          </cell>
          <cell r="AA146">
            <v>0</v>
          </cell>
          <cell r="AB146">
            <v>0</v>
          </cell>
          <cell r="AC146">
            <v>0</v>
          </cell>
          <cell r="AF146">
            <v>0</v>
          </cell>
          <cell r="AG146">
            <v>0</v>
          </cell>
        </row>
        <row r="147">
          <cell r="B147" t="str">
            <v xml:space="preserve">flanged fittings, and all other accessories all as specified </v>
          </cell>
          <cell r="F147">
            <v>0</v>
          </cell>
          <cell r="G147">
            <v>0</v>
          </cell>
          <cell r="H147">
            <v>0</v>
          </cell>
          <cell r="I147">
            <v>0</v>
          </cell>
          <cell r="J147">
            <v>0</v>
          </cell>
          <cell r="K147">
            <v>0</v>
          </cell>
          <cell r="L147">
            <v>0</v>
          </cell>
          <cell r="N147">
            <v>0</v>
          </cell>
          <cell r="O147">
            <v>0</v>
          </cell>
          <cell r="P147">
            <v>0</v>
          </cell>
          <cell r="Q147">
            <v>0</v>
          </cell>
          <cell r="R147">
            <v>0</v>
          </cell>
          <cell r="S147">
            <v>0</v>
          </cell>
          <cell r="T147">
            <v>0</v>
          </cell>
          <cell r="V147">
            <v>0</v>
          </cell>
          <cell r="W147">
            <v>0</v>
          </cell>
          <cell r="X147">
            <v>0</v>
          </cell>
          <cell r="Y147">
            <v>0</v>
          </cell>
          <cell r="Z147">
            <v>0</v>
          </cell>
          <cell r="AA147">
            <v>0</v>
          </cell>
          <cell r="AB147">
            <v>0</v>
          </cell>
          <cell r="AC147">
            <v>0</v>
          </cell>
          <cell r="AF147">
            <v>0</v>
          </cell>
          <cell r="AG147">
            <v>0</v>
          </cell>
        </row>
        <row r="148">
          <cell r="B148" t="str">
            <v xml:space="preserve">(all fittings shall be suitable to accept, if required, </v>
          </cell>
          <cell r="F148">
            <v>0</v>
          </cell>
          <cell r="G148">
            <v>0</v>
          </cell>
          <cell r="H148">
            <v>0</v>
          </cell>
          <cell r="I148">
            <v>0</v>
          </cell>
          <cell r="J148">
            <v>0</v>
          </cell>
          <cell r="K148">
            <v>0</v>
          </cell>
          <cell r="L148">
            <v>0</v>
          </cell>
          <cell r="N148">
            <v>0</v>
          </cell>
          <cell r="O148">
            <v>0</v>
          </cell>
          <cell r="P148">
            <v>0</v>
          </cell>
          <cell r="Q148">
            <v>0</v>
          </cell>
          <cell r="R148">
            <v>0</v>
          </cell>
          <cell r="S148">
            <v>0</v>
          </cell>
          <cell r="T148">
            <v>0</v>
          </cell>
          <cell r="V148">
            <v>0</v>
          </cell>
          <cell r="W148">
            <v>0</v>
          </cell>
          <cell r="X148">
            <v>0</v>
          </cell>
          <cell r="Y148">
            <v>0</v>
          </cell>
          <cell r="Z148">
            <v>0</v>
          </cell>
          <cell r="AA148">
            <v>0</v>
          </cell>
          <cell r="AB148">
            <v>0</v>
          </cell>
          <cell r="AC148">
            <v>0</v>
          </cell>
          <cell r="AF148">
            <v>0</v>
          </cell>
          <cell r="AG148">
            <v>0</v>
          </cell>
        </row>
        <row r="149">
          <cell r="B149" t="str">
            <v>mechanically restrained joints):</v>
          </cell>
          <cell r="F149">
            <v>0</v>
          </cell>
          <cell r="G149">
            <v>0</v>
          </cell>
          <cell r="H149">
            <v>0</v>
          </cell>
          <cell r="I149">
            <v>0</v>
          </cell>
          <cell r="J149">
            <v>0</v>
          </cell>
          <cell r="K149">
            <v>0</v>
          </cell>
          <cell r="L149">
            <v>0</v>
          </cell>
          <cell r="N149">
            <v>0</v>
          </cell>
          <cell r="O149">
            <v>0</v>
          </cell>
          <cell r="P149">
            <v>0</v>
          </cell>
          <cell r="Q149">
            <v>0</v>
          </cell>
          <cell r="R149">
            <v>0</v>
          </cell>
          <cell r="S149">
            <v>0</v>
          </cell>
          <cell r="T149">
            <v>0</v>
          </cell>
          <cell r="V149">
            <v>0</v>
          </cell>
          <cell r="W149">
            <v>0</v>
          </cell>
          <cell r="X149">
            <v>0</v>
          </cell>
          <cell r="Y149">
            <v>0</v>
          </cell>
          <cell r="Z149">
            <v>0</v>
          </cell>
          <cell r="AA149">
            <v>0</v>
          </cell>
          <cell r="AB149">
            <v>0</v>
          </cell>
          <cell r="AC149">
            <v>0</v>
          </cell>
          <cell r="AF149">
            <v>0</v>
          </cell>
          <cell r="AG149">
            <v>0</v>
          </cell>
        </row>
        <row r="150">
          <cell r="F150">
            <v>0</v>
          </cell>
          <cell r="G150">
            <v>0</v>
          </cell>
          <cell r="H150">
            <v>0</v>
          </cell>
          <cell r="I150">
            <v>0</v>
          </cell>
          <cell r="J150">
            <v>0</v>
          </cell>
          <cell r="K150">
            <v>0</v>
          </cell>
          <cell r="L150">
            <v>0</v>
          </cell>
          <cell r="N150">
            <v>0</v>
          </cell>
          <cell r="O150">
            <v>0</v>
          </cell>
          <cell r="P150">
            <v>0</v>
          </cell>
          <cell r="Q150">
            <v>0</v>
          </cell>
          <cell r="R150">
            <v>0</v>
          </cell>
          <cell r="S150">
            <v>0</v>
          </cell>
          <cell r="T150">
            <v>0</v>
          </cell>
          <cell r="V150">
            <v>0</v>
          </cell>
          <cell r="W150">
            <v>0</v>
          </cell>
          <cell r="X150">
            <v>0</v>
          </cell>
          <cell r="Y150">
            <v>0</v>
          </cell>
          <cell r="Z150">
            <v>0</v>
          </cell>
          <cell r="AA150">
            <v>0</v>
          </cell>
          <cell r="AB150">
            <v>0</v>
          </cell>
          <cell r="AC150">
            <v>0</v>
          </cell>
          <cell r="AF150">
            <v>0</v>
          </cell>
          <cell r="AG150">
            <v>0</v>
          </cell>
        </row>
        <row r="151">
          <cell r="B151" t="str">
            <v>Bends - Double Socket (Bituminous/zinc coating externally</v>
          </cell>
          <cell r="F151">
            <v>0</v>
          </cell>
          <cell r="G151">
            <v>0</v>
          </cell>
          <cell r="H151">
            <v>0</v>
          </cell>
          <cell r="I151">
            <v>0</v>
          </cell>
          <cell r="J151">
            <v>0</v>
          </cell>
          <cell r="K151">
            <v>0</v>
          </cell>
          <cell r="L151">
            <v>0</v>
          </cell>
          <cell r="N151">
            <v>0</v>
          </cell>
          <cell r="O151">
            <v>0</v>
          </cell>
          <cell r="P151">
            <v>0</v>
          </cell>
          <cell r="Q151">
            <v>0</v>
          </cell>
          <cell r="R151">
            <v>0</v>
          </cell>
          <cell r="S151">
            <v>0</v>
          </cell>
          <cell r="T151">
            <v>0</v>
          </cell>
          <cell r="V151">
            <v>0</v>
          </cell>
          <cell r="W151">
            <v>0</v>
          </cell>
          <cell r="X151">
            <v>0</v>
          </cell>
          <cell r="Y151">
            <v>0</v>
          </cell>
          <cell r="Z151">
            <v>0</v>
          </cell>
          <cell r="AA151">
            <v>0</v>
          </cell>
          <cell r="AB151">
            <v>0</v>
          </cell>
          <cell r="AC151">
            <v>0</v>
          </cell>
          <cell r="AF151">
            <v>0</v>
          </cell>
          <cell r="AG151">
            <v>0</v>
          </cell>
        </row>
        <row r="152">
          <cell r="B152" t="str">
            <v>Cement mortar internally)</v>
          </cell>
          <cell r="F152">
            <v>0</v>
          </cell>
          <cell r="G152">
            <v>0</v>
          </cell>
          <cell r="H152">
            <v>0</v>
          </cell>
          <cell r="I152">
            <v>0</v>
          </cell>
          <cell r="J152">
            <v>0</v>
          </cell>
          <cell r="K152">
            <v>0</v>
          </cell>
          <cell r="L152">
            <v>0</v>
          </cell>
          <cell r="N152">
            <v>0</v>
          </cell>
          <cell r="O152">
            <v>0</v>
          </cell>
          <cell r="P152">
            <v>0</v>
          </cell>
          <cell r="Q152">
            <v>0</v>
          </cell>
          <cell r="R152">
            <v>0</v>
          </cell>
          <cell r="S152">
            <v>0</v>
          </cell>
          <cell r="T152">
            <v>0</v>
          </cell>
          <cell r="V152">
            <v>0</v>
          </cell>
          <cell r="W152">
            <v>0</v>
          </cell>
          <cell r="X152">
            <v>0</v>
          </cell>
          <cell r="Y152">
            <v>0</v>
          </cell>
          <cell r="Z152">
            <v>0</v>
          </cell>
          <cell r="AA152">
            <v>0</v>
          </cell>
          <cell r="AB152">
            <v>0</v>
          </cell>
          <cell r="AC152">
            <v>0</v>
          </cell>
          <cell r="AF152">
            <v>0</v>
          </cell>
          <cell r="AG152">
            <v>0</v>
          </cell>
        </row>
        <row r="153">
          <cell r="A153" t="str">
            <v>1.2.1.1</v>
          </cell>
          <cell r="B153" t="str">
            <v>1000mm dia. x 450</v>
          </cell>
          <cell r="C153">
            <v>54</v>
          </cell>
          <cell r="D153" t="str">
            <v>No.</v>
          </cell>
          <cell r="E153">
            <v>3023.7</v>
          </cell>
          <cell r="F153">
            <v>163279.79999999999</v>
          </cell>
          <cell r="G153">
            <v>11127.22</v>
          </cell>
          <cell r="H153">
            <v>600869.88</v>
          </cell>
          <cell r="I153">
            <v>556.36</v>
          </cell>
          <cell r="J153">
            <v>30043.439999999999</v>
          </cell>
          <cell r="K153">
            <v>11683.58</v>
          </cell>
          <cell r="L153">
            <v>630913.31999999995</v>
          </cell>
          <cell r="M153">
            <v>3600.19</v>
          </cell>
          <cell r="N153">
            <v>194410.26</v>
          </cell>
          <cell r="O153">
            <v>13248.7</v>
          </cell>
          <cell r="P153">
            <v>715429.8</v>
          </cell>
          <cell r="Q153">
            <v>662.44</v>
          </cell>
          <cell r="R153">
            <v>35771.760000000002</v>
          </cell>
          <cell r="S153">
            <v>13911.14</v>
          </cell>
          <cell r="T153">
            <v>751201.56</v>
          </cell>
          <cell r="U153">
            <v>3706.61</v>
          </cell>
          <cell r="V153">
            <v>3187.68</v>
          </cell>
          <cell r="W153">
            <v>172134.72</v>
          </cell>
          <cell r="X153">
            <v>11730.66</v>
          </cell>
          <cell r="Y153">
            <v>633455.64</v>
          </cell>
          <cell r="Z153">
            <v>586.53</v>
          </cell>
          <cell r="AA153">
            <v>31672.62</v>
          </cell>
          <cell r="AB153">
            <v>12317.19</v>
          </cell>
          <cell r="AC153">
            <v>665128.26</v>
          </cell>
          <cell r="AF153">
            <v>12317.19</v>
          </cell>
          <cell r="AG153">
            <v>665128.26</v>
          </cell>
        </row>
        <row r="154">
          <cell r="A154" t="str">
            <v>1.2.1.2</v>
          </cell>
          <cell r="B154" t="str">
            <v>1000mm dia. x 22.50</v>
          </cell>
          <cell r="C154">
            <v>23</v>
          </cell>
          <cell r="D154" t="str">
            <v>No.</v>
          </cell>
          <cell r="E154">
            <v>2273.21</v>
          </cell>
          <cell r="F154">
            <v>52283.83</v>
          </cell>
          <cell r="G154">
            <v>8365.41</v>
          </cell>
          <cell r="H154">
            <v>192404.43</v>
          </cell>
          <cell r="I154">
            <v>418.27</v>
          </cell>
          <cell r="J154">
            <v>9620.2099999999991</v>
          </cell>
          <cell r="K154">
            <v>8783.68</v>
          </cell>
          <cell r="L154">
            <v>202024.64</v>
          </cell>
          <cell r="M154">
            <v>2726.86</v>
          </cell>
          <cell r="N154">
            <v>62717.78</v>
          </cell>
          <cell r="O154">
            <v>10034.84</v>
          </cell>
          <cell r="P154">
            <v>230801.32</v>
          </cell>
          <cell r="Q154">
            <v>501.74</v>
          </cell>
          <cell r="R154">
            <v>11540.02</v>
          </cell>
          <cell r="S154">
            <v>10536.58</v>
          </cell>
          <cell r="T154">
            <v>242341.34</v>
          </cell>
          <cell r="U154">
            <v>3020.79</v>
          </cell>
          <cell r="V154">
            <v>2597.88</v>
          </cell>
          <cell r="W154">
            <v>59751.24</v>
          </cell>
          <cell r="X154">
            <v>9560.2000000000007</v>
          </cell>
          <cell r="Y154">
            <v>219884.6</v>
          </cell>
          <cell r="Z154">
            <v>478.01</v>
          </cell>
          <cell r="AA154">
            <v>10994.23</v>
          </cell>
          <cell r="AB154">
            <v>10038.209999999999</v>
          </cell>
          <cell r="AC154">
            <v>230878.83</v>
          </cell>
          <cell r="AF154">
            <v>10038.209999999999</v>
          </cell>
          <cell r="AG154">
            <v>230878.83</v>
          </cell>
        </row>
        <row r="155">
          <cell r="A155" t="str">
            <v>1.2.1.3</v>
          </cell>
          <cell r="B155" t="str">
            <v>1000mm dia. x 11.250</v>
          </cell>
          <cell r="C155">
            <v>23</v>
          </cell>
          <cell r="D155" t="str">
            <v>No.</v>
          </cell>
          <cell r="E155">
            <v>1875.37</v>
          </cell>
          <cell r="F155">
            <v>43133.51</v>
          </cell>
          <cell r="G155">
            <v>6901.36</v>
          </cell>
          <cell r="H155">
            <v>158731.28</v>
          </cell>
          <cell r="I155">
            <v>345.07</v>
          </cell>
          <cell r="J155">
            <v>7936.61</v>
          </cell>
          <cell r="K155">
            <v>7246.43</v>
          </cell>
          <cell r="L155">
            <v>166667.89000000001</v>
          </cell>
          <cell r="M155">
            <v>2252</v>
          </cell>
          <cell r="N155">
            <v>51796</v>
          </cell>
          <cell r="O155">
            <v>8287.36</v>
          </cell>
          <cell r="P155">
            <v>190609.28</v>
          </cell>
          <cell r="Q155">
            <v>414.37</v>
          </cell>
          <cell r="R155">
            <v>9530.51</v>
          </cell>
          <cell r="S155">
            <v>8701.73</v>
          </cell>
          <cell r="T155">
            <v>200139.79</v>
          </cell>
          <cell r="U155">
            <v>2344.6</v>
          </cell>
          <cell r="V155">
            <v>2016.36</v>
          </cell>
          <cell r="W155">
            <v>46376.28</v>
          </cell>
          <cell r="X155">
            <v>7420.2</v>
          </cell>
          <cell r="Y155">
            <v>170664.6</v>
          </cell>
          <cell r="Z155">
            <v>371.01</v>
          </cell>
          <cell r="AA155">
            <v>8533.23</v>
          </cell>
          <cell r="AB155">
            <v>7791.21</v>
          </cell>
          <cell r="AC155">
            <v>179197.83</v>
          </cell>
          <cell r="AF155">
            <v>7791.21</v>
          </cell>
          <cell r="AG155">
            <v>179197.83</v>
          </cell>
        </row>
        <row r="156">
          <cell r="A156" t="str">
            <v>1.2.1.4</v>
          </cell>
          <cell r="B156" t="str">
            <v>600mm dia. x 900</v>
          </cell>
          <cell r="C156">
            <v>11</v>
          </cell>
          <cell r="D156" t="str">
            <v>No.</v>
          </cell>
          <cell r="E156">
            <v>1417.94</v>
          </cell>
          <cell r="F156">
            <v>15597.34</v>
          </cell>
          <cell r="G156">
            <v>5218.0200000000004</v>
          </cell>
          <cell r="H156">
            <v>57398.22</v>
          </cell>
          <cell r="I156">
            <v>260.89999999999998</v>
          </cell>
          <cell r="J156">
            <v>2869.9</v>
          </cell>
          <cell r="K156">
            <v>5478.92</v>
          </cell>
          <cell r="L156">
            <v>60268.12</v>
          </cell>
          <cell r="M156">
            <v>1539.43</v>
          </cell>
          <cell r="N156">
            <v>16933.73</v>
          </cell>
          <cell r="O156">
            <v>5665.1</v>
          </cell>
          <cell r="P156">
            <v>62316.1</v>
          </cell>
          <cell r="Q156">
            <v>283.26</v>
          </cell>
          <cell r="R156">
            <v>3115.86</v>
          </cell>
          <cell r="S156">
            <v>5948.36</v>
          </cell>
          <cell r="T156">
            <v>65431.96</v>
          </cell>
          <cell r="U156">
            <v>2148.35</v>
          </cell>
          <cell r="V156">
            <v>1847.58</v>
          </cell>
          <cell r="W156">
            <v>20323.38</v>
          </cell>
          <cell r="X156">
            <v>6799.09</v>
          </cell>
          <cell r="Y156">
            <v>74789.990000000005</v>
          </cell>
          <cell r="Z156">
            <v>339.95</v>
          </cell>
          <cell r="AA156">
            <v>3739.45</v>
          </cell>
          <cell r="AB156">
            <v>7139.04</v>
          </cell>
          <cell r="AC156">
            <v>78529.440000000002</v>
          </cell>
          <cell r="AF156">
            <v>7139.04</v>
          </cell>
          <cell r="AG156">
            <v>78529.440000000002</v>
          </cell>
        </row>
        <row r="157">
          <cell r="A157" t="str">
            <v>1.2.1.5</v>
          </cell>
          <cell r="B157" t="str">
            <v>600mm dia. x 450</v>
          </cell>
          <cell r="C157">
            <v>2</v>
          </cell>
          <cell r="D157" t="str">
            <v>No.</v>
          </cell>
          <cell r="E157">
            <v>1047.21</v>
          </cell>
          <cell r="F157">
            <v>2094.42</v>
          </cell>
          <cell r="G157">
            <v>3853.73</v>
          </cell>
          <cell r="H157">
            <v>7707.46</v>
          </cell>
          <cell r="I157">
            <v>192.69</v>
          </cell>
          <cell r="J157">
            <v>385.38</v>
          </cell>
          <cell r="K157">
            <v>4046.42</v>
          </cell>
          <cell r="L157">
            <v>8092.84</v>
          </cell>
          <cell r="M157">
            <v>1119.69</v>
          </cell>
          <cell r="N157">
            <v>2239.38</v>
          </cell>
          <cell r="O157">
            <v>4120.46</v>
          </cell>
          <cell r="P157">
            <v>8240.92</v>
          </cell>
          <cell r="Q157">
            <v>206.02</v>
          </cell>
          <cell r="R157">
            <v>412.04</v>
          </cell>
          <cell r="S157">
            <v>4326.4799999999996</v>
          </cell>
          <cell r="T157">
            <v>8652.9599999999991</v>
          </cell>
          <cell r="U157">
            <v>1319.95</v>
          </cell>
          <cell r="V157">
            <v>1135.1600000000001</v>
          </cell>
          <cell r="W157">
            <v>2270.3200000000002</v>
          </cell>
          <cell r="X157">
            <v>4177.3900000000003</v>
          </cell>
          <cell r="Y157">
            <v>8354.7800000000007</v>
          </cell>
          <cell r="Z157">
            <v>208.87</v>
          </cell>
          <cell r="AA157">
            <v>417.74</v>
          </cell>
          <cell r="AB157">
            <v>4386.26</v>
          </cell>
          <cell r="AC157">
            <v>8772.52</v>
          </cell>
          <cell r="AF157">
            <v>4386.26</v>
          </cell>
          <cell r="AG157">
            <v>8772.52</v>
          </cell>
        </row>
        <row r="158">
          <cell r="A158" t="str">
            <v>1.2.1.6</v>
          </cell>
          <cell r="B158" t="str">
            <v>600mm dia. x 22.50</v>
          </cell>
          <cell r="C158">
            <v>2</v>
          </cell>
          <cell r="D158" t="str">
            <v>No.</v>
          </cell>
          <cell r="E158">
            <v>845.41</v>
          </cell>
          <cell r="F158">
            <v>1690.82</v>
          </cell>
          <cell r="G158">
            <v>3111.11</v>
          </cell>
          <cell r="H158">
            <v>6222.22</v>
          </cell>
          <cell r="I158">
            <v>155.56</v>
          </cell>
          <cell r="J158">
            <v>311.12</v>
          </cell>
          <cell r="K158">
            <v>3266.67</v>
          </cell>
          <cell r="L158">
            <v>6533.34</v>
          </cell>
          <cell r="M158">
            <v>885.31</v>
          </cell>
          <cell r="N158">
            <v>1770.62</v>
          </cell>
          <cell r="O158">
            <v>3257.94</v>
          </cell>
          <cell r="P158">
            <v>6515.88</v>
          </cell>
          <cell r="Q158">
            <v>162.9</v>
          </cell>
          <cell r="R158">
            <v>325.8</v>
          </cell>
          <cell r="S158">
            <v>3420.84</v>
          </cell>
          <cell r="T158">
            <v>6841.68</v>
          </cell>
          <cell r="U158">
            <v>950.4</v>
          </cell>
          <cell r="V158">
            <v>817.34</v>
          </cell>
          <cell r="W158">
            <v>1634.68</v>
          </cell>
          <cell r="X158">
            <v>3007.81</v>
          </cell>
          <cell r="Y158">
            <v>6015.62</v>
          </cell>
          <cell r="Z158">
            <v>150.38999999999999</v>
          </cell>
          <cell r="AA158">
            <v>300.77999999999997</v>
          </cell>
          <cell r="AB158">
            <v>3158.2</v>
          </cell>
          <cell r="AC158">
            <v>6316.4</v>
          </cell>
          <cell r="AF158">
            <v>3158.2</v>
          </cell>
          <cell r="AG158">
            <v>6316.4</v>
          </cell>
        </row>
        <row r="159">
          <cell r="A159" t="str">
            <v>1.2.1.7</v>
          </cell>
          <cell r="B159" t="str">
            <v>600mm dia. x 11.250</v>
          </cell>
          <cell r="C159">
            <v>2</v>
          </cell>
          <cell r="D159" t="str">
            <v>No.</v>
          </cell>
          <cell r="E159">
            <v>735.27</v>
          </cell>
          <cell r="F159">
            <v>1470.54</v>
          </cell>
          <cell r="G159">
            <v>2705.79</v>
          </cell>
          <cell r="H159">
            <v>5411.58</v>
          </cell>
          <cell r="I159">
            <v>135.29</v>
          </cell>
          <cell r="J159">
            <v>270.58</v>
          </cell>
          <cell r="K159">
            <v>2841.08</v>
          </cell>
          <cell r="L159">
            <v>5682.16</v>
          </cell>
          <cell r="M159">
            <v>761.68</v>
          </cell>
          <cell r="N159">
            <v>1523.36</v>
          </cell>
          <cell r="O159">
            <v>2802.98</v>
          </cell>
          <cell r="P159">
            <v>5605.96</v>
          </cell>
          <cell r="Q159">
            <v>140.15</v>
          </cell>
          <cell r="R159">
            <v>280.3</v>
          </cell>
          <cell r="S159">
            <v>2943.13</v>
          </cell>
          <cell r="T159">
            <v>5886.26</v>
          </cell>
          <cell r="U159">
            <v>857.51</v>
          </cell>
          <cell r="V159">
            <v>737.46</v>
          </cell>
          <cell r="W159">
            <v>1474.92</v>
          </cell>
          <cell r="X159">
            <v>2713.85</v>
          </cell>
          <cell r="Y159">
            <v>5427.7</v>
          </cell>
          <cell r="Z159">
            <v>135.69</v>
          </cell>
          <cell r="AA159">
            <v>271.38</v>
          </cell>
          <cell r="AB159">
            <v>2849.54</v>
          </cell>
          <cell r="AC159">
            <v>5699.08</v>
          </cell>
          <cell r="AF159">
            <v>2849.54</v>
          </cell>
          <cell r="AG159">
            <v>5699.08</v>
          </cell>
        </row>
        <row r="160">
          <cell r="A160" t="str">
            <v>1.2.1.8</v>
          </cell>
          <cell r="B160" t="str">
            <v>400mm dia. x 900</v>
          </cell>
          <cell r="C160">
            <v>3</v>
          </cell>
          <cell r="D160" t="str">
            <v>No.</v>
          </cell>
          <cell r="E160">
            <v>566.45000000000005</v>
          </cell>
          <cell r="F160">
            <v>1699.35</v>
          </cell>
          <cell r="G160">
            <v>2084.54</v>
          </cell>
          <cell r="H160">
            <v>6253.62</v>
          </cell>
          <cell r="I160">
            <v>104.23</v>
          </cell>
          <cell r="J160">
            <v>312.69</v>
          </cell>
          <cell r="K160">
            <v>2188.77</v>
          </cell>
          <cell r="L160">
            <v>6566.31</v>
          </cell>
          <cell r="M160">
            <v>705.99</v>
          </cell>
          <cell r="N160">
            <v>2117.9699999999998</v>
          </cell>
          <cell r="O160">
            <v>2598.04</v>
          </cell>
          <cell r="P160">
            <v>7794.12</v>
          </cell>
          <cell r="Q160">
            <v>129.9</v>
          </cell>
          <cell r="R160">
            <v>389.7</v>
          </cell>
          <cell r="S160">
            <v>2727.94</v>
          </cell>
          <cell r="T160">
            <v>8183.82</v>
          </cell>
          <cell r="U160">
            <v>963.14</v>
          </cell>
          <cell r="V160">
            <v>828.3</v>
          </cell>
          <cell r="W160">
            <v>2484.9</v>
          </cell>
          <cell r="X160">
            <v>3048.14</v>
          </cell>
          <cell r="Y160">
            <v>9144.42</v>
          </cell>
          <cell r="Z160">
            <v>152.41</v>
          </cell>
          <cell r="AA160">
            <v>457.23</v>
          </cell>
          <cell r="AB160">
            <v>3200.55</v>
          </cell>
          <cell r="AC160">
            <v>9601.65</v>
          </cell>
          <cell r="AF160">
            <v>3200.55</v>
          </cell>
          <cell r="AG160">
            <v>9601.65</v>
          </cell>
        </row>
        <row r="161">
          <cell r="A161" t="str">
            <v>1.2.1.9</v>
          </cell>
          <cell r="B161" t="str">
            <v>400mm dia. x 450</v>
          </cell>
          <cell r="C161">
            <v>2</v>
          </cell>
          <cell r="D161" t="str">
            <v>No.</v>
          </cell>
          <cell r="E161">
            <v>435.53</v>
          </cell>
          <cell r="F161">
            <v>871.06</v>
          </cell>
          <cell r="G161">
            <v>1602.75</v>
          </cell>
          <cell r="H161">
            <v>3205.5</v>
          </cell>
          <cell r="I161">
            <v>80.14</v>
          </cell>
          <cell r="J161">
            <v>160.28</v>
          </cell>
          <cell r="K161">
            <v>1682.89</v>
          </cell>
          <cell r="L161">
            <v>3365.78</v>
          </cell>
          <cell r="M161">
            <v>551.04999999999995</v>
          </cell>
          <cell r="N161">
            <v>1102.0999999999999</v>
          </cell>
          <cell r="O161">
            <v>2027.86</v>
          </cell>
          <cell r="P161">
            <v>4055.72</v>
          </cell>
          <cell r="Q161">
            <v>101.39</v>
          </cell>
          <cell r="R161">
            <v>202.78</v>
          </cell>
          <cell r="S161">
            <v>2129.25</v>
          </cell>
          <cell r="T161">
            <v>4258.5</v>
          </cell>
          <cell r="U161">
            <v>755.2</v>
          </cell>
          <cell r="V161">
            <v>649.47</v>
          </cell>
          <cell r="W161">
            <v>1298.94</v>
          </cell>
          <cell r="X161">
            <v>2390.0500000000002</v>
          </cell>
          <cell r="Y161">
            <v>4780.1000000000004</v>
          </cell>
          <cell r="Z161">
            <v>119.5</v>
          </cell>
          <cell r="AA161">
            <v>239</v>
          </cell>
          <cell r="AB161">
            <v>2509.5500000000002</v>
          </cell>
          <cell r="AC161">
            <v>5019.1000000000004</v>
          </cell>
          <cell r="AF161">
            <v>2509.5500000000002</v>
          </cell>
          <cell r="AG161">
            <v>5019.1000000000004</v>
          </cell>
        </row>
        <row r="162">
          <cell r="A162" t="str">
            <v>1.2.1.10</v>
          </cell>
          <cell r="B162" t="str">
            <v>400mm dia. x 22.50</v>
          </cell>
          <cell r="C162">
            <v>2</v>
          </cell>
          <cell r="D162" t="str">
            <v>No.</v>
          </cell>
          <cell r="E162">
            <v>365.71</v>
          </cell>
          <cell r="F162">
            <v>731.42</v>
          </cell>
          <cell r="G162">
            <v>1345.81</v>
          </cell>
          <cell r="H162">
            <v>2691.62</v>
          </cell>
          <cell r="I162">
            <v>67.290000000000006</v>
          </cell>
          <cell r="J162">
            <v>134.58000000000001</v>
          </cell>
          <cell r="K162">
            <v>1413.1</v>
          </cell>
          <cell r="L162">
            <v>2826.2</v>
          </cell>
          <cell r="M162">
            <v>470.85</v>
          </cell>
          <cell r="N162">
            <v>941.7</v>
          </cell>
          <cell r="O162">
            <v>1732.73</v>
          </cell>
          <cell r="P162">
            <v>3465.46</v>
          </cell>
          <cell r="Q162">
            <v>86.64</v>
          </cell>
          <cell r="R162">
            <v>173.28</v>
          </cell>
          <cell r="S162">
            <v>1819.37</v>
          </cell>
          <cell r="T162">
            <v>3638.74</v>
          </cell>
          <cell r="U162">
            <v>615.69000000000005</v>
          </cell>
          <cell r="V162">
            <v>529.49</v>
          </cell>
          <cell r="W162">
            <v>1058.98</v>
          </cell>
          <cell r="X162">
            <v>1948.52</v>
          </cell>
          <cell r="Y162">
            <v>3897.04</v>
          </cell>
          <cell r="Z162">
            <v>97.43</v>
          </cell>
          <cell r="AA162">
            <v>194.86</v>
          </cell>
          <cell r="AB162">
            <v>2045.95</v>
          </cell>
          <cell r="AC162">
            <v>4091.9</v>
          </cell>
          <cell r="AF162">
            <v>2045.95</v>
          </cell>
          <cell r="AG162">
            <v>4091.9</v>
          </cell>
        </row>
        <row r="163">
          <cell r="A163" t="str">
            <v>1.2.1.11</v>
          </cell>
          <cell r="B163" t="str">
            <v>400mm dia. x 11.250</v>
          </cell>
          <cell r="C163">
            <v>2</v>
          </cell>
          <cell r="D163" t="str">
            <v>No.</v>
          </cell>
          <cell r="E163">
            <v>326.44</v>
          </cell>
          <cell r="F163">
            <v>652.88</v>
          </cell>
          <cell r="G163">
            <v>1201.3</v>
          </cell>
          <cell r="H163">
            <v>2402.6</v>
          </cell>
          <cell r="I163">
            <v>60.07</v>
          </cell>
          <cell r="J163">
            <v>120.14</v>
          </cell>
          <cell r="K163">
            <v>1261.3699999999999</v>
          </cell>
          <cell r="L163">
            <v>2522.7399999999998</v>
          </cell>
          <cell r="M163">
            <v>425.09</v>
          </cell>
          <cell r="N163">
            <v>850.18</v>
          </cell>
          <cell r="O163">
            <v>1564.33</v>
          </cell>
          <cell r="P163">
            <v>3128.66</v>
          </cell>
          <cell r="Q163">
            <v>78.22</v>
          </cell>
          <cell r="R163">
            <v>156.44</v>
          </cell>
          <cell r="S163">
            <v>1642.55</v>
          </cell>
          <cell r="T163">
            <v>3285.1</v>
          </cell>
          <cell r="U163">
            <v>559.59</v>
          </cell>
          <cell r="V163">
            <v>481.25</v>
          </cell>
          <cell r="W163">
            <v>962.5</v>
          </cell>
          <cell r="X163">
            <v>1771</v>
          </cell>
          <cell r="Y163">
            <v>3542</v>
          </cell>
          <cell r="Z163">
            <v>88.55</v>
          </cell>
          <cell r="AA163">
            <v>177.1</v>
          </cell>
          <cell r="AB163">
            <v>1859.55</v>
          </cell>
          <cell r="AC163">
            <v>3719.1</v>
          </cell>
          <cell r="AF163">
            <v>1859.55</v>
          </cell>
          <cell r="AG163">
            <v>3719.1</v>
          </cell>
        </row>
        <row r="164">
          <cell r="A164" t="str">
            <v>1.2.1.12</v>
          </cell>
          <cell r="B164" t="str">
            <v>300mm dia. x 900</v>
          </cell>
          <cell r="C164">
            <v>2</v>
          </cell>
          <cell r="D164" t="str">
            <v>No.</v>
          </cell>
          <cell r="E164">
            <v>347.34</v>
          </cell>
          <cell r="F164">
            <v>694.68</v>
          </cell>
          <cell r="G164">
            <v>1278.21</v>
          </cell>
          <cell r="H164">
            <v>2556.42</v>
          </cell>
          <cell r="I164">
            <v>63.91</v>
          </cell>
          <cell r="J164">
            <v>127.82</v>
          </cell>
          <cell r="K164">
            <v>1342.12</v>
          </cell>
          <cell r="L164">
            <v>2684.24</v>
          </cell>
          <cell r="M164">
            <v>392.02</v>
          </cell>
          <cell r="N164">
            <v>784.04</v>
          </cell>
          <cell r="O164">
            <v>1442.63</v>
          </cell>
          <cell r="P164">
            <v>2885.26</v>
          </cell>
          <cell r="Q164">
            <v>72.13</v>
          </cell>
          <cell r="R164">
            <v>144.26</v>
          </cell>
          <cell r="S164">
            <v>1514.76</v>
          </cell>
          <cell r="T164">
            <v>3029.52</v>
          </cell>
          <cell r="U164">
            <v>666.68</v>
          </cell>
          <cell r="V164">
            <v>573.34</v>
          </cell>
          <cell r="W164">
            <v>1146.68</v>
          </cell>
          <cell r="X164">
            <v>2109.89</v>
          </cell>
          <cell r="Y164">
            <v>4219.78</v>
          </cell>
          <cell r="Z164">
            <v>105.49</v>
          </cell>
          <cell r="AA164">
            <v>210.98</v>
          </cell>
          <cell r="AB164">
            <v>2215.38</v>
          </cell>
          <cell r="AC164">
            <v>4430.76</v>
          </cell>
          <cell r="AF164">
            <v>2215.38</v>
          </cell>
          <cell r="AG164">
            <v>4430.76</v>
          </cell>
        </row>
        <row r="165">
          <cell r="A165" t="str">
            <v>1.2.1.13</v>
          </cell>
          <cell r="B165" t="str">
            <v>300mm dia. x 450</v>
          </cell>
          <cell r="C165">
            <v>2</v>
          </cell>
          <cell r="D165" t="str">
            <v>No.</v>
          </cell>
          <cell r="E165">
            <v>267.08999999999997</v>
          </cell>
          <cell r="F165">
            <v>534.17999999999995</v>
          </cell>
          <cell r="G165">
            <v>982.89</v>
          </cell>
          <cell r="H165">
            <v>1965.78</v>
          </cell>
          <cell r="I165">
            <v>49.14</v>
          </cell>
          <cell r="J165">
            <v>98.28</v>
          </cell>
          <cell r="K165">
            <v>1032.03</v>
          </cell>
          <cell r="L165">
            <v>2064.06</v>
          </cell>
          <cell r="M165">
            <v>312.20999999999998</v>
          </cell>
          <cell r="N165">
            <v>624.41999999999996</v>
          </cell>
          <cell r="O165">
            <v>1148.93</v>
          </cell>
          <cell r="P165">
            <v>2297.86</v>
          </cell>
          <cell r="Q165">
            <v>57.45</v>
          </cell>
          <cell r="R165">
            <v>114.9</v>
          </cell>
          <cell r="S165">
            <v>1206.3800000000001</v>
          </cell>
          <cell r="T165">
            <v>2412.7600000000002</v>
          </cell>
          <cell r="U165">
            <v>589.54</v>
          </cell>
          <cell r="V165">
            <v>507</v>
          </cell>
          <cell r="W165">
            <v>1014</v>
          </cell>
          <cell r="X165">
            <v>1865.76</v>
          </cell>
          <cell r="Y165">
            <v>3731.52</v>
          </cell>
          <cell r="Z165">
            <v>93.29</v>
          </cell>
          <cell r="AA165">
            <v>186.58</v>
          </cell>
          <cell r="AB165">
            <v>1959.05</v>
          </cell>
          <cell r="AC165">
            <v>3918.1</v>
          </cell>
          <cell r="AF165">
            <v>1959.05</v>
          </cell>
          <cell r="AG165">
            <v>3918.1</v>
          </cell>
        </row>
        <row r="166">
          <cell r="A166" t="str">
            <v>1.2.1.14</v>
          </cell>
          <cell r="B166" t="str">
            <v>300mm dia. x 22.50</v>
          </cell>
          <cell r="C166">
            <v>2</v>
          </cell>
          <cell r="D166" t="str">
            <v>No.</v>
          </cell>
          <cell r="E166">
            <v>226.96</v>
          </cell>
          <cell r="F166">
            <v>453.92</v>
          </cell>
          <cell r="G166">
            <v>835.21</v>
          </cell>
          <cell r="H166">
            <v>1670.42</v>
          </cell>
          <cell r="I166">
            <v>41.76</v>
          </cell>
          <cell r="J166">
            <v>83.52</v>
          </cell>
          <cell r="K166">
            <v>876.97</v>
          </cell>
          <cell r="L166">
            <v>1753.94</v>
          </cell>
          <cell r="M166">
            <v>271.05</v>
          </cell>
          <cell r="N166">
            <v>542.1</v>
          </cell>
          <cell r="O166">
            <v>997.46</v>
          </cell>
          <cell r="P166">
            <v>1994.92</v>
          </cell>
          <cell r="Q166">
            <v>49.87</v>
          </cell>
          <cell r="R166">
            <v>99.74</v>
          </cell>
          <cell r="S166">
            <v>1047.33</v>
          </cell>
          <cell r="T166">
            <v>2094.66</v>
          </cell>
          <cell r="U166">
            <v>457.22</v>
          </cell>
          <cell r="V166">
            <v>393.21</v>
          </cell>
          <cell r="W166">
            <v>786.42</v>
          </cell>
          <cell r="X166">
            <v>1447.01</v>
          </cell>
          <cell r="Y166">
            <v>2894.02</v>
          </cell>
          <cell r="Z166">
            <v>72.349999999999994</v>
          </cell>
          <cell r="AA166">
            <v>144.69999999999999</v>
          </cell>
          <cell r="AB166">
            <v>1519.36</v>
          </cell>
          <cell r="AC166">
            <v>3038.72</v>
          </cell>
          <cell r="AF166">
            <v>1519.36</v>
          </cell>
          <cell r="AG166">
            <v>3038.72</v>
          </cell>
        </row>
        <row r="167">
          <cell r="A167" t="str">
            <v>1.2.1.15</v>
          </cell>
          <cell r="B167" t="str">
            <v>300mm dia. x 11.250</v>
          </cell>
          <cell r="C167">
            <v>2</v>
          </cell>
          <cell r="D167" t="str">
            <v>No.</v>
          </cell>
          <cell r="E167">
            <v>206.9</v>
          </cell>
          <cell r="F167">
            <v>413.8</v>
          </cell>
          <cell r="G167">
            <v>761.39</v>
          </cell>
          <cell r="H167">
            <v>1522.78</v>
          </cell>
          <cell r="I167">
            <v>38.07</v>
          </cell>
          <cell r="J167">
            <v>76.14</v>
          </cell>
          <cell r="K167">
            <v>799.46</v>
          </cell>
          <cell r="L167">
            <v>1598.92</v>
          </cell>
          <cell r="M167">
            <v>249.57</v>
          </cell>
          <cell r="N167">
            <v>499.14</v>
          </cell>
          <cell r="O167">
            <v>918.42</v>
          </cell>
          <cell r="P167">
            <v>1836.84</v>
          </cell>
          <cell r="Q167">
            <v>45.92</v>
          </cell>
          <cell r="R167">
            <v>91.84</v>
          </cell>
          <cell r="S167">
            <v>964.34</v>
          </cell>
          <cell r="T167">
            <v>1928.68</v>
          </cell>
          <cell r="U167">
            <v>402.21</v>
          </cell>
          <cell r="V167">
            <v>345.9</v>
          </cell>
          <cell r="W167">
            <v>691.8</v>
          </cell>
          <cell r="X167">
            <v>1272.9100000000001</v>
          </cell>
          <cell r="Y167">
            <v>2545.8200000000002</v>
          </cell>
          <cell r="Z167">
            <v>63.65</v>
          </cell>
          <cell r="AA167">
            <v>127.3</v>
          </cell>
          <cell r="AB167">
            <v>1336.56</v>
          </cell>
          <cell r="AC167">
            <v>2673.12</v>
          </cell>
          <cell r="AF167">
            <v>1336.56</v>
          </cell>
          <cell r="AG167">
            <v>2673.12</v>
          </cell>
        </row>
        <row r="168">
          <cell r="A168" t="str">
            <v>1.2.1.16</v>
          </cell>
          <cell r="B168" t="str">
            <v>200mm dia. x 900</v>
          </cell>
          <cell r="C168">
            <v>2</v>
          </cell>
          <cell r="D168" t="str">
            <v>No.</v>
          </cell>
          <cell r="E168">
            <v>172.07</v>
          </cell>
          <cell r="F168">
            <v>344.14</v>
          </cell>
          <cell r="G168">
            <v>633.22</v>
          </cell>
          <cell r="H168">
            <v>1266.44</v>
          </cell>
          <cell r="I168">
            <v>31.66</v>
          </cell>
          <cell r="J168">
            <v>63.32</v>
          </cell>
          <cell r="K168">
            <v>664.88</v>
          </cell>
          <cell r="L168">
            <v>1329.76</v>
          </cell>
          <cell r="M168">
            <v>205.15</v>
          </cell>
          <cell r="N168">
            <v>410.3</v>
          </cell>
          <cell r="O168">
            <v>754.95</v>
          </cell>
          <cell r="P168">
            <v>1509.9</v>
          </cell>
          <cell r="Q168">
            <v>37.75</v>
          </cell>
          <cell r="R168">
            <v>75.5</v>
          </cell>
          <cell r="S168">
            <v>792.7</v>
          </cell>
          <cell r="T168">
            <v>1585.4</v>
          </cell>
          <cell r="U168">
            <v>302.91000000000003</v>
          </cell>
          <cell r="V168">
            <v>260.5</v>
          </cell>
          <cell r="W168">
            <v>521</v>
          </cell>
          <cell r="X168">
            <v>958.64</v>
          </cell>
          <cell r="Y168">
            <v>1917.28</v>
          </cell>
          <cell r="Z168">
            <v>47.93</v>
          </cell>
          <cell r="AA168">
            <v>95.86</v>
          </cell>
          <cell r="AB168">
            <v>1006.57</v>
          </cell>
          <cell r="AC168">
            <v>2013.14</v>
          </cell>
          <cell r="AF168">
            <v>1006.57</v>
          </cell>
          <cell r="AG168">
            <v>2013.14</v>
          </cell>
        </row>
        <row r="169">
          <cell r="A169" t="str">
            <v>1.2.1.17</v>
          </cell>
          <cell r="B169" t="str">
            <v>200mm dia. x 450</v>
          </cell>
          <cell r="C169">
            <v>2</v>
          </cell>
          <cell r="D169" t="str">
            <v>No.</v>
          </cell>
          <cell r="E169">
            <v>141.97999999999999</v>
          </cell>
          <cell r="F169">
            <v>283.95999999999998</v>
          </cell>
          <cell r="G169">
            <v>522.49</v>
          </cell>
          <cell r="H169">
            <v>1044.98</v>
          </cell>
          <cell r="I169">
            <v>26.12</v>
          </cell>
          <cell r="J169">
            <v>52.24</v>
          </cell>
          <cell r="K169">
            <v>548.61</v>
          </cell>
          <cell r="L169">
            <v>1097.22</v>
          </cell>
          <cell r="M169">
            <v>176.73</v>
          </cell>
          <cell r="N169">
            <v>353.46</v>
          </cell>
          <cell r="O169">
            <v>650.37</v>
          </cell>
          <cell r="P169">
            <v>1300.74</v>
          </cell>
          <cell r="Q169">
            <v>32.520000000000003</v>
          </cell>
          <cell r="R169">
            <v>65.040000000000006</v>
          </cell>
          <cell r="S169">
            <v>682.89</v>
          </cell>
          <cell r="T169">
            <v>1365.78</v>
          </cell>
          <cell r="U169">
            <v>310.38</v>
          </cell>
          <cell r="V169">
            <v>266.93</v>
          </cell>
          <cell r="W169">
            <v>533.86</v>
          </cell>
          <cell r="X169">
            <v>982.3</v>
          </cell>
          <cell r="Y169">
            <v>1964.6</v>
          </cell>
          <cell r="Z169">
            <v>49.12</v>
          </cell>
          <cell r="AA169">
            <v>98.24</v>
          </cell>
          <cell r="AB169">
            <v>1031.42</v>
          </cell>
          <cell r="AC169">
            <v>2062.84</v>
          </cell>
          <cell r="AF169">
            <v>1031.42</v>
          </cell>
          <cell r="AG169">
            <v>2062.84</v>
          </cell>
        </row>
        <row r="170">
          <cell r="A170" t="str">
            <v>1.2.1.18</v>
          </cell>
          <cell r="B170" t="str">
            <v>200mm dia. x 22.50</v>
          </cell>
          <cell r="C170">
            <v>2</v>
          </cell>
          <cell r="D170" t="str">
            <v>No.</v>
          </cell>
          <cell r="E170">
            <v>115.37</v>
          </cell>
          <cell r="F170">
            <v>230.74</v>
          </cell>
          <cell r="G170">
            <v>424.56</v>
          </cell>
          <cell r="H170">
            <v>849.12</v>
          </cell>
          <cell r="I170">
            <v>21.23</v>
          </cell>
          <cell r="J170">
            <v>42.46</v>
          </cell>
          <cell r="K170">
            <v>445.79</v>
          </cell>
          <cell r="L170">
            <v>891.58</v>
          </cell>
          <cell r="M170">
            <v>158.96</v>
          </cell>
          <cell r="N170">
            <v>317.92</v>
          </cell>
          <cell r="O170">
            <v>584.97</v>
          </cell>
          <cell r="P170">
            <v>1169.94</v>
          </cell>
          <cell r="Q170">
            <v>29.25</v>
          </cell>
          <cell r="R170">
            <v>58.5</v>
          </cell>
          <cell r="S170">
            <v>614.22</v>
          </cell>
          <cell r="T170">
            <v>1228.44</v>
          </cell>
          <cell r="U170">
            <v>226.52</v>
          </cell>
          <cell r="V170">
            <v>194.81</v>
          </cell>
          <cell r="W170">
            <v>389.62</v>
          </cell>
          <cell r="X170">
            <v>716.9</v>
          </cell>
          <cell r="Y170">
            <v>1433.8</v>
          </cell>
          <cell r="Z170">
            <v>35.85</v>
          </cell>
          <cell r="AA170">
            <v>71.7</v>
          </cell>
          <cell r="AB170">
            <v>752.75</v>
          </cell>
          <cell r="AC170">
            <v>1505.5</v>
          </cell>
          <cell r="AF170">
            <v>752.75</v>
          </cell>
          <cell r="AG170">
            <v>1505.5</v>
          </cell>
        </row>
        <row r="171">
          <cell r="A171" t="str">
            <v>1.2.1.19</v>
          </cell>
          <cell r="B171" t="str">
            <v>200mm dia. x 11.250</v>
          </cell>
          <cell r="C171">
            <v>2</v>
          </cell>
          <cell r="D171" t="str">
            <v>No.</v>
          </cell>
          <cell r="E171">
            <v>116.9</v>
          </cell>
          <cell r="F171">
            <v>233.8</v>
          </cell>
          <cell r="G171">
            <v>430.19</v>
          </cell>
          <cell r="H171">
            <v>860.38</v>
          </cell>
          <cell r="I171">
            <v>21.51</v>
          </cell>
          <cell r="J171">
            <v>43.02</v>
          </cell>
          <cell r="K171">
            <v>451.7</v>
          </cell>
          <cell r="L171">
            <v>903.4</v>
          </cell>
          <cell r="M171">
            <v>148.29</v>
          </cell>
          <cell r="N171">
            <v>296.58</v>
          </cell>
          <cell r="O171">
            <v>545.71</v>
          </cell>
          <cell r="P171">
            <v>1091.42</v>
          </cell>
          <cell r="Q171">
            <v>27.29</v>
          </cell>
          <cell r="R171">
            <v>54.58</v>
          </cell>
          <cell r="S171">
            <v>573</v>
          </cell>
          <cell r="T171">
            <v>1146</v>
          </cell>
          <cell r="U171">
            <v>224.41</v>
          </cell>
          <cell r="V171">
            <v>192.99</v>
          </cell>
          <cell r="W171">
            <v>385.98</v>
          </cell>
          <cell r="X171">
            <v>710.2</v>
          </cell>
          <cell r="Y171">
            <v>1420.4</v>
          </cell>
          <cell r="Z171">
            <v>35.51</v>
          </cell>
          <cell r="AA171">
            <v>71.02</v>
          </cell>
          <cell r="AB171">
            <v>745.71</v>
          </cell>
          <cell r="AC171">
            <v>1491.42</v>
          </cell>
          <cell r="AF171">
            <v>745.71</v>
          </cell>
          <cell r="AG171">
            <v>1491.42</v>
          </cell>
        </row>
        <row r="172">
          <cell r="F172">
            <v>0</v>
          </cell>
          <cell r="G172">
            <v>0</v>
          </cell>
          <cell r="H172">
            <v>0</v>
          </cell>
          <cell r="I172">
            <v>0</v>
          </cell>
          <cell r="J172">
            <v>0</v>
          </cell>
          <cell r="K172">
            <v>0</v>
          </cell>
          <cell r="L172">
            <v>0</v>
          </cell>
          <cell r="N172">
            <v>0</v>
          </cell>
          <cell r="O172">
            <v>0</v>
          </cell>
          <cell r="P172">
            <v>0</v>
          </cell>
          <cell r="Q172">
            <v>0</v>
          </cell>
          <cell r="R172">
            <v>0</v>
          </cell>
          <cell r="S172">
            <v>0</v>
          </cell>
          <cell r="T172">
            <v>0</v>
          </cell>
          <cell r="V172">
            <v>0</v>
          </cell>
          <cell r="W172">
            <v>0</v>
          </cell>
          <cell r="X172">
            <v>0</v>
          </cell>
          <cell r="Y172">
            <v>0</v>
          </cell>
          <cell r="Z172">
            <v>0</v>
          </cell>
          <cell r="AA172">
            <v>0</v>
          </cell>
          <cell r="AB172">
            <v>0</v>
          </cell>
          <cell r="AC172">
            <v>0</v>
          </cell>
          <cell r="AF172">
            <v>0</v>
          </cell>
          <cell r="AG172">
            <v>0</v>
          </cell>
        </row>
        <row r="173">
          <cell r="B173" t="str">
            <v>Bends - Double Flanged (Bituminous/zinc coating externally</v>
          </cell>
          <cell r="F173">
            <v>0</v>
          </cell>
          <cell r="G173">
            <v>0</v>
          </cell>
          <cell r="H173">
            <v>0</v>
          </cell>
          <cell r="I173">
            <v>0</v>
          </cell>
          <cell r="J173">
            <v>0</v>
          </cell>
          <cell r="K173">
            <v>0</v>
          </cell>
          <cell r="L173">
            <v>0</v>
          </cell>
          <cell r="N173">
            <v>0</v>
          </cell>
          <cell r="O173">
            <v>0</v>
          </cell>
          <cell r="P173">
            <v>0</v>
          </cell>
          <cell r="Q173">
            <v>0</v>
          </cell>
          <cell r="R173">
            <v>0</v>
          </cell>
          <cell r="S173">
            <v>0</v>
          </cell>
          <cell r="T173">
            <v>0</v>
          </cell>
          <cell r="V173">
            <v>0</v>
          </cell>
          <cell r="W173">
            <v>0</v>
          </cell>
          <cell r="X173">
            <v>0</v>
          </cell>
          <cell r="Y173">
            <v>0</v>
          </cell>
          <cell r="Z173">
            <v>0</v>
          </cell>
          <cell r="AA173">
            <v>0</v>
          </cell>
          <cell r="AB173">
            <v>0</v>
          </cell>
          <cell r="AC173">
            <v>0</v>
          </cell>
          <cell r="AF173">
            <v>0</v>
          </cell>
          <cell r="AG173">
            <v>0</v>
          </cell>
        </row>
        <row r="174">
          <cell r="B174" t="str">
            <v>Cement mortar internally)</v>
          </cell>
          <cell r="F174">
            <v>0</v>
          </cell>
          <cell r="G174">
            <v>0</v>
          </cell>
          <cell r="H174">
            <v>0</v>
          </cell>
          <cell r="I174">
            <v>0</v>
          </cell>
          <cell r="J174">
            <v>0</v>
          </cell>
          <cell r="K174">
            <v>0</v>
          </cell>
          <cell r="L174">
            <v>0</v>
          </cell>
          <cell r="N174">
            <v>0</v>
          </cell>
          <cell r="O174">
            <v>0</v>
          </cell>
          <cell r="P174">
            <v>0</v>
          </cell>
          <cell r="Q174">
            <v>0</v>
          </cell>
          <cell r="R174">
            <v>0</v>
          </cell>
          <cell r="S174">
            <v>0</v>
          </cell>
          <cell r="T174">
            <v>0</v>
          </cell>
          <cell r="V174">
            <v>0</v>
          </cell>
          <cell r="W174">
            <v>0</v>
          </cell>
          <cell r="X174">
            <v>0</v>
          </cell>
          <cell r="Y174">
            <v>0</v>
          </cell>
          <cell r="Z174">
            <v>0</v>
          </cell>
          <cell r="AA174">
            <v>0</v>
          </cell>
          <cell r="AB174">
            <v>0</v>
          </cell>
          <cell r="AC174">
            <v>0</v>
          </cell>
          <cell r="AF174">
            <v>0</v>
          </cell>
          <cell r="AG174">
            <v>0</v>
          </cell>
        </row>
        <row r="175">
          <cell r="A175" t="str">
            <v>1.2.3.1</v>
          </cell>
          <cell r="B175" t="str">
            <v>1000mm dia. x 900</v>
          </cell>
          <cell r="C175">
            <v>2</v>
          </cell>
          <cell r="D175" t="str">
            <v>No.</v>
          </cell>
          <cell r="E175">
            <v>5191.88</v>
          </cell>
          <cell r="F175">
            <v>10383.76</v>
          </cell>
          <cell r="G175">
            <v>19106.12</v>
          </cell>
          <cell r="H175">
            <v>38212.239999999998</v>
          </cell>
          <cell r="I175">
            <v>955.31</v>
          </cell>
          <cell r="J175">
            <v>1910.62</v>
          </cell>
          <cell r="K175">
            <v>20061.43</v>
          </cell>
          <cell r="L175">
            <v>40122.86</v>
          </cell>
          <cell r="M175">
            <v>7496.86</v>
          </cell>
          <cell r="N175">
            <v>14993.72</v>
          </cell>
          <cell r="O175">
            <v>27588.44</v>
          </cell>
          <cell r="P175">
            <v>55176.88</v>
          </cell>
          <cell r="Q175">
            <v>1379.42</v>
          </cell>
          <cell r="R175">
            <v>2758.84</v>
          </cell>
          <cell r="S175">
            <v>28967.86</v>
          </cell>
          <cell r="T175">
            <v>57935.72</v>
          </cell>
          <cell r="U175">
            <v>7664.07</v>
          </cell>
          <cell r="V175">
            <v>6591.1</v>
          </cell>
          <cell r="W175">
            <v>13182.2</v>
          </cell>
          <cell r="X175">
            <v>24255.25</v>
          </cell>
          <cell r="Y175">
            <v>48510.5</v>
          </cell>
          <cell r="Z175">
            <v>1212.76</v>
          </cell>
          <cell r="AA175">
            <v>2425.52</v>
          </cell>
          <cell r="AB175">
            <v>25468.01</v>
          </cell>
          <cell r="AC175">
            <v>50936.02</v>
          </cell>
          <cell r="AF175">
            <v>25468.01</v>
          </cell>
          <cell r="AG175">
            <v>50936.02</v>
          </cell>
        </row>
        <row r="176">
          <cell r="A176" t="str">
            <v>1.2.3.2</v>
          </cell>
          <cell r="B176" t="str">
            <v>1000mm dia. x 450</v>
          </cell>
          <cell r="C176">
            <v>2</v>
          </cell>
          <cell r="D176" t="str">
            <v>No.</v>
          </cell>
          <cell r="E176">
            <v>4638.3</v>
          </cell>
          <cell r="F176">
            <v>9276.6</v>
          </cell>
          <cell r="G176">
            <v>17068.939999999999</v>
          </cell>
          <cell r="H176">
            <v>34137.879999999997</v>
          </cell>
          <cell r="I176">
            <v>853.45</v>
          </cell>
          <cell r="J176">
            <v>1706.9</v>
          </cell>
          <cell r="K176">
            <v>17922.39</v>
          </cell>
          <cell r="L176">
            <v>35844.78</v>
          </cell>
          <cell r="M176">
            <v>6274.9</v>
          </cell>
          <cell r="N176">
            <v>12549.8</v>
          </cell>
          <cell r="O176">
            <v>23091.63</v>
          </cell>
          <cell r="P176">
            <v>46183.26</v>
          </cell>
          <cell r="Q176">
            <v>1154.58</v>
          </cell>
          <cell r="R176">
            <v>2309.16</v>
          </cell>
          <cell r="S176">
            <v>24246.21</v>
          </cell>
          <cell r="T176">
            <v>48492.42</v>
          </cell>
          <cell r="U176">
            <v>5455.21</v>
          </cell>
          <cell r="V176">
            <v>4691.4799999999996</v>
          </cell>
          <cell r="W176">
            <v>9382.9599999999991</v>
          </cell>
          <cell r="X176">
            <v>17264.650000000001</v>
          </cell>
          <cell r="Y176">
            <v>34529.300000000003</v>
          </cell>
          <cell r="Z176">
            <v>863.23</v>
          </cell>
          <cell r="AA176">
            <v>1726.46</v>
          </cell>
          <cell r="AB176">
            <v>18127.88</v>
          </cell>
          <cell r="AC176">
            <v>36255.760000000002</v>
          </cell>
          <cell r="AF176">
            <v>18127.88</v>
          </cell>
          <cell r="AG176">
            <v>36255.760000000002</v>
          </cell>
        </row>
        <row r="177">
          <cell r="A177" t="str">
            <v>1.2.3.3</v>
          </cell>
          <cell r="B177" t="str">
            <v>1000mm dia. x 22.50</v>
          </cell>
          <cell r="C177">
            <v>2</v>
          </cell>
          <cell r="D177" t="str">
            <v>No.</v>
          </cell>
          <cell r="E177">
            <v>5364.73</v>
          </cell>
          <cell r="F177">
            <v>10729.46</v>
          </cell>
          <cell r="G177">
            <v>19742.21</v>
          </cell>
          <cell r="H177">
            <v>39484.42</v>
          </cell>
          <cell r="I177">
            <v>987.11</v>
          </cell>
          <cell r="J177">
            <v>1974.22</v>
          </cell>
          <cell r="K177">
            <v>20729.32</v>
          </cell>
          <cell r="L177">
            <v>41458.639999999999</v>
          </cell>
          <cell r="M177">
            <v>6339.38</v>
          </cell>
          <cell r="N177">
            <v>12678.76</v>
          </cell>
          <cell r="O177">
            <v>23328.92</v>
          </cell>
          <cell r="P177">
            <v>46657.84</v>
          </cell>
          <cell r="Q177">
            <v>1166.45</v>
          </cell>
          <cell r="R177">
            <v>2332.9</v>
          </cell>
          <cell r="S177">
            <v>24495.37</v>
          </cell>
          <cell r="T177">
            <v>48990.74</v>
          </cell>
          <cell r="U177">
            <v>4328.34</v>
          </cell>
          <cell r="V177">
            <v>3722.37</v>
          </cell>
          <cell r="W177">
            <v>7444.74</v>
          </cell>
          <cell r="X177">
            <v>13698.32</v>
          </cell>
          <cell r="Y177">
            <v>27396.639999999999</v>
          </cell>
          <cell r="Z177">
            <v>684.92</v>
          </cell>
          <cell r="AA177">
            <v>1369.84</v>
          </cell>
          <cell r="AB177">
            <v>14383.24</v>
          </cell>
          <cell r="AC177">
            <v>28766.48</v>
          </cell>
          <cell r="AF177">
            <v>14383.24</v>
          </cell>
          <cell r="AG177">
            <v>28766.48</v>
          </cell>
        </row>
        <row r="178">
          <cell r="A178" t="str">
            <v>1.2.3.4</v>
          </cell>
          <cell r="B178" t="str">
            <v>1000mm dia. x 11.250</v>
          </cell>
          <cell r="C178">
            <v>2</v>
          </cell>
          <cell r="D178" t="str">
            <v>No.</v>
          </cell>
          <cell r="E178">
            <v>5791.22</v>
          </cell>
          <cell r="F178">
            <v>11582.44</v>
          </cell>
          <cell r="G178">
            <v>21311.69</v>
          </cell>
          <cell r="H178">
            <v>42623.38</v>
          </cell>
          <cell r="I178">
            <v>1065.58</v>
          </cell>
          <cell r="J178">
            <v>2131.16</v>
          </cell>
          <cell r="K178">
            <v>22377.27</v>
          </cell>
          <cell r="L178">
            <v>44754.54</v>
          </cell>
          <cell r="M178">
            <v>6319.8</v>
          </cell>
          <cell r="N178">
            <v>12639.6</v>
          </cell>
          <cell r="O178">
            <v>23256.86</v>
          </cell>
          <cell r="P178">
            <v>46513.72</v>
          </cell>
          <cell r="Q178">
            <v>1162.8399999999999</v>
          </cell>
          <cell r="R178">
            <v>2325.6799999999998</v>
          </cell>
          <cell r="S178">
            <v>24419.7</v>
          </cell>
          <cell r="T178">
            <v>48839.4</v>
          </cell>
          <cell r="U178">
            <v>3698.98</v>
          </cell>
          <cell r="V178">
            <v>3181.12</v>
          </cell>
          <cell r="W178">
            <v>6362.24</v>
          </cell>
          <cell r="X178">
            <v>11706.52</v>
          </cell>
          <cell r="Y178">
            <v>23413.040000000001</v>
          </cell>
          <cell r="Z178">
            <v>585.33000000000004</v>
          </cell>
          <cell r="AA178">
            <v>1170.6600000000001</v>
          </cell>
          <cell r="AB178">
            <v>12291.85</v>
          </cell>
          <cell r="AC178">
            <v>24583.7</v>
          </cell>
          <cell r="AF178">
            <v>12291.85</v>
          </cell>
          <cell r="AG178">
            <v>24583.7</v>
          </cell>
        </row>
        <row r="179">
          <cell r="A179" t="str">
            <v>1.2.3.5</v>
          </cell>
          <cell r="B179" t="str">
            <v>600mm dia. x 900</v>
          </cell>
          <cell r="C179">
            <v>2</v>
          </cell>
          <cell r="D179" t="str">
            <v>No.</v>
          </cell>
          <cell r="E179">
            <v>1736.84</v>
          </cell>
          <cell r="F179">
            <v>3473.68</v>
          </cell>
          <cell r="G179">
            <v>6391.57</v>
          </cell>
          <cell r="H179">
            <v>12783.14</v>
          </cell>
          <cell r="I179">
            <v>319.58</v>
          </cell>
          <cell r="J179">
            <v>639.16</v>
          </cell>
          <cell r="K179">
            <v>6711.15</v>
          </cell>
          <cell r="L179">
            <v>13422.3</v>
          </cell>
          <cell r="M179">
            <v>2250.39</v>
          </cell>
          <cell r="N179">
            <v>4500.78</v>
          </cell>
          <cell r="O179">
            <v>8281.44</v>
          </cell>
          <cell r="P179">
            <v>16562.88</v>
          </cell>
          <cell r="Q179">
            <v>414.07</v>
          </cell>
          <cell r="R179">
            <v>828.14</v>
          </cell>
          <cell r="S179">
            <v>8695.51</v>
          </cell>
          <cell r="T179">
            <v>17391.02</v>
          </cell>
          <cell r="U179">
            <v>2744.68</v>
          </cell>
          <cell r="V179">
            <v>2360.42</v>
          </cell>
          <cell r="W179">
            <v>4720.84</v>
          </cell>
          <cell r="X179">
            <v>8686.35</v>
          </cell>
          <cell r="Y179">
            <v>17372.7</v>
          </cell>
          <cell r="Z179">
            <v>434.32</v>
          </cell>
          <cell r="AA179">
            <v>868.64</v>
          </cell>
          <cell r="AB179">
            <v>9120.67</v>
          </cell>
          <cell r="AC179">
            <v>18241.34</v>
          </cell>
          <cell r="AF179">
            <v>9120.67</v>
          </cell>
          <cell r="AG179">
            <v>18241.34</v>
          </cell>
        </row>
        <row r="180">
          <cell r="A180" t="str">
            <v>1.2.3.6</v>
          </cell>
          <cell r="B180" t="str">
            <v>600mm dia. x 450</v>
          </cell>
          <cell r="C180">
            <v>2</v>
          </cell>
          <cell r="D180" t="str">
            <v>No</v>
          </cell>
          <cell r="E180">
            <v>1629.15</v>
          </cell>
          <cell r="F180">
            <v>3258.3</v>
          </cell>
          <cell r="G180">
            <v>5995.27</v>
          </cell>
          <cell r="H180">
            <v>11990.54</v>
          </cell>
          <cell r="I180">
            <v>299.76</v>
          </cell>
          <cell r="J180">
            <v>599.52</v>
          </cell>
          <cell r="K180">
            <v>6295.03</v>
          </cell>
          <cell r="L180">
            <v>12590.06</v>
          </cell>
          <cell r="M180">
            <v>1937.42</v>
          </cell>
          <cell r="N180">
            <v>3874.84</v>
          </cell>
          <cell r="O180">
            <v>7129.71</v>
          </cell>
          <cell r="P180">
            <v>14259.42</v>
          </cell>
          <cell r="Q180">
            <v>356.49</v>
          </cell>
          <cell r="R180">
            <v>712.98</v>
          </cell>
          <cell r="S180">
            <v>7486.2</v>
          </cell>
          <cell r="T180">
            <v>14972.4</v>
          </cell>
          <cell r="U180">
            <v>1791.04</v>
          </cell>
          <cell r="V180">
            <v>1540.29</v>
          </cell>
          <cell r="W180">
            <v>3080.58</v>
          </cell>
          <cell r="X180">
            <v>5668.27</v>
          </cell>
          <cell r="Y180">
            <v>11336.54</v>
          </cell>
          <cell r="Z180">
            <v>283.41000000000003</v>
          </cell>
          <cell r="AA180">
            <v>566.82000000000005</v>
          </cell>
          <cell r="AB180">
            <v>5951.68</v>
          </cell>
          <cell r="AC180">
            <v>11903.36</v>
          </cell>
          <cell r="AF180">
            <v>5951.68</v>
          </cell>
          <cell r="AG180">
            <v>11903.36</v>
          </cell>
        </row>
        <row r="181">
          <cell r="A181" t="str">
            <v>1.2.3.7</v>
          </cell>
          <cell r="B181" t="str">
            <v>600mm dia. x 22.50</v>
          </cell>
          <cell r="C181">
            <v>2</v>
          </cell>
          <cell r="D181" t="str">
            <v>No.</v>
          </cell>
          <cell r="E181">
            <v>1825.57</v>
          </cell>
          <cell r="F181">
            <v>3651.14</v>
          </cell>
          <cell r="G181">
            <v>6718.1</v>
          </cell>
          <cell r="H181">
            <v>13436.2</v>
          </cell>
          <cell r="I181">
            <v>335.91</v>
          </cell>
          <cell r="J181">
            <v>671.82</v>
          </cell>
          <cell r="K181">
            <v>7054.01</v>
          </cell>
          <cell r="L181">
            <v>14108.02</v>
          </cell>
          <cell r="M181">
            <v>1958.19</v>
          </cell>
          <cell r="N181">
            <v>3916.38</v>
          </cell>
          <cell r="O181">
            <v>7206.14</v>
          </cell>
          <cell r="P181">
            <v>14412.28</v>
          </cell>
          <cell r="Q181">
            <v>360.31</v>
          </cell>
          <cell r="R181">
            <v>720.62</v>
          </cell>
          <cell r="S181">
            <v>7566.45</v>
          </cell>
          <cell r="T181">
            <v>15132.9</v>
          </cell>
          <cell r="U181">
            <v>1530.99</v>
          </cell>
          <cell r="V181">
            <v>1316.65</v>
          </cell>
          <cell r="W181">
            <v>2633.3</v>
          </cell>
          <cell r="X181">
            <v>4845.2700000000004</v>
          </cell>
          <cell r="Y181">
            <v>9690.5400000000009</v>
          </cell>
          <cell r="Z181">
            <v>242.26</v>
          </cell>
          <cell r="AA181">
            <v>484.52</v>
          </cell>
          <cell r="AB181">
            <v>5087.53</v>
          </cell>
          <cell r="AC181">
            <v>10175.06</v>
          </cell>
          <cell r="AF181">
            <v>5087.53</v>
          </cell>
          <cell r="AG181">
            <v>10175.06</v>
          </cell>
        </row>
        <row r="182">
          <cell r="A182" t="str">
            <v>1.2.3.8</v>
          </cell>
          <cell r="B182" t="str">
            <v>600mm dia. x 11.250</v>
          </cell>
          <cell r="C182">
            <v>2</v>
          </cell>
          <cell r="D182" t="str">
            <v>No.</v>
          </cell>
          <cell r="E182">
            <v>1930.77</v>
          </cell>
          <cell r="F182">
            <v>3861.54</v>
          </cell>
          <cell r="G182">
            <v>7105.23</v>
          </cell>
          <cell r="H182">
            <v>14210.46</v>
          </cell>
          <cell r="I182">
            <v>355.26</v>
          </cell>
          <cell r="J182">
            <v>710.52</v>
          </cell>
          <cell r="K182">
            <v>7460.49</v>
          </cell>
          <cell r="L182">
            <v>14920.98</v>
          </cell>
          <cell r="M182">
            <v>1957.27</v>
          </cell>
          <cell r="N182">
            <v>3914.54</v>
          </cell>
          <cell r="O182">
            <v>7202.75</v>
          </cell>
          <cell r="P182">
            <v>14405.5</v>
          </cell>
          <cell r="Q182">
            <v>360.14</v>
          </cell>
          <cell r="R182">
            <v>720.28</v>
          </cell>
          <cell r="S182">
            <v>7562.89</v>
          </cell>
          <cell r="T182">
            <v>15125.78</v>
          </cell>
          <cell r="U182">
            <v>1432.79</v>
          </cell>
          <cell r="V182">
            <v>1232.2</v>
          </cell>
          <cell r="W182">
            <v>2464.4</v>
          </cell>
          <cell r="X182">
            <v>4534.5</v>
          </cell>
          <cell r="Y182">
            <v>9069</v>
          </cell>
          <cell r="Z182">
            <v>226.73</v>
          </cell>
          <cell r="AA182">
            <v>453.46</v>
          </cell>
          <cell r="AB182">
            <v>4761.2299999999996</v>
          </cell>
          <cell r="AC182">
            <v>9522.4599999999991</v>
          </cell>
          <cell r="AF182">
            <v>4761.2299999999996</v>
          </cell>
          <cell r="AG182">
            <v>9522.4599999999991</v>
          </cell>
        </row>
        <row r="183">
          <cell r="A183" t="str">
            <v>1.2.3.9</v>
          </cell>
          <cell r="B183" t="str">
            <v>400mm dia. x 900</v>
          </cell>
          <cell r="C183">
            <v>2</v>
          </cell>
          <cell r="D183" t="str">
            <v>No.</v>
          </cell>
          <cell r="E183">
            <v>676.76</v>
          </cell>
          <cell r="F183">
            <v>1353.52</v>
          </cell>
          <cell r="G183">
            <v>2490.48</v>
          </cell>
          <cell r="H183">
            <v>4980.96</v>
          </cell>
          <cell r="I183">
            <v>124.52</v>
          </cell>
          <cell r="J183">
            <v>249.04</v>
          </cell>
          <cell r="K183">
            <v>2615</v>
          </cell>
          <cell r="L183">
            <v>5230</v>
          </cell>
          <cell r="M183">
            <v>1077.31</v>
          </cell>
          <cell r="N183">
            <v>2154.62</v>
          </cell>
          <cell r="O183">
            <v>3964.5</v>
          </cell>
          <cell r="P183">
            <v>7929</v>
          </cell>
          <cell r="Q183">
            <v>198.23</v>
          </cell>
          <cell r="R183">
            <v>396.46</v>
          </cell>
          <cell r="S183">
            <v>4162.7299999999996</v>
          </cell>
          <cell r="T183">
            <v>8325.4599999999991</v>
          </cell>
          <cell r="U183">
            <v>1499.49</v>
          </cell>
          <cell r="V183">
            <v>1289.56</v>
          </cell>
          <cell r="W183">
            <v>2579.12</v>
          </cell>
          <cell r="X183">
            <v>4745.58</v>
          </cell>
          <cell r="Y183">
            <v>9491.16</v>
          </cell>
          <cell r="Z183">
            <v>237.28</v>
          </cell>
          <cell r="AA183">
            <v>474.56</v>
          </cell>
          <cell r="AB183">
            <v>4982.8599999999997</v>
          </cell>
          <cell r="AC183">
            <v>9965.7199999999993</v>
          </cell>
          <cell r="AF183">
            <v>4982.8599999999997</v>
          </cell>
          <cell r="AG183">
            <v>9965.7199999999993</v>
          </cell>
        </row>
        <row r="184">
          <cell r="A184" t="str">
            <v>1.2.3.10</v>
          </cell>
          <cell r="B184" t="str">
            <v>400mm dia. x 450</v>
          </cell>
          <cell r="C184">
            <v>2</v>
          </cell>
          <cell r="D184" t="str">
            <v>No.</v>
          </cell>
          <cell r="E184">
            <v>675.91</v>
          </cell>
          <cell r="F184">
            <v>1351.82</v>
          </cell>
          <cell r="G184">
            <v>2487.35</v>
          </cell>
          <cell r="H184">
            <v>4974.7</v>
          </cell>
          <cell r="I184">
            <v>124.37</v>
          </cell>
          <cell r="J184">
            <v>248.74</v>
          </cell>
          <cell r="K184">
            <v>2611.7199999999998</v>
          </cell>
          <cell r="L184">
            <v>5223.4399999999996</v>
          </cell>
          <cell r="M184">
            <v>980.36</v>
          </cell>
          <cell r="N184">
            <v>1960.72</v>
          </cell>
          <cell r="O184">
            <v>3607.72</v>
          </cell>
          <cell r="P184">
            <v>7215.44</v>
          </cell>
          <cell r="Q184">
            <v>180.39</v>
          </cell>
          <cell r="R184">
            <v>360.78</v>
          </cell>
          <cell r="S184">
            <v>3788.11</v>
          </cell>
          <cell r="T184">
            <v>7576.22</v>
          </cell>
          <cell r="U184">
            <v>1059.21</v>
          </cell>
          <cell r="V184">
            <v>910.92</v>
          </cell>
          <cell r="W184">
            <v>1821.84</v>
          </cell>
          <cell r="X184">
            <v>3352.19</v>
          </cell>
          <cell r="Y184">
            <v>6704.38</v>
          </cell>
          <cell r="Z184">
            <v>167.61</v>
          </cell>
          <cell r="AA184">
            <v>335.22</v>
          </cell>
          <cell r="AB184">
            <v>3519.8</v>
          </cell>
          <cell r="AC184">
            <v>7039.6</v>
          </cell>
          <cell r="AF184">
            <v>3519.8</v>
          </cell>
          <cell r="AG184">
            <v>7039.6</v>
          </cell>
        </row>
        <row r="185">
          <cell r="A185" t="str">
            <v>1.2.3.11</v>
          </cell>
          <cell r="B185" t="str">
            <v>400mm dia. x 22.50</v>
          </cell>
          <cell r="C185">
            <v>2</v>
          </cell>
          <cell r="D185" t="str">
            <v>No.</v>
          </cell>
          <cell r="E185">
            <v>732.66</v>
          </cell>
          <cell r="F185">
            <v>1465.32</v>
          </cell>
          <cell r="G185">
            <v>2696.19</v>
          </cell>
          <cell r="H185">
            <v>5392.38</v>
          </cell>
          <cell r="I185">
            <v>134.81</v>
          </cell>
          <cell r="J185">
            <v>269.62</v>
          </cell>
          <cell r="K185">
            <v>2831</v>
          </cell>
          <cell r="L185">
            <v>5662</v>
          </cell>
          <cell r="M185">
            <v>988.57</v>
          </cell>
          <cell r="N185">
            <v>1977.14</v>
          </cell>
          <cell r="O185">
            <v>3637.94</v>
          </cell>
          <cell r="P185">
            <v>7275.88</v>
          </cell>
          <cell r="Q185">
            <v>181.9</v>
          </cell>
          <cell r="R185">
            <v>363.8</v>
          </cell>
          <cell r="S185">
            <v>3819.84</v>
          </cell>
          <cell r="T185">
            <v>7639.68</v>
          </cell>
          <cell r="U185">
            <v>808.04</v>
          </cell>
          <cell r="V185">
            <v>694.91</v>
          </cell>
          <cell r="W185">
            <v>1389.82</v>
          </cell>
          <cell r="X185">
            <v>2557.27</v>
          </cell>
          <cell r="Y185">
            <v>5114.54</v>
          </cell>
          <cell r="Z185">
            <v>127.86</v>
          </cell>
          <cell r="AA185">
            <v>255.72</v>
          </cell>
          <cell r="AB185">
            <v>2685.13</v>
          </cell>
          <cell r="AC185">
            <v>5370.26</v>
          </cell>
          <cell r="AF185">
            <v>2685.13</v>
          </cell>
          <cell r="AG185">
            <v>5370.26</v>
          </cell>
        </row>
        <row r="186">
          <cell r="A186" t="str">
            <v>1.2.3.12</v>
          </cell>
          <cell r="B186" t="str">
            <v>400mm dia. x 11.250</v>
          </cell>
          <cell r="C186">
            <v>2</v>
          </cell>
          <cell r="D186" t="str">
            <v>No.</v>
          </cell>
          <cell r="E186">
            <v>771.95</v>
          </cell>
          <cell r="F186">
            <v>1543.9</v>
          </cell>
          <cell r="G186">
            <v>2840.78</v>
          </cell>
          <cell r="H186">
            <v>5681.56</v>
          </cell>
          <cell r="I186">
            <v>142.04</v>
          </cell>
          <cell r="J186">
            <v>284.08</v>
          </cell>
          <cell r="K186">
            <v>2982.82</v>
          </cell>
          <cell r="L186">
            <v>5965.64</v>
          </cell>
          <cell r="M186">
            <v>984.24</v>
          </cell>
          <cell r="N186">
            <v>1968.48</v>
          </cell>
          <cell r="O186">
            <v>3622</v>
          </cell>
          <cell r="P186">
            <v>7244</v>
          </cell>
          <cell r="Q186">
            <v>181.1</v>
          </cell>
          <cell r="R186">
            <v>362.2</v>
          </cell>
          <cell r="S186">
            <v>3803.1</v>
          </cell>
          <cell r="T186">
            <v>7606.2</v>
          </cell>
          <cell r="U186">
            <v>769.4</v>
          </cell>
          <cell r="V186">
            <v>661.68</v>
          </cell>
          <cell r="W186">
            <v>1323.36</v>
          </cell>
          <cell r="X186">
            <v>2434.98</v>
          </cell>
          <cell r="Y186">
            <v>4869.96</v>
          </cell>
          <cell r="Z186">
            <v>121.75</v>
          </cell>
          <cell r="AA186">
            <v>243.5</v>
          </cell>
          <cell r="AB186">
            <v>2556.73</v>
          </cell>
          <cell r="AC186">
            <v>5113.46</v>
          </cell>
          <cell r="AF186">
            <v>2556.73</v>
          </cell>
          <cell r="AG186">
            <v>5113.46</v>
          </cell>
        </row>
        <row r="187">
          <cell r="A187" t="str">
            <v>1.2.3.13</v>
          </cell>
          <cell r="B187" t="str">
            <v>300mm dia. x 900</v>
          </cell>
          <cell r="C187">
            <v>2</v>
          </cell>
          <cell r="D187" t="str">
            <v>No.</v>
          </cell>
          <cell r="E187">
            <v>222.08</v>
          </cell>
          <cell r="F187">
            <v>444.16</v>
          </cell>
          <cell r="G187">
            <v>817.25</v>
          </cell>
          <cell r="H187">
            <v>1634.5</v>
          </cell>
          <cell r="I187">
            <v>40.86</v>
          </cell>
          <cell r="J187">
            <v>81.72</v>
          </cell>
          <cell r="K187">
            <v>858.11</v>
          </cell>
          <cell r="L187">
            <v>1716.22</v>
          </cell>
          <cell r="M187">
            <v>583.05999999999995</v>
          </cell>
          <cell r="N187">
            <v>1166.1199999999999</v>
          </cell>
          <cell r="O187">
            <v>2145.66</v>
          </cell>
          <cell r="P187">
            <v>4291.32</v>
          </cell>
          <cell r="Q187">
            <v>107.28</v>
          </cell>
          <cell r="R187">
            <v>214.56</v>
          </cell>
          <cell r="S187">
            <v>2252.94</v>
          </cell>
          <cell r="T187">
            <v>4505.88</v>
          </cell>
          <cell r="U187">
            <v>652.24</v>
          </cell>
          <cell r="V187">
            <v>560.92999999999995</v>
          </cell>
          <cell r="W187">
            <v>1121.8599999999999</v>
          </cell>
          <cell r="X187">
            <v>2064.2199999999998</v>
          </cell>
          <cell r="Y187">
            <v>4128.4399999999996</v>
          </cell>
          <cell r="Z187">
            <v>103.21</v>
          </cell>
          <cell r="AA187">
            <v>206.42</v>
          </cell>
          <cell r="AB187">
            <v>2167.4299999999998</v>
          </cell>
          <cell r="AC187">
            <v>4334.8599999999997</v>
          </cell>
          <cell r="AF187">
            <v>2167.4299999999998</v>
          </cell>
          <cell r="AG187">
            <v>4334.8599999999997</v>
          </cell>
        </row>
        <row r="188">
          <cell r="A188" t="str">
            <v>1.2.3.14</v>
          </cell>
          <cell r="B188" t="str">
            <v>300mm dia. x 450</v>
          </cell>
          <cell r="C188">
            <v>2</v>
          </cell>
          <cell r="D188" t="str">
            <v>No.</v>
          </cell>
          <cell r="E188">
            <v>238.11</v>
          </cell>
          <cell r="F188">
            <v>476.22</v>
          </cell>
          <cell r="G188">
            <v>876.24</v>
          </cell>
          <cell r="H188">
            <v>1752.48</v>
          </cell>
          <cell r="I188">
            <v>43.81</v>
          </cell>
          <cell r="J188">
            <v>87.62</v>
          </cell>
          <cell r="K188">
            <v>920.05</v>
          </cell>
          <cell r="L188">
            <v>1840.1</v>
          </cell>
          <cell r="M188">
            <v>625.29</v>
          </cell>
          <cell r="N188">
            <v>1250.58</v>
          </cell>
          <cell r="O188">
            <v>2301.0700000000002</v>
          </cell>
          <cell r="P188">
            <v>4602.1400000000003</v>
          </cell>
          <cell r="Q188">
            <v>115.05</v>
          </cell>
          <cell r="R188">
            <v>230.1</v>
          </cell>
          <cell r="S188">
            <v>2416.12</v>
          </cell>
          <cell r="T188">
            <v>4832.24</v>
          </cell>
          <cell r="U188">
            <v>648.14</v>
          </cell>
          <cell r="V188">
            <v>557.4</v>
          </cell>
          <cell r="W188">
            <v>1114.8</v>
          </cell>
          <cell r="X188">
            <v>2051.23</v>
          </cell>
          <cell r="Y188">
            <v>4102.46</v>
          </cell>
          <cell r="Z188">
            <v>102.56</v>
          </cell>
          <cell r="AA188">
            <v>205.12</v>
          </cell>
          <cell r="AB188">
            <v>2153.79</v>
          </cell>
          <cell r="AC188">
            <v>4307.58</v>
          </cell>
          <cell r="AF188">
            <v>2153.79</v>
          </cell>
          <cell r="AG188">
            <v>4307.58</v>
          </cell>
        </row>
        <row r="189">
          <cell r="A189" t="str">
            <v>1.2.3.15</v>
          </cell>
          <cell r="B189" t="str">
            <v>300mm dia. x 22.50</v>
          </cell>
          <cell r="C189">
            <v>2</v>
          </cell>
          <cell r="D189" t="str">
            <v>No.</v>
          </cell>
          <cell r="E189">
            <v>323.8</v>
          </cell>
          <cell r="F189">
            <v>647.6</v>
          </cell>
          <cell r="G189">
            <v>1191.58</v>
          </cell>
          <cell r="H189">
            <v>2383.16</v>
          </cell>
          <cell r="I189">
            <v>59.58</v>
          </cell>
          <cell r="J189">
            <v>119.16</v>
          </cell>
          <cell r="K189">
            <v>1251.1600000000001</v>
          </cell>
          <cell r="L189">
            <v>2502.3200000000002</v>
          </cell>
          <cell r="M189">
            <v>631.12</v>
          </cell>
          <cell r="N189">
            <v>1262.24</v>
          </cell>
          <cell r="O189">
            <v>2322.52</v>
          </cell>
          <cell r="P189">
            <v>4645.04</v>
          </cell>
          <cell r="Q189">
            <v>116.13</v>
          </cell>
          <cell r="R189">
            <v>232.26</v>
          </cell>
          <cell r="S189">
            <v>2438.65</v>
          </cell>
          <cell r="T189">
            <v>4877.3</v>
          </cell>
          <cell r="U189">
            <v>527.75</v>
          </cell>
          <cell r="V189">
            <v>453.87</v>
          </cell>
          <cell r="W189">
            <v>907.74</v>
          </cell>
          <cell r="X189">
            <v>1670.24</v>
          </cell>
          <cell r="Y189">
            <v>3340.48</v>
          </cell>
          <cell r="Z189">
            <v>83.51</v>
          </cell>
          <cell r="AA189">
            <v>167.02</v>
          </cell>
          <cell r="AB189">
            <v>1753.75</v>
          </cell>
          <cell r="AC189">
            <v>3507.5</v>
          </cell>
          <cell r="AF189">
            <v>1753.75</v>
          </cell>
          <cell r="AG189">
            <v>3507.5</v>
          </cell>
        </row>
        <row r="190">
          <cell r="A190" t="str">
            <v>1.2.3.16</v>
          </cell>
          <cell r="B190" t="str">
            <v>300mm dia. x 11.250</v>
          </cell>
          <cell r="C190">
            <v>2</v>
          </cell>
          <cell r="D190" t="str">
            <v>No.</v>
          </cell>
          <cell r="E190">
            <v>335.54</v>
          </cell>
          <cell r="F190">
            <v>671.08</v>
          </cell>
          <cell r="G190">
            <v>1234.79</v>
          </cell>
          <cell r="H190">
            <v>2469.58</v>
          </cell>
          <cell r="I190">
            <v>61.74</v>
          </cell>
          <cell r="J190">
            <v>123.48</v>
          </cell>
          <cell r="K190">
            <v>1296.53</v>
          </cell>
          <cell r="L190">
            <v>2593.06</v>
          </cell>
          <cell r="M190">
            <v>629.88</v>
          </cell>
          <cell r="N190">
            <v>1259.76</v>
          </cell>
          <cell r="O190">
            <v>2317.96</v>
          </cell>
          <cell r="P190">
            <v>4635.92</v>
          </cell>
          <cell r="Q190">
            <v>115.9</v>
          </cell>
          <cell r="R190">
            <v>231.8</v>
          </cell>
          <cell r="S190">
            <v>2433.86</v>
          </cell>
          <cell r="T190">
            <v>4867.72</v>
          </cell>
          <cell r="U190">
            <v>525.59</v>
          </cell>
          <cell r="V190">
            <v>452.01</v>
          </cell>
          <cell r="W190">
            <v>904.02</v>
          </cell>
          <cell r="X190">
            <v>1663.4</v>
          </cell>
          <cell r="Y190">
            <v>3326.8</v>
          </cell>
          <cell r="Z190">
            <v>83.17</v>
          </cell>
          <cell r="AA190">
            <v>166.34</v>
          </cell>
          <cell r="AB190">
            <v>1746.57</v>
          </cell>
          <cell r="AC190">
            <v>3493.14</v>
          </cell>
          <cell r="AF190">
            <v>1746.57</v>
          </cell>
          <cell r="AG190">
            <v>3493.14</v>
          </cell>
        </row>
        <row r="191">
          <cell r="A191" t="str">
            <v>1.2.3.17</v>
          </cell>
          <cell r="B191" t="str">
            <v>200mm dia. x 900</v>
          </cell>
          <cell r="C191">
            <v>2</v>
          </cell>
          <cell r="D191" t="str">
            <v>No.</v>
          </cell>
          <cell r="E191">
            <v>95.37</v>
          </cell>
          <cell r="F191">
            <v>190.74</v>
          </cell>
          <cell r="G191">
            <v>350.96</v>
          </cell>
          <cell r="H191">
            <v>701.92</v>
          </cell>
          <cell r="I191">
            <v>17.55</v>
          </cell>
          <cell r="J191">
            <v>35.1</v>
          </cell>
          <cell r="K191">
            <v>368.51</v>
          </cell>
          <cell r="L191">
            <v>737.02</v>
          </cell>
          <cell r="M191">
            <v>214.18</v>
          </cell>
          <cell r="N191">
            <v>428.36</v>
          </cell>
          <cell r="O191">
            <v>788.18</v>
          </cell>
          <cell r="P191">
            <v>1576.36</v>
          </cell>
          <cell r="Q191">
            <v>39.409999999999997</v>
          </cell>
          <cell r="R191">
            <v>78.819999999999993</v>
          </cell>
          <cell r="S191">
            <v>827.59</v>
          </cell>
          <cell r="T191">
            <v>1655.18</v>
          </cell>
          <cell r="U191">
            <v>297.44</v>
          </cell>
          <cell r="V191">
            <v>255.8</v>
          </cell>
          <cell r="W191">
            <v>511.6</v>
          </cell>
          <cell r="X191">
            <v>941.34</v>
          </cell>
          <cell r="Y191">
            <v>1882.68</v>
          </cell>
          <cell r="Z191">
            <v>47.07</v>
          </cell>
          <cell r="AA191">
            <v>94.14</v>
          </cell>
          <cell r="AB191">
            <v>988.41</v>
          </cell>
          <cell r="AC191">
            <v>1976.82</v>
          </cell>
          <cell r="AF191">
            <v>988.41</v>
          </cell>
          <cell r="AG191">
            <v>1976.82</v>
          </cell>
        </row>
        <row r="192">
          <cell r="A192" t="str">
            <v>1.2.3.18</v>
          </cell>
          <cell r="B192" t="str">
            <v>200mm dia. x 450</v>
          </cell>
          <cell r="C192">
            <v>2</v>
          </cell>
          <cell r="D192" t="str">
            <v>No.</v>
          </cell>
          <cell r="E192">
            <v>86.93</v>
          </cell>
          <cell r="F192">
            <v>173.86</v>
          </cell>
          <cell r="G192">
            <v>319.89999999999998</v>
          </cell>
          <cell r="H192">
            <v>639.79999999999995</v>
          </cell>
          <cell r="I192">
            <v>16</v>
          </cell>
          <cell r="J192">
            <v>32</v>
          </cell>
          <cell r="K192">
            <v>335.9</v>
          </cell>
          <cell r="L192">
            <v>671.8</v>
          </cell>
          <cell r="M192">
            <v>226.6</v>
          </cell>
          <cell r="N192">
            <v>453.2</v>
          </cell>
          <cell r="O192">
            <v>833.89</v>
          </cell>
          <cell r="P192">
            <v>1667.78</v>
          </cell>
          <cell r="Q192">
            <v>41.69</v>
          </cell>
          <cell r="R192">
            <v>83.38</v>
          </cell>
          <cell r="S192">
            <v>875.58</v>
          </cell>
          <cell r="T192">
            <v>1751.16</v>
          </cell>
          <cell r="U192">
            <v>295.95</v>
          </cell>
          <cell r="V192">
            <v>254.52</v>
          </cell>
          <cell r="W192">
            <v>509.04</v>
          </cell>
          <cell r="X192">
            <v>936.63</v>
          </cell>
          <cell r="Y192">
            <v>1873.26</v>
          </cell>
          <cell r="Z192">
            <v>46.83</v>
          </cell>
          <cell r="AA192">
            <v>93.66</v>
          </cell>
          <cell r="AB192">
            <v>983.46</v>
          </cell>
          <cell r="AC192">
            <v>1966.92</v>
          </cell>
          <cell r="AF192">
            <v>983.46</v>
          </cell>
          <cell r="AG192">
            <v>1966.92</v>
          </cell>
        </row>
        <row r="193">
          <cell r="A193" t="str">
            <v>1.2.3.19</v>
          </cell>
          <cell r="B193" t="str">
            <v>200mm dia. x 22.50</v>
          </cell>
          <cell r="C193">
            <v>2</v>
          </cell>
          <cell r="D193" t="str">
            <v>No.</v>
          </cell>
          <cell r="E193">
            <v>96.89</v>
          </cell>
          <cell r="F193">
            <v>193.78</v>
          </cell>
          <cell r="G193">
            <v>356.56</v>
          </cell>
          <cell r="H193">
            <v>713.12</v>
          </cell>
          <cell r="I193">
            <v>17.829999999999998</v>
          </cell>
          <cell r="J193">
            <v>35.659999999999997</v>
          </cell>
          <cell r="K193">
            <v>374.39</v>
          </cell>
          <cell r="L193">
            <v>748.78</v>
          </cell>
          <cell r="M193">
            <v>228.91</v>
          </cell>
          <cell r="N193">
            <v>457.82</v>
          </cell>
          <cell r="O193">
            <v>842.39</v>
          </cell>
          <cell r="P193">
            <v>1684.78</v>
          </cell>
          <cell r="Q193">
            <v>42.12</v>
          </cell>
          <cell r="R193">
            <v>84.24</v>
          </cell>
          <cell r="S193">
            <v>884.51</v>
          </cell>
          <cell r="T193">
            <v>1769.02</v>
          </cell>
          <cell r="U193">
            <v>234.07</v>
          </cell>
          <cell r="V193">
            <v>201.3</v>
          </cell>
          <cell r="W193">
            <v>402.6</v>
          </cell>
          <cell r="X193">
            <v>740.78</v>
          </cell>
          <cell r="Y193">
            <v>1481.56</v>
          </cell>
          <cell r="Z193">
            <v>37.04</v>
          </cell>
          <cell r="AA193">
            <v>74.08</v>
          </cell>
          <cell r="AB193">
            <v>777.82</v>
          </cell>
          <cell r="AC193">
            <v>1555.64</v>
          </cell>
          <cell r="AF193">
            <v>777.82</v>
          </cell>
          <cell r="AG193">
            <v>1555.64</v>
          </cell>
        </row>
        <row r="194">
          <cell r="A194" t="str">
            <v>1.2.3.20</v>
          </cell>
          <cell r="B194" t="str">
            <v>200mm dia. x 11.250</v>
          </cell>
          <cell r="C194">
            <v>2</v>
          </cell>
          <cell r="D194" t="str">
            <v>No.</v>
          </cell>
          <cell r="E194">
            <v>106.9</v>
          </cell>
          <cell r="F194">
            <v>213.8</v>
          </cell>
          <cell r="G194">
            <v>393.39</v>
          </cell>
          <cell r="H194">
            <v>786.78</v>
          </cell>
          <cell r="I194">
            <v>19.670000000000002</v>
          </cell>
          <cell r="J194">
            <v>39.340000000000003</v>
          </cell>
          <cell r="K194">
            <v>413.06</v>
          </cell>
          <cell r="L194">
            <v>826.12</v>
          </cell>
          <cell r="M194">
            <v>228.01</v>
          </cell>
          <cell r="N194">
            <v>456.02</v>
          </cell>
          <cell r="O194">
            <v>839.08</v>
          </cell>
          <cell r="P194">
            <v>1678.16</v>
          </cell>
          <cell r="Q194">
            <v>41.95</v>
          </cell>
          <cell r="R194">
            <v>83.9</v>
          </cell>
          <cell r="S194">
            <v>881.03</v>
          </cell>
          <cell r="T194">
            <v>1762.06</v>
          </cell>
          <cell r="U194">
            <v>249.29</v>
          </cell>
          <cell r="V194">
            <v>214.39</v>
          </cell>
          <cell r="W194">
            <v>428.78</v>
          </cell>
          <cell r="X194">
            <v>788.96</v>
          </cell>
          <cell r="Y194">
            <v>1577.92</v>
          </cell>
          <cell r="Z194">
            <v>39.450000000000003</v>
          </cell>
          <cell r="AA194">
            <v>78.900000000000006</v>
          </cell>
          <cell r="AB194">
            <v>828.41</v>
          </cell>
          <cell r="AC194">
            <v>1656.82</v>
          </cell>
          <cell r="AF194">
            <v>828.41</v>
          </cell>
          <cell r="AG194">
            <v>1656.82</v>
          </cell>
        </row>
        <row r="195">
          <cell r="F195">
            <v>0</v>
          </cell>
          <cell r="G195">
            <v>0</v>
          </cell>
          <cell r="H195">
            <v>0</v>
          </cell>
          <cell r="I195">
            <v>0</v>
          </cell>
          <cell r="J195">
            <v>0</v>
          </cell>
          <cell r="K195">
            <v>0</v>
          </cell>
          <cell r="L195">
            <v>0</v>
          </cell>
          <cell r="N195">
            <v>0</v>
          </cell>
          <cell r="O195">
            <v>0</v>
          </cell>
          <cell r="P195">
            <v>0</v>
          </cell>
          <cell r="Q195">
            <v>0</v>
          </cell>
          <cell r="R195">
            <v>0</v>
          </cell>
          <cell r="S195">
            <v>0</v>
          </cell>
          <cell r="T195">
            <v>0</v>
          </cell>
          <cell r="V195">
            <v>0</v>
          </cell>
          <cell r="W195">
            <v>0</v>
          </cell>
          <cell r="X195">
            <v>0</v>
          </cell>
          <cell r="Y195">
            <v>0</v>
          </cell>
          <cell r="Z195">
            <v>0</v>
          </cell>
          <cell r="AA195">
            <v>0</v>
          </cell>
          <cell r="AB195">
            <v>0</v>
          </cell>
          <cell r="AC195">
            <v>0</v>
          </cell>
          <cell r="AF195">
            <v>0</v>
          </cell>
          <cell r="AG195">
            <v>0</v>
          </cell>
        </row>
        <row r="196">
          <cell r="B196" t="str">
            <v xml:space="preserve">Tee - Double Socket Flanged Branch  (Bituminous/zinc </v>
          </cell>
          <cell r="F196">
            <v>0</v>
          </cell>
          <cell r="G196">
            <v>0</v>
          </cell>
          <cell r="H196">
            <v>0</v>
          </cell>
          <cell r="I196">
            <v>0</v>
          </cell>
          <cell r="J196">
            <v>0</v>
          </cell>
          <cell r="K196">
            <v>0</v>
          </cell>
          <cell r="L196">
            <v>0</v>
          </cell>
          <cell r="N196">
            <v>0</v>
          </cell>
          <cell r="O196">
            <v>0</v>
          </cell>
          <cell r="P196">
            <v>0</v>
          </cell>
          <cell r="Q196">
            <v>0</v>
          </cell>
          <cell r="R196">
            <v>0</v>
          </cell>
          <cell r="S196">
            <v>0</v>
          </cell>
          <cell r="T196">
            <v>0</v>
          </cell>
          <cell r="V196">
            <v>0</v>
          </cell>
          <cell r="W196">
            <v>0</v>
          </cell>
          <cell r="X196">
            <v>0</v>
          </cell>
          <cell r="Y196">
            <v>0</v>
          </cell>
          <cell r="Z196">
            <v>0</v>
          </cell>
          <cell r="AA196">
            <v>0</v>
          </cell>
          <cell r="AB196">
            <v>0</v>
          </cell>
          <cell r="AC196">
            <v>0</v>
          </cell>
          <cell r="AF196">
            <v>0</v>
          </cell>
          <cell r="AG196">
            <v>0</v>
          </cell>
        </row>
        <row r="197">
          <cell r="B197" t="str">
            <v>coating externally - Cement mortar internally)</v>
          </cell>
          <cell r="F197">
            <v>0</v>
          </cell>
          <cell r="G197">
            <v>0</v>
          </cell>
          <cell r="H197">
            <v>0</v>
          </cell>
          <cell r="I197">
            <v>0</v>
          </cell>
          <cell r="J197">
            <v>0</v>
          </cell>
          <cell r="K197">
            <v>0</v>
          </cell>
          <cell r="L197">
            <v>0</v>
          </cell>
          <cell r="N197">
            <v>0</v>
          </cell>
          <cell r="O197">
            <v>0</v>
          </cell>
          <cell r="P197">
            <v>0</v>
          </cell>
          <cell r="Q197">
            <v>0</v>
          </cell>
          <cell r="R197">
            <v>0</v>
          </cell>
          <cell r="S197">
            <v>0</v>
          </cell>
          <cell r="T197">
            <v>0</v>
          </cell>
          <cell r="V197">
            <v>0</v>
          </cell>
          <cell r="W197">
            <v>0</v>
          </cell>
          <cell r="X197">
            <v>0</v>
          </cell>
          <cell r="Y197">
            <v>0</v>
          </cell>
          <cell r="Z197">
            <v>0</v>
          </cell>
          <cell r="AA197">
            <v>0</v>
          </cell>
          <cell r="AB197">
            <v>0</v>
          </cell>
          <cell r="AC197">
            <v>0</v>
          </cell>
          <cell r="AF197">
            <v>0</v>
          </cell>
          <cell r="AG197">
            <v>0</v>
          </cell>
        </row>
        <row r="198">
          <cell r="A198" t="str">
            <v>1.2.4.1</v>
          </cell>
          <cell r="B198" t="str">
            <v>1000 x 1000mm dia.</v>
          </cell>
          <cell r="C198">
            <v>2</v>
          </cell>
          <cell r="D198" t="str">
            <v>No.</v>
          </cell>
          <cell r="E198">
            <v>6266.04</v>
          </cell>
          <cell r="F198">
            <v>12532.08</v>
          </cell>
          <cell r="G198">
            <v>23059.03</v>
          </cell>
          <cell r="H198">
            <v>46118.06</v>
          </cell>
          <cell r="I198">
            <v>1152.95</v>
          </cell>
          <cell r="J198">
            <v>2305.9</v>
          </cell>
          <cell r="K198">
            <v>24211.98</v>
          </cell>
          <cell r="L198">
            <v>48423.96</v>
          </cell>
          <cell r="M198">
            <v>6619.6</v>
          </cell>
          <cell r="N198">
            <v>13239.2</v>
          </cell>
          <cell r="O198">
            <v>24360.13</v>
          </cell>
          <cell r="P198">
            <v>48720.26</v>
          </cell>
          <cell r="Q198">
            <v>1218.01</v>
          </cell>
          <cell r="R198">
            <v>2436.02</v>
          </cell>
          <cell r="S198">
            <v>25578.14</v>
          </cell>
          <cell r="T198">
            <v>51156.28</v>
          </cell>
          <cell r="U198">
            <v>6130.69</v>
          </cell>
          <cell r="V198">
            <v>5272.39</v>
          </cell>
          <cell r="W198">
            <v>10544.78</v>
          </cell>
          <cell r="X198">
            <v>19402.400000000001</v>
          </cell>
          <cell r="Y198">
            <v>38804.800000000003</v>
          </cell>
          <cell r="Z198">
            <v>970.12</v>
          </cell>
          <cell r="AA198">
            <v>1940.24</v>
          </cell>
          <cell r="AB198">
            <v>20372.52</v>
          </cell>
          <cell r="AC198">
            <v>40745.040000000001</v>
          </cell>
          <cell r="AF198">
            <v>20372.52</v>
          </cell>
          <cell r="AG198">
            <v>40745.040000000001</v>
          </cell>
        </row>
        <row r="199">
          <cell r="A199" t="str">
            <v>1.2.4.2</v>
          </cell>
          <cell r="B199" t="str">
            <v>1000 x 600mm dia.</v>
          </cell>
          <cell r="C199">
            <v>17</v>
          </cell>
          <cell r="D199" t="str">
            <v>No.</v>
          </cell>
          <cell r="E199">
            <v>5241.22</v>
          </cell>
          <cell r="F199">
            <v>89100.74</v>
          </cell>
          <cell r="G199">
            <v>19287.689999999999</v>
          </cell>
          <cell r="H199">
            <v>327890.73</v>
          </cell>
          <cell r="I199">
            <v>964.38</v>
          </cell>
          <cell r="J199">
            <v>16394.46</v>
          </cell>
          <cell r="K199">
            <v>20252.07</v>
          </cell>
          <cell r="L199">
            <v>344285.19</v>
          </cell>
          <cell r="M199">
            <v>5149.18</v>
          </cell>
          <cell r="N199">
            <v>87536.06</v>
          </cell>
          <cell r="O199">
            <v>18948.98</v>
          </cell>
          <cell r="P199">
            <v>322132.65999999997</v>
          </cell>
          <cell r="Q199">
            <v>947.45</v>
          </cell>
          <cell r="R199">
            <v>16106.65</v>
          </cell>
          <cell r="S199">
            <v>19896.43</v>
          </cell>
          <cell r="T199">
            <v>338239.31</v>
          </cell>
          <cell r="U199">
            <v>5336.22</v>
          </cell>
          <cell r="V199">
            <v>4589.1499999999996</v>
          </cell>
          <cell r="W199">
            <v>78015.55</v>
          </cell>
          <cell r="X199">
            <v>16888.07</v>
          </cell>
          <cell r="Y199">
            <v>287097.19</v>
          </cell>
          <cell r="Z199">
            <v>844.4</v>
          </cell>
          <cell r="AA199">
            <v>14354.8</v>
          </cell>
          <cell r="AB199">
            <v>17732.47</v>
          </cell>
          <cell r="AC199">
            <v>301451.99</v>
          </cell>
          <cell r="AF199">
            <v>17732.47</v>
          </cell>
          <cell r="AG199">
            <v>301451.99</v>
          </cell>
        </row>
        <row r="200">
          <cell r="A200" t="str">
            <v>1.2.4.3</v>
          </cell>
          <cell r="B200" t="str">
            <v>1000 x 200mm dia.</v>
          </cell>
          <cell r="C200">
            <v>111</v>
          </cell>
          <cell r="D200" t="str">
            <v>No.</v>
          </cell>
          <cell r="E200">
            <v>2436.9</v>
          </cell>
          <cell r="F200">
            <v>270495.90000000002</v>
          </cell>
          <cell r="G200">
            <v>8967.7900000000009</v>
          </cell>
          <cell r="H200">
            <v>995424.69</v>
          </cell>
          <cell r="I200">
            <v>448.39</v>
          </cell>
          <cell r="J200">
            <v>49771.29</v>
          </cell>
          <cell r="K200">
            <v>9416.18</v>
          </cell>
          <cell r="L200">
            <v>1045195.98</v>
          </cell>
          <cell r="M200">
            <v>2586.5300000000002</v>
          </cell>
          <cell r="N200">
            <v>287104.83</v>
          </cell>
          <cell r="O200">
            <v>9518.43</v>
          </cell>
          <cell r="P200">
            <v>1056545.73</v>
          </cell>
          <cell r="Q200">
            <v>475.92</v>
          </cell>
          <cell r="R200">
            <v>52827.12</v>
          </cell>
          <cell r="S200">
            <v>9994.35</v>
          </cell>
          <cell r="T200">
            <v>1109372.8500000001</v>
          </cell>
          <cell r="U200">
            <v>2867.02</v>
          </cell>
          <cell r="V200">
            <v>2465.64</v>
          </cell>
          <cell r="W200">
            <v>273686.03999999998</v>
          </cell>
          <cell r="X200">
            <v>9073.56</v>
          </cell>
          <cell r="Y200">
            <v>1007165.16</v>
          </cell>
          <cell r="Z200">
            <v>453.68</v>
          </cell>
          <cell r="AA200">
            <v>50358.48</v>
          </cell>
          <cell r="AB200">
            <v>9527.24</v>
          </cell>
          <cell r="AC200">
            <v>1057523.6399999999</v>
          </cell>
          <cell r="AF200">
            <v>9527.24</v>
          </cell>
          <cell r="AG200">
            <v>1057523.6399999999</v>
          </cell>
        </row>
        <row r="201">
          <cell r="A201" t="str">
            <v>1.2.4.4</v>
          </cell>
          <cell r="B201" t="str">
            <v>1000 x 200mm dia. (level invert/drainage type)</v>
          </cell>
          <cell r="C201">
            <v>81</v>
          </cell>
          <cell r="D201" t="str">
            <v>No.</v>
          </cell>
          <cell r="E201">
            <v>2523.83</v>
          </cell>
          <cell r="F201">
            <v>204430.23</v>
          </cell>
          <cell r="G201">
            <v>9287.69</v>
          </cell>
          <cell r="H201">
            <v>752302.89</v>
          </cell>
          <cell r="I201">
            <v>464.38</v>
          </cell>
          <cell r="J201">
            <v>37614.78</v>
          </cell>
          <cell r="K201">
            <v>9752.07</v>
          </cell>
          <cell r="L201">
            <v>789917.67</v>
          </cell>
          <cell r="M201">
            <v>2784.54</v>
          </cell>
          <cell r="N201">
            <v>225547.74</v>
          </cell>
          <cell r="O201">
            <v>10247.11</v>
          </cell>
          <cell r="P201">
            <v>830015.91</v>
          </cell>
          <cell r="Q201">
            <v>512.36</v>
          </cell>
          <cell r="R201">
            <v>41501.160000000003</v>
          </cell>
          <cell r="S201">
            <v>10759.47</v>
          </cell>
          <cell r="T201">
            <v>871517.07</v>
          </cell>
          <cell r="U201">
            <v>3162.97</v>
          </cell>
          <cell r="V201">
            <v>2720.15</v>
          </cell>
          <cell r="W201">
            <v>220332.15</v>
          </cell>
          <cell r="X201">
            <v>10010.15</v>
          </cell>
          <cell r="Y201">
            <v>810822.15</v>
          </cell>
          <cell r="Z201">
            <v>500.51</v>
          </cell>
          <cell r="AA201">
            <v>40541.31</v>
          </cell>
          <cell r="AB201">
            <v>10510.66</v>
          </cell>
          <cell r="AC201">
            <v>851363.46</v>
          </cell>
          <cell r="AF201">
            <v>10510.66</v>
          </cell>
          <cell r="AG201">
            <v>851363.46</v>
          </cell>
        </row>
        <row r="202">
          <cell r="A202" t="str">
            <v>1.2.4.5</v>
          </cell>
          <cell r="B202" t="str">
            <v>800 x 600mm dia.</v>
          </cell>
          <cell r="C202">
            <v>1</v>
          </cell>
          <cell r="D202" t="str">
            <v>No.</v>
          </cell>
          <cell r="E202">
            <v>3448.14</v>
          </cell>
          <cell r="F202">
            <v>3448.14</v>
          </cell>
          <cell r="G202">
            <v>12689.16</v>
          </cell>
          <cell r="H202">
            <v>12689.16</v>
          </cell>
          <cell r="I202">
            <v>634.46</v>
          </cell>
          <cell r="J202">
            <v>634.46</v>
          </cell>
          <cell r="K202">
            <v>13323.62</v>
          </cell>
          <cell r="L202">
            <v>13323.62</v>
          </cell>
          <cell r="M202">
            <v>3333.31</v>
          </cell>
          <cell r="N202">
            <v>3333.31</v>
          </cell>
          <cell r="O202">
            <v>12266.58</v>
          </cell>
          <cell r="P202">
            <v>12266.58</v>
          </cell>
          <cell r="Q202">
            <v>613.33000000000004</v>
          </cell>
          <cell r="R202">
            <v>613.33000000000004</v>
          </cell>
          <cell r="S202">
            <v>12879.91</v>
          </cell>
          <cell r="T202">
            <v>12879.91</v>
          </cell>
          <cell r="U202">
            <v>3483.69</v>
          </cell>
          <cell r="V202">
            <v>2995.97</v>
          </cell>
          <cell r="W202">
            <v>2995.97</v>
          </cell>
          <cell r="X202">
            <v>11025.17</v>
          </cell>
          <cell r="Y202">
            <v>11025.17</v>
          </cell>
          <cell r="Z202">
            <v>551.26</v>
          </cell>
          <cell r="AA202">
            <v>551.26</v>
          </cell>
          <cell r="AB202">
            <v>11576.43</v>
          </cell>
          <cell r="AC202">
            <v>11576.43</v>
          </cell>
          <cell r="AF202">
            <v>11576.43</v>
          </cell>
          <cell r="AG202">
            <v>11576.43</v>
          </cell>
        </row>
        <row r="203">
          <cell r="A203" t="str">
            <v>1.2.4.6</v>
          </cell>
          <cell r="B203" t="str">
            <v>600 x 600mm dia.</v>
          </cell>
          <cell r="C203">
            <v>6</v>
          </cell>
          <cell r="D203" t="str">
            <v>No.</v>
          </cell>
          <cell r="E203">
            <v>2191.25</v>
          </cell>
          <cell r="F203">
            <v>13147.5</v>
          </cell>
          <cell r="G203">
            <v>8063.8</v>
          </cell>
          <cell r="H203">
            <v>48382.8</v>
          </cell>
          <cell r="I203">
            <v>403.19</v>
          </cell>
          <cell r="J203">
            <v>2419.14</v>
          </cell>
          <cell r="K203">
            <v>8466.99</v>
          </cell>
          <cell r="L203">
            <v>50801.94</v>
          </cell>
          <cell r="M203">
            <v>2074.14</v>
          </cell>
          <cell r="N203">
            <v>12444.84</v>
          </cell>
          <cell r="O203">
            <v>7632.84</v>
          </cell>
          <cell r="P203">
            <v>45797.04</v>
          </cell>
          <cell r="Q203">
            <v>381.64</v>
          </cell>
          <cell r="R203">
            <v>2289.84</v>
          </cell>
          <cell r="S203">
            <v>8014.48</v>
          </cell>
          <cell r="T203">
            <v>48086.879999999997</v>
          </cell>
          <cell r="U203">
            <v>2121.16</v>
          </cell>
          <cell r="V203">
            <v>1824.2</v>
          </cell>
          <cell r="W203">
            <v>10945.2</v>
          </cell>
          <cell r="X203">
            <v>6713.06</v>
          </cell>
          <cell r="Y203">
            <v>40278.36</v>
          </cell>
          <cell r="Z203">
            <v>335.65</v>
          </cell>
          <cell r="AA203">
            <v>2013.9</v>
          </cell>
          <cell r="AB203">
            <v>7048.71</v>
          </cell>
          <cell r="AC203">
            <v>42292.26</v>
          </cell>
          <cell r="AF203">
            <v>7048.71</v>
          </cell>
          <cell r="AG203">
            <v>42292.26</v>
          </cell>
        </row>
        <row r="204">
          <cell r="F204">
            <v>0</v>
          </cell>
          <cell r="G204">
            <v>0</v>
          </cell>
          <cell r="H204">
            <v>0</v>
          </cell>
          <cell r="I204">
            <v>0</v>
          </cell>
          <cell r="J204">
            <v>0</v>
          </cell>
          <cell r="K204">
            <v>0</v>
          </cell>
          <cell r="L204">
            <v>0</v>
          </cell>
          <cell r="N204">
            <v>0</v>
          </cell>
          <cell r="O204">
            <v>0</v>
          </cell>
          <cell r="P204">
            <v>0</v>
          </cell>
          <cell r="Q204">
            <v>0</v>
          </cell>
          <cell r="R204">
            <v>0</v>
          </cell>
          <cell r="S204">
            <v>0</v>
          </cell>
          <cell r="T204">
            <v>0</v>
          </cell>
          <cell r="V204">
            <v>0</v>
          </cell>
          <cell r="W204">
            <v>0</v>
          </cell>
          <cell r="X204">
            <v>0</v>
          </cell>
          <cell r="Y204">
            <v>0</v>
          </cell>
          <cell r="Z204">
            <v>0</v>
          </cell>
          <cell r="AA204">
            <v>0</v>
          </cell>
          <cell r="AB204">
            <v>0</v>
          </cell>
          <cell r="AC204">
            <v>0</v>
          </cell>
          <cell r="AF204">
            <v>0</v>
          </cell>
          <cell r="AG204">
            <v>0</v>
          </cell>
        </row>
        <row r="205">
          <cell r="V205">
            <v>0</v>
          </cell>
          <cell r="W205">
            <v>0</v>
          </cell>
          <cell r="X205">
            <v>0</v>
          </cell>
          <cell r="AF205">
            <v>0</v>
          </cell>
          <cell r="AG205">
            <v>0</v>
          </cell>
        </row>
        <row r="206">
          <cell r="V206">
            <v>0</v>
          </cell>
          <cell r="W206">
            <v>0</v>
          </cell>
          <cell r="X206">
            <v>0</v>
          </cell>
          <cell r="AF206">
            <v>0</v>
          </cell>
          <cell r="AG206">
            <v>0</v>
          </cell>
        </row>
        <row r="207">
          <cell r="V207">
            <v>0</v>
          </cell>
          <cell r="W207">
            <v>0</v>
          </cell>
          <cell r="X207">
            <v>0</v>
          </cell>
          <cell r="AF207">
            <v>0</v>
          </cell>
          <cell r="AG207">
            <v>0</v>
          </cell>
        </row>
        <row r="208">
          <cell r="V208">
            <v>0</v>
          </cell>
          <cell r="W208">
            <v>0</v>
          </cell>
          <cell r="X208">
            <v>0</v>
          </cell>
          <cell r="AF208">
            <v>0</v>
          </cell>
          <cell r="AG208">
            <v>0</v>
          </cell>
        </row>
        <row r="209">
          <cell r="V209">
            <v>0</v>
          </cell>
          <cell r="W209">
            <v>0</v>
          </cell>
          <cell r="X209">
            <v>0</v>
          </cell>
          <cell r="AF209">
            <v>0</v>
          </cell>
          <cell r="AG209">
            <v>0</v>
          </cell>
        </row>
        <row r="210">
          <cell r="V210">
            <v>0</v>
          </cell>
          <cell r="W210">
            <v>0</v>
          </cell>
          <cell r="X210">
            <v>0</v>
          </cell>
          <cell r="AF210">
            <v>0</v>
          </cell>
          <cell r="AG210">
            <v>0</v>
          </cell>
        </row>
        <row r="211">
          <cell r="F211">
            <v>0</v>
          </cell>
          <cell r="G211">
            <v>0</v>
          </cell>
          <cell r="H211">
            <v>0</v>
          </cell>
          <cell r="I211">
            <v>0</v>
          </cell>
          <cell r="J211">
            <v>0</v>
          </cell>
          <cell r="K211">
            <v>0</v>
          </cell>
          <cell r="L211">
            <v>0</v>
          </cell>
          <cell r="N211">
            <v>0</v>
          </cell>
          <cell r="O211">
            <v>0</v>
          </cell>
          <cell r="P211">
            <v>0</v>
          </cell>
          <cell r="Q211">
            <v>0</v>
          </cell>
          <cell r="R211">
            <v>0</v>
          </cell>
          <cell r="S211">
            <v>0</v>
          </cell>
          <cell r="T211">
            <v>0</v>
          </cell>
          <cell r="V211">
            <v>0</v>
          </cell>
          <cell r="W211">
            <v>0</v>
          </cell>
          <cell r="X211">
            <v>0</v>
          </cell>
          <cell r="Y211">
            <v>0</v>
          </cell>
          <cell r="Z211">
            <v>0</v>
          </cell>
          <cell r="AA211">
            <v>0</v>
          </cell>
          <cell r="AB211">
            <v>0</v>
          </cell>
          <cell r="AC211">
            <v>0</v>
          </cell>
          <cell r="AF211">
            <v>0</v>
          </cell>
          <cell r="AG211">
            <v>0</v>
          </cell>
        </row>
        <row r="212">
          <cell r="A212" t="str">
            <v>1.2.4.7</v>
          </cell>
          <cell r="B212" t="str">
            <v>400 x 300mm dia. (PN 16)</v>
          </cell>
          <cell r="C212">
            <v>2</v>
          </cell>
          <cell r="D212" t="str">
            <v>No.</v>
          </cell>
          <cell r="E212">
            <v>730.89</v>
          </cell>
          <cell r="F212">
            <v>1461.78</v>
          </cell>
          <cell r="G212">
            <v>2689.68</v>
          </cell>
          <cell r="H212">
            <v>5379.36</v>
          </cell>
          <cell r="I212">
            <v>134.47999999999999</v>
          </cell>
          <cell r="J212">
            <v>268.95999999999998</v>
          </cell>
          <cell r="K212">
            <v>2824.16</v>
          </cell>
          <cell r="L212">
            <v>5648.32</v>
          </cell>
          <cell r="M212">
            <v>722.49</v>
          </cell>
          <cell r="N212">
            <v>1444.98</v>
          </cell>
          <cell r="O212">
            <v>2658.76</v>
          </cell>
          <cell r="P212">
            <v>5317.52</v>
          </cell>
          <cell r="Q212">
            <v>132.94</v>
          </cell>
          <cell r="R212">
            <v>265.88</v>
          </cell>
          <cell r="S212">
            <v>2791.7</v>
          </cell>
          <cell r="T212">
            <v>5583.4</v>
          </cell>
          <cell r="U212">
            <v>789.81</v>
          </cell>
          <cell r="V212">
            <v>679.24</v>
          </cell>
          <cell r="W212">
            <v>1358.48</v>
          </cell>
          <cell r="X212">
            <v>2499.6</v>
          </cell>
          <cell r="Y212">
            <v>4999.2</v>
          </cell>
          <cell r="Z212">
            <v>124.98</v>
          </cell>
          <cell r="AA212">
            <v>249.96</v>
          </cell>
          <cell r="AB212">
            <v>2624.58</v>
          </cell>
          <cell r="AC212">
            <v>5249.16</v>
          </cell>
          <cell r="AF212">
            <v>2624.58</v>
          </cell>
          <cell r="AG212">
            <v>5249.16</v>
          </cell>
        </row>
        <row r="213">
          <cell r="A213" t="str">
            <v>1.2.4.8</v>
          </cell>
          <cell r="B213" t="str">
            <v>400 x 100mm dia. (PN 16)</v>
          </cell>
          <cell r="C213">
            <v>1</v>
          </cell>
          <cell r="D213" t="str">
            <v>No.</v>
          </cell>
          <cell r="E213">
            <v>465.93</v>
          </cell>
          <cell r="F213">
            <v>465.93</v>
          </cell>
          <cell r="G213">
            <v>1714.62</v>
          </cell>
          <cell r="H213">
            <v>1714.62</v>
          </cell>
          <cell r="I213">
            <v>85.73</v>
          </cell>
          <cell r="J213">
            <v>85.73</v>
          </cell>
          <cell r="K213">
            <v>1800.35</v>
          </cell>
          <cell r="L213">
            <v>1800.35</v>
          </cell>
          <cell r="M213">
            <v>483.33</v>
          </cell>
          <cell r="N213">
            <v>483.33</v>
          </cell>
          <cell r="O213">
            <v>1778.65</v>
          </cell>
          <cell r="P213">
            <v>1778.65</v>
          </cell>
          <cell r="Q213">
            <v>88.93</v>
          </cell>
          <cell r="R213">
            <v>88.93</v>
          </cell>
          <cell r="S213">
            <v>1867.58</v>
          </cell>
          <cell r="T213">
            <v>1867.58</v>
          </cell>
          <cell r="U213">
            <v>549.38</v>
          </cell>
          <cell r="V213">
            <v>472.47</v>
          </cell>
          <cell r="W213">
            <v>472.47</v>
          </cell>
          <cell r="X213">
            <v>1738.69</v>
          </cell>
          <cell r="Y213">
            <v>1738.69</v>
          </cell>
          <cell r="Z213">
            <v>86.93</v>
          </cell>
          <cell r="AA213">
            <v>86.93</v>
          </cell>
          <cell r="AB213">
            <v>1825.62</v>
          </cell>
          <cell r="AC213">
            <v>1825.62</v>
          </cell>
          <cell r="AF213">
            <v>1825.62</v>
          </cell>
          <cell r="AG213">
            <v>1825.62</v>
          </cell>
        </row>
        <row r="214">
          <cell r="F214">
            <v>0</v>
          </cell>
          <cell r="G214">
            <v>0</v>
          </cell>
          <cell r="H214">
            <v>0</v>
          </cell>
          <cell r="I214">
            <v>0</v>
          </cell>
          <cell r="J214">
            <v>0</v>
          </cell>
          <cell r="K214">
            <v>0</v>
          </cell>
          <cell r="L214">
            <v>0</v>
          </cell>
          <cell r="N214">
            <v>0</v>
          </cell>
          <cell r="O214">
            <v>0</v>
          </cell>
          <cell r="P214">
            <v>0</v>
          </cell>
          <cell r="Q214">
            <v>0</v>
          </cell>
          <cell r="R214">
            <v>0</v>
          </cell>
          <cell r="S214">
            <v>0</v>
          </cell>
          <cell r="T214">
            <v>0</v>
          </cell>
          <cell r="V214">
            <v>0</v>
          </cell>
          <cell r="W214">
            <v>0</v>
          </cell>
          <cell r="X214">
            <v>0</v>
          </cell>
          <cell r="Y214">
            <v>0</v>
          </cell>
          <cell r="Z214">
            <v>0</v>
          </cell>
          <cell r="AA214">
            <v>0</v>
          </cell>
          <cell r="AB214">
            <v>0</v>
          </cell>
          <cell r="AC214">
            <v>0</v>
          </cell>
          <cell r="AF214">
            <v>0</v>
          </cell>
          <cell r="AG214">
            <v>0</v>
          </cell>
        </row>
        <row r="215">
          <cell r="B215" t="str">
            <v xml:space="preserve">All Flanged Tee (Bituminous/zinc coating externally - </v>
          </cell>
          <cell r="F215">
            <v>0</v>
          </cell>
          <cell r="G215">
            <v>0</v>
          </cell>
          <cell r="H215">
            <v>0</v>
          </cell>
          <cell r="I215">
            <v>0</v>
          </cell>
          <cell r="J215">
            <v>0</v>
          </cell>
          <cell r="K215">
            <v>0</v>
          </cell>
          <cell r="L215">
            <v>0</v>
          </cell>
          <cell r="N215">
            <v>0</v>
          </cell>
          <cell r="O215">
            <v>0</v>
          </cell>
          <cell r="P215">
            <v>0</v>
          </cell>
          <cell r="Q215">
            <v>0</v>
          </cell>
          <cell r="R215">
            <v>0</v>
          </cell>
          <cell r="S215">
            <v>0</v>
          </cell>
          <cell r="T215">
            <v>0</v>
          </cell>
          <cell r="V215">
            <v>0</v>
          </cell>
          <cell r="W215">
            <v>0</v>
          </cell>
          <cell r="X215">
            <v>0</v>
          </cell>
          <cell r="Y215">
            <v>0</v>
          </cell>
          <cell r="Z215">
            <v>0</v>
          </cell>
          <cell r="AA215">
            <v>0</v>
          </cell>
          <cell r="AB215">
            <v>0</v>
          </cell>
          <cell r="AC215">
            <v>0</v>
          </cell>
          <cell r="AF215">
            <v>0</v>
          </cell>
          <cell r="AG215">
            <v>0</v>
          </cell>
        </row>
        <row r="216">
          <cell r="B216" t="str">
            <v>Cement mortar internally)</v>
          </cell>
          <cell r="F216">
            <v>0</v>
          </cell>
          <cell r="G216">
            <v>0</v>
          </cell>
          <cell r="H216">
            <v>0</v>
          </cell>
          <cell r="I216">
            <v>0</v>
          </cell>
          <cell r="J216">
            <v>0</v>
          </cell>
          <cell r="K216">
            <v>0</v>
          </cell>
          <cell r="L216">
            <v>0</v>
          </cell>
          <cell r="N216">
            <v>0</v>
          </cell>
          <cell r="O216">
            <v>0</v>
          </cell>
          <cell r="P216">
            <v>0</v>
          </cell>
          <cell r="Q216">
            <v>0</v>
          </cell>
          <cell r="R216">
            <v>0</v>
          </cell>
          <cell r="S216">
            <v>0</v>
          </cell>
          <cell r="T216">
            <v>0</v>
          </cell>
          <cell r="V216">
            <v>0</v>
          </cell>
          <cell r="W216">
            <v>0</v>
          </cell>
          <cell r="X216">
            <v>0</v>
          </cell>
          <cell r="Y216">
            <v>0</v>
          </cell>
          <cell r="Z216">
            <v>0</v>
          </cell>
          <cell r="AA216">
            <v>0</v>
          </cell>
          <cell r="AB216">
            <v>0</v>
          </cell>
          <cell r="AC216">
            <v>0</v>
          </cell>
          <cell r="AF216">
            <v>0</v>
          </cell>
          <cell r="AG216">
            <v>0</v>
          </cell>
        </row>
        <row r="217">
          <cell r="A217" t="str">
            <v>1.2.5.1</v>
          </cell>
          <cell r="B217" t="str">
            <v>1000 x 600mm dia.</v>
          </cell>
          <cell r="C217">
            <v>1</v>
          </cell>
          <cell r="D217" t="str">
            <v>No.</v>
          </cell>
          <cell r="E217">
            <v>6556.11</v>
          </cell>
          <cell r="F217">
            <v>6556.11</v>
          </cell>
          <cell r="G217">
            <v>24126.48</v>
          </cell>
          <cell r="H217">
            <v>24126.48</v>
          </cell>
          <cell r="I217">
            <v>1206.32</v>
          </cell>
          <cell r="J217">
            <v>1206.32</v>
          </cell>
          <cell r="K217">
            <v>25332.799999999999</v>
          </cell>
          <cell r="L217">
            <v>25332.799999999999</v>
          </cell>
          <cell r="M217">
            <v>7863.99</v>
          </cell>
          <cell r="N217">
            <v>7863.99</v>
          </cell>
          <cell r="O217">
            <v>28939.48</v>
          </cell>
          <cell r="P217">
            <v>28939.48</v>
          </cell>
          <cell r="Q217">
            <v>1446.97</v>
          </cell>
          <cell r="R217">
            <v>1446.97</v>
          </cell>
          <cell r="S217">
            <v>30386.45</v>
          </cell>
          <cell r="T217">
            <v>30386.45</v>
          </cell>
          <cell r="U217">
            <v>6567.13</v>
          </cell>
          <cell r="V217">
            <v>5647.73</v>
          </cell>
          <cell r="W217">
            <v>5647.73</v>
          </cell>
          <cell r="X217">
            <v>20783.650000000001</v>
          </cell>
          <cell r="Y217">
            <v>20783.650000000001</v>
          </cell>
          <cell r="Z217">
            <v>1039.18</v>
          </cell>
          <cell r="AA217">
            <v>1039.18</v>
          </cell>
          <cell r="AB217">
            <v>21822.83</v>
          </cell>
          <cell r="AC217">
            <v>21822.83</v>
          </cell>
          <cell r="AF217">
            <v>21822.83</v>
          </cell>
          <cell r="AG217">
            <v>21822.83</v>
          </cell>
        </row>
        <row r="218">
          <cell r="A218" t="str">
            <v>1.2.5.2</v>
          </cell>
          <cell r="B218" t="str">
            <v>800 x 600mm dia.</v>
          </cell>
          <cell r="C218">
            <v>1</v>
          </cell>
          <cell r="D218" t="str">
            <v>No.</v>
          </cell>
          <cell r="E218">
            <v>4142.21</v>
          </cell>
          <cell r="F218">
            <v>4142.21</v>
          </cell>
          <cell r="G218">
            <v>15243.33</v>
          </cell>
          <cell r="H218">
            <v>15243.33</v>
          </cell>
          <cell r="I218">
            <v>762.17</v>
          </cell>
          <cell r="J218">
            <v>762.17</v>
          </cell>
          <cell r="K218">
            <v>16005.5</v>
          </cell>
          <cell r="L218">
            <v>16005.5</v>
          </cell>
          <cell r="M218">
            <v>4795.28</v>
          </cell>
          <cell r="N218">
            <v>4795.28</v>
          </cell>
          <cell r="O218">
            <v>17646.63</v>
          </cell>
          <cell r="P218">
            <v>17646.63</v>
          </cell>
          <cell r="Q218">
            <v>882.33</v>
          </cell>
          <cell r="R218">
            <v>882.33</v>
          </cell>
          <cell r="S218">
            <v>18528.96</v>
          </cell>
          <cell r="T218">
            <v>18528.96</v>
          </cell>
          <cell r="U218">
            <v>4751.51</v>
          </cell>
          <cell r="V218">
            <v>4086.3</v>
          </cell>
          <cell r="W218">
            <v>4086.3</v>
          </cell>
          <cell r="X218">
            <v>15037.58</v>
          </cell>
          <cell r="Y218">
            <v>15037.58</v>
          </cell>
          <cell r="Z218">
            <v>751.88</v>
          </cell>
          <cell r="AA218">
            <v>751.88</v>
          </cell>
          <cell r="AB218">
            <v>15789.46</v>
          </cell>
          <cell r="AC218">
            <v>15789.46</v>
          </cell>
          <cell r="AF218">
            <v>15789.46</v>
          </cell>
          <cell r="AG218">
            <v>15789.46</v>
          </cell>
        </row>
        <row r="219">
          <cell r="A219" t="str">
            <v>1.2.5.3</v>
          </cell>
          <cell r="B219" t="str">
            <v>600 x 600mm dia.</v>
          </cell>
          <cell r="C219">
            <v>1</v>
          </cell>
          <cell r="D219" t="str">
            <v>No.</v>
          </cell>
          <cell r="E219">
            <v>2685.61</v>
          </cell>
          <cell r="F219">
            <v>2685.61</v>
          </cell>
          <cell r="G219">
            <v>9883.0400000000009</v>
          </cell>
          <cell r="H219">
            <v>9883.0400000000009</v>
          </cell>
          <cell r="I219">
            <v>494.15</v>
          </cell>
          <cell r="J219">
            <v>494.15</v>
          </cell>
          <cell r="K219">
            <v>10377.19</v>
          </cell>
          <cell r="L219">
            <v>10377.19</v>
          </cell>
          <cell r="M219">
            <v>2910.26</v>
          </cell>
          <cell r="N219">
            <v>2910.26</v>
          </cell>
          <cell r="O219">
            <v>10709.76</v>
          </cell>
          <cell r="P219">
            <v>10709.76</v>
          </cell>
          <cell r="Q219">
            <v>535.49</v>
          </cell>
          <cell r="R219">
            <v>535.49</v>
          </cell>
          <cell r="S219">
            <v>11245.25</v>
          </cell>
          <cell r="T219">
            <v>11245.25</v>
          </cell>
          <cell r="U219">
            <v>2451.5100000000002</v>
          </cell>
          <cell r="V219">
            <v>2108.3000000000002</v>
          </cell>
          <cell r="W219">
            <v>2108.3000000000002</v>
          </cell>
          <cell r="X219">
            <v>7758.54</v>
          </cell>
          <cell r="Y219">
            <v>7758.54</v>
          </cell>
          <cell r="Z219">
            <v>387.93</v>
          </cell>
          <cell r="AA219">
            <v>387.93</v>
          </cell>
          <cell r="AB219">
            <v>8146.47</v>
          </cell>
          <cell r="AC219">
            <v>8146.47</v>
          </cell>
          <cell r="AF219">
            <v>8146.47</v>
          </cell>
          <cell r="AG219">
            <v>8146.47</v>
          </cell>
        </row>
        <row r="220">
          <cell r="F220">
            <v>0</v>
          </cell>
          <cell r="G220">
            <v>0</v>
          </cell>
          <cell r="H220">
            <v>0</v>
          </cell>
          <cell r="I220">
            <v>0</v>
          </cell>
          <cell r="J220">
            <v>0</v>
          </cell>
          <cell r="K220">
            <v>0</v>
          </cell>
          <cell r="L220">
            <v>0</v>
          </cell>
          <cell r="N220">
            <v>0</v>
          </cell>
          <cell r="O220">
            <v>0</v>
          </cell>
          <cell r="P220">
            <v>0</v>
          </cell>
          <cell r="Q220">
            <v>0</v>
          </cell>
          <cell r="R220">
            <v>0</v>
          </cell>
          <cell r="S220">
            <v>0</v>
          </cell>
          <cell r="T220">
            <v>0</v>
          </cell>
          <cell r="V220">
            <v>0</v>
          </cell>
          <cell r="W220">
            <v>0</v>
          </cell>
          <cell r="X220">
            <v>0</v>
          </cell>
          <cell r="Y220">
            <v>0</v>
          </cell>
          <cell r="Z220">
            <v>0</v>
          </cell>
          <cell r="AA220">
            <v>0</v>
          </cell>
          <cell r="AB220">
            <v>0</v>
          </cell>
          <cell r="AC220">
            <v>0</v>
          </cell>
          <cell r="AF220">
            <v>0</v>
          </cell>
          <cell r="AG220">
            <v>0</v>
          </cell>
        </row>
        <row r="221">
          <cell r="B221" t="str">
            <v>All Flanged Tee (with Internal and External Protection</v>
          </cell>
          <cell r="F221">
            <v>0</v>
          </cell>
          <cell r="G221">
            <v>0</v>
          </cell>
          <cell r="H221">
            <v>0</v>
          </cell>
          <cell r="I221">
            <v>0</v>
          </cell>
          <cell r="J221">
            <v>0</v>
          </cell>
          <cell r="K221">
            <v>0</v>
          </cell>
          <cell r="L221">
            <v>0</v>
          </cell>
          <cell r="N221">
            <v>0</v>
          </cell>
          <cell r="O221">
            <v>0</v>
          </cell>
          <cell r="P221">
            <v>0</v>
          </cell>
          <cell r="Q221">
            <v>0</v>
          </cell>
          <cell r="R221">
            <v>0</v>
          </cell>
          <cell r="S221">
            <v>0</v>
          </cell>
          <cell r="T221">
            <v>0</v>
          </cell>
          <cell r="V221">
            <v>0</v>
          </cell>
          <cell r="W221">
            <v>0</v>
          </cell>
          <cell r="X221">
            <v>0</v>
          </cell>
          <cell r="Y221">
            <v>0</v>
          </cell>
          <cell r="Z221">
            <v>0</v>
          </cell>
          <cell r="AA221">
            <v>0</v>
          </cell>
          <cell r="AB221">
            <v>0</v>
          </cell>
          <cell r="AC221">
            <v>0</v>
          </cell>
          <cell r="AF221">
            <v>0</v>
          </cell>
          <cell r="AG221">
            <v>0</v>
          </cell>
        </row>
        <row r="222">
          <cell r="B222" t="str">
            <v>in Fusion Bonded Epoxy)</v>
          </cell>
          <cell r="F222">
            <v>0</v>
          </cell>
          <cell r="G222">
            <v>0</v>
          </cell>
          <cell r="H222">
            <v>0</v>
          </cell>
          <cell r="I222">
            <v>0</v>
          </cell>
          <cell r="J222">
            <v>0</v>
          </cell>
          <cell r="K222">
            <v>0</v>
          </cell>
          <cell r="L222">
            <v>0</v>
          </cell>
          <cell r="N222">
            <v>0</v>
          </cell>
          <cell r="O222">
            <v>0</v>
          </cell>
          <cell r="P222">
            <v>0</v>
          </cell>
          <cell r="Q222">
            <v>0</v>
          </cell>
          <cell r="R222">
            <v>0</v>
          </cell>
          <cell r="S222">
            <v>0</v>
          </cell>
          <cell r="T222">
            <v>0</v>
          </cell>
          <cell r="V222">
            <v>0</v>
          </cell>
          <cell r="W222">
            <v>0</v>
          </cell>
          <cell r="X222">
            <v>0</v>
          </cell>
          <cell r="Y222">
            <v>0</v>
          </cell>
          <cell r="Z222">
            <v>0</v>
          </cell>
          <cell r="AA222">
            <v>0</v>
          </cell>
          <cell r="AB222">
            <v>0</v>
          </cell>
          <cell r="AC222">
            <v>0</v>
          </cell>
          <cell r="AF222">
            <v>0</v>
          </cell>
          <cell r="AG222">
            <v>0</v>
          </cell>
        </row>
        <row r="223">
          <cell r="A223" t="str">
            <v>1.2.6</v>
          </cell>
          <cell r="B223" t="str">
            <v>1000x200mm dia. (level invert/drainage type)</v>
          </cell>
          <cell r="C223">
            <v>29</v>
          </cell>
          <cell r="D223" t="str">
            <v>No</v>
          </cell>
          <cell r="E223">
            <v>3953.89</v>
          </cell>
          <cell r="F223">
            <v>114662.81</v>
          </cell>
          <cell r="G223">
            <v>14550.32</v>
          </cell>
          <cell r="H223">
            <v>421959.28</v>
          </cell>
          <cell r="I223">
            <v>727.52</v>
          </cell>
          <cell r="J223">
            <v>21098.080000000002</v>
          </cell>
          <cell r="K223">
            <v>15277.84</v>
          </cell>
          <cell r="L223">
            <v>443057.36</v>
          </cell>
          <cell r="M223">
            <v>5491.17</v>
          </cell>
          <cell r="N223">
            <v>159243.93</v>
          </cell>
          <cell r="O223">
            <v>20207.509999999998</v>
          </cell>
          <cell r="P223">
            <v>586017.79</v>
          </cell>
          <cell r="Q223">
            <v>1010.38</v>
          </cell>
          <cell r="R223">
            <v>29301.02</v>
          </cell>
          <cell r="S223">
            <v>21217.89</v>
          </cell>
          <cell r="T223">
            <v>615318.81000000006</v>
          </cell>
          <cell r="U223">
            <v>4307.05</v>
          </cell>
          <cell r="V223">
            <v>3704.06</v>
          </cell>
          <cell r="W223">
            <v>107417.74</v>
          </cell>
          <cell r="X223">
            <v>13630.94</v>
          </cell>
          <cell r="Y223">
            <v>395297.26</v>
          </cell>
          <cell r="Z223">
            <v>681.55</v>
          </cell>
          <cell r="AA223">
            <v>19764.95</v>
          </cell>
          <cell r="AB223">
            <v>14312.49</v>
          </cell>
          <cell r="AC223">
            <v>415062.21</v>
          </cell>
          <cell r="AF223">
            <v>14312.49</v>
          </cell>
          <cell r="AG223">
            <v>415062.21</v>
          </cell>
        </row>
        <row r="224">
          <cell r="F224">
            <v>0</v>
          </cell>
          <cell r="G224">
            <v>0</v>
          </cell>
          <cell r="H224">
            <v>0</v>
          </cell>
          <cell r="I224">
            <v>0</v>
          </cell>
          <cell r="J224">
            <v>0</v>
          </cell>
          <cell r="K224">
            <v>0</v>
          </cell>
          <cell r="L224">
            <v>0</v>
          </cell>
          <cell r="N224">
            <v>0</v>
          </cell>
          <cell r="O224">
            <v>0</v>
          </cell>
          <cell r="P224">
            <v>0</v>
          </cell>
          <cell r="Q224">
            <v>0</v>
          </cell>
          <cell r="R224">
            <v>0</v>
          </cell>
          <cell r="S224">
            <v>0</v>
          </cell>
          <cell r="T224">
            <v>0</v>
          </cell>
          <cell r="V224">
            <v>0</v>
          </cell>
          <cell r="W224">
            <v>0</v>
          </cell>
          <cell r="X224">
            <v>0</v>
          </cell>
          <cell r="Y224">
            <v>0</v>
          </cell>
          <cell r="Z224">
            <v>0</v>
          </cell>
          <cell r="AA224">
            <v>0</v>
          </cell>
          <cell r="AB224">
            <v>0</v>
          </cell>
          <cell r="AC224">
            <v>0</v>
          </cell>
          <cell r="AF224">
            <v>0</v>
          </cell>
          <cell r="AG224">
            <v>0</v>
          </cell>
        </row>
        <row r="225">
          <cell r="B225" t="str">
            <v xml:space="preserve">Reducers - Flanged  (Bituminous/zinc coating internally - </v>
          </cell>
          <cell r="F225">
            <v>0</v>
          </cell>
          <cell r="G225">
            <v>0</v>
          </cell>
          <cell r="H225">
            <v>0</v>
          </cell>
          <cell r="I225">
            <v>0</v>
          </cell>
          <cell r="J225">
            <v>0</v>
          </cell>
          <cell r="K225">
            <v>0</v>
          </cell>
          <cell r="L225">
            <v>0</v>
          </cell>
          <cell r="N225">
            <v>0</v>
          </cell>
          <cell r="O225">
            <v>0</v>
          </cell>
          <cell r="P225">
            <v>0</v>
          </cell>
          <cell r="Q225">
            <v>0</v>
          </cell>
          <cell r="R225">
            <v>0</v>
          </cell>
          <cell r="S225">
            <v>0</v>
          </cell>
          <cell r="T225">
            <v>0</v>
          </cell>
          <cell r="V225">
            <v>0</v>
          </cell>
          <cell r="W225">
            <v>0</v>
          </cell>
          <cell r="X225">
            <v>0</v>
          </cell>
          <cell r="Y225">
            <v>0</v>
          </cell>
          <cell r="Z225">
            <v>0</v>
          </cell>
          <cell r="AA225">
            <v>0</v>
          </cell>
          <cell r="AB225">
            <v>0</v>
          </cell>
          <cell r="AC225">
            <v>0</v>
          </cell>
          <cell r="AF225">
            <v>0</v>
          </cell>
          <cell r="AG225">
            <v>0</v>
          </cell>
        </row>
        <row r="226">
          <cell r="B226" t="str">
            <v>Cement mortar internally)</v>
          </cell>
          <cell r="F226">
            <v>0</v>
          </cell>
          <cell r="G226">
            <v>0</v>
          </cell>
          <cell r="H226">
            <v>0</v>
          </cell>
          <cell r="I226">
            <v>0</v>
          </cell>
          <cell r="J226">
            <v>0</v>
          </cell>
          <cell r="K226">
            <v>0</v>
          </cell>
          <cell r="L226">
            <v>0</v>
          </cell>
          <cell r="N226">
            <v>0</v>
          </cell>
          <cell r="O226">
            <v>0</v>
          </cell>
          <cell r="P226">
            <v>0</v>
          </cell>
          <cell r="Q226">
            <v>0</v>
          </cell>
          <cell r="R226">
            <v>0</v>
          </cell>
          <cell r="S226">
            <v>0</v>
          </cell>
          <cell r="T226">
            <v>0</v>
          </cell>
          <cell r="V226">
            <v>0</v>
          </cell>
          <cell r="W226">
            <v>0</v>
          </cell>
          <cell r="X226">
            <v>0</v>
          </cell>
          <cell r="Y226">
            <v>0</v>
          </cell>
          <cell r="Z226">
            <v>0</v>
          </cell>
          <cell r="AA226">
            <v>0</v>
          </cell>
          <cell r="AB226">
            <v>0</v>
          </cell>
          <cell r="AC226">
            <v>0</v>
          </cell>
          <cell r="AF226">
            <v>0</v>
          </cell>
          <cell r="AG226">
            <v>0</v>
          </cell>
        </row>
        <row r="227">
          <cell r="A227" t="str">
            <v>1.2.7.1</v>
          </cell>
          <cell r="B227" t="str">
            <v>1000 x 800mm dia.</v>
          </cell>
          <cell r="C227">
            <v>6</v>
          </cell>
          <cell r="D227" t="str">
            <v>No.</v>
          </cell>
          <cell r="E227">
            <v>3082.68</v>
          </cell>
          <cell r="F227">
            <v>18496.080000000002</v>
          </cell>
          <cell r="G227">
            <v>11344.26</v>
          </cell>
          <cell r="H227">
            <v>68065.56</v>
          </cell>
          <cell r="I227">
            <v>567.21</v>
          </cell>
          <cell r="J227">
            <v>3403.26</v>
          </cell>
          <cell r="K227">
            <v>11911.47</v>
          </cell>
          <cell r="L227">
            <v>71468.820000000007</v>
          </cell>
          <cell r="M227">
            <v>4128.51</v>
          </cell>
          <cell r="N227">
            <v>24771.06</v>
          </cell>
          <cell r="O227">
            <v>15192.92</v>
          </cell>
          <cell r="P227">
            <v>91157.52</v>
          </cell>
          <cell r="Q227">
            <v>759.65</v>
          </cell>
          <cell r="R227">
            <v>4557.8999999999996</v>
          </cell>
          <cell r="S227">
            <v>15952.57</v>
          </cell>
          <cell r="T227">
            <v>95715.42</v>
          </cell>
          <cell r="U227">
            <v>3921.93</v>
          </cell>
          <cell r="V227">
            <v>3372.86</v>
          </cell>
          <cell r="W227">
            <v>20237.16</v>
          </cell>
          <cell r="X227">
            <v>12412.12</v>
          </cell>
          <cell r="Y227">
            <v>74472.72</v>
          </cell>
          <cell r="Z227">
            <v>620.61</v>
          </cell>
          <cell r="AA227">
            <v>3723.66</v>
          </cell>
          <cell r="AB227">
            <v>13032.73</v>
          </cell>
          <cell r="AC227">
            <v>78196.38</v>
          </cell>
          <cell r="AF227">
            <v>13032.73</v>
          </cell>
          <cell r="AG227">
            <v>78196.38</v>
          </cell>
        </row>
        <row r="228">
          <cell r="A228" t="str">
            <v>1.2.7.2</v>
          </cell>
          <cell r="B228" t="str">
            <v>800 x 700mm dia.</v>
          </cell>
          <cell r="C228">
            <v>4</v>
          </cell>
          <cell r="D228" t="str">
            <v>No.</v>
          </cell>
          <cell r="E228">
            <v>2180.7399999999998</v>
          </cell>
          <cell r="F228">
            <v>8722.9599999999991</v>
          </cell>
          <cell r="G228">
            <v>8025.12</v>
          </cell>
          <cell r="H228">
            <v>32100.48</v>
          </cell>
          <cell r="I228">
            <v>401.26</v>
          </cell>
          <cell r="J228">
            <v>1605.04</v>
          </cell>
          <cell r="K228">
            <v>8426.3799999999992</v>
          </cell>
          <cell r="L228">
            <v>33705.519999999997</v>
          </cell>
          <cell r="M228">
            <v>2644.52</v>
          </cell>
          <cell r="N228">
            <v>10578.08</v>
          </cell>
          <cell r="O228">
            <v>9731.83</v>
          </cell>
          <cell r="P228">
            <v>38927.32</v>
          </cell>
          <cell r="Q228">
            <v>486.59</v>
          </cell>
          <cell r="R228">
            <v>1946.36</v>
          </cell>
          <cell r="S228">
            <v>10218.42</v>
          </cell>
          <cell r="T228">
            <v>40873.68</v>
          </cell>
          <cell r="U228">
            <v>2739.05</v>
          </cell>
          <cell r="V228">
            <v>2355.58</v>
          </cell>
          <cell r="W228">
            <v>9422.32</v>
          </cell>
          <cell r="X228">
            <v>8668.5300000000007</v>
          </cell>
          <cell r="Y228">
            <v>34674.120000000003</v>
          </cell>
          <cell r="Z228">
            <v>433.43</v>
          </cell>
          <cell r="AA228">
            <v>1733.72</v>
          </cell>
          <cell r="AB228">
            <v>9101.9599999999991</v>
          </cell>
          <cell r="AC228">
            <v>36407.839999999997</v>
          </cell>
          <cell r="AF228">
            <v>9101.9599999999991</v>
          </cell>
          <cell r="AG228">
            <v>36407.839999999997</v>
          </cell>
        </row>
        <row r="229">
          <cell r="A229" t="str">
            <v>1.2.7.3</v>
          </cell>
          <cell r="B229" t="str">
            <v>800 x 600mm dia.</v>
          </cell>
          <cell r="C229">
            <v>3</v>
          </cell>
          <cell r="D229" t="str">
            <v>No.</v>
          </cell>
          <cell r="E229">
            <v>2064</v>
          </cell>
          <cell r="F229">
            <v>6192</v>
          </cell>
          <cell r="G229">
            <v>7595.52</v>
          </cell>
          <cell r="H229">
            <v>22786.560000000001</v>
          </cell>
          <cell r="I229">
            <v>379.78</v>
          </cell>
          <cell r="J229">
            <v>1139.3399999999999</v>
          </cell>
          <cell r="K229">
            <v>7975.3</v>
          </cell>
          <cell r="L229">
            <v>23925.9</v>
          </cell>
          <cell r="M229">
            <v>2471.2800000000002</v>
          </cell>
          <cell r="N229">
            <v>7413.84</v>
          </cell>
          <cell r="O229">
            <v>9094.31</v>
          </cell>
          <cell r="P229">
            <v>27282.93</v>
          </cell>
          <cell r="Q229">
            <v>454.72</v>
          </cell>
          <cell r="R229">
            <v>1364.16</v>
          </cell>
          <cell r="S229">
            <v>9549.0300000000007</v>
          </cell>
          <cell r="T229">
            <v>28647.09</v>
          </cell>
          <cell r="U229">
            <v>2746.71</v>
          </cell>
          <cell r="V229">
            <v>2362.17</v>
          </cell>
          <cell r="W229">
            <v>7086.51</v>
          </cell>
          <cell r="X229">
            <v>8692.7900000000009</v>
          </cell>
          <cell r="Y229">
            <v>26078.37</v>
          </cell>
          <cell r="Z229">
            <v>434.64</v>
          </cell>
          <cell r="AA229">
            <v>1303.92</v>
          </cell>
          <cell r="AB229">
            <v>9127.43</v>
          </cell>
          <cell r="AC229">
            <v>27382.29</v>
          </cell>
          <cell r="AF229">
            <v>9127.43</v>
          </cell>
          <cell r="AG229">
            <v>27382.29</v>
          </cell>
        </row>
        <row r="230">
          <cell r="A230" t="str">
            <v>1.2.7.4</v>
          </cell>
          <cell r="B230" t="str">
            <v>600 x 400mm dia.</v>
          </cell>
          <cell r="C230">
            <v>2</v>
          </cell>
          <cell r="D230" t="str">
            <v>No.</v>
          </cell>
          <cell r="E230">
            <v>1189.52</v>
          </cell>
          <cell r="F230">
            <v>2379.04</v>
          </cell>
          <cell r="G230">
            <v>4377.43</v>
          </cell>
          <cell r="H230">
            <v>8754.86</v>
          </cell>
          <cell r="I230">
            <v>218.87</v>
          </cell>
          <cell r="J230">
            <v>437.74</v>
          </cell>
          <cell r="K230">
            <v>4596.3</v>
          </cell>
          <cell r="L230">
            <v>9192.6</v>
          </cell>
          <cell r="M230">
            <v>1410.34</v>
          </cell>
          <cell r="N230">
            <v>2820.68</v>
          </cell>
          <cell r="O230">
            <v>5190.05</v>
          </cell>
          <cell r="P230">
            <v>10380.1</v>
          </cell>
          <cell r="Q230">
            <v>259.5</v>
          </cell>
          <cell r="R230">
            <v>519</v>
          </cell>
          <cell r="S230">
            <v>5449.55</v>
          </cell>
          <cell r="T230">
            <v>10899.1</v>
          </cell>
          <cell r="U230">
            <v>1323.44</v>
          </cell>
          <cell r="V230">
            <v>1138.1600000000001</v>
          </cell>
          <cell r="W230">
            <v>2276.3200000000002</v>
          </cell>
          <cell r="X230">
            <v>4188.43</v>
          </cell>
          <cell r="Y230">
            <v>8376.86</v>
          </cell>
          <cell r="Z230">
            <v>209.42</v>
          </cell>
          <cell r="AA230">
            <v>418.84</v>
          </cell>
          <cell r="AB230">
            <v>4397.8500000000004</v>
          </cell>
          <cell r="AC230">
            <v>8795.7000000000007</v>
          </cell>
          <cell r="AF230">
            <v>4397.8500000000004</v>
          </cell>
          <cell r="AG230">
            <v>8795.7000000000007</v>
          </cell>
        </row>
        <row r="231">
          <cell r="A231" t="str">
            <v>1.2.7.5</v>
          </cell>
          <cell r="B231" t="str">
            <v>400 x 300mm dia.</v>
          </cell>
          <cell r="C231">
            <v>1</v>
          </cell>
          <cell r="D231" t="str">
            <v>No.</v>
          </cell>
          <cell r="E231">
            <v>585.34</v>
          </cell>
          <cell r="F231">
            <v>585.34</v>
          </cell>
          <cell r="G231">
            <v>2154.0500000000002</v>
          </cell>
          <cell r="H231">
            <v>2154.0500000000002</v>
          </cell>
          <cell r="I231">
            <v>107.7</v>
          </cell>
          <cell r="J231">
            <v>107.7</v>
          </cell>
          <cell r="K231">
            <v>2261.75</v>
          </cell>
          <cell r="L231">
            <v>2261.75</v>
          </cell>
          <cell r="M231">
            <v>758.9</v>
          </cell>
          <cell r="N231">
            <v>758.9</v>
          </cell>
          <cell r="O231">
            <v>2792.75</v>
          </cell>
          <cell r="P231">
            <v>2792.75</v>
          </cell>
          <cell r="Q231">
            <v>139.63999999999999</v>
          </cell>
          <cell r="R231">
            <v>139.63999999999999</v>
          </cell>
          <cell r="S231">
            <v>2932.39</v>
          </cell>
          <cell r="T231">
            <v>2932.39</v>
          </cell>
          <cell r="U231">
            <v>635.52</v>
          </cell>
          <cell r="V231">
            <v>546.54999999999995</v>
          </cell>
          <cell r="W231">
            <v>546.54999999999995</v>
          </cell>
          <cell r="X231">
            <v>2011.3</v>
          </cell>
          <cell r="Y231">
            <v>2011.3</v>
          </cell>
          <cell r="Z231">
            <v>100.57</v>
          </cell>
          <cell r="AA231">
            <v>100.57</v>
          </cell>
          <cell r="AB231">
            <v>2111.87</v>
          </cell>
          <cell r="AC231">
            <v>2111.87</v>
          </cell>
          <cell r="AF231">
            <v>2111.87</v>
          </cell>
          <cell r="AG231">
            <v>2111.87</v>
          </cell>
        </row>
        <row r="232">
          <cell r="A232" t="str">
            <v>1.2.7.6</v>
          </cell>
          <cell r="B232" t="str">
            <v>400 x 300mm dia. (PN 16)</v>
          </cell>
          <cell r="C232">
            <v>6</v>
          </cell>
          <cell r="D232" t="str">
            <v>No.</v>
          </cell>
          <cell r="E232">
            <v>585.34</v>
          </cell>
          <cell r="F232">
            <v>3512.04</v>
          </cell>
          <cell r="G232">
            <v>2154.0500000000002</v>
          </cell>
          <cell r="H232">
            <v>12924.3</v>
          </cell>
          <cell r="I232">
            <v>107.7</v>
          </cell>
          <cell r="J232">
            <v>646.20000000000005</v>
          </cell>
          <cell r="K232">
            <v>2261.75</v>
          </cell>
          <cell r="L232">
            <v>13570.5</v>
          </cell>
          <cell r="M232">
            <v>564.51</v>
          </cell>
          <cell r="N232">
            <v>3387.06</v>
          </cell>
          <cell r="O232">
            <v>2077.4</v>
          </cell>
          <cell r="P232">
            <v>12464.4</v>
          </cell>
          <cell r="Q232">
            <v>103.87</v>
          </cell>
          <cell r="R232">
            <v>623.22</v>
          </cell>
          <cell r="S232">
            <v>2181.27</v>
          </cell>
          <cell r="T232">
            <v>13087.62</v>
          </cell>
          <cell r="U232">
            <v>661.24</v>
          </cell>
          <cell r="V232">
            <v>568.66999999999996</v>
          </cell>
          <cell r="W232">
            <v>3412.02</v>
          </cell>
          <cell r="X232">
            <v>2092.71</v>
          </cell>
          <cell r="Y232">
            <v>12556.26</v>
          </cell>
          <cell r="Z232">
            <v>104.64</v>
          </cell>
          <cell r="AA232">
            <v>627.84</v>
          </cell>
          <cell r="AB232">
            <v>2197.35</v>
          </cell>
          <cell r="AC232">
            <v>13184.1</v>
          </cell>
          <cell r="AF232">
            <v>2197.35</v>
          </cell>
          <cell r="AG232">
            <v>13184.1</v>
          </cell>
        </row>
        <row r="233">
          <cell r="A233" t="str">
            <v>1.2.7.7</v>
          </cell>
          <cell r="B233" t="str">
            <v>400 x 300mm dia. (PN 10)</v>
          </cell>
          <cell r="C233">
            <v>1</v>
          </cell>
          <cell r="D233" t="str">
            <v>No.</v>
          </cell>
          <cell r="E233">
            <v>585.34</v>
          </cell>
          <cell r="F233">
            <v>585.34</v>
          </cell>
          <cell r="G233">
            <v>2154.0500000000002</v>
          </cell>
          <cell r="H233">
            <v>2154.0500000000002</v>
          </cell>
          <cell r="I233">
            <v>107.7</v>
          </cell>
          <cell r="J233">
            <v>107.7</v>
          </cell>
          <cell r="K233">
            <v>2261.75</v>
          </cell>
          <cell r="L233">
            <v>2261.75</v>
          </cell>
          <cell r="M233">
            <v>494.38</v>
          </cell>
          <cell r="N233">
            <v>494.38</v>
          </cell>
          <cell r="O233">
            <v>1819.32</v>
          </cell>
          <cell r="P233">
            <v>1819.32</v>
          </cell>
          <cell r="Q233">
            <v>90.97</v>
          </cell>
          <cell r="R233">
            <v>90.97</v>
          </cell>
          <cell r="S233">
            <v>1910.29</v>
          </cell>
          <cell r="T233">
            <v>1910.29</v>
          </cell>
          <cell r="U233">
            <v>615.46</v>
          </cell>
          <cell r="V233">
            <v>529.29999999999995</v>
          </cell>
          <cell r="W233">
            <v>529.29999999999995</v>
          </cell>
          <cell r="X233">
            <v>1947.82</v>
          </cell>
          <cell r="Y233">
            <v>1947.82</v>
          </cell>
          <cell r="Z233">
            <v>97.39</v>
          </cell>
          <cell r="AA233">
            <v>97.39</v>
          </cell>
          <cell r="AB233">
            <v>2045.21</v>
          </cell>
          <cell r="AC233">
            <v>2045.21</v>
          </cell>
          <cell r="AF233">
            <v>2045.21</v>
          </cell>
          <cell r="AG233">
            <v>2045.21</v>
          </cell>
        </row>
        <row r="234">
          <cell r="A234" t="str">
            <v>1.2.7.8</v>
          </cell>
          <cell r="B234" t="str">
            <v>300 x 200mm dia.</v>
          </cell>
          <cell r="C234">
            <v>1</v>
          </cell>
          <cell r="D234" t="str">
            <v>No.</v>
          </cell>
          <cell r="E234">
            <v>404.04</v>
          </cell>
          <cell r="F234">
            <v>404.04</v>
          </cell>
          <cell r="G234">
            <v>1486.87</v>
          </cell>
          <cell r="H234">
            <v>1486.87</v>
          </cell>
          <cell r="I234">
            <v>74.34</v>
          </cell>
          <cell r="J234">
            <v>74.34</v>
          </cell>
          <cell r="K234">
            <v>1561.21</v>
          </cell>
          <cell r="L234">
            <v>1561.21</v>
          </cell>
          <cell r="M234">
            <v>312.17</v>
          </cell>
          <cell r="N234">
            <v>312.17</v>
          </cell>
          <cell r="O234">
            <v>1148.79</v>
          </cell>
          <cell r="P234">
            <v>1148.79</v>
          </cell>
          <cell r="Q234">
            <v>57.44</v>
          </cell>
          <cell r="R234">
            <v>57.44</v>
          </cell>
          <cell r="S234">
            <v>1206.23</v>
          </cell>
          <cell r="T234">
            <v>1206.23</v>
          </cell>
          <cell r="U234">
            <v>406.64</v>
          </cell>
          <cell r="V234">
            <v>349.71</v>
          </cell>
          <cell r="W234">
            <v>349.71</v>
          </cell>
          <cell r="X234">
            <v>1286.93</v>
          </cell>
          <cell r="Y234">
            <v>1286.93</v>
          </cell>
          <cell r="Z234">
            <v>64.349999999999994</v>
          </cell>
          <cell r="AA234">
            <v>64.349999999999994</v>
          </cell>
          <cell r="AB234">
            <v>1351.28</v>
          </cell>
          <cell r="AC234">
            <v>1351.28</v>
          </cell>
          <cell r="AF234">
            <v>1351.28</v>
          </cell>
          <cell r="AG234">
            <v>1351.28</v>
          </cell>
        </row>
        <row r="235">
          <cell r="F235">
            <v>0</v>
          </cell>
          <cell r="G235">
            <v>0</v>
          </cell>
          <cell r="H235">
            <v>0</v>
          </cell>
          <cell r="I235">
            <v>0</v>
          </cell>
          <cell r="J235">
            <v>0</v>
          </cell>
          <cell r="K235">
            <v>0</v>
          </cell>
          <cell r="L235">
            <v>0</v>
          </cell>
          <cell r="N235">
            <v>0</v>
          </cell>
          <cell r="O235">
            <v>0</v>
          </cell>
          <cell r="P235">
            <v>0</v>
          </cell>
          <cell r="Q235">
            <v>0</v>
          </cell>
          <cell r="R235">
            <v>0</v>
          </cell>
          <cell r="S235">
            <v>0</v>
          </cell>
          <cell r="T235">
            <v>0</v>
          </cell>
          <cell r="V235">
            <v>0</v>
          </cell>
          <cell r="W235">
            <v>0</v>
          </cell>
          <cell r="X235">
            <v>0</v>
          </cell>
          <cell r="Y235">
            <v>0</v>
          </cell>
          <cell r="Z235">
            <v>0</v>
          </cell>
          <cell r="AA235">
            <v>0</v>
          </cell>
          <cell r="AB235">
            <v>0</v>
          </cell>
          <cell r="AC235">
            <v>0</v>
          </cell>
          <cell r="AF235">
            <v>0</v>
          </cell>
          <cell r="AG235">
            <v>0</v>
          </cell>
        </row>
        <row r="236">
          <cell r="B236" t="str">
            <v xml:space="preserve">Flanged Spigot Pieces (Bituminous/zinc coating internally - </v>
          </cell>
          <cell r="F236">
            <v>0</v>
          </cell>
          <cell r="G236">
            <v>0</v>
          </cell>
          <cell r="H236">
            <v>0</v>
          </cell>
          <cell r="I236">
            <v>0</v>
          </cell>
          <cell r="J236">
            <v>0</v>
          </cell>
          <cell r="K236">
            <v>0</v>
          </cell>
          <cell r="L236">
            <v>0</v>
          </cell>
          <cell r="N236">
            <v>0</v>
          </cell>
          <cell r="O236">
            <v>0</v>
          </cell>
          <cell r="P236">
            <v>0</v>
          </cell>
          <cell r="Q236">
            <v>0</v>
          </cell>
          <cell r="R236">
            <v>0</v>
          </cell>
          <cell r="S236">
            <v>0</v>
          </cell>
          <cell r="T236">
            <v>0</v>
          </cell>
          <cell r="V236">
            <v>0</v>
          </cell>
          <cell r="W236">
            <v>0</v>
          </cell>
          <cell r="X236">
            <v>0</v>
          </cell>
          <cell r="Y236">
            <v>0</v>
          </cell>
          <cell r="Z236">
            <v>0</v>
          </cell>
          <cell r="AA236">
            <v>0</v>
          </cell>
          <cell r="AB236">
            <v>0</v>
          </cell>
          <cell r="AC236">
            <v>0</v>
          </cell>
          <cell r="AF236">
            <v>0</v>
          </cell>
          <cell r="AG236">
            <v>0</v>
          </cell>
        </row>
        <row r="237">
          <cell r="B237" t="str">
            <v>Cement mortar internally)</v>
          </cell>
          <cell r="F237">
            <v>0</v>
          </cell>
          <cell r="G237">
            <v>0</v>
          </cell>
          <cell r="H237">
            <v>0</v>
          </cell>
          <cell r="I237">
            <v>0</v>
          </cell>
          <cell r="J237">
            <v>0</v>
          </cell>
          <cell r="K237">
            <v>0</v>
          </cell>
          <cell r="L237">
            <v>0</v>
          </cell>
          <cell r="N237">
            <v>0</v>
          </cell>
          <cell r="O237">
            <v>0</v>
          </cell>
          <cell r="P237">
            <v>0</v>
          </cell>
          <cell r="Q237">
            <v>0</v>
          </cell>
          <cell r="R237">
            <v>0</v>
          </cell>
          <cell r="S237">
            <v>0</v>
          </cell>
          <cell r="T237">
            <v>0</v>
          </cell>
          <cell r="V237">
            <v>0</v>
          </cell>
          <cell r="W237">
            <v>0</v>
          </cell>
          <cell r="X237">
            <v>0</v>
          </cell>
          <cell r="Y237">
            <v>0</v>
          </cell>
          <cell r="Z237">
            <v>0</v>
          </cell>
          <cell r="AA237">
            <v>0</v>
          </cell>
          <cell r="AB237">
            <v>0</v>
          </cell>
          <cell r="AC237">
            <v>0</v>
          </cell>
          <cell r="AF237">
            <v>0</v>
          </cell>
          <cell r="AG237">
            <v>0</v>
          </cell>
        </row>
        <row r="238">
          <cell r="A238" t="str">
            <v>1.2.8.1</v>
          </cell>
          <cell r="B238" t="str">
            <v>1000mm dia.</v>
          </cell>
          <cell r="C238">
            <v>5</v>
          </cell>
          <cell r="D238" t="str">
            <v>No.</v>
          </cell>
          <cell r="E238">
            <v>1863.61</v>
          </cell>
          <cell r="F238">
            <v>9318.0499999999993</v>
          </cell>
          <cell r="G238">
            <v>6858.08</v>
          </cell>
          <cell r="H238">
            <v>34290.400000000001</v>
          </cell>
          <cell r="I238">
            <v>342.9</v>
          </cell>
          <cell r="J238">
            <v>1714.5</v>
          </cell>
          <cell r="K238">
            <v>7200.98</v>
          </cell>
          <cell r="L238">
            <v>36004.9</v>
          </cell>
          <cell r="M238">
            <v>3094.86</v>
          </cell>
          <cell r="N238">
            <v>15474.3</v>
          </cell>
          <cell r="O238">
            <v>11389.08</v>
          </cell>
          <cell r="P238">
            <v>56945.4</v>
          </cell>
          <cell r="Q238">
            <v>569.45000000000005</v>
          </cell>
          <cell r="R238">
            <v>2847.25</v>
          </cell>
          <cell r="S238">
            <v>11958.53</v>
          </cell>
          <cell r="T238">
            <v>59792.65</v>
          </cell>
          <cell r="U238">
            <v>2668.08</v>
          </cell>
          <cell r="V238">
            <v>2294.5500000000002</v>
          </cell>
          <cell r="W238">
            <v>11472.75</v>
          </cell>
          <cell r="X238">
            <v>8443.94</v>
          </cell>
          <cell r="Y238">
            <v>42219.7</v>
          </cell>
          <cell r="Z238">
            <v>422.2</v>
          </cell>
          <cell r="AA238">
            <v>2111</v>
          </cell>
          <cell r="AB238">
            <v>8866.14</v>
          </cell>
          <cell r="AC238">
            <v>44330.7</v>
          </cell>
          <cell r="AF238">
            <v>8866.14</v>
          </cell>
          <cell r="AG238">
            <v>44330.7</v>
          </cell>
        </row>
        <row r="239">
          <cell r="A239" t="str">
            <v>1.2.8.2</v>
          </cell>
          <cell r="B239" t="str">
            <v>700mm dia.</v>
          </cell>
          <cell r="C239">
            <v>2</v>
          </cell>
          <cell r="D239" t="str">
            <v>No.</v>
          </cell>
          <cell r="E239">
            <v>1132.96</v>
          </cell>
          <cell r="F239">
            <v>2265.92</v>
          </cell>
          <cell r="G239">
            <v>4169.29</v>
          </cell>
          <cell r="H239">
            <v>8338.58</v>
          </cell>
          <cell r="I239">
            <v>208.46</v>
          </cell>
          <cell r="J239">
            <v>416.92</v>
          </cell>
          <cell r="K239">
            <v>4377.75</v>
          </cell>
          <cell r="L239">
            <v>8755.5</v>
          </cell>
          <cell r="M239">
            <v>1510.44</v>
          </cell>
          <cell r="N239">
            <v>3020.88</v>
          </cell>
          <cell r="O239">
            <v>5558.42</v>
          </cell>
          <cell r="P239">
            <v>11116.84</v>
          </cell>
          <cell r="Q239">
            <v>277.92</v>
          </cell>
          <cell r="R239">
            <v>555.84</v>
          </cell>
          <cell r="S239">
            <v>5836.34</v>
          </cell>
          <cell r="T239">
            <v>11672.68</v>
          </cell>
          <cell r="U239">
            <v>1207.4100000000001</v>
          </cell>
          <cell r="V239">
            <v>1038.3699999999999</v>
          </cell>
          <cell r="W239">
            <v>2076.7399999999998</v>
          </cell>
          <cell r="X239">
            <v>3821.2</v>
          </cell>
          <cell r="Y239">
            <v>7642.4</v>
          </cell>
          <cell r="Z239">
            <v>191.06</v>
          </cell>
          <cell r="AA239">
            <v>382.12</v>
          </cell>
          <cell r="AB239">
            <v>4012.26</v>
          </cell>
          <cell r="AC239">
            <v>8024.52</v>
          </cell>
          <cell r="AF239">
            <v>4012.26</v>
          </cell>
          <cell r="AG239">
            <v>8024.52</v>
          </cell>
        </row>
        <row r="240">
          <cell r="A240" t="str">
            <v>1.2.8.3</v>
          </cell>
          <cell r="B240" t="str">
            <v>600mm dia.</v>
          </cell>
          <cell r="C240">
            <v>25</v>
          </cell>
          <cell r="D240" t="str">
            <v>No.</v>
          </cell>
          <cell r="E240">
            <v>809.12</v>
          </cell>
          <cell r="F240">
            <v>20228</v>
          </cell>
          <cell r="G240">
            <v>2977.56</v>
          </cell>
          <cell r="H240">
            <v>74439</v>
          </cell>
          <cell r="I240">
            <v>148.88</v>
          </cell>
          <cell r="J240">
            <v>3722</v>
          </cell>
          <cell r="K240">
            <v>3126.44</v>
          </cell>
          <cell r="L240">
            <v>78161</v>
          </cell>
          <cell r="M240">
            <v>1103.3800000000001</v>
          </cell>
          <cell r="N240">
            <v>27584.5</v>
          </cell>
          <cell r="O240">
            <v>4060.44</v>
          </cell>
          <cell r="P240">
            <v>101511</v>
          </cell>
          <cell r="Q240">
            <v>203.02</v>
          </cell>
          <cell r="R240">
            <v>5075.5</v>
          </cell>
          <cell r="S240">
            <v>4263.46</v>
          </cell>
          <cell r="T240">
            <v>106586.5</v>
          </cell>
          <cell r="U240">
            <v>1024.1300000000001</v>
          </cell>
          <cell r="V240">
            <v>880.75</v>
          </cell>
          <cell r="W240">
            <v>22018.75</v>
          </cell>
          <cell r="X240">
            <v>3241.16</v>
          </cell>
          <cell r="Y240">
            <v>81029</v>
          </cell>
          <cell r="Z240">
            <v>162.06</v>
          </cell>
          <cell r="AA240">
            <v>4051.5</v>
          </cell>
          <cell r="AB240">
            <v>3403.22</v>
          </cell>
          <cell r="AC240">
            <v>85080.5</v>
          </cell>
          <cell r="AF240">
            <v>3403.22</v>
          </cell>
          <cell r="AG240">
            <v>85080.5</v>
          </cell>
        </row>
        <row r="241">
          <cell r="A241" t="str">
            <v>1.2.8.4</v>
          </cell>
          <cell r="B241" t="str">
            <v>600mm dia. (PN 16)</v>
          </cell>
          <cell r="C241">
            <v>2</v>
          </cell>
          <cell r="D241" t="str">
            <v>No.</v>
          </cell>
          <cell r="E241">
            <v>809.12</v>
          </cell>
          <cell r="F241">
            <v>1618.24</v>
          </cell>
          <cell r="G241">
            <v>2977.56</v>
          </cell>
          <cell r="H241">
            <v>5955.12</v>
          </cell>
          <cell r="I241">
            <v>148.88</v>
          </cell>
          <cell r="J241">
            <v>297.76</v>
          </cell>
          <cell r="K241">
            <v>3126.44</v>
          </cell>
          <cell r="L241">
            <v>6252.88</v>
          </cell>
          <cell r="M241">
            <v>1017.06</v>
          </cell>
          <cell r="N241">
            <v>2034.12</v>
          </cell>
          <cell r="O241">
            <v>3742.78</v>
          </cell>
          <cell r="P241">
            <v>7485.56</v>
          </cell>
          <cell r="Q241">
            <v>187.14</v>
          </cell>
          <cell r="R241">
            <v>374.28</v>
          </cell>
          <cell r="S241">
            <v>3929.92</v>
          </cell>
          <cell r="T241">
            <v>7859.84</v>
          </cell>
          <cell r="U241">
            <v>824.04</v>
          </cell>
          <cell r="V241">
            <v>708.67</v>
          </cell>
          <cell r="W241">
            <v>1417.34</v>
          </cell>
          <cell r="X241">
            <v>2607.91</v>
          </cell>
          <cell r="Y241">
            <v>5215.82</v>
          </cell>
          <cell r="Z241">
            <v>130.4</v>
          </cell>
          <cell r="AA241">
            <v>260.8</v>
          </cell>
          <cell r="AB241">
            <v>2738.31</v>
          </cell>
          <cell r="AC241">
            <v>5476.62</v>
          </cell>
          <cell r="AF241">
            <v>2738.31</v>
          </cell>
          <cell r="AG241">
            <v>5476.62</v>
          </cell>
        </row>
        <row r="242">
          <cell r="A242" t="str">
            <v>1.2.8.5</v>
          </cell>
          <cell r="B242" t="str">
            <v>400mm dia. (PN 16)</v>
          </cell>
          <cell r="C242">
            <v>8</v>
          </cell>
          <cell r="D242" t="str">
            <v>No.</v>
          </cell>
          <cell r="E242">
            <v>444.26</v>
          </cell>
          <cell r="F242">
            <v>3554.08</v>
          </cell>
          <cell r="G242">
            <v>1634.88</v>
          </cell>
          <cell r="H242">
            <v>13079.04</v>
          </cell>
          <cell r="I242">
            <v>81.739999999999995</v>
          </cell>
          <cell r="J242">
            <v>653.91999999999996</v>
          </cell>
          <cell r="K242">
            <v>1716.62</v>
          </cell>
          <cell r="L242">
            <v>13732.96</v>
          </cell>
          <cell r="M242">
            <v>448.31</v>
          </cell>
          <cell r="N242">
            <v>3586.48</v>
          </cell>
          <cell r="O242">
            <v>1649.78</v>
          </cell>
          <cell r="P242">
            <v>13198.24</v>
          </cell>
          <cell r="Q242">
            <v>82.49</v>
          </cell>
          <cell r="R242">
            <v>659.92</v>
          </cell>
          <cell r="S242">
            <v>1732.27</v>
          </cell>
          <cell r="T242">
            <v>13858.16</v>
          </cell>
          <cell r="U242">
            <v>487.8</v>
          </cell>
          <cell r="V242">
            <v>419.51</v>
          </cell>
          <cell r="W242">
            <v>3356.08</v>
          </cell>
          <cell r="X242">
            <v>1543.8</v>
          </cell>
          <cell r="Y242">
            <v>12350.4</v>
          </cell>
          <cell r="Z242">
            <v>77.19</v>
          </cell>
          <cell r="AA242">
            <v>617.52</v>
          </cell>
          <cell r="AB242">
            <v>1620.99</v>
          </cell>
          <cell r="AC242">
            <v>12967.92</v>
          </cell>
          <cell r="AF242">
            <v>1620.99</v>
          </cell>
          <cell r="AG242">
            <v>12967.92</v>
          </cell>
        </row>
        <row r="243">
          <cell r="A243" t="str">
            <v>1.2.8.6</v>
          </cell>
          <cell r="B243" t="str">
            <v>400mm dia. (PN 10)</v>
          </cell>
          <cell r="C243">
            <v>1</v>
          </cell>
          <cell r="D243" t="str">
            <v>No.</v>
          </cell>
          <cell r="E243">
            <v>444.26</v>
          </cell>
          <cell r="F243">
            <v>444.26</v>
          </cell>
          <cell r="G243">
            <v>1634.88</v>
          </cell>
          <cell r="H243">
            <v>1634.88</v>
          </cell>
          <cell r="I243">
            <v>81.739999999999995</v>
          </cell>
          <cell r="J243">
            <v>81.739999999999995</v>
          </cell>
          <cell r="K243">
            <v>1716.62</v>
          </cell>
          <cell r="L243">
            <v>1716.62</v>
          </cell>
          <cell r="M243">
            <v>389.12</v>
          </cell>
          <cell r="N243">
            <v>389.12</v>
          </cell>
          <cell r="O243">
            <v>1431.96</v>
          </cell>
          <cell r="P243">
            <v>1431.96</v>
          </cell>
          <cell r="Q243">
            <v>71.599999999999994</v>
          </cell>
          <cell r="R243">
            <v>71.599999999999994</v>
          </cell>
          <cell r="S243">
            <v>1503.56</v>
          </cell>
          <cell r="T243">
            <v>1503.56</v>
          </cell>
          <cell r="U243">
            <v>540.05999999999995</v>
          </cell>
          <cell r="V243">
            <v>464.45</v>
          </cell>
          <cell r="W243">
            <v>464.45</v>
          </cell>
          <cell r="X243">
            <v>1709.18</v>
          </cell>
          <cell r="Y243">
            <v>1709.18</v>
          </cell>
          <cell r="Z243">
            <v>85.46</v>
          </cell>
          <cell r="AA243">
            <v>85.46</v>
          </cell>
          <cell r="AB243">
            <v>1794.64</v>
          </cell>
          <cell r="AC243">
            <v>1794.64</v>
          </cell>
          <cell r="AF243">
            <v>1794.64</v>
          </cell>
          <cell r="AG243">
            <v>1794.64</v>
          </cell>
        </row>
        <row r="244">
          <cell r="A244" t="str">
            <v>1.2.8.7</v>
          </cell>
          <cell r="B244" t="str">
            <v>300mm dia. (PN 16)</v>
          </cell>
          <cell r="C244">
            <v>3</v>
          </cell>
          <cell r="D244" t="str">
            <v>No.</v>
          </cell>
          <cell r="E244">
            <v>282.89</v>
          </cell>
          <cell r="F244">
            <v>848.67</v>
          </cell>
          <cell r="G244">
            <v>1041.04</v>
          </cell>
          <cell r="H244">
            <v>3123.12</v>
          </cell>
          <cell r="I244">
            <v>52.05</v>
          </cell>
          <cell r="J244">
            <v>156.15</v>
          </cell>
          <cell r="K244">
            <v>1093.0899999999999</v>
          </cell>
          <cell r="L244">
            <v>3279.27</v>
          </cell>
          <cell r="M244">
            <v>255.58</v>
          </cell>
          <cell r="N244">
            <v>766.74</v>
          </cell>
          <cell r="O244">
            <v>940.53</v>
          </cell>
          <cell r="P244">
            <v>2821.59</v>
          </cell>
          <cell r="Q244">
            <v>47.03</v>
          </cell>
          <cell r="R244">
            <v>141.09</v>
          </cell>
          <cell r="S244">
            <v>987.56</v>
          </cell>
          <cell r="T244">
            <v>2962.68</v>
          </cell>
          <cell r="U244">
            <v>375.86</v>
          </cell>
          <cell r="V244">
            <v>323.24</v>
          </cell>
          <cell r="W244">
            <v>969.72</v>
          </cell>
          <cell r="X244">
            <v>1189.52</v>
          </cell>
          <cell r="Y244">
            <v>3568.56</v>
          </cell>
          <cell r="Z244">
            <v>59.48</v>
          </cell>
          <cell r="AA244">
            <v>178.44</v>
          </cell>
          <cell r="AB244">
            <v>1249</v>
          </cell>
          <cell r="AC244">
            <v>3747</v>
          </cell>
          <cell r="AF244">
            <v>1249</v>
          </cell>
          <cell r="AG244">
            <v>3747</v>
          </cell>
        </row>
        <row r="245">
          <cell r="A245" t="str">
            <v>1.2.8.8</v>
          </cell>
          <cell r="B245" t="str">
            <v>200mm dia.</v>
          </cell>
          <cell r="C245">
            <v>91</v>
          </cell>
          <cell r="D245" t="str">
            <v>No.</v>
          </cell>
          <cell r="E245">
            <v>138.12</v>
          </cell>
          <cell r="F245">
            <v>12568.92</v>
          </cell>
          <cell r="G245">
            <v>508.28</v>
          </cell>
          <cell r="H245">
            <v>46253.48</v>
          </cell>
          <cell r="I245">
            <v>25.41</v>
          </cell>
          <cell r="J245">
            <v>2312.31</v>
          </cell>
          <cell r="K245">
            <v>533.69000000000005</v>
          </cell>
          <cell r="L245">
            <v>48565.79</v>
          </cell>
          <cell r="M245">
            <v>160.34</v>
          </cell>
          <cell r="N245">
            <v>14590.94</v>
          </cell>
          <cell r="O245">
            <v>590.04999999999995</v>
          </cell>
          <cell r="P245">
            <v>53694.55</v>
          </cell>
          <cell r="Q245">
            <v>29.5</v>
          </cell>
          <cell r="R245">
            <v>2684.5</v>
          </cell>
          <cell r="S245">
            <v>619.54999999999995</v>
          </cell>
          <cell r="T245">
            <v>56379.05</v>
          </cell>
          <cell r="U245">
            <v>173.82</v>
          </cell>
          <cell r="V245">
            <v>149.49</v>
          </cell>
          <cell r="W245">
            <v>13603.59</v>
          </cell>
          <cell r="X245">
            <v>550.12</v>
          </cell>
          <cell r="Y245">
            <v>50060.92</v>
          </cell>
          <cell r="Z245">
            <v>27.51</v>
          </cell>
          <cell r="AA245">
            <v>2503.41</v>
          </cell>
          <cell r="AB245">
            <v>577.63</v>
          </cell>
          <cell r="AC245">
            <v>52564.33</v>
          </cell>
          <cell r="AF245">
            <v>577.63</v>
          </cell>
          <cell r="AG245">
            <v>52564.33</v>
          </cell>
        </row>
        <row r="246">
          <cell r="A246" t="str">
            <v>1.2.8.9</v>
          </cell>
          <cell r="B246" t="str">
            <v>100mm dia. (PN 16)</v>
          </cell>
          <cell r="C246">
            <v>1</v>
          </cell>
          <cell r="D246" t="str">
            <v>No.</v>
          </cell>
          <cell r="E246">
            <v>98.11</v>
          </cell>
          <cell r="F246">
            <v>98.11</v>
          </cell>
          <cell r="G246">
            <v>361.04</v>
          </cell>
          <cell r="H246">
            <v>361.04</v>
          </cell>
          <cell r="I246">
            <v>18.05</v>
          </cell>
          <cell r="J246">
            <v>18.05</v>
          </cell>
          <cell r="K246">
            <v>379.09</v>
          </cell>
          <cell r="L246">
            <v>379.09</v>
          </cell>
          <cell r="M246">
            <v>98.11</v>
          </cell>
          <cell r="N246">
            <v>98.11</v>
          </cell>
          <cell r="O246">
            <v>361.04</v>
          </cell>
          <cell r="P246">
            <v>361.04</v>
          </cell>
          <cell r="Q246">
            <v>18.05</v>
          </cell>
          <cell r="R246">
            <v>18.05</v>
          </cell>
          <cell r="S246">
            <v>379.09</v>
          </cell>
          <cell r="T246">
            <v>379.09</v>
          </cell>
          <cell r="U246">
            <v>165.39</v>
          </cell>
          <cell r="V246">
            <v>142.24</v>
          </cell>
          <cell r="W246">
            <v>142.24</v>
          </cell>
          <cell r="X246">
            <v>523.44000000000005</v>
          </cell>
          <cell r="Y246">
            <v>523.44000000000005</v>
          </cell>
          <cell r="Z246">
            <v>26.17</v>
          </cell>
          <cell r="AA246">
            <v>26.17</v>
          </cell>
          <cell r="AB246">
            <v>549.61</v>
          </cell>
          <cell r="AC246">
            <v>549.61</v>
          </cell>
          <cell r="AF246">
            <v>549.61</v>
          </cell>
          <cell r="AG246">
            <v>549.61</v>
          </cell>
        </row>
        <row r="247">
          <cell r="B247" t="str">
            <v xml:space="preserve">Double Flanged Short Pipe Pieces (250 mm long ) </v>
          </cell>
          <cell r="F247">
            <v>0</v>
          </cell>
          <cell r="G247">
            <v>0</v>
          </cell>
          <cell r="H247">
            <v>0</v>
          </cell>
          <cell r="I247">
            <v>0</v>
          </cell>
          <cell r="J247">
            <v>0</v>
          </cell>
          <cell r="K247">
            <v>0</v>
          </cell>
          <cell r="L247">
            <v>0</v>
          </cell>
          <cell r="N247">
            <v>0</v>
          </cell>
          <cell r="O247">
            <v>0</v>
          </cell>
          <cell r="P247">
            <v>0</v>
          </cell>
          <cell r="Q247">
            <v>0</v>
          </cell>
          <cell r="R247">
            <v>0</v>
          </cell>
          <cell r="S247">
            <v>0</v>
          </cell>
          <cell r="T247">
            <v>0</v>
          </cell>
          <cell r="V247">
            <v>0</v>
          </cell>
          <cell r="W247">
            <v>0</v>
          </cell>
          <cell r="X247">
            <v>0</v>
          </cell>
          <cell r="Y247">
            <v>0</v>
          </cell>
          <cell r="Z247">
            <v>0</v>
          </cell>
          <cell r="AA247">
            <v>0</v>
          </cell>
          <cell r="AB247">
            <v>0</v>
          </cell>
          <cell r="AC247">
            <v>0</v>
          </cell>
          <cell r="AF247">
            <v>0</v>
          </cell>
          <cell r="AG247">
            <v>0</v>
          </cell>
        </row>
        <row r="248">
          <cell r="B248" t="str">
            <v xml:space="preserve">(with internal and external protection in fusion </v>
          </cell>
          <cell r="F248">
            <v>0</v>
          </cell>
          <cell r="G248">
            <v>0</v>
          </cell>
          <cell r="H248">
            <v>0</v>
          </cell>
          <cell r="I248">
            <v>0</v>
          </cell>
          <cell r="J248">
            <v>0</v>
          </cell>
          <cell r="K248">
            <v>0</v>
          </cell>
          <cell r="L248">
            <v>0</v>
          </cell>
          <cell r="N248">
            <v>0</v>
          </cell>
          <cell r="O248">
            <v>0</v>
          </cell>
          <cell r="P248">
            <v>0</v>
          </cell>
          <cell r="Q248">
            <v>0</v>
          </cell>
          <cell r="R248">
            <v>0</v>
          </cell>
          <cell r="S248">
            <v>0</v>
          </cell>
          <cell r="T248">
            <v>0</v>
          </cell>
          <cell r="V248">
            <v>0</v>
          </cell>
          <cell r="W248">
            <v>0</v>
          </cell>
          <cell r="X248">
            <v>0</v>
          </cell>
          <cell r="Y248">
            <v>0</v>
          </cell>
          <cell r="Z248">
            <v>0</v>
          </cell>
          <cell r="AA248">
            <v>0</v>
          </cell>
          <cell r="AB248">
            <v>0</v>
          </cell>
          <cell r="AC248">
            <v>0</v>
          </cell>
          <cell r="AF248">
            <v>0</v>
          </cell>
          <cell r="AG248">
            <v>0</v>
          </cell>
        </row>
        <row r="249">
          <cell r="B249" t="str">
            <v>bonded epoxy)</v>
          </cell>
          <cell r="F249">
            <v>0</v>
          </cell>
          <cell r="G249">
            <v>0</v>
          </cell>
          <cell r="H249">
            <v>0</v>
          </cell>
          <cell r="I249">
            <v>0</v>
          </cell>
          <cell r="J249">
            <v>0</v>
          </cell>
          <cell r="K249">
            <v>0</v>
          </cell>
          <cell r="L249">
            <v>0</v>
          </cell>
          <cell r="N249">
            <v>0</v>
          </cell>
          <cell r="O249">
            <v>0</v>
          </cell>
          <cell r="P249">
            <v>0</v>
          </cell>
          <cell r="Q249">
            <v>0</v>
          </cell>
          <cell r="R249">
            <v>0</v>
          </cell>
          <cell r="S249">
            <v>0</v>
          </cell>
          <cell r="T249">
            <v>0</v>
          </cell>
          <cell r="V249">
            <v>0</v>
          </cell>
          <cell r="W249">
            <v>0</v>
          </cell>
          <cell r="X249">
            <v>0</v>
          </cell>
          <cell r="Y249">
            <v>0</v>
          </cell>
          <cell r="Z249">
            <v>0</v>
          </cell>
          <cell r="AA249">
            <v>0</v>
          </cell>
          <cell r="AB249">
            <v>0</v>
          </cell>
          <cell r="AC249">
            <v>0</v>
          </cell>
          <cell r="AF249">
            <v>0</v>
          </cell>
          <cell r="AG249">
            <v>0</v>
          </cell>
        </row>
        <row r="250">
          <cell r="A250" t="str">
            <v>1.2.9</v>
          </cell>
          <cell r="B250" t="str">
            <v>200 mm dia.</v>
          </cell>
          <cell r="C250">
            <v>177</v>
          </cell>
          <cell r="D250" t="str">
            <v>No.</v>
          </cell>
          <cell r="E250">
            <v>389.06</v>
          </cell>
          <cell r="F250">
            <v>68863.62</v>
          </cell>
          <cell r="G250">
            <v>1431.74</v>
          </cell>
          <cell r="H250">
            <v>253417.98</v>
          </cell>
          <cell r="I250">
            <v>71.59</v>
          </cell>
          <cell r="J250">
            <v>12671.43</v>
          </cell>
          <cell r="K250">
            <v>1503.33</v>
          </cell>
          <cell r="L250">
            <v>266089.40999999997</v>
          </cell>
          <cell r="M250">
            <v>204.82</v>
          </cell>
          <cell r="N250">
            <v>36253.14</v>
          </cell>
          <cell r="O250">
            <v>753.74</v>
          </cell>
          <cell r="P250">
            <v>133411.98000000001</v>
          </cell>
          <cell r="Q250">
            <v>37.69</v>
          </cell>
          <cell r="R250">
            <v>6671.13</v>
          </cell>
          <cell r="S250">
            <v>791.43</v>
          </cell>
          <cell r="T250">
            <v>140083.10999999999</v>
          </cell>
          <cell r="U250">
            <v>356.65</v>
          </cell>
          <cell r="V250">
            <v>306.72000000000003</v>
          </cell>
          <cell r="W250">
            <v>54289.440000000002</v>
          </cell>
          <cell r="X250">
            <v>1128.73</v>
          </cell>
          <cell r="Y250">
            <v>199785.21</v>
          </cell>
          <cell r="Z250">
            <v>56.44</v>
          </cell>
          <cell r="AA250">
            <v>9989.8799999999992</v>
          </cell>
          <cell r="AB250">
            <v>1185.17</v>
          </cell>
          <cell r="AC250">
            <v>209775.09</v>
          </cell>
          <cell r="AF250">
            <v>1185.17</v>
          </cell>
          <cell r="AG250">
            <v>209775.09</v>
          </cell>
        </row>
        <row r="251">
          <cell r="F251">
            <v>0</v>
          </cell>
          <cell r="G251">
            <v>0</v>
          </cell>
          <cell r="H251">
            <v>0</v>
          </cell>
          <cell r="I251">
            <v>0</v>
          </cell>
          <cell r="J251">
            <v>0</v>
          </cell>
          <cell r="K251">
            <v>0</v>
          </cell>
          <cell r="L251">
            <v>0</v>
          </cell>
          <cell r="N251">
            <v>0</v>
          </cell>
          <cell r="O251">
            <v>0</v>
          </cell>
          <cell r="P251">
            <v>0</v>
          </cell>
          <cell r="Q251">
            <v>0</v>
          </cell>
          <cell r="R251">
            <v>0</v>
          </cell>
          <cell r="S251">
            <v>0</v>
          </cell>
          <cell r="T251">
            <v>0</v>
          </cell>
          <cell r="V251">
            <v>0</v>
          </cell>
          <cell r="W251">
            <v>0</v>
          </cell>
          <cell r="X251">
            <v>0</v>
          </cell>
          <cell r="Y251">
            <v>0</v>
          </cell>
          <cell r="Z251">
            <v>0</v>
          </cell>
          <cell r="AA251">
            <v>0</v>
          </cell>
          <cell r="AB251">
            <v>0</v>
          </cell>
          <cell r="AC251">
            <v>0</v>
          </cell>
          <cell r="AF251">
            <v>0</v>
          </cell>
          <cell r="AG251">
            <v>0</v>
          </cell>
        </row>
        <row r="252">
          <cell r="B252" t="str">
            <v xml:space="preserve">Double Flanged Short Pipe Pieces (700 mm long) (with </v>
          </cell>
          <cell r="F252">
            <v>0</v>
          </cell>
          <cell r="G252">
            <v>0</v>
          </cell>
          <cell r="H252">
            <v>0</v>
          </cell>
          <cell r="I252">
            <v>0</v>
          </cell>
          <cell r="J252">
            <v>0</v>
          </cell>
          <cell r="K252">
            <v>0</v>
          </cell>
          <cell r="L252">
            <v>0</v>
          </cell>
          <cell r="N252">
            <v>0</v>
          </cell>
          <cell r="O252">
            <v>0</v>
          </cell>
          <cell r="P252">
            <v>0</v>
          </cell>
          <cell r="Q252">
            <v>0</v>
          </cell>
          <cell r="R252">
            <v>0</v>
          </cell>
          <cell r="S252">
            <v>0</v>
          </cell>
          <cell r="T252">
            <v>0</v>
          </cell>
          <cell r="V252">
            <v>0</v>
          </cell>
          <cell r="W252">
            <v>0</v>
          </cell>
          <cell r="X252">
            <v>0</v>
          </cell>
          <cell r="Y252">
            <v>0</v>
          </cell>
          <cell r="Z252">
            <v>0</v>
          </cell>
          <cell r="AA252">
            <v>0</v>
          </cell>
          <cell r="AB252">
            <v>0</v>
          </cell>
          <cell r="AC252">
            <v>0</v>
          </cell>
          <cell r="AF252">
            <v>0</v>
          </cell>
          <cell r="AG252">
            <v>0</v>
          </cell>
        </row>
        <row r="253">
          <cell r="B253" t="str">
            <v>internal and external protection in fusion bonded epoxy)</v>
          </cell>
          <cell r="F253">
            <v>0</v>
          </cell>
          <cell r="G253">
            <v>0</v>
          </cell>
          <cell r="H253">
            <v>0</v>
          </cell>
          <cell r="I253">
            <v>0</v>
          </cell>
          <cell r="J253">
            <v>0</v>
          </cell>
          <cell r="K253">
            <v>0</v>
          </cell>
          <cell r="L253">
            <v>0</v>
          </cell>
          <cell r="N253">
            <v>0</v>
          </cell>
          <cell r="O253">
            <v>0</v>
          </cell>
          <cell r="P253">
            <v>0</v>
          </cell>
          <cell r="Q253">
            <v>0</v>
          </cell>
          <cell r="R253">
            <v>0</v>
          </cell>
          <cell r="S253">
            <v>0</v>
          </cell>
          <cell r="T253">
            <v>0</v>
          </cell>
          <cell r="V253">
            <v>0</v>
          </cell>
          <cell r="W253">
            <v>0</v>
          </cell>
          <cell r="X253">
            <v>0</v>
          </cell>
          <cell r="Y253">
            <v>0</v>
          </cell>
          <cell r="Z253">
            <v>0</v>
          </cell>
          <cell r="AA253">
            <v>0</v>
          </cell>
          <cell r="AB253">
            <v>0</v>
          </cell>
          <cell r="AC253">
            <v>0</v>
          </cell>
          <cell r="AF253">
            <v>0</v>
          </cell>
          <cell r="AG253">
            <v>0</v>
          </cell>
        </row>
        <row r="254">
          <cell r="A254" t="str">
            <v>1.2.10</v>
          </cell>
          <cell r="B254" t="str">
            <v>600mm dia.</v>
          </cell>
          <cell r="C254">
            <v>7</v>
          </cell>
          <cell r="D254" t="str">
            <v>No.</v>
          </cell>
          <cell r="E254">
            <v>1738.26</v>
          </cell>
          <cell r="F254">
            <v>12167.82</v>
          </cell>
          <cell r="G254">
            <v>6396.8</v>
          </cell>
          <cell r="H254">
            <v>44777.599999999999</v>
          </cell>
          <cell r="I254">
            <v>319.83999999999997</v>
          </cell>
          <cell r="J254">
            <v>2238.88</v>
          </cell>
          <cell r="K254">
            <v>6716.64</v>
          </cell>
          <cell r="L254">
            <v>47016.480000000003</v>
          </cell>
          <cell r="M254">
            <v>1738.26</v>
          </cell>
          <cell r="N254">
            <v>12167.82</v>
          </cell>
          <cell r="O254">
            <v>6396.8</v>
          </cell>
          <cell r="P254">
            <v>44777.599999999999</v>
          </cell>
          <cell r="Q254">
            <v>319.83999999999997</v>
          </cell>
          <cell r="R254">
            <v>2238.88</v>
          </cell>
          <cell r="S254">
            <v>6716.64</v>
          </cell>
          <cell r="T254">
            <v>47016.480000000003</v>
          </cell>
          <cell r="U254">
            <v>1664.21</v>
          </cell>
          <cell r="V254">
            <v>1431.22</v>
          </cell>
          <cell r="W254">
            <v>10018.540000000001</v>
          </cell>
          <cell r="X254">
            <v>5266.89</v>
          </cell>
          <cell r="Y254">
            <v>36868.230000000003</v>
          </cell>
          <cell r="Z254">
            <v>263.33999999999997</v>
          </cell>
          <cell r="AA254">
            <v>1843.38</v>
          </cell>
          <cell r="AB254">
            <v>5530.23</v>
          </cell>
          <cell r="AC254">
            <v>38711.61</v>
          </cell>
          <cell r="AF254">
            <v>5530.23</v>
          </cell>
          <cell r="AG254">
            <v>38711.61</v>
          </cell>
        </row>
        <row r="255">
          <cell r="F255">
            <v>0</v>
          </cell>
          <cell r="G255">
            <v>0</v>
          </cell>
          <cell r="H255">
            <v>0</v>
          </cell>
          <cell r="I255">
            <v>0</v>
          </cell>
          <cell r="J255">
            <v>0</v>
          </cell>
          <cell r="K255">
            <v>0</v>
          </cell>
          <cell r="L255">
            <v>0</v>
          </cell>
          <cell r="N255">
            <v>0</v>
          </cell>
          <cell r="O255">
            <v>0</v>
          </cell>
          <cell r="P255">
            <v>0</v>
          </cell>
          <cell r="Q255">
            <v>0</v>
          </cell>
          <cell r="R255">
            <v>0</v>
          </cell>
          <cell r="S255">
            <v>0</v>
          </cell>
          <cell r="T255">
            <v>0</v>
          </cell>
          <cell r="V255">
            <v>0</v>
          </cell>
          <cell r="W255">
            <v>0</v>
          </cell>
          <cell r="X255">
            <v>0</v>
          </cell>
          <cell r="Y255">
            <v>0</v>
          </cell>
          <cell r="Z255">
            <v>0</v>
          </cell>
          <cell r="AA255">
            <v>0</v>
          </cell>
          <cell r="AB255">
            <v>0</v>
          </cell>
          <cell r="AC255">
            <v>0</v>
          </cell>
          <cell r="AF255">
            <v>0</v>
          </cell>
          <cell r="AG255">
            <v>0</v>
          </cell>
        </row>
        <row r="256">
          <cell r="B256" t="str">
            <v xml:space="preserve">Flanged Socket Pieces (Bituminous/zinc coating internally - </v>
          </cell>
          <cell r="F256">
            <v>0</v>
          </cell>
          <cell r="G256">
            <v>0</v>
          </cell>
          <cell r="H256">
            <v>0</v>
          </cell>
          <cell r="I256">
            <v>0</v>
          </cell>
          <cell r="J256">
            <v>0</v>
          </cell>
          <cell r="K256">
            <v>0</v>
          </cell>
          <cell r="L256">
            <v>0</v>
          </cell>
          <cell r="N256">
            <v>0</v>
          </cell>
          <cell r="O256">
            <v>0</v>
          </cell>
          <cell r="P256">
            <v>0</v>
          </cell>
          <cell r="Q256">
            <v>0</v>
          </cell>
          <cell r="R256">
            <v>0</v>
          </cell>
          <cell r="S256">
            <v>0</v>
          </cell>
          <cell r="T256">
            <v>0</v>
          </cell>
          <cell r="V256">
            <v>0</v>
          </cell>
          <cell r="W256">
            <v>0</v>
          </cell>
          <cell r="X256">
            <v>0</v>
          </cell>
          <cell r="Y256">
            <v>0</v>
          </cell>
          <cell r="Z256">
            <v>0</v>
          </cell>
          <cell r="AA256">
            <v>0</v>
          </cell>
          <cell r="AB256">
            <v>0</v>
          </cell>
          <cell r="AC256">
            <v>0</v>
          </cell>
          <cell r="AF256">
            <v>0</v>
          </cell>
          <cell r="AG256">
            <v>0</v>
          </cell>
        </row>
        <row r="257">
          <cell r="B257" t="str">
            <v>Cement mortar internally)</v>
          </cell>
          <cell r="F257">
            <v>0</v>
          </cell>
          <cell r="G257">
            <v>0</v>
          </cell>
          <cell r="H257">
            <v>0</v>
          </cell>
          <cell r="I257">
            <v>0</v>
          </cell>
          <cell r="J257">
            <v>0</v>
          </cell>
          <cell r="K257">
            <v>0</v>
          </cell>
          <cell r="L257">
            <v>0</v>
          </cell>
          <cell r="N257">
            <v>0</v>
          </cell>
          <cell r="O257">
            <v>0</v>
          </cell>
          <cell r="P257">
            <v>0</v>
          </cell>
          <cell r="Q257">
            <v>0</v>
          </cell>
          <cell r="R257">
            <v>0</v>
          </cell>
          <cell r="S257">
            <v>0</v>
          </cell>
          <cell r="T257">
            <v>0</v>
          </cell>
          <cell r="V257">
            <v>0</v>
          </cell>
          <cell r="W257">
            <v>0</v>
          </cell>
          <cell r="X257">
            <v>0</v>
          </cell>
          <cell r="Y257">
            <v>0</v>
          </cell>
          <cell r="Z257">
            <v>0</v>
          </cell>
          <cell r="AA257">
            <v>0</v>
          </cell>
          <cell r="AB257">
            <v>0</v>
          </cell>
          <cell r="AC257">
            <v>0</v>
          </cell>
          <cell r="AF257">
            <v>0</v>
          </cell>
          <cell r="AG257">
            <v>0</v>
          </cell>
        </row>
        <row r="258">
          <cell r="A258" t="str">
            <v>1.2.11.1</v>
          </cell>
          <cell r="B258" t="str">
            <v>1000mm dia.</v>
          </cell>
          <cell r="C258">
            <v>6</v>
          </cell>
          <cell r="D258" t="str">
            <v>No.</v>
          </cell>
          <cell r="E258">
            <v>2465.21</v>
          </cell>
          <cell r="F258">
            <v>14791.26</v>
          </cell>
          <cell r="G258">
            <v>9071.9699999999993</v>
          </cell>
          <cell r="H258">
            <v>54431.82</v>
          </cell>
          <cell r="I258">
            <v>453.6</v>
          </cell>
          <cell r="J258">
            <v>2721.6</v>
          </cell>
          <cell r="K258">
            <v>9525.57</v>
          </cell>
          <cell r="L258">
            <v>57153.42</v>
          </cell>
          <cell r="M258">
            <v>3135.34</v>
          </cell>
          <cell r="N258">
            <v>18812.04</v>
          </cell>
          <cell r="O258">
            <v>11538.05</v>
          </cell>
          <cell r="P258">
            <v>69228.3</v>
          </cell>
          <cell r="Q258">
            <v>576.9</v>
          </cell>
          <cell r="R258">
            <v>3461.4</v>
          </cell>
          <cell r="S258">
            <v>12114.95</v>
          </cell>
          <cell r="T258">
            <v>72689.7</v>
          </cell>
          <cell r="U258">
            <v>2496.2600000000002</v>
          </cell>
          <cell r="V258">
            <v>2146.7800000000002</v>
          </cell>
          <cell r="W258">
            <v>12880.68</v>
          </cell>
          <cell r="X258">
            <v>7900.15</v>
          </cell>
          <cell r="Y258">
            <v>47400.9</v>
          </cell>
          <cell r="Z258">
            <v>395.01</v>
          </cell>
          <cell r="AA258">
            <v>2370.06</v>
          </cell>
          <cell r="AB258">
            <v>8295.16</v>
          </cell>
          <cell r="AC258">
            <v>49770.96</v>
          </cell>
          <cell r="AF258">
            <v>8295.16</v>
          </cell>
          <cell r="AG258">
            <v>49770.96</v>
          </cell>
        </row>
        <row r="259">
          <cell r="A259" t="str">
            <v>1.2.11.2</v>
          </cell>
          <cell r="B259" t="str">
            <v>800mm dia.</v>
          </cell>
          <cell r="C259">
            <v>2</v>
          </cell>
          <cell r="D259" t="str">
            <v>No.</v>
          </cell>
          <cell r="E259">
            <v>1659.4</v>
          </cell>
          <cell r="F259">
            <v>3318.8</v>
          </cell>
          <cell r="G259">
            <v>6106.59</v>
          </cell>
          <cell r="H259">
            <v>12213.18</v>
          </cell>
          <cell r="I259">
            <v>305.33</v>
          </cell>
          <cell r="J259">
            <v>610.66</v>
          </cell>
          <cell r="K259">
            <v>6411.92</v>
          </cell>
          <cell r="L259">
            <v>12823.84</v>
          </cell>
          <cell r="M259">
            <v>1893.94</v>
          </cell>
          <cell r="N259">
            <v>3787.88</v>
          </cell>
          <cell r="O259">
            <v>6969.7</v>
          </cell>
          <cell r="P259">
            <v>13939.4</v>
          </cell>
          <cell r="Q259">
            <v>348.49</v>
          </cell>
          <cell r="R259">
            <v>696.98</v>
          </cell>
          <cell r="S259">
            <v>7318.19</v>
          </cell>
          <cell r="T259">
            <v>14636.38</v>
          </cell>
          <cell r="U259">
            <v>1946.49</v>
          </cell>
          <cell r="V259">
            <v>1673.98</v>
          </cell>
          <cell r="W259">
            <v>3347.96</v>
          </cell>
          <cell r="X259">
            <v>6160.25</v>
          </cell>
          <cell r="Y259">
            <v>12320.5</v>
          </cell>
          <cell r="Z259">
            <v>308.01</v>
          </cell>
          <cell r="AA259">
            <v>616.02</v>
          </cell>
          <cell r="AB259">
            <v>6468.26</v>
          </cell>
          <cell r="AC259">
            <v>12936.52</v>
          </cell>
          <cell r="AF259">
            <v>6468.26</v>
          </cell>
          <cell r="AG259">
            <v>12936.52</v>
          </cell>
        </row>
        <row r="260">
          <cell r="A260" t="str">
            <v>1.2.11.3</v>
          </cell>
          <cell r="B260" t="str">
            <v>700mm dia.</v>
          </cell>
          <cell r="C260">
            <v>2</v>
          </cell>
          <cell r="D260" t="str">
            <v>No.</v>
          </cell>
          <cell r="E260">
            <v>1227.77</v>
          </cell>
          <cell r="F260">
            <v>2455.54</v>
          </cell>
          <cell r="G260">
            <v>4518.1899999999996</v>
          </cell>
          <cell r="H260">
            <v>9036.3799999999992</v>
          </cell>
          <cell r="I260">
            <v>225.91</v>
          </cell>
          <cell r="J260">
            <v>451.82</v>
          </cell>
          <cell r="K260">
            <v>4744.1000000000004</v>
          </cell>
          <cell r="L260">
            <v>9488.2000000000007</v>
          </cell>
          <cell r="M260">
            <v>1461.31</v>
          </cell>
          <cell r="N260">
            <v>2922.62</v>
          </cell>
          <cell r="O260">
            <v>5377.62</v>
          </cell>
          <cell r="P260">
            <v>10755.24</v>
          </cell>
          <cell r="Q260">
            <v>268.88</v>
          </cell>
          <cell r="R260">
            <v>537.76</v>
          </cell>
          <cell r="S260">
            <v>5646.5</v>
          </cell>
          <cell r="T260">
            <v>11293</v>
          </cell>
          <cell r="U260">
            <v>1371.54</v>
          </cell>
          <cell r="V260">
            <v>1179.52</v>
          </cell>
          <cell r="W260">
            <v>2359.04</v>
          </cell>
          <cell r="X260">
            <v>4340.63</v>
          </cell>
          <cell r="Y260">
            <v>8681.26</v>
          </cell>
          <cell r="Z260">
            <v>217.03</v>
          </cell>
          <cell r="AA260">
            <v>434.06</v>
          </cell>
          <cell r="AB260">
            <v>4557.66</v>
          </cell>
          <cell r="AC260">
            <v>9115.32</v>
          </cell>
          <cell r="AF260">
            <v>4557.66</v>
          </cell>
          <cell r="AG260">
            <v>9115.32</v>
          </cell>
        </row>
        <row r="261">
          <cell r="A261" t="str">
            <v>1.2.11.4</v>
          </cell>
          <cell r="B261" t="str">
            <v>600mm dia.</v>
          </cell>
          <cell r="C261">
            <v>6</v>
          </cell>
          <cell r="D261" t="str">
            <v>No.</v>
          </cell>
          <cell r="E261">
            <v>996.33</v>
          </cell>
          <cell r="F261">
            <v>5977.98</v>
          </cell>
          <cell r="G261">
            <v>3666.49</v>
          </cell>
          <cell r="H261">
            <v>21998.94</v>
          </cell>
          <cell r="I261">
            <v>183.32</v>
          </cell>
          <cell r="J261">
            <v>1099.92</v>
          </cell>
          <cell r="K261">
            <v>3849.81</v>
          </cell>
          <cell r="L261">
            <v>23098.86</v>
          </cell>
          <cell r="M261">
            <v>1016.12</v>
          </cell>
          <cell r="N261">
            <v>6096.72</v>
          </cell>
          <cell r="O261">
            <v>3739.32</v>
          </cell>
          <cell r="P261">
            <v>22435.919999999998</v>
          </cell>
          <cell r="Q261">
            <v>186.97</v>
          </cell>
          <cell r="R261">
            <v>1121.82</v>
          </cell>
          <cell r="S261">
            <v>3926.29</v>
          </cell>
          <cell r="T261">
            <v>23557.74</v>
          </cell>
          <cell r="U261">
            <v>952.96</v>
          </cell>
          <cell r="V261">
            <v>819.55</v>
          </cell>
          <cell r="W261">
            <v>4917.3</v>
          </cell>
          <cell r="X261">
            <v>3015.94</v>
          </cell>
          <cell r="Y261">
            <v>18095.64</v>
          </cell>
          <cell r="Z261">
            <v>150.80000000000001</v>
          </cell>
          <cell r="AA261">
            <v>904.8</v>
          </cell>
          <cell r="AB261">
            <v>3166.74</v>
          </cell>
          <cell r="AC261">
            <v>19000.439999999999</v>
          </cell>
          <cell r="AF261">
            <v>3166.74</v>
          </cell>
          <cell r="AG261">
            <v>19000.439999999999</v>
          </cell>
        </row>
        <row r="262">
          <cell r="A262" t="str">
            <v>1.2.11.5</v>
          </cell>
          <cell r="B262" t="str">
            <v>400mm dia.</v>
          </cell>
          <cell r="C262">
            <v>1</v>
          </cell>
          <cell r="D262" t="str">
            <v>No.</v>
          </cell>
          <cell r="E262">
            <v>473.65</v>
          </cell>
          <cell r="F262">
            <v>473.65</v>
          </cell>
          <cell r="G262">
            <v>1743.03</v>
          </cell>
          <cell r="H262">
            <v>1743.03</v>
          </cell>
          <cell r="I262">
            <v>87.15</v>
          </cell>
          <cell r="J262">
            <v>87.15</v>
          </cell>
          <cell r="K262">
            <v>1830.18</v>
          </cell>
          <cell r="L262">
            <v>1830.18</v>
          </cell>
          <cell r="M262">
            <v>573.16999999999996</v>
          </cell>
          <cell r="N262">
            <v>573.16999999999996</v>
          </cell>
          <cell r="O262">
            <v>2109.27</v>
          </cell>
          <cell r="P262">
            <v>2109.27</v>
          </cell>
          <cell r="Q262">
            <v>105.46</v>
          </cell>
          <cell r="R262">
            <v>105.46</v>
          </cell>
          <cell r="S262">
            <v>2214.73</v>
          </cell>
          <cell r="T262">
            <v>2214.73</v>
          </cell>
          <cell r="U262">
            <v>591.73</v>
          </cell>
          <cell r="V262">
            <v>508.89</v>
          </cell>
          <cell r="W262">
            <v>508.89</v>
          </cell>
          <cell r="X262">
            <v>1872.72</v>
          </cell>
          <cell r="Y262">
            <v>1872.72</v>
          </cell>
          <cell r="Z262">
            <v>93.64</v>
          </cell>
          <cell r="AA262">
            <v>93.64</v>
          </cell>
          <cell r="AB262">
            <v>1966.36</v>
          </cell>
          <cell r="AC262">
            <v>1966.36</v>
          </cell>
          <cell r="AF262">
            <v>1966.36</v>
          </cell>
          <cell r="AG262">
            <v>1966.36</v>
          </cell>
        </row>
        <row r="263">
          <cell r="A263" t="str">
            <v>1.2.11.6</v>
          </cell>
          <cell r="B263" t="str">
            <v>300mm dia. (PN 16)</v>
          </cell>
          <cell r="C263">
            <v>3</v>
          </cell>
          <cell r="D263" t="str">
            <v>No.</v>
          </cell>
          <cell r="E263">
            <v>268.62</v>
          </cell>
          <cell r="F263">
            <v>805.86</v>
          </cell>
          <cell r="G263">
            <v>988.52</v>
          </cell>
          <cell r="H263">
            <v>2965.56</v>
          </cell>
          <cell r="I263">
            <v>49.43</v>
          </cell>
          <cell r="J263">
            <v>148.29</v>
          </cell>
          <cell r="K263">
            <v>1037.95</v>
          </cell>
          <cell r="L263">
            <v>3113.85</v>
          </cell>
          <cell r="M263">
            <v>254.56</v>
          </cell>
          <cell r="N263">
            <v>763.68</v>
          </cell>
          <cell r="O263">
            <v>936.78</v>
          </cell>
          <cell r="P263">
            <v>2810.34</v>
          </cell>
          <cell r="Q263">
            <v>46.84</v>
          </cell>
          <cell r="R263">
            <v>140.52000000000001</v>
          </cell>
          <cell r="S263">
            <v>983.62</v>
          </cell>
          <cell r="T263">
            <v>2950.86</v>
          </cell>
          <cell r="U263">
            <v>325.06</v>
          </cell>
          <cell r="V263">
            <v>279.55</v>
          </cell>
          <cell r="W263">
            <v>838.65</v>
          </cell>
          <cell r="X263">
            <v>1028.74</v>
          </cell>
          <cell r="Y263">
            <v>3086.22</v>
          </cell>
          <cell r="Z263">
            <v>51.44</v>
          </cell>
          <cell r="AA263">
            <v>154.32</v>
          </cell>
          <cell r="AB263">
            <v>1080.18</v>
          </cell>
          <cell r="AC263">
            <v>3240.54</v>
          </cell>
          <cell r="AF263">
            <v>1080.18</v>
          </cell>
          <cell r="AG263">
            <v>3240.54</v>
          </cell>
        </row>
        <row r="264">
          <cell r="A264" t="str">
            <v>1.2.11.7</v>
          </cell>
          <cell r="B264" t="str">
            <v>200mm dia.</v>
          </cell>
          <cell r="C264">
            <v>1</v>
          </cell>
          <cell r="D264" t="str">
            <v>No.</v>
          </cell>
          <cell r="E264">
            <v>156.75</v>
          </cell>
          <cell r="F264">
            <v>156.75</v>
          </cell>
          <cell r="G264">
            <v>576.84</v>
          </cell>
          <cell r="H264">
            <v>576.84</v>
          </cell>
          <cell r="I264">
            <v>28.84</v>
          </cell>
          <cell r="J264">
            <v>28.84</v>
          </cell>
          <cell r="K264">
            <v>605.67999999999995</v>
          </cell>
          <cell r="L264">
            <v>605.67999999999995</v>
          </cell>
          <cell r="M264">
            <v>173.97</v>
          </cell>
          <cell r="N264">
            <v>173.97</v>
          </cell>
          <cell r="O264">
            <v>640.21</v>
          </cell>
          <cell r="P264">
            <v>640.21</v>
          </cell>
          <cell r="Q264">
            <v>32.01</v>
          </cell>
          <cell r="R264">
            <v>32.01</v>
          </cell>
          <cell r="S264">
            <v>672.22</v>
          </cell>
          <cell r="T264">
            <v>672.22</v>
          </cell>
          <cell r="U264">
            <v>161.13</v>
          </cell>
          <cell r="V264">
            <v>138.57</v>
          </cell>
          <cell r="W264">
            <v>138.57</v>
          </cell>
          <cell r="X264">
            <v>509.94</v>
          </cell>
          <cell r="Y264">
            <v>509.94</v>
          </cell>
          <cell r="Z264">
            <v>25.5</v>
          </cell>
          <cell r="AA264">
            <v>25.5</v>
          </cell>
          <cell r="AB264">
            <v>535.44000000000005</v>
          </cell>
          <cell r="AC264">
            <v>535.44000000000005</v>
          </cell>
          <cell r="AF264">
            <v>535.44000000000005</v>
          </cell>
          <cell r="AG264">
            <v>535.44000000000005</v>
          </cell>
        </row>
        <row r="265">
          <cell r="F265">
            <v>0</v>
          </cell>
          <cell r="G265">
            <v>0</v>
          </cell>
          <cell r="H265">
            <v>0</v>
          </cell>
          <cell r="I265">
            <v>0</v>
          </cell>
          <cell r="J265">
            <v>0</v>
          </cell>
          <cell r="K265">
            <v>0</v>
          </cell>
          <cell r="L265">
            <v>0</v>
          </cell>
          <cell r="N265">
            <v>0</v>
          </cell>
          <cell r="O265">
            <v>0</v>
          </cell>
          <cell r="P265">
            <v>0</v>
          </cell>
          <cell r="Q265">
            <v>0</v>
          </cell>
          <cell r="R265">
            <v>0</v>
          </cell>
          <cell r="S265">
            <v>0</v>
          </cell>
          <cell r="T265">
            <v>0</v>
          </cell>
          <cell r="V265">
            <v>0</v>
          </cell>
          <cell r="W265">
            <v>0</v>
          </cell>
          <cell r="X265">
            <v>0</v>
          </cell>
          <cell r="Y265">
            <v>0</v>
          </cell>
          <cell r="Z265">
            <v>0</v>
          </cell>
          <cell r="AA265">
            <v>0</v>
          </cell>
          <cell r="AB265">
            <v>0</v>
          </cell>
          <cell r="AC265">
            <v>0</v>
          </cell>
          <cell r="AF265">
            <v>0</v>
          </cell>
          <cell r="AG265">
            <v>0</v>
          </cell>
        </row>
        <row r="266">
          <cell r="B266" t="str">
            <v>Flanged Spigot Pieces with Factory Cast</v>
          </cell>
          <cell r="F266">
            <v>0</v>
          </cell>
          <cell r="G266">
            <v>0</v>
          </cell>
          <cell r="H266">
            <v>0</v>
          </cell>
          <cell r="I266">
            <v>0</v>
          </cell>
          <cell r="J266">
            <v>0</v>
          </cell>
          <cell r="K266">
            <v>0</v>
          </cell>
          <cell r="L266">
            <v>0</v>
          </cell>
          <cell r="N266">
            <v>0</v>
          </cell>
          <cell r="O266">
            <v>0</v>
          </cell>
          <cell r="P266">
            <v>0</v>
          </cell>
          <cell r="Q266">
            <v>0</v>
          </cell>
          <cell r="R266">
            <v>0</v>
          </cell>
          <cell r="S266">
            <v>0</v>
          </cell>
          <cell r="T266">
            <v>0</v>
          </cell>
          <cell r="V266">
            <v>0</v>
          </cell>
          <cell r="W266">
            <v>0</v>
          </cell>
          <cell r="X266">
            <v>0</v>
          </cell>
          <cell r="Y266">
            <v>0</v>
          </cell>
          <cell r="Z266">
            <v>0</v>
          </cell>
          <cell r="AA266">
            <v>0</v>
          </cell>
          <cell r="AB266">
            <v>0</v>
          </cell>
          <cell r="AC266">
            <v>0</v>
          </cell>
          <cell r="AF266">
            <v>0</v>
          </cell>
          <cell r="AG266">
            <v>0</v>
          </cell>
        </row>
        <row r="267">
          <cell r="B267" t="str">
            <v>or Welded Thrust Flanges for Chambers as shown</v>
          </cell>
          <cell r="F267">
            <v>0</v>
          </cell>
          <cell r="G267">
            <v>0</v>
          </cell>
          <cell r="H267">
            <v>0</v>
          </cell>
          <cell r="I267">
            <v>0</v>
          </cell>
          <cell r="J267">
            <v>0</v>
          </cell>
          <cell r="K267">
            <v>0</v>
          </cell>
          <cell r="L267">
            <v>0</v>
          </cell>
          <cell r="N267">
            <v>0</v>
          </cell>
          <cell r="O267">
            <v>0</v>
          </cell>
          <cell r="P267">
            <v>0</v>
          </cell>
          <cell r="Q267">
            <v>0</v>
          </cell>
          <cell r="R267">
            <v>0</v>
          </cell>
          <cell r="S267">
            <v>0</v>
          </cell>
          <cell r="T267">
            <v>0</v>
          </cell>
          <cell r="V267">
            <v>0</v>
          </cell>
          <cell r="W267">
            <v>0</v>
          </cell>
          <cell r="X267">
            <v>0</v>
          </cell>
          <cell r="Y267">
            <v>0</v>
          </cell>
          <cell r="Z267">
            <v>0</v>
          </cell>
          <cell r="AA267">
            <v>0</v>
          </cell>
          <cell r="AB267">
            <v>0</v>
          </cell>
          <cell r="AC267">
            <v>0</v>
          </cell>
          <cell r="AF267">
            <v>0</v>
          </cell>
          <cell r="AG267">
            <v>0</v>
          </cell>
        </row>
        <row r="268">
          <cell r="B268" t="str">
            <v xml:space="preserve">on the drawings (with internal and external protection in </v>
          </cell>
          <cell r="F268">
            <v>0</v>
          </cell>
          <cell r="G268">
            <v>0</v>
          </cell>
          <cell r="H268">
            <v>0</v>
          </cell>
          <cell r="I268">
            <v>0</v>
          </cell>
          <cell r="J268">
            <v>0</v>
          </cell>
          <cell r="K268">
            <v>0</v>
          </cell>
          <cell r="L268">
            <v>0</v>
          </cell>
          <cell r="N268">
            <v>0</v>
          </cell>
          <cell r="O268">
            <v>0</v>
          </cell>
          <cell r="P268">
            <v>0</v>
          </cell>
          <cell r="Q268">
            <v>0</v>
          </cell>
          <cell r="R268">
            <v>0</v>
          </cell>
          <cell r="S268">
            <v>0</v>
          </cell>
          <cell r="T268">
            <v>0</v>
          </cell>
          <cell r="V268">
            <v>0</v>
          </cell>
          <cell r="W268">
            <v>0</v>
          </cell>
          <cell r="X268">
            <v>0</v>
          </cell>
          <cell r="Y268">
            <v>0</v>
          </cell>
          <cell r="Z268">
            <v>0</v>
          </cell>
          <cell r="AA268">
            <v>0</v>
          </cell>
          <cell r="AB268">
            <v>0</v>
          </cell>
          <cell r="AC268">
            <v>0</v>
          </cell>
          <cell r="AF268">
            <v>0</v>
          </cell>
          <cell r="AG268">
            <v>0</v>
          </cell>
        </row>
        <row r="269">
          <cell r="B269" t="str">
            <v>fusion bonded epoxy)</v>
          </cell>
          <cell r="F269">
            <v>0</v>
          </cell>
          <cell r="G269">
            <v>0</v>
          </cell>
          <cell r="H269">
            <v>0</v>
          </cell>
          <cell r="I269">
            <v>0</v>
          </cell>
          <cell r="J269">
            <v>0</v>
          </cell>
          <cell r="K269">
            <v>0</v>
          </cell>
          <cell r="L269">
            <v>0</v>
          </cell>
          <cell r="N269">
            <v>0</v>
          </cell>
          <cell r="O269">
            <v>0</v>
          </cell>
          <cell r="P269">
            <v>0</v>
          </cell>
          <cell r="Q269">
            <v>0</v>
          </cell>
          <cell r="R269">
            <v>0</v>
          </cell>
          <cell r="S269">
            <v>0</v>
          </cell>
          <cell r="T269">
            <v>0</v>
          </cell>
          <cell r="V269">
            <v>0</v>
          </cell>
          <cell r="W269">
            <v>0</v>
          </cell>
          <cell r="X269">
            <v>0</v>
          </cell>
          <cell r="Y269">
            <v>0</v>
          </cell>
          <cell r="Z269">
            <v>0</v>
          </cell>
          <cell r="AA269">
            <v>0</v>
          </cell>
          <cell r="AB269">
            <v>0</v>
          </cell>
          <cell r="AC269">
            <v>0</v>
          </cell>
          <cell r="AF269">
            <v>0</v>
          </cell>
          <cell r="AG269">
            <v>0</v>
          </cell>
        </row>
        <row r="270">
          <cell r="A270" t="str">
            <v>1.2.12.1</v>
          </cell>
          <cell r="B270" t="str">
            <v>1000mm dia.</v>
          </cell>
          <cell r="C270">
            <v>32</v>
          </cell>
          <cell r="D270" t="str">
            <v>No.</v>
          </cell>
          <cell r="E270">
            <v>3610.97</v>
          </cell>
          <cell r="F270">
            <v>115551.03999999999</v>
          </cell>
          <cell r="G270">
            <v>13288.37</v>
          </cell>
          <cell r="H270">
            <v>425227.84</v>
          </cell>
          <cell r="I270">
            <v>664.42</v>
          </cell>
          <cell r="J270">
            <v>21261.439999999999</v>
          </cell>
          <cell r="K270">
            <v>13952.79</v>
          </cell>
          <cell r="L270">
            <v>446489.28</v>
          </cell>
          <cell r="M270">
            <v>3094.86</v>
          </cell>
          <cell r="N270">
            <v>99035.520000000004</v>
          </cell>
          <cell r="O270">
            <v>11389.08</v>
          </cell>
          <cell r="P270">
            <v>364450.56</v>
          </cell>
          <cell r="Q270">
            <v>569.45000000000005</v>
          </cell>
          <cell r="R270">
            <v>18222.400000000001</v>
          </cell>
          <cell r="S270">
            <v>11958.53</v>
          </cell>
          <cell r="T270">
            <v>382672.96</v>
          </cell>
          <cell r="U270">
            <v>6971.29</v>
          </cell>
          <cell r="V270">
            <v>5995.31</v>
          </cell>
          <cell r="W270">
            <v>191849.92</v>
          </cell>
          <cell r="X270">
            <v>22062.74</v>
          </cell>
          <cell r="Y270">
            <v>706007.68</v>
          </cell>
          <cell r="Z270">
            <v>1103.1400000000001</v>
          </cell>
          <cell r="AA270">
            <v>35300.480000000003</v>
          </cell>
          <cell r="AB270">
            <v>23165.88</v>
          </cell>
          <cell r="AC270">
            <v>741308.16</v>
          </cell>
          <cell r="AF270">
            <v>23165.88</v>
          </cell>
          <cell r="AG270">
            <v>741308.16</v>
          </cell>
        </row>
        <row r="271">
          <cell r="A271" t="str">
            <v>1.2.12.2</v>
          </cell>
          <cell r="B271" t="str">
            <v>700mm dia.</v>
          </cell>
          <cell r="C271">
            <v>2</v>
          </cell>
          <cell r="D271" t="str">
            <v>No.</v>
          </cell>
          <cell r="E271">
            <v>2398.36</v>
          </cell>
          <cell r="F271">
            <v>4796.72</v>
          </cell>
          <cell r="G271">
            <v>8825.9599999999991</v>
          </cell>
          <cell r="H271">
            <v>17651.919999999998</v>
          </cell>
          <cell r="I271">
            <v>441.3</v>
          </cell>
          <cell r="J271">
            <v>882.6</v>
          </cell>
          <cell r="K271">
            <v>9267.26</v>
          </cell>
          <cell r="L271">
            <v>18534.52</v>
          </cell>
          <cell r="M271">
            <v>1510.44</v>
          </cell>
          <cell r="N271">
            <v>3020.88</v>
          </cell>
          <cell r="O271">
            <v>5558.42</v>
          </cell>
          <cell r="P271">
            <v>11116.84</v>
          </cell>
          <cell r="Q271">
            <v>277.92</v>
          </cell>
          <cell r="R271">
            <v>555.84</v>
          </cell>
          <cell r="S271">
            <v>5836.34</v>
          </cell>
          <cell r="T271">
            <v>11672.68</v>
          </cell>
          <cell r="U271">
            <v>3495.01</v>
          </cell>
          <cell r="V271">
            <v>3005.71</v>
          </cell>
          <cell r="W271">
            <v>6011.42</v>
          </cell>
          <cell r="X271">
            <v>11061.01</v>
          </cell>
          <cell r="Y271">
            <v>22122.02</v>
          </cell>
          <cell r="Z271">
            <v>553.04999999999995</v>
          </cell>
          <cell r="AA271">
            <v>1106.0999999999999</v>
          </cell>
          <cell r="AB271">
            <v>11614.06</v>
          </cell>
          <cell r="AC271">
            <v>23228.12</v>
          </cell>
          <cell r="AF271">
            <v>11614.06</v>
          </cell>
          <cell r="AG271">
            <v>23228.12</v>
          </cell>
        </row>
        <row r="272">
          <cell r="A272" t="str">
            <v>1.2.12.3</v>
          </cell>
          <cell r="B272" t="str">
            <v>600mm dia.</v>
          </cell>
          <cell r="C272">
            <v>20</v>
          </cell>
          <cell r="D272" t="str">
            <v>No.</v>
          </cell>
          <cell r="E272">
            <v>1649.62</v>
          </cell>
          <cell r="F272">
            <v>32992.400000000001</v>
          </cell>
          <cell r="G272">
            <v>6070.6</v>
          </cell>
          <cell r="H272">
            <v>121412</v>
          </cell>
          <cell r="I272">
            <v>303.52999999999997</v>
          </cell>
          <cell r="J272">
            <v>6070.6</v>
          </cell>
          <cell r="K272">
            <v>6374.13</v>
          </cell>
          <cell r="L272">
            <v>127482.6</v>
          </cell>
          <cell r="M272">
            <v>1103.3599999999999</v>
          </cell>
          <cell r="N272">
            <v>22067.200000000001</v>
          </cell>
          <cell r="O272">
            <v>4060.36</v>
          </cell>
          <cell r="P272">
            <v>81207.199999999997</v>
          </cell>
          <cell r="Q272">
            <v>203.02</v>
          </cell>
          <cell r="R272">
            <v>4060.4</v>
          </cell>
          <cell r="S272">
            <v>4263.38</v>
          </cell>
          <cell r="T272">
            <v>85267.6</v>
          </cell>
          <cell r="U272">
            <v>2564.9299999999998</v>
          </cell>
          <cell r="V272">
            <v>2205.84</v>
          </cell>
          <cell r="W272">
            <v>44116.800000000003</v>
          </cell>
          <cell r="X272">
            <v>8117.49</v>
          </cell>
          <cell r="Y272">
            <v>162349.79999999999</v>
          </cell>
          <cell r="Z272">
            <v>405.87</v>
          </cell>
          <cell r="AA272">
            <v>8117.4</v>
          </cell>
          <cell r="AB272">
            <v>8523.36</v>
          </cell>
          <cell r="AC272">
            <v>170467.20000000001</v>
          </cell>
          <cell r="AF272">
            <v>8523.36</v>
          </cell>
          <cell r="AG272">
            <v>170467.20000000001</v>
          </cell>
        </row>
        <row r="273">
          <cell r="A273" t="str">
            <v>1.2.12.4</v>
          </cell>
          <cell r="B273" t="str">
            <v>300mm dia. (PN 16)</v>
          </cell>
          <cell r="C273">
            <v>2</v>
          </cell>
          <cell r="D273" t="str">
            <v>No.</v>
          </cell>
          <cell r="E273">
            <v>720.43</v>
          </cell>
          <cell r="F273">
            <v>1440.86</v>
          </cell>
          <cell r="G273">
            <v>2651.18</v>
          </cell>
          <cell r="H273">
            <v>5302.36</v>
          </cell>
          <cell r="I273">
            <v>132.56</v>
          </cell>
          <cell r="J273">
            <v>265.12</v>
          </cell>
          <cell r="K273">
            <v>2783.74</v>
          </cell>
          <cell r="L273">
            <v>5567.48</v>
          </cell>
          <cell r="M273">
            <v>255.58</v>
          </cell>
          <cell r="N273">
            <v>511.16</v>
          </cell>
          <cell r="O273">
            <v>940.53</v>
          </cell>
          <cell r="P273">
            <v>1881.06</v>
          </cell>
          <cell r="Q273">
            <v>47.03</v>
          </cell>
          <cell r="R273">
            <v>94.06</v>
          </cell>
          <cell r="S273">
            <v>987.56</v>
          </cell>
          <cell r="T273">
            <v>1975.12</v>
          </cell>
          <cell r="U273">
            <v>984.61</v>
          </cell>
          <cell r="V273">
            <v>846.76</v>
          </cell>
          <cell r="W273">
            <v>1693.52</v>
          </cell>
          <cell r="X273">
            <v>3116.08</v>
          </cell>
          <cell r="Y273">
            <v>6232.16</v>
          </cell>
          <cell r="Z273">
            <v>155.80000000000001</v>
          </cell>
          <cell r="AA273">
            <v>311.60000000000002</v>
          </cell>
          <cell r="AB273">
            <v>3271.88</v>
          </cell>
          <cell r="AC273">
            <v>6543.76</v>
          </cell>
          <cell r="AF273">
            <v>3271.88</v>
          </cell>
          <cell r="AG273">
            <v>6543.76</v>
          </cell>
        </row>
        <row r="274">
          <cell r="A274" t="str">
            <v>1.2.12.5</v>
          </cell>
          <cell r="B274" t="str">
            <v>200mm dia.</v>
          </cell>
          <cell r="C274">
            <v>180</v>
          </cell>
          <cell r="D274" t="str">
            <v>No.</v>
          </cell>
          <cell r="E274">
            <v>454.39</v>
          </cell>
          <cell r="F274">
            <v>81790.2</v>
          </cell>
          <cell r="G274">
            <v>1672.16</v>
          </cell>
          <cell r="H274">
            <v>300988.79999999999</v>
          </cell>
          <cell r="I274">
            <v>83.61</v>
          </cell>
          <cell r="J274">
            <v>15049.8</v>
          </cell>
          <cell r="K274">
            <v>1755.77</v>
          </cell>
          <cell r="L274">
            <v>316038.59999999998</v>
          </cell>
          <cell r="M274">
            <v>160.34</v>
          </cell>
          <cell r="N274">
            <v>28861.200000000001</v>
          </cell>
          <cell r="O274">
            <v>590.04999999999995</v>
          </cell>
          <cell r="P274">
            <v>106209</v>
          </cell>
          <cell r="Q274">
            <v>29.5</v>
          </cell>
          <cell r="R274">
            <v>5310</v>
          </cell>
          <cell r="S274">
            <v>619.54999999999995</v>
          </cell>
          <cell r="T274">
            <v>111519</v>
          </cell>
          <cell r="U274">
            <v>561.07000000000005</v>
          </cell>
          <cell r="V274">
            <v>482.52</v>
          </cell>
          <cell r="W274">
            <v>86853.6</v>
          </cell>
          <cell r="X274">
            <v>1775.67</v>
          </cell>
          <cell r="Y274">
            <v>319620.59999999998</v>
          </cell>
          <cell r="Z274">
            <v>88.78</v>
          </cell>
          <cell r="AA274">
            <v>15980.4</v>
          </cell>
          <cell r="AB274">
            <v>1864.45</v>
          </cell>
          <cell r="AC274">
            <v>335601</v>
          </cell>
          <cell r="AF274">
            <v>1864.45</v>
          </cell>
          <cell r="AG274">
            <v>335601</v>
          </cell>
        </row>
        <row r="275">
          <cell r="A275" t="str">
            <v>1.2.12.6</v>
          </cell>
          <cell r="B275" t="str">
            <v>100mm dia. (PN 16)</v>
          </cell>
          <cell r="C275">
            <v>1</v>
          </cell>
          <cell r="D275" t="str">
            <v>No.</v>
          </cell>
          <cell r="E275">
            <v>98.11</v>
          </cell>
          <cell r="F275">
            <v>98.11</v>
          </cell>
          <cell r="G275">
            <v>361.04</v>
          </cell>
          <cell r="H275">
            <v>361.04</v>
          </cell>
          <cell r="I275">
            <v>18.05</v>
          </cell>
          <cell r="J275">
            <v>18.05</v>
          </cell>
          <cell r="K275">
            <v>379.09</v>
          </cell>
          <cell r="L275">
            <v>379.09</v>
          </cell>
          <cell r="M275">
            <v>98.11</v>
          </cell>
          <cell r="N275">
            <v>98.11</v>
          </cell>
          <cell r="O275">
            <v>361.04</v>
          </cell>
          <cell r="P275">
            <v>361.04</v>
          </cell>
          <cell r="Q275">
            <v>18.05</v>
          </cell>
          <cell r="R275">
            <v>18.05</v>
          </cell>
          <cell r="S275">
            <v>379.09</v>
          </cell>
          <cell r="T275">
            <v>379.09</v>
          </cell>
          <cell r="U275">
            <v>449.24</v>
          </cell>
          <cell r="V275">
            <v>386.35</v>
          </cell>
          <cell r="W275">
            <v>386.35</v>
          </cell>
          <cell r="X275">
            <v>1421.77</v>
          </cell>
          <cell r="Y275">
            <v>1421.77</v>
          </cell>
          <cell r="Z275">
            <v>71.09</v>
          </cell>
          <cell r="AA275">
            <v>71.09</v>
          </cell>
          <cell r="AB275">
            <v>1492.86</v>
          </cell>
          <cell r="AC275">
            <v>1492.86</v>
          </cell>
          <cell r="AF275">
            <v>1492.86</v>
          </cell>
          <cell r="AG275">
            <v>1492.86</v>
          </cell>
        </row>
        <row r="276">
          <cell r="V276">
            <v>0</v>
          </cell>
          <cell r="W276">
            <v>0</v>
          </cell>
          <cell r="X276">
            <v>0</v>
          </cell>
          <cell r="AF276">
            <v>0</v>
          </cell>
          <cell r="AG276">
            <v>0</v>
          </cell>
        </row>
        <row r="277">
          <cell r="V277">
            <v>0</v>
          </cell>
          <cell r="W277">
            <v>0</v>
          </cell>
          <cell r="X277">
            <v>0</v>
          </cell>
          <cell r="AF277">
            <v>0</v>
          </cell>
          <cell r="AG277">
            <v>0</v>
          </cell>
        </row>
        <row r="278">
          <cell r="V278">
            <v>0</v>
          </cell>
          <cell r="W278">
            <v>0</v>
          </cell>
          <cell r="X278">
            <v>0</v>
          </cell>
          <cell r="AF278">
            <v>0</v>
          </cell>
          <cell r="AG278">
            <v>0</v>
          </cell>
        </row>
        <row r="279">
          <cell r="V279">
            <v>0</v>
          </cell>
          <cell r="W279">
            <v>0</v>
          </cell>
          <cell r="X279">
            <v>0</v>
          </cell>
          <cell r="AF279">
            <v>0</v>
          </cell>
          <cell r="AG279">
            <v>0</v>
          </cell>
        </row>
        <row r="280">
          <cell r="V280">
            <v>0</v>
          </cell>
          <cell r="W280">
            <v>0</v>
          </cell>
          <cell r="X280">
            <v>0</v>
          </cell>
          <cell r="AF280">
            <v>0</v>
          </cell>
          <cell r="AG280">
            <v>0</v>
          </cell>
        </row>
        <row r="281">
          <cell r="V281">
            <v>0</v>
          </cell>
          <cell r="W281">
            <v>0</v>
          </cell>
          <cell r="X281">
            <v>0</v>
          </cell>
          <cell r="AF281">
            <v>0</v>
          </cell>
          <cell r="AG281">
            <v>0</v>
          </cell>
        </row>
        <row r="282">
          <cell r="F282">
            <v>0</v>
          </cell>
          <cell r="G282">
            <v>0</v>
          </cell>
          <cell r="H282">
            <v>0</v>
          </cell>
          <cell r="I282">
            <v>0</v>
          </cell>
          <cell r="J282">
            <v>0</v>
          </cell>
          <cell r="K282">
            <v>0</v>
          </cell>
          <cell r="L282">
            <v>0</v>
          </cell>
          <cell r="N282">
            <v>0</v>
          </cell>
          <cell r="O282">
            <v>0</v>
          </cell>
          <cell r="P282">
            <v>0</v>
          </cell>
          <cell r="Q282">
            <v>0</v>
          </cell>
          <cell r="R282">
            <v>0</v>
          </cell>
          <cell r="S282">
            <v>0</v>
          </cell>
          <cell r="T282">
            <v>0</v>
          </cell>
          <cell r="V282">
            <v>0</v>
          </cell>
          <cell r="W282">
            <v>0</v>
          </cell>
          <cell r="X282">
            <v>0</v>
          </cell>
          <cell r="Y282">
            <v>0</v>
          </cell>
          <cell r="Z282">
            <v>0</v>
          </cell>
          <cell r="AA282">
            <v>0</v>
          </cell>
          <cell r="AB282">
            <v>0</v>
          </cell>
          <cell r="AC282">
            <v>0</v>
          </cell>
          <cell r="AF282">
            <v>0</v>
          </cell>
          <cell r="AG282">
            <v>0</v>
          </cell>
        </row>
        <row r="283">
          <cell r="B283" t="str">
            <v>Double Flanged Pieces with Factory Cast</v>
          </cell>
          <cell r="F283">
            <v>0</v>
          </cell>
          <cell r="G283">
            <v>0</v>
          </cell>
          <cell r="H283">
            <v>0</v>
          </cell>
          <cell r="I283">
            <v>0</v>
          </cell>
          <cell r="J283">
            <v>0</v>
          </cell>
          <cell r="K283">
            <v>0</v>
          </cell>
          <cell r="L283">
            <v>0</v>
          </cell>
          <cell r="N283">
            <v>0</v>
          </cell>
          <cell r="O283">
            <v>0</v>
          </cell>
          <cell r="P283">
            <v>0</v>
          </cell>
          <cell r="Q283">
            <v>0</v>
          </cell>
          <cell r="R283">
            <v>0</v>
          </cell>
          <cell r="S283">
            <v>0</v>
          </cell>
          <cell r="T283">
            <v>0</v>
          </cell>
          <cell r="V283">
            <v>0</v>
          </cell>
          <cell r="W283">
            <v>0</v>
          </cell>
          <cell r="X283">
            <v>0</v>
          </cell>
          <cell r="Y283">
            <v>0</v>
          </cell>
          <cell r="Z283">
            <v>0</v>
          </cell>
          <cell r="AA283">
            <v>0</v>
          </cell>
          <cell r="AB283">
            <v>0</v>
          </cell>
          <cell r="AC283">
            <v>0</v>
          </cell>
          <cell r="AF283">
            <v>0</v>
          </cell>
          <cell r="AG283">
            <v>0</v>
          </cell>
        </row>
        <row r="284">
          <cell r="B284" t="str">
            <v>or Welded Thrust Flanges for Chambers as shown</v>
          </cell>
          <cell r="F284">
            <v>0</v>
          </cell>
          <cell r="G284">
            <v>0</v>
          </cell>
          <cell r="H284">
            <v>0</v>
          </cell>
          <cell r="I284">
            <v>0</v>
          </cell>
          <cell r="J284">
            <v>0</v>
          </cell>
          <cell r="K284">
            <v>0</v>
          </cell>
          <cell r="L284">
            <v>0</v>
          </cell>
          <cell r="N284">
            <v>0</v>
          </cell>
          <cell r="O284">
            <v>0</v>
          </cell>
          <cell r="P284">
            <v>0</v>
          </cell>
          <cell r="Q284">
            <v>0</v>
          </cell>
          <cell r="R284">
            <v>0</v>
          </cell>
          <cell r="S284">
            <v>0</v>
          </cell>
          <cell r="T284">
            <v>0</v>
          </cell>
          <cell r="V284">
            <v>0</v>
          </cell>
          <cell r="W284">
            <v>0</v>
          </cell>
          <cell r="X284">
            <v>0</v>
          </cell>
          <cell r="Y284">
            <v>0</v>
          </cell>
          <cell r="Z284">
            <v>0</v>
          </cell>
          <cell r="AA284">
            <v>0</v>
          </cell>
          <cell r="AB284">
            <v>0</v>
          </cell>
          <cell r="AC284">
            <v>0</v>
          </cell>
          <cell r="AF284">
            <v>0</v>
          </cell>
          <cell r="AG284">
            <v>0</v>
          </cell>
        </row>
        <row r="285">
          <cell r="B285" t="str">
            <v xml:space="preserve">on the drawings (with internal and external protection in </v>
          </cell>
          <cell r="F285">
            <v>0</v>
          </cell>
          <cell r="G285">
            <v>0</v>
          </cell>
          <cell r="H285">
            <v>0</v>
          </cell>
          <cell r="I285">
            <v>0</v>
          </cell>
          <cell r="J285">
            <v>0</v>
          </cell>
          <cell r="K285">
            <v>0</v>
          </cell>
          <cell r="L285">
            <v>0</v>
          </cell>
          <cell r="N285">
            <v>0</v>
          </cell>
          <cell r="O285">
            <v>0</v>
          </cell>
          <cell r="P285">
            <v>0</v>
          </cell>
          <cell r="Q285">
            <v>0</v>
          </cell>
          <cell r="R285">
            <v>0</v>
          </cell>
          <cell r="S285">
            <v>0</v>
          </cell>
          <cell r="T285">
            <v>0</v>
          </cell>
          <cell r="V285">
            <v>0</v>
          </cell>
          <cell r="W285">
            <v>0</v>
          </cell>
          <cell r="X285">
            <v>0</v>
          </cell>
          <cell r="Y285">
            <v>0</v>
          </cell>
          <cell r="Z285">
            <v>0</v>
          </cell>
          <cell r="AA285">
            <v>0</v>
          </cell>
          <cell r="AB285">
            <v>0</v>
          </cell>
          <cell r="AC285">
            <v>0</v>
          </cell>
          <cell r="AF285">
            <v>0</v>
          </cell>
          <cell r="AG285">
            <v>0</v>
          </cell>
        </row>
        <row r="286">
          <cell r="B286" t="str">
            <v>fusion bonded epoxy)</v>
          </cell>
          <cell r="F286">
            <v>0</v>
          </cell>
          <cell r="G286">
            <v>0</v>
          </cell>
          <cell r="H286">
            <v>0</v>
          </cell>
          <cell r="I286">
            <v>0</v>
          </cell>
          <cell r="J286">
            <v>0</v>
          </cell>
          <cell r="K286">
            <v>0</v>
          </cell>
          <cell r="L286">
            <v>0</v>
          </cell>
          <cell r="N286">
            <v>0</v>
          </cell>
          <cell r="O286">
            <v>0</v>
          </cell>
          <cell r="P286">
            <v>0</v>
          </cell>
          <cell r="Q286">
            <v>0</v>
          </cell>
          <cell r="R286">
            <v>0</v>
          </cell>
          <cell r="S286">
            <v>0</v>
          </cell>
          <cell r="T286">
            <v>0</v>
          </cell>
          <cell r="V286">
            <v>0</v>
          </cell>
          <cell r="W286">
            <v>0</v>
          </cell>
          <cell r="X286">
            <v>0</v>
          </cell>
          <cell r="Y286">
            <v>0</v>
          </cell>
          <cell r="Z286">
            <v>0</v>
          </cell>
          <cell r="AA286">
            <v>0</v>
          </cell>
          <cell r="AB286">
            <v>0</v>
          </cell>
          <cell r="AC286">
            <v>0</v>
          </cell>
          <cell r="AF286">
            <v>0</v>
          </cell>
          <cell r="AG286">
            <v>0</v>
          </cell>
        </row>
        <row r="287">
          <cell r="A287" t="str">
            <v>1.2.13.1</v>
          </cell>
          <cell r="B287" t="str">
            <v>1000mm dia.</v>
          </cell>
          <cell r="C287">
            <v>1</v>
          </cell>
          <cell r="D287" t="str">
            <v>No.</v>
          </cell>
          <cell r="E287">
            <v>5751.32</v>
          </cell>
          <cell r="F287">
            <v>5751.32</v>
          </cell>
          <cell r="G287">
            <v>21164.86</v>
          </cell>
          <cell r="H287">
            <v>21164.86</v>
          </cell>
          <cell r="I287">
            <v>1058.24</v>
          </cell>
          <cell r="J287">
            <v>1058.24</v>
          </cell>
          <cell r="K287">
            <v>22223.1</v>
          </cell>
          <cell r="L287">
            <v>22223.1</v>
          </cell>
          <cell r="M287">
            <v>5762.76</v>
          </cell>
          <cell r="N287">
            <v>5762.76</v>
          </cell>
          <cell r="O287">
            <v>21206.959999999999</v>
          </cell>
          <cell r="P287">
            <v>21206.959999999999</v>
          </cell>
          <cell r="Q287">
            <v>1060.3499999999999</v>
          </cell>
          <cell r="R287">
            <v>1060.3499999999999</v>
          </cell>
          <cell r="S287">
            <v>22267.31</v>
          </cell>
          <cell r="T287">
            <v>22267.31</v>
          </cell>
          <cell r="U287">
            <v>5205</v>
          </cell>
          <cell r="V287">
            <v>4476.3</v>
          </cell>
          <cell r="W287">
            <v>4476.3</v>
          </cell>
          <cell r="X287">
            <v>16472.78</v>
          </cell>
          <cell r="Y287">
            <v>16472.78</v>
          </cell>
          <cell r="Z287">
            <v>823.64</v>
          </cell>
          <cell r="AA287">
            <v>823.64</v>
          </cell>
          <cell r="AB287">
            <v>17296.419999999998</v>
          </cell>
          <cell r="AC287">
            <v>17296.419999999998</v>
          </cell>
          <cell r="AF287">
            <v>17296.419999999998</v>
          </cell>
          <cell r="AG287">
            <v>17296.419999999998</v>
          </cell>
        </row>
        <row r="288">
          <cell r="A288" t="str">
            <v>1.2.13.2</v>
          </cell>
          <cell r="B288" t="str">
            <v>600mm dia.</v>
          </cell>
          <cell r="C288">
            <v>14</v>
          </cell>
          <cell r="D288" t="str">
            <v>No.</v>
          </cell>
          <cell r="E288">
            <v>2578.7600000000002</v>
          </cell>
          <cell r="F288">
            <v>36102.639999999999</v>
          </cell>
          <cell r="G288">
            <v>9489.84</v>
          </cell>
          <cell r="H288">
            <v>132857.76</v>
          </cell>
          <cell r="I288">
            <v>474.49</v>
          </cell>
          <cell r="J288">
            <v>6642.86</v>
          </cell>
          <cell r="K288">
            <v>9964.33</v>
          </cell>
          <cell r="L288">
            <v>139500.62</v>
          </cell>
          <cell r="M288">
            <v>2092.56</v>
          </cell>
          <cell r="N288">
            <v>29295.84</v>
          </cell>
          <cell r="O288">
            <v>7700.62</v>
          </cell>
          <cell r="P288">
            <v>107808.68</v>
          </cell>
          <cell r="Q288">
            <v>385.03</v>
          </cell>
          <cell r="R288">
            <v>5390.42</v>
          </cell>
          <cell r="S288">
            <v>8085.65</v>
          </cell>
          <cell r="T288">
            <v>113199.1</v>
          </cell>
          <cell r="U288">
            <v>2702.67</v>
          </cell>
          <cell r="V288">
            <v>2324.3000000000002</v>
          </cell>
          <cell r="W288">
            <v>32540.2</v>
          </cell>
          <cell r="X288">
            <v>8553.42</v>
          </cell>
          <cell r="Y288">
            <v>119747.88</v>
          </cell>
          <cell r="Z288">
            <v>427.67</v>
          </cell>
          <cell r="AA288">
            <v>5987.38</v>
          </cell>
          <cell r="AB288">
            <v>8981.09</v>
          </cell>
          <cell r="AC288">
            <v>125735.26</v>
          </cell>
          <cell r="AF288">
            <v>8981.09</v>
          </cell>
          <cell r="AG288">
            <v>125735.26</v>
          </cell>
        </row>
        <row r="289">
          <cell r="A289" t="str">
            <v>1.2.13.3</v>
          </cell>
          <cell r="B289" t="str">
            <v>400mm dia.</v>
          </cell>
          <cell r="C289">
            <v>1</v>
          </cell>
          <cell r="D289" t="str">
            <v>No.</v>
          </cell>
          <cell r="E289">
            <v>1775.1</v>
          </cell>
          <cell r="F289">
            <v>1775.1</v>
          </cell>
          <cell r="G289">
            <v>6532.37</v>
          </cell>
          <cell r="H289">
            <v>6532.37</v>
          </cell>
          <cell r="I289">
            <v>326.62</v>
          </cell>
          <cell r="J289">
            <v>326.62</v>
          </cell>
          <cell r="K289">
            <v>6858.99</v>
          </cell>
          <cell r="L289">
            <v>6858.99</v>
          </cell>
          <cell r="M289">
            <v>1165.69</v>
          </cell>
          <cell r="N289">
            <v>1165.69</v>
          </cell>
          <cell r="O289">
            <v>4289.74</v>
          </cell>
          <cell r="P289">
            <v>4289.74</v>
          </cell>
          <cell r="Q289">
            <v>214.49</v>
          </cell>
          <cell r="R289">
            <v>214.49</v>
          </cell>
          <cell r="S289">
            <v>4504.2299999999996</v>
          </cell>
          <cell r="T289">
            <v>4504.2299999999996</v>
          </cell>
          <cell r="U289">
            <v>1267.53</v>
          </cell>
          <cell r="V289">
            <v>1090.08</v>
          </cell>
          <cell r="W289">
            <v>1090.08</v>
          </cell>
          <cell r="X289">
            <v>4011.49</v>
          </cell>
          <cell r="Y289">
            <v>4011.49</v>
          </cell>
          <cell r="Z289">
            <v>200.57</v>
          </cell>
          <cell r="AA289">
            <v>200.57</v>
          </cell>
          <cell r="AB289">
            <v>4212.0600000000004</v>
          </cell>
          <cell r="AC289">
            <v>4212.0600000000004</v>
          </cell>
          <cell r="AF289">
            <v>4212.0600000000004</v>
          </cell>
          <cell r="AG289">
            <v>4212.0600000000004</v>
          </cell>
        </row>
        <row r="290">
          <cell r="A290" t="str">
            <v>1.2.13.4</v>
          </cell>
          <cell r="B290" t="str">
            <v>100mm dia. (PN 16)</v>
          </cell>
          <cell r="C290">
            <v>1</v>
          </cell>
          <cell r="D290" t="str">
            <v>No.</v>
          </cell>
          <cell r="E290">
            <v>413.83</v>
          </cell>
          <cell r="F290">
            <v>413.83</v>
          </cell>
          <cell r="G290">
            <v>1522.89</v>
          </cell>
          <cell r="H290">
            <v>1522.89</v>
          </cell>
          <cell r="I290">
            <v>76.14</v>
          </cell>
          <cell r="J290">
            <v>76.14</v>
          </cell>
          <cell r="K290">
            <v>1599.03</v>
          </cell>
          <cell r="L290">
            <v>1599.03</v>
          </cell>
          <cell r="M290">
            <v>141.66999999999999</v>
          </cell>
          <cell r="N290">
            <v>141.66999999999999</v>
          </cell>
          <cell r="O290">
            <v>521.35</v>
          </cell>
          <cell r="P290">
            <v>521.35</v>
          </cell>
          <cell r="Q290">
            <v>26.07</v>
          </cell>
          <cell r="R290">
            <v>26.07</v>
          </cell>
          <cell r="S290">
            <v>547.41999999999996</v>
          </cell>
          <cell r="T290">
            <v>547.41999999999996</v>
          </cell>
          <cell r="U290">
            <v>346.38</v>
          </cell>
          <cell r="V290">
            <v>297.89</v>
          </cell>
          <cell r="W290">
            <v>297.89</v>
          </cell>
          <cell r="X290">
            <v>1096.24</v>
          </cell>
          <cell r="Y290">
            <v>1096.24</v>
          </cell>
          <cell r="Z290">
            <v>54.81</v>
          </cell>
          <cell r="AA290">
            <v>54.81</v>
          </cell>
          <cell r="AB290">
            <v>1151.05</v>
          </cell>
          <cell r="AC290">
            <v>1151.05</v>
          </cell>
          <cell r="AF290">
            <v>1151.05</v>
          </cell>
          <cell r="AG290">
            <v>1151.05</v>
          </cell>
        </row>
        <row r="291">
          <cell r="F291">
            <v>0</v>
          </cell>
          <cell r="G291">
            <v>0</v>
          </cell>
          <cell r="H291">
            <v>0</v>
          </cell>
          <cell r="I291">
            <v>0</v>
          </cell>
          <cell r="J291">
            <v>0</v>
          </cell>
          <cell r="K291">
            <v>0</v>
          </cell>
          <cell r="L291">
            <v>0</v>
          </cell>
          <cell r="N291">
            <v>0</v>
          </cell>
          <cell r="O291">
            <v>0</v>
          </cell>
          <cell r="P291">
            <v>0</v>
          </cell>
          <cell r="Q291">
            <v>0</v>
          </cell>
          <cell r="R291">
            <v>0</v>
          </cell>
          <cell r="S291">
            <v>0</v>
          </cell>
          <cell r="T291">
            <v>0</v>
          </cell>
          <cell r="V291">
            <v>0</v>
          </cell>
          <cell r="W291">
            <v>0</v>
          </cell>
          <cell r="X291">
            <v>0</v>
          </cell>
          <cell r="Y291">
            <v>0</v>
          </cell>
          <cell r="Z291">
            <v>0</v>
          </cell>
          <cell r="AA291">
            <v>0</v>
          </cell>
          <cell r="AB291">
            <v>0</v>
          </cell>
          <cell r="AC291">
            <v>0</v>
          </cell>
          <cell r="AF291">
            <v>0</v>
          </cell>
          <cell r="AG291">
            <v>0</v>
          </cell>
        </row>
        <row r="292">
          <cell r="V292">
            <v>0</v>
          </cell>
          <cell r="W292">
            <v>0</v>
          </cell>
          <cell r="X292">
            <v>0</v>
          </cell>
          <cell r="AF292">
            <v>0</v>
          </cell>
          <cell r="AG292">
            <v>0</v>
          </cell>
        </row>
        <row r="293">
          <cell r="V293">
            <v>0</v>
          </cell>
          <cell r="W293">
            <v>0</v>
          </cell>
          <cell r="X293">
            <v>0</v>
          </cell>
          <cell r="AF293">
            <v>0</v>
          </cell>
          <cell r="AG293">
            <v>0</v>
          </cell>
        </row>
        <row r="294">
          <cell r="V294">
            <v>0</v>
          </cell>
          <cell r="W294">
            <v>0</v>
          </cell>
          <cell r="X294">
            <v>0</v>
          </cell>
          <cell r="AF294">
            <v>0</v>
          </cell>
          <cell r="AG294">
            <v>0</v>
          </cell>
        </row>
        <row r="295">
          <cell r="V295">
            <v>0</v>
          </cell>
          <cell r="W295">
            <v>0</v>
          </cell>
          <cell r="X295">
            <v>0</v>
          </cell>
          <cell r="AF295">
            <v>0</v>
          </cell>
          <cell r="AG295">
            <v>0</v>
          </cell>
        </row>
        <row r="296">
          <cell r="V296">
            <v>0</v>
          </cell>
          <cell r="W296">
            <v>0</v>
          </cell>
          <cell r="X296">
            <v>0</v>
          </cell>
          <cell r="AF296">
            <v>0</v>
          </cell>
          <cell r="AG296">
            <v>0</v>
          </cell>
        </row>
        <row r="297">
          <cell r="V297">
            <v>0</v>
          </cell>
          <cell r="W297">
            <v>0</v>
          </cell>
          <cell r="X297">
            <v>0</v>
          </cell>
          <cell r="AF297">
            <v>0</v>
          </cell>
          <cell r="AG297">
            <v>0</v>
          </cell>
        </row>
        <row r="298">
          <cell r="V298">
            <v>0</v>
          </cell>
          <cell r="W298">
            <v>0</v>
          </cell>
          <cell r="X298">
            <v>0</v>
          </cell>
          <cell r="AF298">
            <v>0</v>
          </cell>
          <cell r="AG298">
            <v>0</v>
          </cell>
        </row>
        <row r="299">
          <cell r="V299">
            <v>0</v>
          </cell>
          <cell r="W299">
            <v>0</v>
          </cell>
          <cell r="X299">
            <v>0</v>
          </cell>
          <cell r="AF299">
            <v>0</v>
          </cell>
          <cell r="AG299">
            <v>0</v>
          </cell>
        </row>
        <row r="300">
          <cell r="V300">
            <v>0</v>
          </cell>
          <cell r="W300">
            <v>0</v>
          </cell>
          <cell r="X300">
            <v>0</v>
          </cell>
          <cell r="AF300">
            <v>0</v>
          </cell>
          <cell r="AG300">
            <v>0</v>
          </cell>
        </row>
        <row r="301">
          <cell r="V301">
            <v>0</v>
          </cell>
          <cell r="W301">
            <v>0</v>
          </cell>
          <cell r="X301">
            <v>0</v>
          </cell>
          <cell r="AF301">
            <v>0</v>
          </cell>
          <cell r="AG301">
            <v>0</v>
          </cell>
        </row>
        <row r="302">
          <cell r="V302">
            <v>0</v>
          </cell>
          <cell r="W302">
            <v>0</v>
          </cell>
          <cell r="X302">
            <v>0</v>
          </cell>
          <cell r="AF302">
            <v>0</v>
          </cell>
          <cell r="AG302">
            <v>0</v>
          </cell>
        </row>
        <row r="303">
          <cell r="V303">
            <v>0</v>
          </cell>
          <cell r="W303">
            <v>0</v>
          </cell>
          <cell r="X303">
            <v>0</v>
          </cell>
          <cell r="AF303">
            <v>0</v>
          </cell>
          <cell r="AG303">
            <v>0</v>
          </cell>
        </row>
        <row r="304">
          <cell r="V304">
            <v>0</v>
          </cell>
          <cell r="W304">
            <v>0</v>
          </cell>
          <cell r="X304">
            <v>0</v>
          </cell>
          <cell r="AF304">
            <v>0</v>
          </cell>
          <cell r="AG304">
            <v>0</v>
          </cell>
        </row>
        <row r="305">
          <cell r="V305">
            <v>0</v>
          </cell>
          <cell r="W305">
            <v>0</v>
          </cell>
          <cell r="X305">
            <v>0</v>
          </cell>
          <cell r="AF305">
            <v>0</v>
          </cell>
          <cell r="AG305">
            <v>0</v>
          </cell>
        </row>
        <row r="306">
          <cell r="V306">
            <v>0</v>
          </cell>
          <cell r="W306">
            <v>0</v>
          </cell>
          <cell r="X306">
            <v>0</v>
          </cell>
          <cell r="AF306">
            <v>0</v>
          </cell>
          <cell r="AG306">
            <v>0</v>
          </cell>
        </row>
        <row r="307">
          <cell r="V307">
            <v>0</v>
          </cell>
          <cell r="W307">
            <v>0</v>
          </cell>
          <cell r="X307">
            <v>0</v>
          </cell>
          <cell r="AF307">
            <v>0</v>
          </cell>
          <cell r="AG307">
            <v>0</v>
          </cell>
        </row>
        <row r="308">
          <cell r="V308">
            <v>0</v>
          </cell>
          <cell r="W308">
            <v>0</v>
          </cell>
          <cell r="X308">
            <v>0</v>
          </cell>
          <cell r="AF308">
            <v>0</v>
          </cell>
          <cell r="AG308">
            <v>0</v>
          </cell>
        </row>
        <row r="309">
          <cell r="V309">
            <v>0</v>
          </cell>
          <cell r="W309">
            <v>0</v>
          </cell>
          <cell r="X309">
            <v>0</v>
          </cell>
          <cell r="AF309">
            <v>0</v>
          </cell>
          <cell r="AG309">
            <v>0</v>
          </cell>
        </row>
        <row r="310">
          <cell r="V310">
            <v>0</v>
          </cell>
          <cell r="W310">
            <v>0</v>
          </cell>
          <cell r="X310">
            <v>0</v>
          </cell>
          <cell r="AF310">
            <v>0</v>
          </cell>
          <cell r="AG310">
            <v>0</v>
          </cell>
        </row>
        <row r="311">
          <cell r="V311">
            <v>0</v>
          </cell>
          <cell r="W311">
            <v>0</v>
          </cell>
          <cell r="X311">
            <v>0</v>
          </cell>
          <cell r="AF311">
            <v>0</v>
          </cell>
          <cell r="AG311">
            <v>0</v>
          </cell>
        </row>
        <row r="312">
          <cell r="V312">
            <v>0</v>
          </cell>
          <cell r="W312">
            <v>0</v>
          </cell>
          <cell r="X312">
            <v>0</v>
          </cell>
          <cell r="AF312">
            <v>0</v>
          </cell>
          <cell r="AG312">
            <v>0</v>
          </cell>
        </row>
        <row r="313">
          <cell r="V313">
            <v>0</v>
          </cell>
          <cell r="W313">
            <v>0</v>
          </cell>
          <cell r="X313">
            <v>0</v>
          </cell>
          <cell r="AF313">
            <v>0</v>
          </cell>
          <cell r="AG313">
            <v>0</v>
          </cell>
        </row>
        <row r="314">
          <cell r="V314">
            <v>0</v>
          </cell>
          <cell r="W314">
            <v>0</v>
          </cell>
          <cell r="X314">
            <v>0</v>
          </cell>
          <cell r="AF314">
            <v>0</v>
          </cell>
          <cell r="AG314">
            <v>0</v>
          </cell>
        </row>
        <row r="315">
          <cell r="F315">
            <v>0</v>
          </cell>
          <cell r="G315">
            <v>0</v>
          </cell>
          <cell r="H315">
            <v>0</v>
          </cell>
          <cell r="I315">
            <v>0</v>
          </cell>
          <cell r="J315">
            <v>0</v>
          </cell>
          <cell r="K315">
            <v>0</v>
          </cell>
          <cell r="L315">
            <v>0</v>
          </cell>
          <cell r="N315">
            <v>0</v>
          </cell>
          <cell r="O315">
            <v>0</v>
          </cell>
          <cell r="P315">
            <v>0</v>
          </cell>
          <cell r="Q315">
            <v>0</v>
          </cell>
          <cell r="R315">
            <v>0</v>
          </cell>
          <cell r="S315">
            <v>0</v>
          </cell>
          <cell r="T315">
            <v>0</v>
          </cell>
          <cell r="V315">
            <v>0</v>
          </cell>
          <cell r="W315">
            <v>0</v>
          </cell>
          <cell r="X315">
            <v>0</v>
          </cell>
          <cell r="Y315">
            <v>0</v>
          </cell>
          <cell r="Z315">
            <v>0</v>
          </cell>
          <cell r="AA315">
            <v>0</v>
          </cell>
          <cell r="AB315">
            <v>0</v>
          </cell>
          <cell r="AC315">
            <v>0</v>
          </cell>
          <cell r="AF315">
            <v>0</v>
          </cell>
          <cell r="AG315">
            <v>0</v>
          </cell>
        </row>
        <row r="316">
          <cell r="B316" t="str">
            <v xml:space="preserve">Blank Flanges (Bituminous/zinc coating internally - </v>
          </cell>
          <cell r="F316">
            <v>0</v>
          </cell>
          <cell r="G316">
            <v>0</v>
          </cell>
          <cell r="H316">
            <v>0</v>
          </cell>
          <cell r="I316">
            <v>0</v>
          </cell>
          <cell r="J316">
            <v>0</v>
          </cell>
          <cell r="K316">
            <v>0</v>
          </cell>
          <cell r="L316">
            <v>0</v>
          </cell>
          <cell r="N316">
            <v>0</v>
          </cell>
          <cell r="O316">
            <v>0</v>
          </cell>
          <cell r="P316">
            <v>0</v>
          </cell>
          <cell r="Q316">
            <v>0</v>
          </cell>
          <cell r="R316">
            <v>0</v>
          </cell>
          <cell r="S316">
            <v>0</v>
          </cell>
          <cell r="T316">
            <v>0</v>
          </cell>
          <cell r="V316">
            <v>0</v>
          </cell>
          <cell r="W316">
            <v>0</v>
          </cell>
          <cell r="X316">
            <v>0</v>
          </cell>
          <cell r="Y316">
            <v>0</v>
          </cell>
          <cell r="Z316">
            <v>0</v>
          </cell>
          <cell r="AA316">
            <v>0</v>
          </cell>
          <cell r="AB316">
            <v>0</v>
          </cell>
          <cell r="AC316">
            <v>0</v>
          </cell>
          <cell r="AF316">
            <v>0</v>
          </cell>
          <cell r="AG316">
            <v>0</v>
          </cell>
        </row>
        <row r="317">
          <cell r="B317" t="str">
            <v>Cement mortar internally)</v>
          </cell>
          <cell r="F317">
            <v>0</v>
          </cell>
          <cell r="G317">
            <v>0</v>
          </cell>
          <cell r="H317">
            <v>0</v>
          </cell>
          <cell r="I317">
            <v>0</v>
          </cell>
          <cell r="J317">
            <v>0</v>
          </cell>
          <cell r="K317">
            <v>0</v>
          </cell>
          <cell r="L317">
            <v>0</v>
          </cell>
          <cell r="N317">
            <v>0</v>
          </cell>
          <cell r="O317">
            <v>0</v>
          </cell>
          <cell r="P317">
            <v>0</v>
          </cell>
          <cell r="Q317">
            <v>0</v>
          </cell>
          <cell r="R317">
            <v>0</v>
          </cell>
          <cell r="S317">
            <v>0</v>
          </cell>
          <cell r="T317">
            <v>0</v>
          </cell>
          <cell r="V317">
            <v>0</v>
          </cell>
          <cell r="W317">
            <v>0</v>
          </cell>
          <cell r="X317">
            <v>0</v>
          </cell>
          <cell r="Y317">
            <v>0</v>
          </cell>
          <cell r="Z317">
            <v>0</v>
          </cell>
          <cell r="AA317">
            <v>0</v>
          </cell>
          <cell r="AB317">
            <v>0</v>
          </cell>
          <cell r="AC317">
            <v>0</v>
          </cell>
          <cell r="AF317">
            <v>0</v>
          </cell>
          <cell r="AG317">
            <v>0</v>
          </cell>
        </row>
        <row r="318">
          <cell r="A318" t="str">
            <v>1.2.16.1</v>
          </cell>
          <cell r="B318" t="str">
            <v>600mm dia.</v>
          </cell>
          <cell r="C318">
            <v>11</v>
          </cell>
          <cell r="D318" t="str">
            <v>No.</v>
          </cell>
          <cell r="E318">
            <v>659.76</v>
          </cell>
          <cell r="F318">
            <v>7257.36</v>
          </cell>
          <cell r="G318">
            <v>2427.92</v>
          </cell>
          <cell r="H318">
            <v>26707.119999999999</v>
          </cell>
          <cell r="I318">
            <v>121.4</v>
          </cell>
          <cell r="J318">
            <v>1335.4</v>
          </cell>
          <cell r="K318">
            <v>2549.3200000000002</v>
          </cell>
          <cell r="L318">
            <v>28042.52</v>
          </cell>
          <cell r="M318">
            <v>999.3</v>
          </cell>
          <cell r="N318">
            <v>10992.3</v>
          </cell>
          <cell r="O318">
            <v>3677.42</v>
          </cell>
          <cell r="P318">
            <v>40451.620000000003</v>
          </cell>
          <cell r="Q318">
            <v>183.87</v>
          </cell>
          <cell r="R318">
            <v>2022.57</v>
          </cell>
          <cell r="S318">
            <v>3861.29</v>
          </cell>
          <cell r="T318">
            <v>42474.19</v>
          </cell>
          <cell r="U318">
            <v>1025.54</v>
          </cell>
          <cell r="V318">
            <v>881.96</v>
          </cell>
          <cell r="W318">
            <v>9701.56</v>
          </cell>
          <cell r="X318">
            <v>3245.61</v>
          </cell>
          <cell r="Y318">
            <v>35701.71</v>
          </cell>
          <cell r="Z318">
            <v>162.28</v>
          </cell>
          <cell r="AA318">
            <v>1785.08</v>
          </cell>
          <cell r="AB318">
            <v>3407.89</v>
          </cell>
          <cell r="AC318">
            <v>37486.79</v>
          </cell>
          <cell r="AF318">
            <v>3407.89</v>
          </cell>
          <cell r="AG318">
            <v>37486.79</v>
          </cell>
        </row>
        <row r="319">
          <cell r="A319" t="str">
            <v>1.2.16.2</v>
          </cell>
          <cell r="B319" t="str">
            <v>400mm dia. (PN 16)</v>
          </cell>
          <cell r="C319">
            <v>1</v>
          </cell>
          <cell r="D319" t="str">
            <v>No.</v>
          </cell>
          <cell r="E319">
            <v>354.01</v>
          </cell>
          <cell r="F319">
            <v>354.01</v>
          </cell>
          <cell r="G319">
            <v>1302.76</v>
          </cell>
          <cell r="H319">
            <v>1302.76</v>
          </cell>
          <cell r="I319">
            <v>65.14</v>
          </cell>
          <cell r="J319">
            <v>65.14</v>
          </cell>
          <cell r="K319">
            <v>1367.9</v>
          </cell>
          <cell r="L319">
            <v>1367.9</v>
          </cell>
          <cell r="M319">
            <v>333.3</v>
          </cell>
          <cell r="N319">
            <v>333.3</v>
          </cell>
          <cell r="O319">
            <v>1226.54</v>
          </cell>
          <cell r="P319">
            <v>1226.54</v>
          </cell>
          <cell r="Q319">
            <v>61.33</v>
          </cell>
          <cell r="R319">
            <v>61.33</v>
          </cell>
          <cell r="S319">
            <v>1287.8699999999999</v>
          </cell>
          <cell r="T319">
            <v>1287.8699999999999</v>
          </cell>
          <cell r="U319">
            <v>259.33999999999997</v>
          </cell>
          <cell r="V319">
            <v>223.03</v>
          </cell>
          <cell r="W319">
            <v>223.03</v>
          </cell>
          <cell r="X319">
            <v>820.75</v>
          </cell>
          <cell r="Y319">
            <v>820.75</v>
          </cell>
          <cell r="Z319">
            <v>41.04</v>
          </cell>
          <cell r="AA319">
            <v>41.04</v>
          </cell>
          <cell r="AB319">
            <v>861.79</v>
          </cell>
          <cell r="AC319">
            <v>861.79</v>
          </cell>
          <cell r="AF319">
            <v>861.79</v>
          </cell>
          <cell r="AG319">
            <v>861.79</v>
          </cell>
        </row>
        <row r="320">
          <cell r="A320" t="str">
            <v>1.2.16.3</v>
          </cell>
          <cell r="B320" t="str">
            <v>300mm dia. (PN 16)</v>
          </cell>
          <cell r="C320">
            <v>1</v>
          </cell>
          <cell r="D320" t="str">
            <v>No.</v>
          </cell>
          <cell r="E320">
            <v>164.59</v>
          </cell>
          <cell r="F320">
            <v>164.59</v>
          </cell>
          <cell r="G320">
            <v>605.69000000000005</v>
          </cell>
          <cell r="H320">
            <v>605.69000000000005</v>
          </cell>
          <cell r="I320">
            <v>30.28</v>
          </cell>
          <cell r="J320">
            <v>30.28</v>
          </cell>
          <cell r="K320">
            <v>635.97</v>
          </cell>
          <cell r="L320">
            <v>635.97</v>
          </cell>
          <cell r="M320">
            <v>156.32</v>
          </cell>
          <cell r="N320">
            <v>156.32</v>
          </cell>
          <cell r="O320">
            <v>575.26</v>
          </cell>
          <cell r="P320">
            <v>575.26</v>
          </cell>
          <cell r="Q320">
            <v>28.76</v>
          </cell>
          <cell r="R320">
            <v>28.76</v>
          </cell>
          <cell r="S320">
            <v>604.02</v>
          </cell>
          <cell r="T320">
            <v>604.02</v>
          </cell>
          <cell r="U320">
            <v>161.04</v>
          </cell>
          <cell r="V320">
            <v>138.49</v>
          </cell>
          <cell r="W320">
            <v>138.49</v>
          </cell>
          <cell r="X320">
            <v>509.64</v>
          </cell>
          <cell r="Y320">
            <v>509.64</v>
          </cell>
          <cell r="Z320">
            <v>25.48</v>
          </cell>
          <cell r="AA320">
            <v>25.48</v>
          </cell>
          <cell r="AB320">
            <v>535.12</v>
          </cell>
          <cell r="AC320">
            <v>535.12</v>
          </cell>
          <cell r="AF320">
            <v>535.12</v>
          </cell>
          <cell r="AG320">
            <v>535.12</v>
          </cell>
        </row>
        <row r="321">
          <cell r="A321" t="str">
            <v>1.2.16.4</v>
          </cell>
          <cell r="B321" t="str">
            <v>200mm dia. (PN 16)</v>
          </cell>
          <cell r="C321">
            <v>25</v>
          </cell>
          <cell r="D321" t="str">
            <v>No.</v>
          </cell>
          <cell r="E321">
            <v>73.06</v>
          </cell>
          <cell r="F321">
            <v>1826.5</v>
          </cell>
          <cell r="G321">
            <v>268.86</v>
          </cell>
          <cell r="H321">
            <v>6721.5</v>
          </cell>
          <cell r="I321">
            <v>13.44</v>
          </cell>
          <cell r="J321">
            <v>336</v>
          </cell>
          <cell r="K321">
            <v>282.3</v>
          </cell>
          <cell r="L321">
            <v>7057.5</v>
          </cell>
          <cell r="M321">
            <v>76.260000000000005</v>
          </cell>
          <cell r="N321">
            <v>1906.5</v>
          </cell>
          <cell r="O321">
            <v>280.64</v>
          </cell>
          <cell r="P321">
            <v>7016</v>
          </cell>
          <cell r="Q321">
            <v>14.03</v>
          </cell>
          <cell r="R321">
            <v>350.75</v>
          </cell>
          <cell r="S321">
            <v>294.67</v>
          </cell>
          <cell r="T321">
            <v>7366.75</v>
          </cell>
          <cell r="U321">
            <v>110.2</v>
          </cell>
          <cell r="V321">
            <v>94.77</v>
          </cell>
          <cell r="W321">
            <v>2369.25</v>
          </cell>
          <cell r="X321">
            <v>348.75</v>
          </cell>
          <cell r="Y321">
            <v>8718.75</v>
          </cell>
          <cell r="Z321">
            <v>17.440000000000001</v>
          </cell>
          <cell r="AA321">
            <v>436</v>
          </cell>
          <cell r="AB321">
            <v>366.19</v>
          </cell>
          <cell r="AC321">
            <v>9154.75</v>
          </cell>
          <cell r="AF321">
            <v>366.19</v>
          </cell>
          <cell r="AG321">
            <v>9154.75</v>
          </cell>
        </row>
        <row r="322">
          <cell r="F322">
            <v>0</v>
          </cell>
          <cell r="G322">
            <v>0</v>
          </cell>
          <cell r="H322">
            <v>0</v>
          </cell>
          <cell r="I322">
            <v>0</v>
          </cell>
          <cell r="J322">
            <v>0</v>
          </cell>
          <cell r="K322">
            <v>0</v>
          </cell>
          <cell r="L322">
            <v>0</v>
          </cell>
          <cell r="N322">
            <v>0</v>
          </cell>
          <cell r="O322">
            <v>0</v>
          </cell>
          <cell r="P322">
            <v>0</v>
          </cell>
          <cell r="Q322">
            <v>0</v>
          </cell>
          <cell r="R322">
            <v>0</v>
          </cell>
          <cell r="S322">
            <v>0</v>
          </cell>
          <cell r="T322">
            <v>0</v>
          </cell>
          <cell r="V322">
            <v>0</v>
          </cell>
          <cell r="W322">
            <v>0</v>
          </cell>
          <cell r="X322">
            <v>0</v>
          </cell>
          <cell r="Y322">
            <v>0</v>
          </cell>
          <cell r="Z322">
            <v>0</v>
          </cell>
          <cell r="AA322">
            <v>0</v>
          </cell>
          <cell r="AB322">
            <v>0</v>
          </cell>
          <cell r="AC322">
            <v>0</v>
          </cell>
          <cell r="AF322">
            <v>0</v>
          </cell>
          <cell r="AG322">
            <v>0</v>
          </cell>
        </row>
        <row r="323">
          <cell r="B323" t="str">
            <v xml:space="preserve">Blank Flanges (with internal and external protection in </v>
          </cell>
          <cell r="F323">
            <v>0</v>
          </cell>
          <cell r="G323">
            <v>0</v>
          </cell>
          <cell r="H323">
            <v>0</v>
          </cell>
          <cell r="I323">
            <v>0</v>
          </cell>
          <cell r="J323">
            <v>0</v>
          </cell>
          <cell r="K323">
            <v>0</v>
          </cell>
          <cell r="L323">
            <v>0</v>
          </cell>
          <cell r="N323">
            <v>0</v>
          </cell>
          <cell r="O323">
            <v>0</v>
          </cell>
          <cell r="P323">
            <v>0</v>
          </cell>
          <cell r="Q323">
            <v>0</v>
          </cell>
          <cell r="R323">
            <v>0</v>
          </cell>
          <cell r="S323">
            <v>0</v>
          </cell>
          <cell r="T323">
            <v>0</v>
          </cell>
          <cell r="V323">
            <v>0</v>
          </cell>
          <cell r="W323">
            <v>0</v>
          </cell>
          <cell r="X323">
            <v>0</v>
          </cell>
          <cell r="Y323">
            <v>0</v>
          </cell>
          <cell r="Z323">
            <v>0</v>
          </cell>
          <cell r="AA323">
            <v>0</v>
          </cell>
          <cell r="AB323">
            <v>0</v>
          </cell>
          <cell r="AC323">
            <v>0</v>
          </cell>
          <cell r="AF323">
            <v>0</v>
          </cell>
          <cell r="AG323">
            <v>0</v>
          </cell>
        </row>
        <row r="324">
          <cell r="B324" t="str">
            <v>fusion bonded epoxy)</v>
          </cell>
          <cell r="F324">
            <v>0</v>
          </cell>
          <cell r="G324">
            <v>0</v>
          </cell>
          <cell r="H324">
            <v>0</v>
          </cell>
          <cell r="I324">
            <v>0</v>
          </cell>
          <cell r="J324">
            <v>0</v>
          </cell>
          <cell r="K324">
            <v>0</v>
          </cell>
          <cell r="L324">
            <v>0</v>
          </cell>
          <cell r="N324">
            <v>0</v>
          </cell>
          <cell r="O324">
            <v>0</v>
          </cell>
          <cell r="P324">
            <v>0</v>
          </cell>
          <cell r="Q324">
            <v>0</v>
          </cell>
          <cell r="R324">
            <v>0</v>
          </cell>
          <cell r="S324">
            <v>0</v>
          </cell>
          <cell r="T324">
            <v>0</v>
          </cell>
          <cell r="V324">
            <v>0</v>
          </cell>
          <cell r="W324">
            <v>0</v>
          </cell>
          <cell r="X324">
            <v>0</v>
          </cell>
          <cell r="Y324">
            <v>0</v>
          </cell>
          <cell r="Z324">
            <v>0</v>
          </cell>
          <cell r="AA324">
            <v>0</v>
          </cell>
          <cell r="AB324">
            <v>0</v>
          </cell>
          <cell r="AC324">
            <v>0</v>
          </cell>
          <cell r="AF324">
            <v>0</v>
          </cell>
          <cell r="AG324">
            <v>0</v>
          </cell>
        </row>
        <row r="325">
          <cell r="F325">
            <v>0</v>
          </cell>
          <cell r="G325">
            <v>0</v>
          </cell>
          <cell r="H325">
            <v>0</v>
          </cell>
          <cell r="I325">
            <v>0</v>
          </cell>
          <cell r="J325">
            <v>0</v>
          </cell>
          <cell r="K325">
            <v>0</v>
          </cell>
          <cell r="L325">
            <v>0</v>
          </cell>
          <cell r="N325">
            <v>0</v>
          </cell>
          <cell r="O325">
            <v>0</v>
          </cell>
          <cell r="P325">
            <v>0</v>
          </cell>
          <cell r="Q325">
            <v>0</v>
          </cell>
          <cell r="R325">
            <v>0</v>
          </cell>
          <cell r="S325">
            <v>0</v>
          </cell>
          <cell r="T325">
            <v>0</v>
          </cell>
          <cell r="V325">
            <v>0</v>
          </cell>
          <cell r="W325">
            <v>0</v>
          </cell>
          <cell r="X325">
            <v>0</v>
          </cell>
          <cell r="Y325">
            <v>0</v>
          </cell>
          <cell r="Z325">
            <v>0</v>
          </cell>
          <cell r="AA325">
            <v>0</v>
          </cell>
          <cell r="AB325">
            <v>0</v>
          </cell>
          <cell r="AC325">
            <v>0</v>
          </cell>
          <cell r="AF325">
            <v>0</v>
          </cell>
          <cell r="AG325">
            <v>0</v>
          </cell>
        </row>
        <row r="326">
          <cell r="A326" t="str">
            <v>1.2.17</v>
          </cell>
          <cell r="B326" t="str">
            <v xml:space="preserve">200mm dia. </v>
          </cell>
          <cell r="C326">
            <v>85</v>
          </cell>
          <cell r="D326" t="str">
            <v>No.</v>
          </cell>
          <cell r="E326">
            <v>73.06</v>
          </cell>
          <cell r="F326">
            <v>6210.1</v>
          </cell>
          <cell r="G326">
            <v>268.86</v>
          </cell>
          <cell r="H326">
            <v>22853.1</v>
          </cell>
          <cell r="I326">
            <v>13.44</v>
          </cell>
          <cell r="J326">
            <v>1142.4000000000001</v>
          </cell>
          <cell r="K326">
            <v>282.3</v>
          </cell>
          <cell r="L326">
            <v>23995.5</v>
          </cell>
          <cell r="M326">
            <v>99.45</v>
          </cell>
          <cell r="N326">
            <v>8453.25</v>
          </cell>
          <cell r="O326">
            <v>365.98</v>
          </cell>
          <cell r="P326">
            <v>31108.3</v>
          </cell>
          <cell r="Q326">
            <v>18.3</v>
          </cell>
          <cell r="R326">
            <v>1555.5</v>
          </cell>
          <cell r="S326">
            <v>384.28</v>
          </cell>
          <cell r="T326">
            <v>32663.8</v>
          </cell>
          <cell r="U326">
            <v>240.92</v>
          </cell>
          <cell r="V326">
            <v>207.19</v>
          </cell>
          <cell r="W326">
            <v>17611.150000000001</v>
          </cell>
          <cell r="X326">
            <v>762.46</v>
          </cell>
          <cell r="Y326">
            <v>64809.1</v>
          </cell>
          <cell r="Z326">
            <v>38.119999999999997</v>
          </cell>
          <cell r="AA326">
            <v>3240.2</v>
          </cell>
          <cell r="AB326">
            <v>800.58</v>
          </cell>
          <cell r="AC326">
            <v>68049.3</v>
          </cell>
          <cell r="AF326">
            <v>800.58</v>
          </cell>
          <cell r="AG326">
            <v>68049.3</v>
          </cell>
        </row>
        <row r="327">
          <cell r="F327">
            <v>0</v>
          </cell>
          <cell r="G327">
            <v>0</v>
          </cell>
          <cell r="H327">
            <v>0</v>
          </cell>
          <cell r="I327">
            <v>0</v>
          </cell>
          <cell r="J327">
            <v>0</v>
          </cell>
          <cell r="K327">
            <v>0</v>
          </cell>
          <cell r="L327">
            <v>0</v>
          </cell>
          <cell r="N327">
            <v>0</v>
          </cell>
          <cell r="O327">
            <v>0</v>
          </cell>
          <cell r="P327">
            <v>0</v>
          </cell>
          <cell r="Q327">
            <v>0</v>
          </cell>
          <cell r="R327">
            <v>0</v>
          </cell>
          <cell r="S327">
            <v>0</v>
          </cell>
          <cell r="T327">
            <v>0</v>
          </cell>
          <cell r="W327">
            <v>0</v>
          </cell>
          <cell r="X327">
            <v>0</v>
          </cell>
          <cell r="Y327">
            <v>0</v>
          </cell>
          <cell r="Z327">
            <v>0</v>
          </cell>
          <cell r="AA327">
            <v>0</v>
          </cell>
          <cell r="AB327">
            <v>0</v>
          </cell>
          <cell r="AC327">
            <v>0</v>
          </cell>
          <cell r="AG327">
            <v>0</v>
          </cell>
        </row>
        <row r="328">
          <cell r="AG328">
            <v>0</v>
          </cell>
        </row>
        <row r="329">
          <cell r="AG329">
            <v>0</v>
          </cell>
        </row>
        <row r="330">
          <cell r="AG330">
            <v>0</v>
          </cell>
        </row>
        <row r="331">
          <cell r="AG331">
            <v>0</v>
          </cell>
        </row>
        <row r="332">
          <cell r="AG332">
            <v>0</v>
          </cell>
        </row>
        <row r="333">
          <cell r="AG333">
            <v>0</v>
          </cell>
        </row>
        <row r="334">
          <cell r="AG334">
            <v>0</v>
          </cell>
        </row>
        <row r="335">
          <cell r="AG335">
            <v>0</v>
          </cell>
        </row>
        <row r="336">
          <cell r="AG336">
            <v>0</v>
          </cell>
        </row>
        <row r="337">
          <cell r="E337">
            <v>0</v>
          </cell>
          <cell r="I337">
            <v>0</v>
          </cell>
          <cell r="Q337">
            <v>0</v>
          </cell>
          <cell r="Z337">
            <v>0</v>
          </cell>
          <cell r="AG337">
            <v>0</v>
          </cell>
        </row>
        <row r="338">
          <cell r="F338">
            <v>1572123.1</v>
          </cell>
          <cell r="H338">
            <v>5785413.0999999996</v>
          </cell>
          <cell r="J338">
            <v>289270.59999999998</v>
          </cell>
          <cell r="L338">
            <v>6074683.7000000002</v>
          </cell>
          <cell r="N338">
            <v>1641476.37</v>
          </cell>
          <cell r="P338">
            <v>6040633.4299999997</v>
          </cell>
          <cell r="R338">
            <v>302032.15999999997</v>
          </cell>
          <cell r="T338">
            <v>6342665.5899999999</v>
          </cell>
          <cell r="W338">
            <v>1683176.95</v>
          </cell>
          <cell r="Y338">
            <v>6194090.1500000004</v>
          </cell>
          <cell r="AA338">
            <v>309705.06</v>
          </cell>
          <cell r="AC338">
            <v>6503795.21</v>
          </cell>
          <cell r="AG338">
            <v>6503795.21</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
      <sheetName val="1"/>
      <sheetName val="2"/>
      <sheetName val="3"/>
      <sheetName val="4"/>
      <sheetName val="5"/>
      <sheetName val="Sheet1"/>
      <sheetName val="All"/>
      <sheetName val="Sheet4"/>
      <sheetName val="P181"/>
      <sheetName val="P10180"/>
      <sheetName val="Res1"/>
      <sheetName val="Res2"/>
      <sheetName val="Res3"/>
      <sheetName val="P10180 (2)"/>
      <sheetName val="Sheet1 (2)"/>
      <sheetName val="Res4"/>
      <sheetName val="Supply Only"/>
      <sheetName val="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
      <sheetName val="Labour"/>
      <sheetName val="BreakDown"/>
      <sheetName val="Sheet1"/>
      <sheetName val="EqpMonth"/>
    </sheetNames>
    <sheetDataSet>
      <sheetData sheetId="0"/>
      <sheetData sheetId="1" refreshError="1">
        <row r="1">
          <cell r="K1" t="str">
            <v>Mussafah Surface Water</v>
          </cell>
        </row>
        <row r="2">
          <cell r="K2" t="str">
            <v>(Contract No. 147/7D)</v>
          </cell>
        </row>
        <row r="3">
          <cell r="K3" t="str">
            <v>Manpower Distribution</v>
          </cell>
        </row>
        <row r="4">
          <cell r="M4">
            <v>1998</v>
          </cell>
          <cell r="P4">
            <v>1999</v>
          </cell>
          <cell r="AB4">
            <v>2000</v>
          </cell>
          <cell r="AF4" t="str">
            <v>Total</v>
          </cell>
          <cell r="AG4" t="str">
            <v>Total</v>
          </cell>
        </row>
        <row r="5">
          <cell r="K5" t="str">
            <v>Description</v>
          </cell>
          <cell r="L5">
            <v>0</v>
          </cell>
          <cell r="M5">
            <v>10</v>
          </cell>
          <cell r="N5">
            <v>11</v>
          </cell>
          <cell r="O5">
            <v>12</v>
          </cell>
          <cell r="P5">
            <v>1</v>
          </cell>
          <cell r="Q5">
            <v>2</v>
          </cell>
          <cell r="R5">
            <v>3</v>
          </cell>
          <cell r="S5">
            <v>4</v>
          </cell>
          <cell r="T5">
            <v>5</v>
          </cell>
          <cell r="U5">
            <v>6</v>
          </cell>
          <cell r="V5">
            <v>7</v>
          </cell>
          <cell r="W5">
            <v>8</v>
          </cell>
          <cell r="X5">
            <v>9</v>
          </cell>
          <cell r="Y5">
            <v>10</v>
          </cell>
          <cell r="Z5">
            <v>11</v>
          </cell>
          <cell r="AA5">
            <v>12</v>
          </cell>
          <cell r="AB5">
            <v>1</v>
          </cell>
          <cell r="AC5">
            <v>2</v>
          </cell>
          <cell r="AD5">
            <v>3</v>
          </cell>
          <cell r="AE5">
            <v>4</v>
          </cell>
          <cell r="AF5" t="str">
            <v>Manmonth</v>
          </cell>
          <cell r="AG5" t="str">
            <v>ManHours</v>
          </cell>
        </row>
        <row r="6">
          <cell r="K6" t="str">
            <v>Project Manager</v>
          </cell>
          <cell r="L6">
            <v>0</v>
          </cell>
          <cell r="M6">
            <v>1</v>
          </cell>
          <cell r="N6">
            <v>1</v>
          </cell>
          <cell r="O6">
            <v>1</v>
          </cell>
          <cell r="P6">
            <v>1</v>
          </cell>
          <cell r="Q6">
            <v>1</v>
          </cell>
          <cell r="R6">
            <v>1</v>
          </cell>
          <cell r="S6">
            <v>1</v>
          </cell>
          <cell r="T6">
            <v>1</v>
          </cell>
          <cell r="U6">
            <v>1</v>
          </cell>
          <cell r="V6">
            <v>1</v>
          </cell>
          <cell r="W6">
            <v>1</v>
          </cell>
          <cell r="X6">
            <v>1</v>
          </cell>
          <cell r="Y6">
            <v>1</v>
          </cell>
          <cell r="Z6">
            <v>1</v>
          </cell>
          <cell r="AA6">
            <v>1</v>
          </cell>
          <cell r="AB6">
            <v>1</v>
          </cell>
          <cell r="AC6">
            <v>1</v>
          </cell>
          <cell r="AD6">
            <v>1</v>
          </cell>
          <cell r="AE6">
            <v>1</v>
          </cell>
          <cell r="AF6">
            <v>19</v>
          </cell>
          <cell r="AG6">
            <v>190</v>
          </cell>
        </row>
        <row r="7">
          <cell r="K7" t="str">
            <v>Construction Manager</v>
          </cell>
          <cell r="L7">
            <v>0</v>
          </cell>
          <cell r="M7">
            <v>1</v>
          </cell>
          <cell r="N7">
            <v>1</v>
          </cell>
          <cell r="O7">
            <v>1</v>
          </cell>
          <cell r="P7">
            <v>1</v>
          </cell>
          <cell r="Q7">
            <v>1</v>
          </cell>
          <cell r="R7">
            <v>1</v>
          </cell>
          <cell r="S7">
            <v>1</v>
          </cell>
          <cell r="T7">
            <v>1</v>
          </cell>
          <cell r="U7">
            <v>1</v>
          </cell>
          <cell r="V7">
            <v>1</v>
          </cell>
          <cell r="W7">
            <v>1</v>
          </cell>
          <cell r="X7">
            <v>1</v>
          </cell>
          <cell r="Y7">
            <v>1</v>
          </cell>
          <cell r="Z7">
            <v>1</v>
          </cell>
          <cell r="AA7">
            <v>1</v>
          </cell>
          <cell r="AB7">
            <v>1</v>
          </cell>
          <cell r="AC7">
            <v>1</v>
          </cell>
          <cell r="AD7">
            <v>1</v>
          </cell>
          <cell r="AE7">
            <v>1</v>
          </cell>
          <cell r="AF7">
            <v>19</v>
          </cell>
          <cell r="AG7">
            <v>190</v>
          </cell>
        </row>
        <row r="8">
          <cell r="K8" t="str">
            <v>Tech. Manger &amp; Coordination Engineer</v>
          </cell>
          <cell r="L8">
            <v>0</v>
          </cell>
          <cell r="M8">
            <v>1</v>
          </cell>
          <cell r="N8">
            <v>1</v>
          </cell>
          <cell r="O8">
            <v>1</v>
          </cell>
          <cell r="P8">
            <v>1</v>
          </cell>
          <cell r="Q8">
            <v>1</v>
          </cell>
          <cell r="R8">
            <v>1</v>
          </cell>
          <cell r="S8">
            <v>1</v>
          </cell>
          <cell r="T8">
            <v>1</v>
          </cell>
          <cell r="U8">
            <v>1</v>
          </cell>
          <cell r="V8">
            <v>1</v>
          </cell>
          <cell r="W8">
            <v>1</v>
          </cell>
          <cell r="X8">
            <v>1</v>
          </cell>
          <cell r="Y8">
            <v>1</v>
          </cell>
          <cell r="Z8">
            <v>1</v>
          </cell>
          <cell r="AA8">
            <v>1</v>
          </cell>
          <cell r="AB8">
            <v>1</v>
          </cell>
          <cell r="AC8">
            <v>1</v>
          </cell>
          <cell r="AD8">
            <v>1</v>
          </cell>
          <cell r="AE8">
            <v>1</v>
          </cell>
          <cell r="AF8">
            <v>19</v>
          </cell>
          <cell r="AG8">
            <v>190</v>
          </cell>
        </row>
        <row r="9">
          <cell r="K9" t="str">
            <v>Site Engineer</v>
          </cell>
          <cell r="L9">
            <v>0</v>
          </cell>
          <cell r="M9">
            <v>0</v>
          </cell>
          <cell r="N9">
            <v>1</v>
          </cell>
          <cell r="O9">
            <v>1</v>
          </cell>
          <cell r="P9">
            <v>2</v>
          </cell>
          <cell r="Q9">
            <v>2</v>
          </cell>
          <cell r="R9">
            <v>2</v>
          </cell>
          <cell r="S9">
            <v>2</v>
          </cell>
          <cell r="T9">
            <v>2</v>
          </cell>
          <cell r="U9">
            <v>2</v>
          </cell>
          <cell r="V9">
            <v>2</v>
          </cell>
          <cell r="W9">
            <v>2</v>
          </cell>
          <cell r="X9">
            <v>2</v>
          </cell>
          <cell r="Y9">
            <v>2</v>
          </cell>
          <cell r="Z9">
            <v>2</v>
          </cell>
          <cell r="AA9">
            <v>2</v>
          </cell>
          <cell r="AB9">
            <v>2</v>
          </cell>
          <cell r="AC9">
            <v>2</v>
          </cell>
          <cell r="AD9">
            <v>2</v>
          </cell>
          <cell r="AE9">
            <v>1</v>
          </cell>
          <cell r="AF9">
            <v>33</v>
          </cell>
          <cell r="AG9">
            <v>330</v>
          </cell>
        </row>
        <row r="10">
          <cell r="K10" t="str">
            <v>Qty Surveyor &amp; Tech. Office Engineer</v>
          </cell>
          <cell r="L10">
            <v>0</v>
          </cell>
          <cell r="M10">
            <v>1</v>
          </cell>
          <cell r="N10">
            <v>1</v>
          </cell>
          <cell r="O10">
            <v>1</v>
          </cell>
          <cell r="P10">
            <v>1</v>
          </cell>
          <cell r="Q10">
            <v>1</v>
          </cell>
          <cell r="R10">
            <v>1</v>
          </cell>
          <cell r="S10">
            <v>1</v>
          </cell>
          <cell r="T10">
            <v>1</v>
          </cell>
          <cell r="U10">
            <v>1</v>
          </cell>
          <cell r="V10">
            <v>1</v>
          </cell>
          <cell r="W10">
            <v>1</v>
          </cell>
          <cell r="X10">
            <v>1</v>
          </cell>
          <cell r="Y10">
            <v>1</v>
          </cell>
          <cell r="Z10">
            <v>1</v>
          </cell>
          <cell r="AA10">
            <v>1</v>
          </cell>
          <cell r="AB10">
            <v>1</v>
          </cell>
          <cell r="AC10">
            <v>1</v>
          </cell>
          <cell r="AD10">
            <v>1</v>
          </cell>
          <cell r="AE10">
            <v>1</v>
          </cell>
          <cell r="AF10">
            <v>19</v>
          </cell>
          <cell r="AG10">
            <v>190</v>
          </cell>
        </row>
        <row r="11">
          <cell r="K11" t="str">
            <v>Planning Engineer</v>
          </cell>
          <cell r="L11">
            <v>0</v>
          </cell>
          <cell r="M11">
            <v>1</v>
          </cell>
          <cell r="N11">
            <v>1</v>
          </cell>
          <cell r="O11">
            <v>1</v>
          </cell>
          <cell r="P11">
            <v>1</v>
          </cell>
          <cell r="Q11">
            <v>1</v>
          </cell>
          <cell r="R11">
            <v>1</v>
          </cell>
          <cell r="S11">
            <v>1</v>
          </cell>
          <cell r="T11">
            <v>1</v>
          </cell>
          <cell r="U11">
            <v>1</v>
          </cell>
          <cell r="V11">
            <v>1</v>
          </cell>
          <cell r="W11">
            <v>1</v>
          </cell>
          <cell r="X11">
            <v>1</v>
          </cell>
          <cell r="Y11">
            <v>1</v>
          </cell>
          <cell r="Z11">
            <v>1</v>
          </cell>
          <cell r="AA11">
            <v>1</v>
          </cell>
          <cell r="AB11">
            <v>1</v>
          </cell>
          <cell r="AC11">
            <v>1</v>
          </cell>
          <cell r="AD11">
            <v>1</v>
          </cell>
          <cell r="AE11">
            <v>1</v>
          </cell>
          <cell r="AF11">
            <v>19</v>
          </cell>
          <cell r="AG11">
            <v>190</v>
          </cell>
        </row>
        <row r="12">
          <cell r="K12" t="str">
            <v>CAD Tech. &amp; Surveying Engineer</v>
          </cell>
          <cell r="L12">
            <v>0</v>
          </cell>
          <cell r="M12">
            <v>1</v>
          </cell>
          <cell r="N12">
            <v>1</v>
          </cell>
          <cell r="O12">
            <v>1</v>
          </cell>
          <cell r="P12">
            <v>1</v>
          </cell>
          <cell r="Q12">
            <v>1</v>
          </cell>
          <cell r="R12">
            <v>1</v>
          </cell>
          <cell r="S12">
            <v>1</v>
          </cell>
          <cell r="T12">
            <v>1</v>
          </cell>
          <cell r="U12">
            <v>1</v>
          </cell>
          <cell r="V12">
            <v>1</v>
          </cell>
          <cell r="W12">
            <v>1</v>
          </cell>
          <cell r="X12">
            <v>1</v>
          </cell>
          <cell r="Y12">
            <v>1</v>
          </cell>
          <cell r="Z12">
            <v>1</v>
          </cell>
          <cell r="AA12">
            <v>1</v>
          </cell>
          <cell r="AB12">
            <v>1</v>
          </cell>
          <cell r="AC12">
            <v>1</v>
          </cell>
          <cell r="AD12">
            <v>1</v>
          </cell>
          <cell r="AE12">
            <v>1</v>
          </cell>
          <cell r="AF12">
            <v>19</v>
          </cell>
          <cell r="AG12">
            <v>190</v>
          </cell>
        </row>
        <row r="13">
          <cell r="K13" t="str">
            <v>Laboratory &amp; QA/QC Engineer</v>
          </cell>
          <cell r="L13">
            <v>0</v>
          </cell>
          <cell r="M13">
            <v>0</v>
          </cell>
          <cell r="N13">
            <v>0</v>
          </cell>
          <cell r="O13">
            <v>1</v>
          </cell>
          <cell r="P13">
            <v>1</v>
          </cell>
          <cell r="Q13">
            <v>1</v>
          </cell>
          <cell r="R13">
            <v>1</v>
          </cell>
          <cell r="S13">
            <v>1</v>
          </cell>
          <cell r="T13">
            <v>1</v>
          </cell>
          <cell r="U13">
            <v>1</v>
          </cell>
          <cell r="V13">
            <v>1</v>
          </cell>
          <cell r="W13">
            <v>1</v>
          </cell>
          <cell r="X13">
            <v>1</v>
          </cell>
          <cell r="Y13">
            <v>1</v>
          </cell>
          <cell r="Z13">
            <v>1</v>
          </cell>
          <cell r="AA13">
            <v>1</v>
          </cell>
          <cell r="AB13">
            <v>1</v>
          </cell>
          <cell r="AC13">
            <v>1</v>
          </cell>
          <cell r="AD13">
            <v>1</v>
          </cell>
          <cell r="AE13">
            <v>1</v>
          </cell>
          <cell r="AF13">
            <v>17</v>
          </cell>
          <cell r="AG13">
            <v>170</v>
          </cell>
        </row>
        <row r="14">
          <cell r="K14" t="str">
            <v>Procurement &amp; Engineering</v>
          </cell>
          <cell r="L14">
            <v>0</v>
          </cell>
          <cell r="M14">
            <v>1</v>
          </cell>
          <cell r="N14">
            <v>1</v>
          </cell>
          <cell r="O14">
            <v>1</v>
          </cell>
          <cell r="P14">
            <v>1</v>
          </cell>
          <cell r="Q14">
            <v>1</v>
          </cell>
          <cell r="R14">
            <v>1</v>
          </cell>
          <cell r="S14">
            <v>1</v>
          </cell>
          <cell r="T14">
            <v>1</v>
          </cell>
          <cell r="U14">
            <v>1</v>
          </cell>
          <cell r="V14">
            <v>1</v>
          </cell>
          <cell r="W14">
            <v>1</v>
          </cell>
          <cell r="X14">
            <v>1</v>
          </cell>
          <cell r="Y14">
            <v>1</v>
          </cell>
          <cell r="Z14">
            <v>1</v>
          </cell>
          <cell r="AA14">
            <v>1</v>
          </cell>
          <cell r="AB14">
            <v>1</v>
          </cell>
          <cell r="AC14">
            <v>1</v>
          </cell>
          <cell r="AD14">
            <v>1</v>
          </cell>
          <cell r="AE14">
            <v>1</v>
          </cell>
          <cell r="AF14">
            <v>19</v>
          </cell>
          <cell r="AG14">
            <v>190</v>
          </cell>
        </row>
        <row r="15">
          <cell r="K15" t="str">
            <v>Mechanical Engineer</v>
          </cell>
          <cell r="L15">
            <v>0</v>
          </cell>
          <cell r="M15">
            <v>0</v>
          </cell>
          <cell r="N15">
            <v>1</v>
          </cell>
          <cell r="O15">
            <v>1</v>
          </cell>
          <cell r="P15">
            <v>1</v>
          </cell>
          <cell r="Q15">
            <v>1</v>
          </cell>
          <cell r="R15">
            <v>1</v>
          </cell>
          <cell r="S15">
            <v>1</v>
          </cell>
          <cell r="T15">
            <v>1</v>
          </cell>
          <cell r="U15">
            <v>1</v>
          </cell>
          <cell r="V15">
            <v>1</v>
          </cell>
          <cell r="W15">
            <v>1</v>
          </cell>
          <cell r="X15">
            <v>1</v>
          </cell>
          <cell r="Y15">
            <v>1</v>
          </cell>
          <cell r="Z15">
            <v>1</v>
          </cell>
          <cell r="AA15">
            <v>1</v>
          </cell>
          <cell r="AB15">
            <v>1</v>
          </cell>
          <cell r="AC15">
            <v>1</v>
          </cell>
          <cell r="AD15">
            <v>1</v>
          </cell>
          <cell r="AE15">
            <v>1</v>
          </cell>
          <cell r="AF15">
            <v>18</v>
          </cell>
          <cell r="AG15">
            <v>180</v>
          </cell>
        </row>
        <row r="16">
          <cell r="K16" t="str">
            <v>Safety Officer</v>
          </cell>
          <cell r="L16">
            <v>0</v>
          </cell>
          <cell r="M16">
            <v>0</v>
          </cell>
          <cell r="N16">
            <v>1</v>
          </cell>
          <cell r="O16">
            <v>1</v>
          </cell>
          <cell r="P16">
            <v>1</v>
          </cell>
          <cell r="Q16">
            <v>1</v>
          </cell>
          <cell r="R16">
            <v>1</v>
          </cell>
          <cell r="S16">
            <v>1</v>
          </cell>
          <cell r="T16">
            <v>1</v>
          </cell>
          <cell r="U16">
            <v>1</v>
          </cell>
          <cell r="V16">
            <v>1</v>
          </cell>
          <cell r="W16">
            <v>1</v>
          </cell>
          <cell r="X16">
            <v>1</v>
          </cell>
          <cell r="Y16">
            <v>1</v>
          </cell>
          <cell r="Z16">
            <v>1</v>
          </cell>
          <cell r="AA16">
            <v>1</v>
          </cell>
          <cell r="AB16">
            <v>1</v>
          </cell>
          <cell r="AC16">
            <v>1</v>
          </cell>
          <cell r="AD16">
            <v>1</v>
          </cell>
          <cell r="AE16">
            <v>1</v>
          </cell>
          <cell r="AF16">
            <v>18</v>
          </cell>
          <cell r="AG16">
            <v>180</v>
          </cell>
        </row>
        <row r="17">
          <cell r="K17" t="str">
            <v>Accountant</v>
          </cell>
          <cell r="L17">
            <v>0</v>
          </cell>
          <cell r="M17">
            <v>0</v>
          </cell>
          <cell r="N17">
            <v>0</v>
          </cell>
          <cell r="O17">
            <v>1</v>
          </cell>
          <cell r="P17">
            <v>1</v>
          </cell>
          <cell r="Q17">
            <v>1</v>
          </cell>
          <cell r="R17">
            <v>1</v>
          </cell>
          <cell r="S17">
            <v>1</v>
          </cell>
          <cell r="T17">
            <v>1</v>
          </cell>
          <cell r="U17">
            <v>1</v>
          </cell>
          <cell r="V17">
            <v>1</v>
          </cell>
          <cell r="W17">
            <v>1</v>
          </cell>
          <cell r="X17">
            <v>1</v>
          </cell>
          <cell r="Y17">
            <v>1</v>
          </cell>
          <cell r="Z17">
            <v>1</v>
          </cell>
          <cell r="AA17">
            <v>1</v>
          </cell>
          <cell r="AB17">
            <v>1</v>
          </cell>
          <cell r="AC17">
            <v>1</v>
          </cell>
          <cell r="AD17">
            <v>1</v>
          </cell>
          <cell r="AE17">
            <v>1</v>
          </cell>
          <cell r="AF17">
            <v>17</v>
          </cell>
          <cell r="AG17">
            <v>170</v>
          </cell>
        </row>
        <row r="18">
          <cell r="K18" t="str">
            <v>Administration</v>
          </cell>
          <cell r="L18">
            <v>0</v>
          </cell>
          <cell r="M18">
            <v>0</v>
          </cell>
          <cell r="N18">
            <v>0</v>
          </cell>
          <cell r="O18">
            <v>1</v>
          </cell>
          <cell r="P18">
            <v>1</v>
          </cell>
          <cell r="Q18">
            <v>1</v>
          </cell>
          <cell r="R18">
            <v>1</v>
          </cell>
          <cell r="S18">
            <v>1</v>
          </cell>
          <cell r="T18">
            <v>1</v>
          </cell>
          <cell r="U18">
            <v>1</v>
          </cell>
          <cell r="V18">
            <v>1</v>
          </cell>
          <cell r="W18">
            <v>1</v>
          </cell>
          <cell r="X18">
            <v>1</v>
          </cell>
          <cell r="Y18">
            <v>1</v>
          </cell>
          <cell r="Z18">
            <v>1</v>
          </cell>
          <cell r="AA18">
            <v>1</v>
          </cell>
          <cell r="AB18">
            <v>1</v>
          </cell>
          <cell r="AC18">
            <v>1</v>
          </cell>
          <cell r="AD18">
            <v>1</v>
          </cell>
          <cell r="AE18">
            <v>1</v>
          </cell>
          <cell r="AF18">
            <v>17</v>
          </cell>
          <cell r="AG18">
            <v>170</v>
          </cell>
        </row>
        <row r="19">
          <cell r="K19" t="str">
            <v>Surveyor</v>
          </cell>
          <cell r="L19">
            <v>0</v>
          </cell>
          <cell r="M19">
            <v>0</v>
          </cell>
          <cell r="N19">
            <v>0</v>
          </cell>
          <cell r="O19">
            <v>2</v>
          </cell>
          <cell r="P19">
            <v>2</v>
          </cell>
          <cell r="Q19">
            <v>2</v>
          </cell>
          <cell r="R19">
            <v>2</v>
          </cell>
          <cell r="S19">
            <v>2</v>
          </cell>
          <cell r="T19">
            <v>2</v>
          </cell>
          <cell r="U19">
            <v>2</v>
          </cell>
          <cell r="V19">
            <v>2</v>
          </cell>
          <cell r="W19">
            <v>2</v>
          </cell>
          <cell r="X19">
            <v>2</v>
          </cell>
          <cell r="Y19">
            <v>2</v>
          </cell>
          <cell r="Z19">
            <v>2</v>
          </cell>
          <cell r="AA19">
            <v>2</v>
          </cell>
          <cell r="AB19">
            <v>2</v>
          </cell>
          <cell r="AC19">
            <v>2</v>
          </cell>
          <cell r="AD19">
            <v>2</v>
          </cell>
          <cell r="AE19">
            <v>2</v>
          </cell>
          <cell r="AF19">
            <v>34</v>
          </cell>
          <cell r="AG19">
            <v>340</v>
          </cell>
        </row>
        <row r="20">
          <cell r="K20" t="str">
            <v>Civil Forman</v>
          </cell>
          <cell r="L20">
            <v>0</v>
          </cell>
          <cell r="M20">
            <v>0</v>
          </cell>
          <cell r="N20">
            <v>0</v>
          </cell>
          <cell r="O20">
            <v>3</v>
          </cell>
          <cell r="P20">
            <v>3</v>
          </cell>
          <cell r="Q20">
            <v>3</v>
          </cell>
          <cell r="R20">
            <v>4</v>
          </cell>
          <cell r="S20">
            <v>4</v>
          </cell>
          <cell r="T20">
            <v>4</v>
          </cell>
          <cell r="U20">
            <v>4</v>
          </cell>
          <cell r="V20">
            <v>4</v>
          </cell>
          <cell r="W20">
            <v>4</v>
          </cell>
          <cell r="X20">
            <v>4</v>
          </cell>
          <cell r="Y20">
            <v>4</v>
          </cell>
          <cell r="Z20">
            <v>4</v>
          </cell>
          <cell r="AA20">
            <v>3</v>
          </cell>
          <cell r="AB20">
            <v>3</v>
          </cell>
          <cell r="AC20">
            <v>3</v>
          </cell>
          <cell r="AD20">
            <v>3</v>
          </cell>
          <cell r="AE20">
            <v>3</v>
          </cell>
          <cell r="AF20">
            <v>60</v>
          </cell>
          <cell r="AG20">
            <v>600</v>
          </cell>
        </row>
        <row r="21">
          <cell r="K21" t="str">
            <v>Mechanical Forman</v>
          </cell>
          <cell r="L21">
            <v>0</v>
          </cell>
          <cell r="M21">
            <v>0</v>
          </cell>
          <cell r="N21">
            <v>1</v>
          </cell>
          <cell r="O21">
            <v>1</v>
          </cell>
          <cell r="P21">
            <v>1</v>
          </cell>
          <cell r="Q21">
            <v>1</v>
          </cell>
          <cell r="R21">
            <v>1</v>
          </cell>
          <cell r="S21">
            <v>1</v>
          </cell>
          <cell r="T21">
            <v>1</v>
          </cell>
          <cell r="U21">
            <v>1</v>
          </cell>
          <cell r="V21">
            <v>1</v>
          </cell>
          <cell r="W21">
            <v>1</v>
          </cell>
          <cell r="X21">
            <v>1</v>
          </cell>
          <cell r="Y21">
            <v>1</v>
          </cell>
          <cell r="Z21">
            <v>1</v>
          </cell>
          <cell r="AA21">
            <v>1</v>
          </cell>
          <cell r="AB21">
            <v>1</v>
          </cell>
          <cell r="AC21">
            <v>1</v>
          </cell>
          <cell r="AD21">
            <v>1</v>
          </cell>
          <cell r="AE21">
            <v>1</v>
          </cell>
          <cell r="AF21">
            <v>18</v>
          </cell>
          <cell r="AG21">
            <v>180</v>
          </cell>
        </row>
        <row r="22">
          <cell r="K22" t="str">
            <v>Storekeeper</v>
          </cell>
          <cell r="L22">
            <v>0</v>
          </cell>
          <cell r="M22">
            <v>0</v>
          </cell>
          <cell r="N22">
            <v>1</v>
          </cell>
          <cell r="O22">
            <v>1</v>
          </cell>
          <cell r="P22">
            <v>1</v>
          </cell>
          <cell r="Q22">
            <v>1</v>
          </cell>
          <cell r="R22">
            <v>1</v>
          </cell>
          <cell r="S22">
            <v>1</v>
          </cell>
          <cell r="T22">
            <v>1</v>
          </cell>
          <cell r="U22">
            <v>1</v>
          </cell>
          <cell r="V22">
            <v>1</v>
          </cell>
          <cell r="W22">
            <v>1</v>
          </cell>
          <cell r="X22">
            <v>1</v>
          </cell>
          <cell r="Y22">
            <v>1</v>
          </cell>
          <cell r="Z22">
            <v>1</v>
          </cell>
          <cell r="AA22">
            <v>1</v>
          </cell>
          <cell r="AB22">
            <v>1</v>
          </cell>
          <cell r="AC22">
            <v>1</v>
          </cell>
          <cell r="AD22">
            <v>1</v>
          </cell>
          <cell r="AE22">
            <v>1</v>
          </cell>
          <cell r="AF22">
            <v>18</v>
          </cell>
          <cell r="AG22">
            <v>180</v>
          </cell>
        </row>
        <row r="24">
          <cell r="K24" t="str">
            <v>Driver &amp; Operator</v>
          </cell>
          <cell r="L24">
            <v>0</v>
          </cell>
          <cell r="M24">
            <v>0</v>
          </cell>
          <cell r="N24">
            <v>15</v>
          </cell>
          <cell r="O24">
            <v>15</v>
          </cell>
          <cell r="P24">
            <v>16</v>
          </cell>
          <cell r="Q24">
            <v>15</v>
          </cell>
          <cell r="R24">
            <v>17</v>
          </cell>
          <cell r="S24">
            <v>20</v>
          </cell>
          <cell r="T24">
            <v>18</v>
          </cell>
          <cell r="U24">
            <v>18</v>
          </cell>
          <cell r="V24">
            <v>18</v>
          </cell>
          <cell r="W24">
            <v>19</v>
          </cell>
          <cell r="X24">
            <v>18</v>
          </cell>
          <cell r="Y24">
            <v>18</v>
          </cell>
          <cell r="Z24">
            <v>18</v>
          </cell>
          <cell r="AA24">
            <v>18</v>
          </cell>
          <cell r="AB24">
            <v>18</v>
          </cell>
          <cell r="AC24">
            <v>18</v>
          </cell>
          <cell r="AD24">
            <v>18</v>
          </cell>
          <cell r="AE24">
            <v>17</v>
          </cell>
          <cell r="AF24">
            <v>314</v>
          </cell>
          <cell r="AG24">
            <v>3140</v>
          </cell>
        </row>
        <row r="26">
          <cell r="K26" t="str">
            <v>SKILLED LABOURS :</v>
          </cell>
        </row>
        <row r="27">
          <cell r="K27" t="str">
            <v>Pipe fitter</v>
          </cell>
          <cell r="L27">
            <v>0</v>
          </cell>
          <cell r="M27">
            <v>0</v>
          </cell>
          <cell r="N27">
            <v>0</v>
          </cell>
          <cell r="O27">
            <v>2</v>
          </cell>
          <cell r="P27">
            <v>2</v>
          </cell>
          <cell r="Q27">
            <v>2</v>
          </cell>
          <cell r="R27">
            <v>3</v>
          </cell>
          <cell r="S27">
            <v>3</v>
          </cell>
          <cell r="T27">
            <v>3</v>
          </cell>
          <cell r="U27">
            <v>3</v>
          </cell>
          <cell r="V27">
            <v>3</v>
          </cell>
          <cell r="W27">
            <v>3</v>
          </cell>
          <cell r="X27">
            <v>3</v>
          </cell>
          <cell r="Y27">
            <v>3</v>
          </cell>
          <cell r="Z27">
            <v>3</v>
          </cell>
          <cell r="AA27">
            <v>3</v>
          </cell>
          <cell r="AB27">
            <v>3</v>
          </cell>
          <cell r="AC27">
            <v>3</v>
          </cell>
          <cell r="AD27">
            <v>3</v>
          </cell>
          <cell r="AE27">
            <v>3</v>
          </cell>
          <cell r="AF27">
            <v>48</v>
          </cell>
          <cell r="AG27">
            <v>480</v>
          </cell>
        </row>
        <row r="28">
          <cell r="K28" t="str">
            <v>Carpenter</v>
          </cell>
          <cell r="L28">
            <v>0</v>
          </cell>
          <cell r="M28">
            <v>0</v>
          </cell>
          <cell r="N28">
            <v>0</v>
          </cell>
          <cell r="O28">
            <v>3</v>
          </cell>
          <cell r="P28">
            <v>3</v>
          </cell>
          <cell r="Q28">
            <v>3</v>
          </cell>
          <cell r="R28">
            <v>4</v>
          </cell>
          <cell r="S28">
            <v>4</v>
          </cell>
          <cell r="T28">
            <v>6</v>
          </cell>
          <cell r="U28">
            <v>6</v>
          </cell>
          <cell r="V28">
            <v>6</v>
          </cell>
          <cell r="W28">
            <v>4</v>
          </cell>
          <cell r="X28">
            <v>4</v>
          </cell>
          <cell r="Y28">
            <v>4</v>
          </cell>
          <cell r="Z28">
            <v>4</v>
          </cell>
          <cell r="AA28">
            <v>4</v>
          </cell>
          <cell r="AB28">
            <v>4</v>
          </cell>
          <cell r="AC28">
            <v>4</v>
          </cell>
          <cell r="AD28">
            <v>4</v>
          </cell>
          <cell r="AE28">
            <v>4</v>
          </cell>
          <cell r="AF28">
            <v>71</v>
          </cell>
          <cell r="AG28">
            <v>710</v>
          </cell>
        </row>
        <row r="29">
          <cell r="K29" t="str">
            <v>Steel fixer</v>
          </cell>
          <cell r="L29">
            <v>0</v>
          </cell>
          <cell r="M29">
            <v>0</v>
          </cell>
          <cell r="N29">
            <v>0</v>
          </cell>
          <cell r="O29">
            <v>1</v>
          </cell>
          <cell r="P29">
            <v>2</v>
          </cell>
          <cell r="Q29">
            <v>2</v>
          </cell>
          <cell r="R29">
            <v>2</v>
          </cell>
          <cell r="S29">
            <v>2</v>
          </cell>
          <cell r="T29">
            <v>2</v>
          </cell>
          <cell r="U29">
            <v>2</v>
          </cell>
          <cell r="V29">
            <v>2</v>
          </cell>
          <cell r="W29">
            <v>2</v>
          </cell>
          <cell r="X29">
            <v>2</v>
          </cell>
          <cell r="Y29">
            <v>2</v>
          </cell>
          <cell r="Z29">
            <v>2</v>
          </cell>
          <cell r="AA29">
            <v>2</v>
          </cell>
          <cell r="AB29">
            <v>2</v>
          </cell>
          <cell r="AC29">
            <v>2</v>
          </cell>
          <cell r="AD29">
            <v>2</v>
          </cell>
          <cell r="AE29">
            <v>2</v>
          </cell>
          <cell r="AF29">
            <v>33</v>
          </cell>
          <cell r="AG29">
            <v>330</v>
          </cell>
        </row>
        <row r="30">
          <cell r="K30" t="str">
            <v>Former</v>
          </cell>
          <cell r="L30">
            <v>0</v>
          </cell>
          <cell r="M30">
            <v>0</v>
          </cell>
          <cell r="N30">
            <v>1</v>
          </cell>
          <cell r="O30">
            <v>2</v>
          </cell>
          <cell r="P30">
            <v>2</v>
          </cell>
          <cell r="Q30">
            <v>2</v>
          </cell>
          <cell r="R30">
            <v>2</v>
          </cell>
          <cell r="S30">
            <v>2</v>
          </cell>
          <cell r="T30">
            <v>2</v>
          </cell>
          <cell r="U30">
            <v>2</v>
          </cell>
          <cell r="V30">
            <v>2</v>
          </cell>
          <cell r="W30">
            <v>2</v>
          </cell>
          <cell r="X30">
            <v>2</v>
          </cell>
          <cell r="Y30">
            <v>2</v>
          </cell>
          <cell r="Z30">
            <v>2</v>
          </cell>
          <cell r="AA30">
            <v>2</v>
          </cell>
          <cell r="AB30">
            <v>2</v>
          </cell>
          <cell r="AC30">
            <v>2</v>
          </cell>
          <cell r="AD30">
            <v>2</v>
          </cell>
          <cell r="AE30">
            <v>2</v>
          </cell>
          <cell r="AF30">
            <v>35</v>
          </cell>
          <cell r="AG30">
            <v>350</v>
          </cell>
        </row>
        <row r="31">
          <cell r="K31" t="str">
            <v>Plaster</v>
          </cell>
          <cell r="L31">
            <v>0</v>
          </cell>
          <cell r="M31">
            <v>0</v>
          </cell>
          <cell r="N31">
            <v>1</v>
          </cell>
          <cell r="O31">
            <v>2</v>
          </cell>
          <cell r="P31">
            <v>2</v>
          </cell>
          <cell r="Q31">
            <v>2</v>
          </cell>
          <cell r="R31">
            <v>2</v>
          </cell>
          <cell r="S31">
            <v>2</v>
          </cell>
          <cell r="T31">
            <v>2</v>
          </cell>
          <cell r="U31">
            <v>2</v>
          </cell>
          <cell r="V31">
            <v>2</v>
          </cell>
          <cell r="W31">
            <v>2</v>
          </cell>
          <cell r="X31">
            <v>2</v>
          </cell>
          <cell r="Y31">
            <v>2</v>
          </cell>
          <cell r="Z31">
            <v>2</v>
          </cell>
          <cell r="AA31">
            <v>2</v>
          </cell>
          <cell r="AB31">
            <v>2</v>
          </cell>
          <cell r="AC31">
            <v>2</v>
          </cell>
          <cell r="AD31">
            <v>2</v>
          </cell>
          <cell r="AE31">
            <v>2</v>
          </cell>
          <cell r="AF31">
            <v>35</v>
          </cell>
          <cell r="AG31">
            <v>350</v>
          </cell>
        </row>
        <row r="32">
          <cell r="K32" t="str">
            <v>Mechanic</v>
          </cell>
          <cell r="L32">
            <v>0</v>
          </cell>
          <cell r="M32">
            <v>0</v>
          </cell>
          <cell r="N32">
            <v>1</v>
          </cell>
          <cell r="O32">
            <v>2</v>
          </cell>
          <cell r="P32">
            <v>2</v>
          </cell>
          <cell r="Q32">
            <v>2</v>
          </cell>
          <cell r="R32">
            <v>2</v>
          </cell>
          <cell r="S32">
            <v>2</v>
          </cell>
          <cell r="T32">
            <v>2</v>
          </cell>
          <cell r="U32">
            <v>2</v>
          </cell>
          <cell r="V32">
            <v>2</v>
          </cell>
          <cell r="W32">
            <v>2</v>
          </cell>
          <cell r="X32">
            <v>2</v>
          </cell>
          <cell r="Y32">
            <v>2</v>
          </cell>
          <cell r="Z32">
            <v>2</v>
          </cell>
          <cell r="AA32">
            <v>2</v>
          </cell>
          <cell r="AB32">
            <v>2</v>
          </cell>
          <cell r="AC32">
            <v>2</v>
          </cell>
          <cell r="AD32">
            <v>2</v>
          </cell>
          <cell r="AE32">
            <v>2</v>
          </cell>
          <cell r="AF32">
            <v>35</v>
          </cell>
          <cell r="AG32">
            <v>350</v>
          </cell>
        </row>
        <row r="33">
          <cell r="K33" t="str">
            <v>Electrician</v>
          </cell>
          <cell r="L33">
            <v>0</v>
          </cell>
          <cell r="M33">
            <v>0</v>
          </cell>
          <cell r="N33">
            <v>1</v>
          </cell>
          <cell r="O33">
            <v>1</v>
          </cell>
          <cell r="P33">
            <v>1</v>
          </cell>
          <cell r="Q33">
            <v>1</v>
          </cell>
          <cell r="R33">
            <v>1</v>
          </cell>
          <cell r="S33">
            <v>1</v>
          </cell>
          <cell r="T33">
            <v>1</v>
          </cell>
          <cell r="U33">
            <v>1</v>
          </cell>
          <cell r="V33">
            <v>1</v>
          </cell>
          <cell r="W33">
            <v>1</v>
          </cell>
          <cell r="X33">
            <v>1</v>
          </cell>
          <cell r="Y33">
            <v>1</v>
          </cell>
          <cell r="Z33">
            <v>1</v>
          </cell>
          <cell r="AA33">
            <v>1</v>
          </cell>
          <cell r="AB33">
            <v>1</v>
          </cell>
          <cell r="AC33">
            <v>1</v>
          </cell>
          <cell r="AD33">
            <v>1</v>
          </cell>
          <cell r="AE33">
            <v>1</v>
          </cell>
          <cell r="AF33">
            <v>18</v>
          </cell>
          <cell r="AG33">
            <v>180</v>
          </cell>
        </row>
        <row r="34">
          <cell r="K34" t="str">
            <v>Welder</v>
          </cell>
          <cell r="L34">
            <v>0</v>
          </cell>
          <cell r="M34">
            <v>0</v>
          </cell>
          <cell r="N34">
            <v>3</v>
          </cell>
          <cell r="O34">
            <v>3</v>
          </cell>
          <cell r="P34">
            <v>2</v>
          </cell>
          <cell r="Q34">
            <v>2</v>
          </cell>
          <cell r="R34">
            <v>2</v>
          </cell>
          <cell r="S34">
            <v>2</v>
          </cell>
          <cell r="T34">
            <v>2</v>
          </cell>
          <cell r="U34">
            <v>2</v>
          </cell>
          <cell r="V34">
            <v>2</v>
          </cell>
          <cell r="W34">
            <v>2</v>
          </cell>
          <cell r="X34">
            <v>1</v>
          </cell>
          <cell r="Y34">
            <v>1</v>
          </cell>
          <cell r="Z34">
            <v>1</v>
          </cell>
          <cell r="AA34">
            <v>1</v>
          </cell>
          <cell r="AB34">
            <v>1</v>
          </cell>
          <cell r="AC34">
            <v>1</v>
          </cell>
          <cell r="AD34">
            <v>1</v>
          </cell>
          <cell r="AE34">
            <v>1</v>
          </cell>
          <cell r="AF34">
            <v>30</v>
          </cell>
          <cell r="AG34">
            <v>300</v>
          </cell>
        </row>
        <row r="35">
          <cell r="K35" t="str">
            <v>Shutter</v>
          </cell>
          <cell r="L35">
            <v>0</v>
          </cell>
          <cell r="M35">
            <v>0</v>
          </cell>
          <cell r="N35">
            <v>0</v>
          </cell>
          <cell r="O35">
            <v>2</v>
          </cell>
          <cell r="P35">
            <v>2</v>
          </cell>
          <cell r="Q35">
            <v>3</v>
          </cell>
          <cell r="R35">
            <v>4</v>
          </cell>
          <cell r="S35">
            <v>4</v>
          </cell>
          <cell r="T35">
            <v>4</v>
          </cell>
          <cell r="U35">
            <v>4</v>
          </cell>
          <cell r="V35">
            <v>4</v>
          </cell>
          <cell r="W35">
            <v>4</v>
          </cell>
          <cell r="X35">
            <v>4</v>
          </cell>
          <cell r="Y35">
            <v>4</v>
          </cell>
          <cell r="Z35">
            <v>4</v>
          </cell>
          <cell r="AA35">
            <v>4</v>
          </cell>
          <cell r="AB35">
            <v>4</v>
          </cell>
          <cell r="AC35">
            <v>4</v>
          </cell>
          <cell r="AD35">
            <v>4</v>
          </cell>
          <cell r="AE35">
            <v>4</v>
          </cell>
          <cell r="AF35">
            <v>63</v>
          </cell>
          <cell r="AG35">
            <v>630</v>
          </cell>
        </row>
        <row r="36">
          <cell r="K36" t="str">
            <v>Proofing</v>
          </cell>
          <cell r="L36">
            <v>0</v>
          </cell>
          <cell r="M36">
            <v>0</v>
          </cell>
          <cell r="N36">
            <v>0</v>
          </cell>
          <cell r="O36">
            <v>4</v>
          </cell>
          <cell r="P36">
            <v>4</v>
          </cell>
          <cell r="Q36">
            <v>4</v>
          </cell>
          <cell r="R36">
            <v>6</v>
          </cell>
          <cell r="S36">
            <v>6</v>
          </cell>
          <cell r="T36">
            <v>8</v>
          </cell>
          <cell r="U36">
            <v>8</v>
          </cell>
          <cell r="V36">
            <v>8</v>
          </cell>
          <cell r="W36">
            <v>6</v>
          </cell>
          <cell r="X36">
            <v>6</v>
          </cell>
          <cell r="Y36">
            <v>6</v>
          </cell>
          <cell r="Z36">
            <v>6</v>
          </cell>
          <cell r="AA36">
            <v>6</v>
          </cell>
          <cell r="AB36">
            <v>6</v>
          </cell>
          <cell r="AC36">
            <v>6</v>
          </cell>
          <cell r="AD36">
            <v>6</v>
          </cell>
          <cell r="AE36">
            <v>6</v>
          </cell>
          <cell r="AF36">
            <v>102</v>
          </cell>
          <cell r="AG36">
            <v>1020</v>
          </cell>
        </row>
        <row r="37">
          <cell r="K37" t="str">
            <v>Tile fixer</v>
          </cell>
          <cell r="L37">
            <v>0</v>
          </cell>
          <cell r="M37">
            <v>0</v>
          </cell>
          <cell r="N37">
            <v>0</v>
          </cell>
          <cell r="O37">
            <v>0</v>
          </cell>
          <cell r="P37">
            <v>0</v>
          </cell>
          <cell r="Q37">
            <v>0</v>
          </cell>
          <cell r="R37">
            <v>0</v>
          </cell>
          <cell r="S37">
            <v>0</v>
          </cell>
          <cell r="T37">
            <v>0</v>
          </cell>
          <cell r="U37">
            <v>0</v>
          </cell>
          <cell r="V37">
            <v>0</v>
          </cell>
          <cell r="W37">
            <v>0</v>
          </cell>
          <cell r="X37">
            <v>1</v>
          </cell>
          <cell r="Y37">
            <v>1</v>
          </cell>
          <cell r="Z37">
            <v>1</v>
          </cell>
          <cell r="AA37">
            <v>0</v>
          </cell>
          <cell r="AB37">
            <v>0</v>
          </cell>
          <cell r="AC37">
            <v>0</v>
          </cell>
          <cell r="AD37">
            <v>0</v>
          </cell>
          <cell r="AE37">
            <v>0</v>
          </cell>
          <cell r="AF37">
            <v>3</v>
          </cell>
          <cell r="AG37">
            <v>30</v>
          </cell>
        </row>
        <row r="38">
          <cell r="K38" t="str">
            <v>Rockfill Fixer</v>
          </cell>
          <cell r="L38">
            <v>0</v>
          </cell>
          <cell r="M38">
            <v>0</v>
          </cell>
          <cell r="N38">
            <v>0</v>
          </cell>
          <cell r="O38">
            <v>0</v>
          </cell>
          <cell r="P38">
            <v>0</v>
          </cell>
          <cell r="Q38">
            <v>0</v>
          </cell>
          <cell r="R38">
            <v>0</v>
          </cell>
          <cell r="S38">
            <v>0</v>
          </cell>
          <cell r="T38">
            <v>0</v>
          </cell>
          <cell r="U38">
            <v>0</v>
          </cell>
          <cell r="V38">
            <v>2</v>
          </cell>
          <cell r="W38">
            <v>2</v>
          </cell>
          <cell r="X38">
            <v>2</v>
          </cell>
          <cell r="Y38">
            <v>0</v>
          </cell>
          <cell r="Z38">
            <v>0</v>
          </cell>
          <cell r="AA38">
            <v>0</v>
          </cell>
          <cell r="AB38">
            <v>0</v>
          </cell>
          <cell r="AC38">
            <v>0</v>
          </cell>
          <cell r="AD38">
            <v>0</v>
          </cell>
          <cell r="AE38">
            <v>0</v>
          </cell>
          <cell r="AF38">
            <v>6</v>
          </cell>
          <cell r="AG38">
            <v>60</v>
          </cell>
        </row>
        <row r="39">
          <cell r="K39" t="str">
            <v>Other Skilled</v>
          </cell>
          <cell r="L39">
            <v>0</v>
          </cell>
          <cell r="M39">
            <v>0</v>
          </cell>
          <cell r="N39">
            <v>0</v>
          </cell>
          <cell r="O39">
            <v>0</v>
          </cell>
          <cell r="P39">
            <v>4</v>
          </cell>
          <cell r="Q39">
            <v>4</v>
          </cell>
          <cell r="R39">
            <v>4</v>
          </cell>
          <cell r="S39">
            <v>0</v>
          </cell>
          <cell r="T39">
            <v>0</v>
          </cell>
          <cell r="U39">
            <v>0</v>
          </cell>
          <cell r="V39">
            <v>0</v>
          </cell>
          <cell r="W39">
            <v>2</v>
          </cell>
          <cell r="X39">
            <v>2</v>
          </cell>
          <cell r="Y39">
            <v>2</v>
          </cell>
          <cell r="Z39">
            <v>2</v>
          </cell>
          <cell r="AA39">
            <v>0</v>
          </cell>
          <cell r="AB39">
            <v>0</v>
          </cell>
          <cell r="AC39">
            <v>0</v>
          </cell>
          <cell r="AD39">
            <v>0</v>
          </cell>
          <cell r="AE39">
            <v>0</v>
          </cell>
          <cell r="AF39">
            <v>20</v>
          </cell>
          <cell r="AG39">
            <v>200</v>
          </cell>
        </row>
        <row r="40">
          <cell r="K40" t="str">
            <v>Cooker</v>
          </cell>
          <cell r="L40">
            <v>0</v>
          </cell>
          <cell r="M40">
            <v>0</v>
          </cell>
          <cell r="N40">
            <v>1</v>
          </cell>
          <cell r="O40">
            <v>1</v>
          </cell>
          <cell r="P40">
            <v>1</v>
          </cell>
          <cell r="Q40">
            <v>1</v>
          </cell>
          <cell r="R40">
            <v>1</v>
          </cell>
          <cell r="S40">
            <v>1</v>
          </cell>
          <cell r="T40">
            <v>1</v>
          </cell>
          <cell r="U40">
            <v>1</v>
          </cell>
          <cell r="V40">
            <v>1</v>
          </cell>
          <cell r="W40">
            <v>1</v>
          </cell>
          <cell r="X40">
            <v>1</v>
          </cell>
          <cell r="Y40">
            <v>1</v>
          </cell>
          <cell r="Z40">
            <v>1</v>
          </cell>
          <cell r="AA40">
            <v>1</v>
          </cell>
          <cell r="AB40">
            <v>1</v>
          </cell>
          <cell r="AC40">
            <v>1</v>
          </cell>
          <cell r="AD40">
            <v>1</v>
          </cell>
          <cell r="AE40">
            <v>1</v>
          </cell>
          <cell r="AF40">
            <v>18</v>
          </cell>
          <cell r="AG40">
            <v>180</v>
          </cell>
        </row>
        <row r="42">
          <cell r="K42" t="str">
            <v>Mussafah Surface Water</v>
          </cell>
        </row>
        <row r="43">
          <cell r="K43" t="str">
            <v>(Contract No. 147/7D)</v>
          </cell>
        </row>
        <row r="44">
          <cell r="K44" t="str">
            <v>Manpower Distribution</v>
          </cell>
        </row>
        <row r="45">
          <cell r="M45">
            <v>1998</v>
          </cell>
          <cell r="P45">
            <v>1999</v>
          </cell>
          <cell r="AB45">
            <v>2000</v>
          </cell>
          <cell r="AF45" t="str">
            <v>Total</v>
          </cell>
          <cell r="AG45" t="str">
            <v>Total</v>
          </cell>
        </row>
        <row r="46">
          <cell r="K46" t="str">
            <v>Description</v>
          </cell>
          <cell r="L46">
            <v>0</v>
          </cell>
          <cell r="M46">
            <v>10</v>
          </cell>
          <cell r="N46">
            <v>11</v>
          </cell>
          <cell r="O46">
            <v>12</v>
          </cell>
          <cell r="P46">
            <v>1</v>
          </cell>
          <cell r="Q46">
            <v>2</v>
          </cell>
          <cell r="R46">
            <v>3</v>
          </cell>
          <cell r="S46">
            <v>4</v>
          </cell>
          <cell r="T46">
            <v>5</v>
          </cell>
          <cell r="U46">
            <v>6</v>
          </cell>
          <cell r="V46">
            <v>7</v>
          </cell>
          <cell r="W46">
            <v>8</v>
          </cell>
          <cell r="X46">
            <v>9</v>
          </cell>
          <cell r="Y46">
            <v>10</v>
          </cell>
          <cell r="Z46">
            <v>11</v>
          </cell>
          <cell r="AA46">
            <v>12</v>
          </cell>
          <cell r="AB46">
            <v>1</v>
          </cell>
          <cell r="AC46">
            <v>2</v>
          </cell>
          <cell r="AD46">
            <v>3</v>
          </cell>
          <cell r="AE46">
            <v>4</v>
          </cell>
          <cell r="AF46" t="str">
            <v>ManMonth</v>
          </cell>
          <cell r="AG46" t="str">
            <v>ManHours</v>
          </cell>
        </row>
        <row r="48">
          <cell r="K48" t="str">
            <v>UNSKILLED LABOURS :</v>
          </cell>
        </row>
        <row r="49">
          <cell r="K49" t="str">
            <v>Pipe fitter assistance</v>
          </cell>
          <cell r="L49">
            <v>0</v>
          </cell>
          <cell r="M49">
            <v>0</v>
          </cell>
          <cell r="N49">
            <v>0</v>
          </cell>
          <cell r="O49">
            <v>2</v>
          </cell>
          <cell r="P49">
            <v>2</v>
          </cell>
          <cell r="Q49">
            <v>2</v>
          </cell>
          <cell r="R49">
            <v>3</v>
          </cell>
          <cell r="S49">
            <v>3</v>
          </cell>
          <cell r="T49">
            <v>3</v>
          </cell>
          <cell r="U49">
            <v>3</v>
          </cell>
          <cell r="V49">
            <v>3</v>
          </cell>
          <cell r="W49">
            <v>3</v>
          </cell>
          <cell r="X49">
            <v>3</v>
          </cell>
          <cell r="Y49">
            <v>3</v>
          </cell>
          <cell r="Z49">
            <v>3</v>
          </cell>
          <cell r="AA49">
            <v>3</v>
          </cell>
          <cell r="AB49">
            <v>3</v>
          </cell>
          <cell r="AC49">
            <v>3</v>
          </cell>
          <cell r="AD49">
            <v>3</v>
          </cell>
          <cell r="AE49">
            <v>3</v>
          </cell>
          <cell r="AF49">
            <v>48</v>
          </cell>
          <cell r="AG49">
            <v>480</v>
          </cell>
        </row>
        <row r="50">
          <cell r="K50" t="str">
            <v>Carpenter assistance</v>
          </cell>
          <cell r="L50">
            <v>0</v>
          </cell>
          <cell r="M50">
            <v>0</v>
          </cell>
          <cell r="N50">
            <v>0</v>
          </cell>
          <cell r="O50">
            <v>2</v>
          </cell>
          <cell r="P50">
            <v>2</v>
          </cell>
          <cell r="Q50">
            <v>2</v>
          </cell>
          <cell r="R50">
            <v>3</v>
          </cell>
          <cell r="S50">
            <v>3</v>
          </cell>
          <cell r="T50">
            <v>5</v>
          </cell>
          <cell r="U50">
            <v>5</v>
          </cell>
          <cell r="V50">
            <v>5</v>
          </cell>
          <cell r="W50">
            <v>3</v>
          </cell>
          <cell r="X50">
            <v>3</v>
          </cell>
          <cell r="Y50">
            <v>3</v>
          </cell>
          <cell r="Z50">
            <v>3</v>
          </cell>
          <cell r="AA50">
            <v>3</v>
          </cell>
          <cell r="AB50">
            <v>3</v>
          </cell>
          <cell r="AC50">
            <v>3</v>
          </cell>
          <cell r="AD50">
            <v>3</v>
          </cell>
          <cell r="AE50">
            <v>3</v>
          </cell>
          <cell r="AF50">
            <v>54</v>
          </cell>
          <cell r="AG50">
            <v>540</v>
          </cell>
        </row>
        <row r="51">
          <cell r="K51" t="str">
            <v>Steel fixer assistance</v>
          </cell>
          <cell r="L51">
            <v>0</v>
          </cell>
          <cell r="M51">
            <v>0</v>
          </cell>
          <cell r="N51">
            <v>0</v>
          </cell>
          <cell r="O51">
            <v>1</v>
          </cell>
          <cell r="P51">
            <v>2</v>
          </cell>
          <cell r="Q51">
            <v>2</v>
          </cell>
          <cell r="R51">
            <v>2</v>
          </cell>
          <cell r="S51">
            <v>2</v>
          </cell>
          <cell r="T51">
            <v>2</v>
          </cell>
          <cell r="U51">
            <v>2</v>
          </cell>
          <cell r="V51">
            <v>2</v>
          </cell>
          <cell r="W51">
            <v>2</v>
          </cell>
          <cell r="X51">
            <v>2</v>
          </cell>
          <cell r="Y51">
            <v>2</v>
          </cell>
          <cell r="Z51">
            <v>2</v>
          </cell>
          <cell r="AA51">
            <v>2</v>
          </cell>
          <cell r="AB51">
            <v>2</v>
          </cell>
          <cell r="AC51">
            <v>2</v>
          </cell>
          <cell r="AD51">
            <v>2</v>
          </cell>
          <cell r="AE51">
            <v>2</v>
          </cell>
          <cell r="AF51">
            <v>33</v>
          </cell>
          <cell r="AG51">
            <v>330</v>
          </cell>
        </row>
        <row r="52">
          <cell r="K52" t="str">
            <v>Mechanic assistance</v>
          </cell>
          <cell r="L52">
            <v>0</v>
          </cell>
          <cell r="M52">
            <v>0</v>
          </cell>
          <cell r="N52">
            <v>1</v>
          </cell>
          <cell r="O52">
            <v>3</v>
          </cell>
          <cell r="P52">
            <v>3</v>
          </cell>
          <cell r="Q52">
            <v>3</v>
          </cell>
          <cell r="R52">
            <v>4</v>
          </cell>
          <cell r="S52">
            <v>4</v>
          </cell>
          <cell r="T52">
            <v>4</v>
          </cell>
          <cell r="U52">
            <v>4</v>
          </cell>
          <cell r="V52">
            <v>4</v>
          </cell>
          <cell r="W52">
            <v>4</v>
          </cell>
          <cell r="X52">
            <v>4</v>
          </cell>
          <cell r="Y52">
            <v>4</v>
          </cell>
          <cell r="Z52">
            <v>4</v>
          </cell>
          <cell r="AA52">
            <v>4</v>
          </cell>
          <cell r="AB52">
            <v>4</v>
          </cell>
          <cell r="AC52">
            <v>4</v>
          </cell>
          <cell r="AD52">
            <v>4</v>
          </cell>
          <cell r="AE52">
            <v>4</v>
          </cell>
          <cell r="AF52">
            <v>66</v>
          </cell>
          <cell r="AG52">
            <v>660</v>
          </cell>
        </row>
        <row r="53">
          <cell r="K53" t="str">
            <v>Electrian assistance</v>
          </cell>
          <cell r="L53">
            <v>0</v>
          </cell>
          <cell r="M53">
            <v>0</v>
          </cell>
          <cell r="N53">
            <v>0</v>
          </cell>
          <cell r="O53">
            <v>1</v>
          </cell>
          <cell r="P53">
            <v>1</v>
          </cell>
          <cell r="Q53">
            <v>1</v>
          </cell>
          <cell r="R53">
            <v>1</v>
          </cell>
          <cell r="S53">
            <v>1</v>
          </cell>
          <cell r="T53">
            <v>1</v>
          </cell>
          <cell r="U53">
            <v>1</v>
          </cell>
          <cell r="V53">
            <v>1</v>
          </cell>
          <cell r="W53">
            <v>1</v>
          </cell>
          <cell r="X53">
            <v>1</v>
          </cell>
          <cell r="Y53">
            <v>1</v>
          </cell>
          <cell r="Z53">
            <v>1</v>
          </cell>
          <cell r="AA53">
            <v>1</v>
          </cell>
          <cell r="AB53">
            <v>1</v>
          </cell>
          <cell r="AC53">
            <v>1</v>
          </cell>
          <cell r="AD53">
            <v>1</v>
          </cell>
          <cell r="AE53">
            <v>1</v>
          </cell>
          <cell r="AF53">
            <v>17</v>
          </cell>
          <cell r="AG53">
            <v>170</v>
          </cell>
        </row>
        <row r="54">
          <cell r="K54" t="str">
            <v>Welder assistance</v>
          </cell>
          <cell r="L54">
            <v>0</v>
          </cell>
          <cell r="M54">
            <v>0</v>
          </cell>
          <cell r="N54">
            <v>3</v>
          </cell>
          <cell r="O54">
            <v>2</v>
          </cell>
          <cell r="P54">
            <v>2</v>
          </cell>
          <cell r="Q54">
            <v>2</v>
          </cell>
          <cell r="R54">
            <v>2</v>
          </cell>
          <cell r="S54">
            <v>2</v>
          </cell>
          <cell r="T54">
            <v>2</v>
          </cell>
          <cell r="U54">
            <v>2</v>
          </cell>
          <cell r="V54">
            <v>2</v>
          </cell>
          <cell r="W54">
            <v>2</v>
          </cell>
          <cell r="X54">
            <v>2</v>
          </cell>
          <cell r="Y54">
            <v>2</v>
          </cell>
          <cell r="Z54">
            <v>1</v>
          </cell>
          <cell r="AA54">
            <v>1</v>
          </cell>
          <cell r="AB54">
            <v>1</v>
          </cell>
          <cell r="AC54">
            <v>1</v>
          </cell>
          <cell r="AD54">
            <v>1</v>
          </cell>
          <cell r="AE54">
            <v>1</v>
          </cell>
          <cell r="AF54">
            <v>31</v>
          </cell>
          <cell r="AG54">
            <v>310</v>
          </cell>
        </row>
        <row r="55">
          <cell r="K55" t="str">
            <v>Tile fixer assistance</v>
          </cell>
          <cell r="L55">
            <v>0</v>
          </cell>
          <cell r="M55">
            <v>0</v>
          </cell>
          <cell r="N55">
            <v>0</v>
          </cell>
          <cell r="O55">
            <v>0</v>
          </cell>
          <cell r="P55">
            <v>0</v>
          </cell>
          <cell r="Q55">
            <v>0</v>
          </cell>
          <cell r="R55">
            <v>0</v>
          </cell>
          <cell r="S55">
            <v>0</v>
          </cell>
          <cell r="T55">
            <v>0</v>
          </cell>
          <cell r="U55">
            <v>0</v>
          </cell>
          <cell r="V55">
            <v>0</v>
          </cell>
          <cell r="W55">
            <v>0</v>
          </cell>
          <cell r="X55">
            <v>1</v>
          </cell>
          <cell r="Y55">
            <v>1</v>
          </cell>
          <cell r="Z55">
            <v>1</v>
          </cell>
          <cell r="AA55">
            <v>0</v>
          </cell>
          <cell r="AB55">
            <v>0</v>
          </cell>
          <cell r="AC55">
            <v>0</v>
          </cell>
          <cell r="AD55">
            <v>0</v>
          </cell>
          <cell r="AE55">
            <v>0</v>
          </cell>
          <cell r="AF55">
            <v>3</v>
          </cell>
          <cell r="AG55">
            <v>30</v>
          </cell>
        </row>
        <row r="56">
          <cell r="K56" t="str">
            <v>Concrete Labour</v>
          </cell>
          <cell r="L56">
            <v>0</v>
          </cell>
          <cell r="M56">
            <v>0</v>
          </cell>
          <cell r="N56">
            <v>0</v>
          </cell>
          <cell r="O56">
            <v>2</v>
          </cell>
          <cell r="P56">
            <v>2</v>
          </cell>
          <cell r="Q56">
            <v>2</v>
          </cell>
          <cell r="R56">
            <v>3</v>
          </cell>
          <cell r="S56">
            <v>3</v>
          </cell>
          <cell r="T56">
            <v>4</v>
          </cell>
          <cell r="U56">
            <v>4</v>
          </cell>
          <cell r="V56">
            <v>4</v>
          </cell>
          <cell r="W56">
            <v>3</v>
          </cell>
          <cell r="X56">
            <v>3</v>
          </cell>
          <cell r="Y56">
            <v>3</v>
          </cell>
          <cell r="Z56">
            <v>3</v>
          </cell>
          <cell r="AA56">
            <v>3</v>
          </cell>
          <cell r="AB56">
            <v>3</v>
          </cell>
          <cell r="AC56">
            <v>3</v>
          </cell>
          <cell r="AD56">
            <v>3</v>
          </cell>
          <cell r="AE56">
            <v>3</v>
          </cell>
          <cell r="AF56">
            <v>51</v>
          </cell>
          <cell r="AG56">
            <v>510</v>
          </cell>
        </row>
        <row r="57">
          <cell r="K57" t="str">
            <v>Office boy</v>
          </cell>
          <cell r="L57">
            <v>0</v>
          </cell>
          <cell r="M57">
            <v>0</v>
          </cell>
          <cell r="N57">
            <v>0</v>
          </cell>
          <cell r="O57">
            <v>2</v>
          </cell>
          <cell r="P57">
            <v>2</v>
          </cell>
          <cell r="Q57">
            <v>2</v>
          </cell>
          <cell r="R57">
            <v>2</v>
          </cell>
          <cell r="S57">
            <v>2</v>
          </cell>
          <cell r="T57">
            <v>2</v>
          </cell>
          <cell r="U57">
            <v>2</v>
          </cell>
          <cell r="V57">
            <v>2</v>
          </cell>
          <cell r="W57">
            <v>2</v>
          </cell>
          <cell r="X57">
            <v>2</v>
          </cell>
          <cell r="Y57">
            <v>2</v>
          </cell>
          <cell r="Z57">
            <v>2</v>
          </cell>
          <cell r="AA57">
            <v>2</v>
          </cell>
          <cell r="AB57">
            <v>2</v>
          </cell>
          <cell r="AC57">
            <v>2</v>
          </cell>
          <cell r="AD57">
            <v>2</v>
          </cell>
          <cell r="AE57">
            <v>2</v>
          </cell>
          <cell r="AF57">
            <v>34</v>
          </cell>
          <cell r="AG57">
            <v>340</v>
          </cell>
        </row>
        <row r="58">
          <cell r="K58" t="str">
            <v>Guard</v>
          </cell>
          <cell r="L58">
            <v>0</v>
          </cell>
          <cell r="M58">
            <v>0</v>
          </cell>
          <cell r="N58">
            <v>0</v>
          </cell>
          <cell r="O58">
            <v>1</v>
          </cell>
          <cell r="P58">
            <v>1</v>
          </cell>
          <cell r="Q58">
            <v>1</v>
          </cell>
          <cell r="R58">
            <v>1</v>
          </cell>
          <cell r="S58">
            <v>1</v>
          </cell>
          <cell r="T58">
            <v>1</v>
          </cell>
          <cell r="U58">
            <v>1</v>
          </cell>
          <cell r="V58">
            <v>1</v>
          </cell>
          <cell r="W58">
            <v>1</v>
          </cell>
          <cell r="X58">
            <v>1</v>
          </cell>
          <cell r="Y58">
            <v>1</v>
          </cell>
          <cell r="Z58">
            <v>1</v>
          </cell>
          <cell r="AA58">
            <v>1</v>
          </cell>
          <cell r="AB58">
            <v>1</v>
          </cell>
          <cell r="AC58">
            <v>1</v>
          </cell>
          <cell r="AD58">
            <v>1</v>
          </cell>
          <cell r="AE58">
            <v>1</v>
          </cell>
          <cell r="AF58">
            <v>17</v>
          </cell>
          <cell r="AG58">
            <v>170</v>
          </cell>
        </row>
        <row r="59">
          <cell r="K59" t="str">
            <v>Normal Labour</v>
          </cell>
          <cell r="L59">
            <v>0</v>
          </cell>
          <cell r="M59">
            <v>0</v>
          </cell>
          <cell r="N59">
            <v>10</v>
          </cell>
          <cell r="O59">
            <v>47</v>
          </cell>
          <cell r="P59">
            <v>57</v>
          </cell>
          <cell r="Q59">
            <v>57</v>
          </cell>
          <cell r="R59">
            <v>71</v>
          </cell>
          <cell r="S59">
            <v>68</v>
          </cell>
          <cell r="T59">
            <v>70</v>
          </cell>
          <cell r="U59">
            <v>70</v>
          </cell>
          <cell r="V59">
            <v>72</v>
          </cell>
          <cell r="W59">
            <v>72</v>
          </cell>
          <cell r="X59">
            <v>71</v>
          </cell>
          <cell r="Y59">
            <v>70</v>
          </cell>
          <cell r="Z59">
            <v>70</v>
          </cell>
          <cell r="AA59">
            <v>65</v>
          </cell>
          <cell r="AB59">
            <v>65</v>
          </cell>
          <cell r="AC59">
            <v>65</v>
          </cell>
          <cell r="AD59">
            <v>57</v>
          </cell>
          <cell r="AE59">
            <v>41</v>
          </cell>
          <cell r="AF59">
            <v>1098</v>
          </cell>
          <cell r="AG59">
            <v>10980</v>
          </cell>
        </row>
        <row r="60">
          <cell r="K60" t="str">
            <v>Total Manpower</v>
          </cell>
          <cell r="L60">
            <v>0</v>
          </cell>
          <cell r="M60">
            <v>7</v>
          </cell>
          <cell r="N60">
            <v>49</v>
          </cell>
          <cell r="O60">
            <v>121</v>
          </cell>
          <cell r="P60">
            <v>138</v>
          </cell>
          <cell r="Q60">
            <v>138</v>
          </cell>
          <cell r="R60">
            <v>164</v>
          </cell>
          <cell r="S60">
            <v>160</v>
          </cell>
          <cell r="T60">
            <v>167</v>
          </cell>
          <cell r="U60">
            <v>167</v>
          </cell>
          <cell r="V60">
            <v>171</v>
          </cell>
          <cell r="W60">
            <v>167</v>
          </cell>
          <cell r="X60">
            <v>166</v>
          </cell>
          <cell r="Y60">
            <v>163</v>
          </cell>
          <cell r="Z60">
            <v>162</v>
          </cell>
          <cell r="AA60">
            <v>152</v>
          </cell>
          <cell r="AB60">
            <v>152</v>
          </cell>
          <cell r="AC60">
            <v>152</v>
          </cell>
          <cell r="AD60">
            <v>144</v>
          </cell>
          <cell r="AE60">
            <v>126</v>
          </cell>
          <cell r="AF60">
            <v>2666</v>
          </cell>
          <cell r="AG60">
            <v>26660</v>
          </cell>
        </row>
        <row r="70">
          <cell r="K70" t="str">
            <v>OutFall</v>
          </cell>
          <cell r="M70">
            <v>1998</v>
          </cell>
          <cell r="P70">
            <v>1999</v>
          </cell>
          <cell r="AB70">
            <v>2000</v>
          </cell>
        </row>
        <row r="71">
          <cell r="K71" t="str">
            <v>Description</v>
          </cell>
          <cell r="L71" t="str">
            <v>Outfall</v>
          </cell>
          <cell r="M71">
            <v>10</v>
          </cell>
          <cell r="N71">
            <v>11</v>
          </cell>
          <cell r="O71">
            <v>12</v>
          </cell>
          <cell r="P71">
            <v>1</v>
          </cell>
          <cell r="Q71">
            <v>2</v>
          </cell>
          <cell r="R71">
            <v>3</v>
          </cell>
          <cell r="S71">
            <v>4</v>
          </cell>
          <cell r="T71">
            <v>5</v>
          </cell>
          <cell r="U71">
            <v>6</v>
          </cell>
          <cell r="V71">
            <v>7</v>
          </cell>
          <cell r="W71">
            <v>8</v>
          </cell>
          <cell r="X71">
            <v>9</v>
          </cell>
          <cell r="Y71">
            <v>10</v>
          </cell>
          <cell r="Z71">
            <v>11</v>
          </cell>
          <cell r="AA71">
            <v>12</v>
          </cell>
          <cell r="AB71">
            <v>1</v>
          </cell>
          <cell r="AC71">
            <v>2</v>
          </cell>
          <cell r="AD71">
            <v>3</v>
          </cell>
          <cell r="AE71">
            <v>4</v>
          </cell>
        </row>
        <row r="72">
          <cell r="K72" t="str">
            <v>Project Manager</v>
          </cell>
          <cell r="L72">
            <v>0</v>
          </cell>
        </row>
        <row r="73">
          <cell r="K73" t="str">
            <v>Construction Manager</v>
          </cell>
          <cell r="L73">
            <v>0</v>
          </cell>
        </row>
        <row r="74">
          <cell r="K74" t="str">
            <v>Tech. Manger &amp; Coordination Engineer</v>
          </cell>
          <cell r="L74">
            <v>0</v>
          </cell>
        </row>
        <row r="75">
          <cell r="K75" t="str">
            <v>Site Engineer</v>
          </cell>
          <cell r="L75">
            <v>0</v>
          </cell>
        </row>
        <row r="76">
          <cell r="K76" t="str">
            <v>Qty Surveyor &amp; Tech. Office Engineer</v>
          </cell>
          <cell r="L76">
            <v>0</v>
          </cell>
        </row>
        <row r="77">
          <cell r="K77" t="str">
            <v>Planning Engineer</v>
          </cell>
          <cell r="L77">
            <v>0</v>
          </cell>
        </row>
        <row r="78">
          <cell r="K78" t="str">
            <v>CAD Tech. &amp; Surveying Engineer</v>
          </cell>
          <cell r="L78">
            <v>0</v>
          </cell>
        </row>
        <row r="79">
          <cell r="K79" t="str">
            <v>Laboratory &amp; QA/QC Engineer</v>
          </cell>
          <cell r="L79">
            <v>0</v>
          </cell>
        </row>
        <row r="80">
          <cell r="K80" t="str">
            <v>Procurement &amp; Engineering</v>
          </cell>
          <cell r="L80">
            <v>0</v>
          </cell>
        </row>
        <row r="81">
          <cell r="K81" t="str">
            <v>Mechanical Engineer</v>
          </cell>
          <cell r="L81">
            <v>0</v>
          </cell>
        </row>
        <row r="82">
          <cell r="K82" t="str">
            <v>Safety Officer</v>
          </cell>
          <cell r="L82">
            <v>0</v>
          </cell>
        </row>
        <row r="83">
          <cell r="K83" t="str">
            <v>Accountant</v>
          </cell>
          <cell r="L83">
            <v>0</v>
          </cell>
        </row>
        <row r="84">
          <cell r="K84" t="str">
            <v>Administration</v>
          </cell>
          <cell r="L84">
            <v>0</v>
          </cell>
        </row>
        <row r="85">
          <cell r="K85" t="str">
            <v>Surveyor</v>
          </cell>
          <cell r="L85">
            <v>0</v>
          </cell>
        </row>
        <row r="86">
          <cell r="K86" t="str">
            <v>Civil Forman</v>
          </cell>
          <cell r="L86">
            <v>1</v>
          </cell>
          <cell r="O86">
            <v>1</v>
          </cell>
          <cell r="P86">
            <v>1</v>
          </cell>
          <cell r="Q86">
            <v>1</v>
          </cell>
          <cell r="R86">
            <v>1</v>
          </cell>
          <cell r="S86">
            <v>1</v>
          </cell>
          <cell r="T86">
            <v>1</v>
          </cell>
          <cell r="U86">
            <v>1</v>
          </cell>
          <cell r="V86">
            <v>1</v>
          </cell>
          <cell r="W86">
            <v>1</v>
          </cell>
          <cell r="X86">
            <v>1</v>
          </cell>
          <cell r="Y86">
            <v>1</v>
          </cell>
          <cell r="Z86">
            <v>1</v>
          </cell>
        </row>
        <row r="87">
          <cell r="K87" t="str">
            <v>Mechanic Forman</v>
          </cell>
          <cell r="L87">
            <v>0</v>
          </cell>
        </row>
        <row r="88">
          <cell r="K88" t="str">
            <v>Storekeeper</v>
          </cell>
          <cell r="L88">
            <v>0</v>
          </cell>
        </row>
        <row r="89">
          <cell r="L89">
            <v>0</v>
          </cell>
        </row>
        <row r="90">
          <cell r="K90" t="str">
            <v>Driver &amp; Operator</v>
          </cell>
          <cell r="L90">
            <v>0</v>
          </cell>
          <cell r="M90">
            <v>0</v>
          </cell>
          <cell r="N90">
            <v>2</v>
          </cell>
          <cell r="O90">
            <v>2</v>
          </cell>
          <cell r="P90">
            <v>2</v>
          </cell>
          <cell r="Q90">
            <v>1</v>
          </cell>
          <cell r="R90">
            <v>0</v>
          </cell>
          <cell r="S90">
            <v>2</v>
          </cell>
          <cell r="T90">
            <v>0</v>
          </cell>
          <cell r="U90">
            <v>0</v>
          </cell>
          <cell r="V90">
            <v>0</v>
          </cell>
          <cell r="W90">
            <v>1</v>
          </cell>
          <cell r="X90">
            <v>0</v>
          </cell>
          <cell r="Y90">
            <v>0</v>
          </cell>
          <cell r="Z90">
            <v>0</v>
          </cell>
          <cell r="AA90">
            <v>0</v>
          </cell>
          <cell r="AB90">
            <v>0</v>
          </cell>
          <cell r="AC90">
            <v>0</v>
          </cell>
          <cell r="AD90">
            <v>0</v>
          </cell>
          <cell r="AE90">
            <v>0</v>
          </cell>
        </row>
        <row r="91">
          <cell r="L91">
            <v>0</v>
          </cell>
        </row>
        <row r="92">
          <cell r="K92" t="str">
            <v>SKILLED LABOURS :</v>
          </cell>
          <cell r="L92">
            <v>0</v>
          </cell>
        </row>
        <row r="93">
          <cell r="K93" t="str">
            <v>Pipe fitter</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row>
        <row r="94">
          <cell r="K94" t="str">
            <v>Carpenter</v>
          </cell>
          <cell r="L94">
            <v>2</v>
          </cell>
          <cell r="M94">
            <v>0</v>
          </cell>
          <cell r="N94">
            <v>0</v>
          </cell>
          <cell r="O94">
            <v>0</v>
          </cell>
          <cell r="P94">
            <v>0</v>
          </cell>
          <cell r="Q94">
            <v>0</v>
          </cell>
          <cell r="R94">
            <v>0</v>
          </cell>
          <cell r="S94">
            <v>0</v>
          </cell>
          <cell r="T94">
            <v>2</v>
          </cell>
          <cell r="U94">
            <v>2</v>
          </cell>
          <cell r="V94">
            <v>2</v>
          </cell>
          <cell r="W94">
            <v>0</v>
          </cell>
          <cell r="X94">
            <v>0</v>
          </cell>
          <cell r="Y94">
            <v>0</v>
          </cell>
          <cell r="Z94">
            <v>0</v>
          </cell>
          <cell r="AA94">
            <v>0</v>
          </cell>
          <cell r="AB94">
            <v>0</v>
          </cell>
          <cell r="AC94">
            <v>0</v>
          </cell>
          <cell r="AD94">
            <v>0</v>
          </cell>
          <cell r="AE94">
            <v>0</v>
          </cell>
        </row>
        <row r="95">
          <cell r="K95" t="str">
            <v>Steel fixer</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row>
        <row r="96">
          <cell r="K96" t="str">
            <v>Former</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row>
        <row r="97">
          <cell r="K97" t="str">
            <v>Plaster</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row>
        <row r="98">
          <cell r="K98" t="str">
            <v>Mechanic</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row>
        <row r="99">
          <cell r="K99" t="str">
            <v>Electrician</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row>
        <row r="100">
          <cell r="K100" t="str">
            <v>Welder</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row>
        <row r="101">
          <cell r="K101" t="str">
            <v>Shutter</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row>
        <row r="102">
          <cell r="K102" t="str">
            <v>Proofing</v>
          </cell>
          <cell r="L102">
            <v>2</v>
          </cell>
          <cell r="M102">
            <v>0</v>
          </cell>
          <cell r="N102">
            <v>0</v>
          </cell>
          <cell r="O102">
            <v>0</v>
          </cell>
          <cell r="P102">
            <v>0</v>
          </cell>
          <cell r="Q102">
            <v>0</v>
          </cell>
          <cell r="R102">
            <v>0</v>
          </cell>
          <cell r="S102">
            <v>0</v>
          </cell>
          <cell r="T102">
            <v>2</v>
          </cell>
          <cell r="U102">
            <v>2</v>
          </cell>
          <cell r="V102">
            <v>2</v>
          </cell>
          <cell r="W102">
            <v>0</v>
          </cell>
          <cell r="X102">
            <v>0</v>
          </cell>
          <cell r="Y102">
            <v>0</v>
          </cell>
          <cell r="Z102">
            <v>0</v>
          </cell>
          <cell r="AA102">
            <v>0</v>
          </cell>
          <cell r="AB102">
            <v>0</v>
          </cell>
          <cell r="AC102">
            <v>0</v>
          </cell>
          <cell r="AD102">
            <v>0</v>
          </cell>
          <cell r="AE102">
            <v>0</v>
          </cell>
        </row>
        <row r="103">
          <cell r="K103" t="str">
            <v>Tile fixer</v>
          </cell>
          <cell r="L103">
            <v>1</v>
          </cell>
          <cell r="M103">
            <v>0</v>
          </cell>
          <cell r="N103">
            <v>0</v>
          </cell>
          <cell r="O103">
            <v>0</v>
          </cell>
          <cell r="P103">
            <v>0</v>
          </cell>
          <cell r="Q103">
            <v>0</v>
          </cell>
          <cell r="R103">
            <v>0</v>
          </cell>
          <cell r="S103">
            <v>0</v>
          </cell>
          <cell r="T103">
            <v>0</v>
          </cell>
          <cell r="U103">
            <v>0</v>
          </cell>
          <cell r="V103">
            <v>0</v>
          </cell>
          <cell r="W103">
            <v>0</v>
          </cell>
          <cell r="X103">
            <v>1</v>
          </cell>
          <cell r="Y103">
            <v>1</v>
          </cell>
          <cell r="Z103">
            <v>1</v>
          </cell>
          <cell r="AA103">
            <v>0</v>
          </cell>
          <cell r="AB103">
            <v>0</v>
          </cell>
          <cell r="AC103">
            <v>0</v>
          </cell>
          <cell r="AD103">
            <v>0</v>
          </cell>
          <cell r="AE103">
            <v>0</v>
          </cell>
        </row>
        <row r="104">
          <cell r="K104" t="str">
            <v>Rockfill Fixer</v>
          </cell>
          <cell r="L104">
            <v>2</v>
          </cell>
          <cell r="M104">
            <v>0</v>
          </cell>
          <cell r="N104">
            <v>0</v>
          </cell>
          <cell r="O104">
            <v>0</v>
          </cell>
          <cell r="P104">
            <v>0</v>
          </cell>
          <cell r="Q104">
            <v>0</v>
          </cell>
          <cell r="R104">
            <v>0</v>
          </cell>
          <cell r="S104">
            <v>0</v>
          </cell>
          <cell r="T104">
            <v>0</v>
          </cell>
          <cell r="U104">
            <v>0</v>
          </cell>
          <cell r="V104">
            <v>2</v>
          </cell>
          <cell r="W104">
            <v>2</v>
          </cell>
          <cell r="X104">
            <v>2</v>
          </cell>
          <cell r="Y104">
            <v>0</v>
          </cell>
          <cell r="Z104">
            <v>0</v>
          </cell>
          <cell r="AA104">
            <v>0</v>
          </cell>
          <cell r="AB104">
            <v>0</v>
          </cell>
          <cell r="AC104">
            <v>0</v>
          </cell>
          <cell r="AD104">
            <v>0</v>
          </cell>
          <cell r="AE104">
            <v>0</v>
          </cell>
        </row>
        <row r="105">
          <cell r="K105" t="str">
            <v>Other Skilled</v>
          </cell>
          <cell r="L105">
            <v>6</v>
          </cell>
          <cell r="M105">
            <v>0</v>
          </cell>
          <cell r="N105">
            <v>0</v>
          </cell>
          <cell r="O105">
            <v>0</v>
          </cell>
          <cell r="P105">
            <v>4</v>
          </cell>
          <cell r="Q105">
            <v>4</v>
          </cell>
          <cell r="R105">
            <v>4</v>
          </cell>
          <cell r="S105">
            <v>0</v>
          </cell>
          <cell r="T105">
            <v>0</v>
          </cell>
          <cell r="U105">
            <v>0</v>
          </cell>
          <cell r="V105">
            <v>0</v>
          </cell>
          <cell r="W105">
            <v>2</v>
          </cell>
          <cell r="X105">
            <v>2</v>
          </cell>
          <cell r="Y105">
            <v>2</v>
          </cell>
          <cell r="Z105">
            <v>2</v>
          </cell>
          <cell r="AA105">
            <v>0</v>
          </cell>
          <cell r="AB105">
            <v>0</v>
          </cell>
          <cell r="AC105">
            <v>0</v>
          </cell>
          <cell r="AD105">
            <v>0</v>
          </cell>
          <cell r="AE105">
            <v>0</v>
          </cell>
        </row>
        <row r="106">
          <cell r="K106" t="str">
            <v>Cooker</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row>
        <row r="107">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row>
        <row r="108">
          <cell r="K108" t="str">
            <v>UNSKILLED LABOURS :</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row>
        <row r="109">
          <cell r="K109" t="str">
            <v>Pipe fitter assistance</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row>
        <row r="110">
          <cell r="K110" t="str">
            <v>Carpenter assistance</v>
          </cell>
          <cell r="L110">
            <v>2</v>
          </cell>
          <cell r="M110">
            <v>0</v>
          </cell>
          <cell r="N110">
            <v>0</v>
          </cell>
          <cell r="O110">
            <v>0</v>
          </cell>
          <cell r="P110">
            <v>0</v>
          </cell>
          <cell r="Q110">
            <v>0</v>
          </cell>
          <cell r="R110">
            <v>0</v>
          </cell>
          <cell r="S110">
            <v>0</v>
          </cell>
          <cell r="T110">
            <v>2</v>
          </cell>
          <cell r="U110">
            <v>2</v>
          </cell>
          <cell r="V110">
            <v>2</v>
          </cell>
          <cell r="W110">
            <v>0</v>
          </cell>
          <cell r="X110">
            <v>0</v>
          </cell>
          <cell r="Y110">
            <v>0</v>
          </cell>
          <cell r="Z110">
            <v>0</v>
          </cell>
          <cell r="AA110">
            <v>0</v>
          </cell>
          <cell r="AB110">
            <v>0</v>
          </cell>
          <cell r="AC110">
            <v>0</v>
          </cell>
          <cell r="AD110">
            <v>0</v>
          </cell>
          <cell r="AE110">
            <v>0</v>
          </cell>
        </row>
        <row r="111">
          <cell r="K111" t="str">
            <v>Steel fixer assistance</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row>
        <row r="112">
          <cell r="K112" t="str">
            <v>Mechanic assistance</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row>
        <row r="113">
          <cell r="K113" t="str">
            <v>Electrian assistance</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row>
        <row r="114">
          <cell r="K114" t="str">
            <v>Welder assistance</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row>
        <row r="115">
          <cell r="K115" t="str">
            <v>Tile fixer assistance</v>
          </cell>
          <cell r="L115">
            <v>1</v>
          </cell>
          <cell r="M115">
            <v>0</v>
          </cell>
          <cell r="N115">
            <v>0</v>
          </cell>
          <cell r="O115">
            <v>0</v>
          </cell>
          <cell r="P115">
            <v>0</v>
          </cell>
          <cell r="Q115">
            <v>0</v>
          </cell>
          <cell r="R115">
            <v>0</v>
          </cell>
          <cell r="S115">
            <v>0</v>
          </cell>
          <cell r="T115">
            <v>0</v>
          </cell>
          <cell r="U115">
            <v>0</v>
          </cell>
          <cell r="V115">
            <v>0</v>
          </cell>
          <cell r="W115">
            <v>0</v>
          </cell>
          <cell r="X115">
            <v>1</v>
          </cell>
          <cell r="Y115">
            <v>1</v>
          </cell>
          <cell r="Z115">
            <v>1</v>
          </cell>
          <cell r="AA115">
            <v>0</v>
          </cell>
          <cell r="AB115">
            <v>0</v>
          </cell>
          <cell r="AC115">
            <v>0</v>
          </cell>
          <cell r="AD115">
            <v>0</v>
          </cell>
          <cell r="AE115">
            <v>0</v>
          </cell>
        </row>
        <row r="116">
          <cell r="K116" t="str">
            <v>Concrete Labour</v>
          </cell>
          <cell r="L116">
            <v>1</v>
          </cell>
          <cell r="M116">
            <v>0</v>
          </cell>
          <cell r="N116">
            <v>0</v>
          </cell>
          <cell r="O116">
            <v>0</v>
          </cell>
          <cell r="P116">
            <v>0</v>
          </cell>
          <cell r="Q116">
            <v>0</v>
          </cell>
          <cell r="R116">
            <v>0</v>
          </cell>
          <cell r="S116">
            <v>0</v>
          </cell>
          <cell r="T116">
            <v>1</v>
          </cell>
          <cell r="U116">
            <v>1</v>
          </cell>
          <cell r="V116">
            <v>1</v>
          </cell>
          <cell r="W116">
            <v>0</v>
          </cell>
          <cell r="X116">
            <v>0</v>
          </cell>
          <cell r="Y116">
            <v>0</v>
          </cell>
          <cell r="Z116">
            <v>0</v>
          </cell>
          <cell r="AA116">
            <v>0</v>
          </cell>
          <cell r="AB116">
            <v>0</v>
          </cell>
          <cell r="AC116">
            <v>0</v>
          </cell>
          <cell r="AD116">
            <v>0</v>
          </cell>
          <cell r="AE116">
            <v>0</v>
          </cell>
        </row>
        <row r="117">
          <cell r="K117" t="str">
            <v>Office boy</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row>
        <row r="118">
          <cell r="K118" t="str">
            <v>GUARD</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row>
        <row r="119">
          <cell r="K119" t="str">
            <v>Normal Labour</v>
          </cell>
          <cell r="L119">
            <v>18</v>
          </cell>
          <cell r="M119">
            <v>0</v>
          </cell>
          <cell r="N119">
            <v>0</v>
          </cell>
          <cell r="O119">
            <v>0</v>
          </cell>
          <cell r="P119">
            <v>6</v>
          </cell>
          <cell r="Q119">
            <v>6</v>
          </cell>
          <cell r="R119">
            <v>6</v>
          </cell>
          <cell r="S119">
            <v>3</v>
          </cell>
          <cell r="T119">
            <v>5</v>
          </cell>
          <cell r="U119">
            <v>5</v>
          </cell>
          <cell r="V119">
            <v>7</v>
          </cell>
          <cell r="W119">
            <v>7</v>
          </cell>
          <cell r="X119">
            <v>6</v>
          </cell>
          <cell r="Y119">
            <v>5</v>
          </cell>
          <cell r="Z119">
            <v>5</v>
          </cell>
          <cell r="AA119">
            <v>0</v>
          </cell>
          <cell r="AB119">
            <v>0</v>
          </cell>
          <cell r="AC119">
            <v>0</v>
          </cell>
          <cell r="AD119">
            <v>0</v>
          </cell>
          <cell r="AE119">
            <v>0</v>
          </cell>
        </row>
        <row r="120">
          <cell r="L120">
            <v>0</v>
          </cell>
        </row>
        <row r="121">
          <cell r="K121" t="str">
            <v>Surveying</v>
          </cell>
          <cell r="L121">
            <v>0</v>
          </cell>
        </row>
        <row r="122">
          <cell r="K122" t="str">
            <v>Normal Labour</v>
          </cell>
          <cell r="L122">
            <v>0</v>
          </cell>
        </row>
        <row r="123">
          <cell r="K123" t="str">
            <v>Safety</v>
          </cell>
          <cell r="L123">
            <v>0</v>
          </cell>
        </row>
        <row r="124">
          <cell r="K124" t="str">
            <v>Normal Labour</v>
          </cell>
          <cell r="L124">
            <v>0</v>
          </cell>
        </row>
        <row r="125">
          <cell r="K125" t="str">
            <v>Discharge Line</v>
          </cell>
          <cell r="L125">
            <v>0</v>
          </cell>
        </row>
        <row r="126">
          <cell r="K126" t="str">
            <v>Welder</v>
          </cell>
          <cell r="L126">
            <v>0</v>
          </cell>
        </row>
        <row r="127">
          <cell r="K127" t="str">
            <v>Welder assistance</v>
          </cell>
          <cell r="L127">
            <v>0</v>
          </cell>
        </row>
        <row r="128">
          <cell r="K128" t="str">
            <v>Normal Labour</v>
          </cell>
          <cell r="L128">
            <v>0</v>
          </cell>
        </row>
        <row r="129">
          <cell r="K129" t="str">
            <v>Dewatering</v>
          </cell>
          <cell r="L129">
            <v>0</v>
          </cell>
        </row>
        <row r="130">
          <cell r="K130" t="str">
            <v>Mechanic</v>
          </cell>
          <cell r="L130">
            <v>0</v>
          </cell>
        </row>
        <row r="131">
          <cell r="K131" t="str">
            <v>Mechanic assistance</v>
          </cell>
          <cell r="L131">
            <v>0</v>
          </cell>
        </row>
        <row r="132">
          <cell r="K132" t="str">
            <v>Normal Labour</v>
          </cell>
          <cell r="L132">
            <v>1</v>
          </cell>
          <cell r="S132">
            <v>1</v>
          </cell>
          <cell r="T132">
            <v>1</v>
          </cell>
          <cell r="U132">
            <v>1</v>
          </cell>
          <cell r="V132">
            <v>1</v>
          </cell>
        </row>
        <row r="133">
          <cell r="K133" t="str">
            <v>Excav</v>
          </cell>
          <cell r="L133">
            <v>0</v>
          </cell>
        </row>
        <row r="134">
          <cell r="K134" t="str">
            <v>Normal Labour</v>
          </cell>
          <cell r="L134">
            <v>2</v>
          </cell>
          <cell r="S134">
            <v>2</v>
          </cell>
        </row>
        <row r="135">
          <cell r="K135" t="str">
            <v>Concrete</v>
          </cell>
          <cell r="L135">
            <v>0</v>
          </cell>
        </row>
        <row r="136">
          <cell r="K136" t="str">
            <v>Former</v>
          </cell>
          <cell r="L136">
            <v>0</v>
          </cell>
        </row>
        <row r="137">
          <cell r="K137" t="str">
            <v>Plaster</v>
          </cell>
          <cell r="L137">
            <v>0</v>
          </cell>
        </row>
        <row r="138">
          <cell r="K138" t="str">
            <v>Concrete Labour</v>
          </cell>
          <cell r="L138">
            <v>1</v>
          </cell>
          <cell r="T138">
            <v>1</v>
          </cell>
          <cell r="U138">
            <v>1</v>
          </cell>
          <cell r="V138">
            <v>1</v>
          </cell>
        </row>
        <row r="139">
          <cell r="K139" t="str">
            <v>Normal Labour</v>
          </cell>
          <cell r="L139">
            <v>2</v>
          </cell>
          <cell r="T139">
            <v>2</v>
          </cell>
          <cell r="U139">
            <v>2</v>
          </cell>
          <cell r="V139">
            <v>2</v>
          </cell>
        </row>
        <row r="140">
          <cell r="K140" t="str">
            <v>Manholes</v>
          </cell>
          <cell r="L140">
            <v>0</v>
          </cell>
        </row>
        <row r="141">
          <cell r="K141" t="str">
            <v>Carpenter</v>
          </cell>
          <cell r="L141">
            <v>2</v>
          </cell>
          <cell r="T141">
            <v>2</v>
          </cell>
          <cell r="U141">
            <v>2</v>
          </cell>
          <cell r="V141">
            <v>2</v>
          </cell>
        </row>
        <row r="142">
          <cell r="K142" t="str">
            <v>Carpenter assistance</v>
          </cell>
          <cell r="L142">
            <v>2</v>
          </cell>
          <cell r="T142">
            <v>2</v>
          </cell>
          <cell r="U142">
            <v>2</v>
          </cell>
          <cell r="V142">
            <v>2</v>
          </cell>
        </row>
        <row r="143">
          <cell r="K143" t="str">
            <v>Steel fixer</v>
          </cell>
          <cell r="L143">
            <v>0</v>
          </cell>
        </row>
        <row r="144">
          <cell r="K144" t="str">
            <v>Steel fixer assistance</v>
          </cell>
          <cell r="L144">
            <v>0</v>
          </cell>
        </row>
        <row r="145">
          <cell r="K145" t="str">
            <v>Shutter</v>
          </cell>
          <cell r="L145">
            <v>0</v>
          </cell>
        </row>
        <row r="146">
          <cell r="K146" t="str">
            <v>Proofing</v>
          </cell>
          <cell r="L146">
            <v>2</v>
          </cell>
          <cell r="T146">
            <v>2</v>
          </cell>
          <cell r="U146">
            <v>2</v>
          </cell>
          <cell r="V146">
            <v>2</v>
          </cell>
        </row>
        <row r="147">
          <cell r="K147" t="str">
            <v>Normal Labour</v>
          </cell>
          <cell r="L147">
            <v>2</v>
          </cell>
          <cell r="T147">
            <v>2</v>
          </cell>
          <cell r="U147">
            <v>2</v>
          </cell>
          <cell r="V147">
            <v>2</v>
          </cell>
        </row>
        <row r="148">
          <cell r="K148" t="str">
            <v>Pipe Laying &amp; Testing</v>
          </cell>
          <cell r="L148">
            <v>0</v>
          </cell>
        </row>
        <row r="149">
          <cell r="K149" t="str">
            <v>Pipe fitter</v>
          </cell>
          <cell r="L149">
            <v>0</v>
          </cell>
        </row>
        <row r="150">
          <cell r="K150" t="str">
            <v>Pipe fitter assistance</v>
          </cell>
          <cell r="L150">
            <v>0</v>
          </cell>
        </row>
        <row r="151">
          <cell r="K151" t="str">
            <v>Normal Labour</v>
          </cell>
          <cell r="L151">
            <v>0</v>
          </cell>
        </row>
        <row r="152">
          <cell r="K152" t="str">
            <v>Backfilling</v>
          </cell>
          <cell r="L152">
            <v>0</v>
          </cell>
        </row>
        <row r="153">
          <cell r="K153" t="str">
            <v>Normal Labour</v>
          </cell>
          <cell r="L153">
            <v>2</v>
          </cell>
          <cell r="W153">
            <v>2</v>
          </cell>
        </row>
        <row r="154">
          <cell r="K154" t="str">
            <v>Curing</v>
          </cell>
          <cell r="L154">
            <v>0</v>
          </cell>
        </row>
        <row r="155">
          <cell r="K155" t="str">
            <v>Normal Labour</v>
          </cell>
          <cell r="L155">
            <v>0</v>
          </cell>
        </row>
        <row r="156">
          <cell r="K156" t="str">
            <v>uPVC Welding</v>
          </cell>
          <cell r="L156">
            <v>0</v>
          </cell>
        </row>
        <row r="157">
          <cell r="K157" t="str">
            <v>Normal Labour</v>
          </cell>
          <cell r="L157">
            <v>0</v>
          </cell>
        </row>
        <row r="158">
          <cell r="K158" t="str">
            <v>Outfall Piles &amp;Sheet Piles</v>
          </cell>
          <cell r="L158">
            <v>0</v>
          </cell>
        </row>
        <row r="159">
          <cell r="K159" t="str">
            <v>Skilled Labour</v>
          </cell>
          <cell r="L159">
            <v>4</v>
          </cell>
          <cell r="P159">
            <v>4</v>
          </cell>
          <cell r="Q159">
            <v>4</v>
          </cell>
          <cell r="R159">
            <v>4</v>
          </cell>
        </row>
        <row r="160">
          <cell r="K160" t="str">
            <v>Normal Labour</v>
          </cell>
          <cell r="L160">
            <v>6</v>
          </cell>
          <cell r="P160">
            <v>6</v>
          </cell>
          <cell r="Q160">
            <v>6</v>
          </cell>
          <cell r="R160">
            <v>6</v>
          </cell>
        </row>
        <row r="161">
          <cell r="L161">
            <v>0</v>
          </cell>
        </row>
        <row r="162">
          <cell r="K162" t="str">
            <v>Outfall Finishing</v>
          </cell>
          <cell r="L162">
            <v>0</v>
          </cell>
        </row>
        <row r="163">
          <cell r="K163" t="str">
            <v>Tile fixer</v>
          </cell>
          <cell r="L163">
            <v>1</v>
          </cell>
          <cell r="X163">
            <v>1</v>
          </cell>
          <cell r="Y163">
            <v>1</v>
          </cell>
          <cell r="Z163">
            <v>1</v>
          </cell>
        </row>
        <row r="164">
          <cell r="K164" t="str">
            <v>Rockfill Fixer</v>
          </cell>
          <cell r="L164">
            <v>2</v>
          </cell>
          <cell r="V164">
            <v>2</v>
          </cell>
          <cell r="W164">
            <v>2</v>
          </cell>
          <cell r="X164">
            <v>2</v>
          </cell>
        </row>
        <row r="165">
          <cell r="K165" t="str">
            <v>Tile fixer assistance</v>
          </cell>
          <cell r="L165">
            <v>1</v>
          </cell>
          <cell r="X165">
            <v>1</v>
          </cell>
          <cell r="Y165">
            <v>1</v>
          </cell>
          <cell r="Z165">
            <v>1</v>
          </cell>
        </row>
        <row r="166">
          <cell r="K166" t="str">
            <v>Skilled Labour</v>
          </cell>
          <cell r="L166">
            <v>2</v>
          </cell>
          <cell r="W166">
            <v>2</v>
          </cell>
          <cell r="X166">
            <v>2</v>
          </cell>
          <cell r="Y166">
            <v>2</v>
          </cell>
          <cell r="Z166">
            <v>2</v>
          </cell>
        </row>
        <row r="167">
          <cell r="K167" t="str">
            <v>Normal Labour</v>
          </cell>
          <cell r="L167">
            <v>3</v>
          </cell>
          <cell r="V167">
            <v>2</v>
          </cell>
          <cell r="W167">
            <v>5</v>
          </cell>
          <cell r="X167">
            <v>6</v>
          </cell>
          <cell r="Y167">
            <v>5</v>
          </cell>
          <cell r="Z167">
            <v>5</v>
          </cell>
        </row>
        <row r="168">
          <cell r="K168" t="str">
            <v>Store</v>
          </cell>
          <cell r="L168">
            <v>0</v>
          </cell>
        </row>
        <row r="169">
          <cell r="K169" t="str">
            <v>Normal Labour</v>
          </cell>
          <cell r="L169">
            <v>0</v>
          </cell>
        </row>
        <row r="170">
          <cell r="K170" t="str">
            <v>Kitchen</v>
          </cell>
          <cell r="L170">
            <v>0</v>
          </cell>
        </row>
        <row r="171">
          <cell r="K171" t="str">
            <v>Normal Labour</v>
          </cell>
          <cell r="L171">
            <v>0</v>
          </cell>
        </row>
        <row r="172">
          <cell r="K172" t="str">
            <v>Lab</v>
          </cell>
          <cell r="L172">
            <v>0</v>
          </cell>
        </row>
        <row r="173">
          <cell r="K173" t="str">
            <v>Normal Labour</v>
          </cell>
          <cell r="L173">
            <v>0</v>
          </cell>
        </row>
        <row r="178">
          <cell r="K178" t="str">
            <v>General</v>
          </cell>
          <cell r="M178">
            <v>1998</v>
          </cell>
          <cell r="P178">
            <v>1999</v>
          </cell>
          <cell r="AB178">
            <v>2000</v>
          </cell>
        </row>
        <row r="179">
          <cell r="K179" t="str">
            <v>Description</v>
          </cell>
          <cell r="L179" t="str">
            <v>General</v>
          </cell>
          <cell r="M179">
            <v>10</v>
          </cell>
          <cell r="N179">
            <v>11</v>
          </cell>
          <cell r="O179">
            <v>12</v>
          </cell>
          <cell r="P179">
            <v>1</v>
          </cell>
          <cell r="Q179">
            <v>2</v>
          </cell>
          <cell r="R179">
            <v>3</v>
          </cell>
          <cell r="S179">
            <v>4</v>
          </cell>
          <cell r="T179">
            <v>5</v>
          </cell>
          <cell r="U179">
            <v>6</v>
          </cell>
          <cell r="V179">
            <v>7</v>
          </cell>
          <cell r="W179">
            <v>8</v>
          </cell>
          <cell r="X179">
            <v>9</v>
          </cell>
          <cell r="Y179">
            <v>10</v>
          </cell>
          <cell r="Z179">
            <v>11</v>
          </cell>
          <cell r="AA179">
            <v>12</v>
          </cell>
          <cell r="AB179">
            <v>1</v>
          </cell>
          <cell r="AC179">
            <v>2</v>
          </cell>
          <cell r="AD179">
            <v>3</v>
          </cell>
          <cell r="AE179">
            <v>4</v>
          </cell>
        </row>
        <row r="180">
          <cell r="K180" t="str">
            <v>Project Manager</v>
          </cell>
          <cell r="L180">
            <v>1</v>
          </cell>
          <cell r="M180">
            <v>1</v>
          </cell>
          <cell r="N180">
            <v>1</v>
          </cell>
          <cell r="O180">
            <v>1</v>
          </cell>
          <cell r="P180">
            <v>1</v>
          </cell>
          <cell r="Q180">
            <v>1</v>
          </cell>
          <cell r="R180">
            <v>1</v>
          </cell>
          <cell r="S180">
            <v>1</v>
          </cell>
          <cell r="T180">
            <v>1</v>
          </cell>
          <cell r="U180">
            <v>1</v>
          </cell>
          <cell r="V180">
            <v>1</v>
          </cell>
          <cell r="W180">
            <v>1</v>
          </cell>
          <cell r="X180">
            <v>1</v>
          </cell>
          <cell r="Y180">
            <v>1</v>
          </cell>
          <cell r="Z180">
            <v>1</v>
          </cell>
          <cell r="AA180">
            <v>1</v>
          </cell>
          <cell r="AB180">
            <v>1</v>
          </cell>
          <cell r="AC180">
            <v>1</v>
          </cell>
          <cell r="AD180">
            <v>1</v>
          </cell>
          <cell r="AE180">
            <v>1</v>
          </cell>
        </row>
        <row r="181">
          <cell r="K181" t="str">
            <v>Construction Manager</v>
          </cell>
          <cell r="L181">
            <v>1</v>
          </cell>
          <cell r="M181">
            <v>1</v>
          </cell>
          <cell r="N181">
            <v>1</v>
          </cell>
          <cell r="O181">
            <v>1</v>
          </cell>
          <cell r="P181">
            <v>1</v>
          </cell>
          <cell r="Q181">
            <v>1</v>
          </cell>
          <cell r="R181">
            <v>1</v>
          </cell>
          <cell r="S181">
            <v>1</v>
          </cell>
          <cell r="T181">
            <v>1</v>
          </cell>
          <cell r="U181">
            <v>1</v>
          </cell>
          <cell r="V181">
            <v>1</v>
          </cell>
          <cell r="W181">
            <v>1</v>
          </cell>
          <cell r="X181">
            <v>1</v>
          </cell>
          <cell r="Y181">
            <v>1</v>
          </cell>
          <cell r="Z181">
            <v>1</v>
          </cell>
          <cell r="AA181">
            <v>1</v>
          </cell>
          <cell r="AB181">
            <v>1</v>
          </cell>
          <cell r="AC181">
            <v>1</v>
          </cell>
          <cell r="AD181">
            <v>1</v>
          </cell>
          <cell r="AE181">
            <v>1</v>
          </cell>
        </row>
        <row r="182">
          <cell r="K182" t="str">
            <v>Tech. Manger &amp; Coordination Engineer</v>
          </cell>
          <cell r="L182">
            <v>1</v>
          </cell>
          <cell r="M182">
            <v>1</v>
          </cell>
          <cell r="N182">
            <v>1</v>
          </cell>
          <cell r="O182">
            <v>1</v>
          </cell>
          <cell r="P182">
            <v>1</v>
          </cell>
          <cell r="Q182">
            <v>1</v>
          </cell>
          <cell r="R182">
            <v>1</v>
          </cell>
          <cell r="S182">
            <v>1</v>
          </cell>
          <cell r="T182">
            <v>1</v>
          </cell>
          <cell r="U182">
            <v>1</v>
          </cell>
          <cell r="V182">
            <v>1</v>
          </cell>
          <cell r="W182">
            <v>1</v>
          </cell>
          <cell r="X182">
            <v>1</v>
          </cell>
          <cell r="Y182">
            <v>1</v>
          </cell>
          <cell r="Z182">
            <v>1</v>
          </cell>
          <cell r="AA182">
            <v>1</v>
          </cell>
          <cell r="AB182">
            <v>1</v>
          </cell>
          <cell r="AC182">
            <v>1</v>
          </cell>
          <cell r="AD182">
            <v>1</v>
          </cell>
          <cell r="AE182">
            <v>1</v>
          </cell>
        </row>
        <row r="183">
          <cell r="K183" t="str">
            <v>Site Engineer</v>
          </cell>
          <cell r="L183">
            <v>2</v>
          </cell>
          <cell r="N183">
            <v>1</v>
          </cell>
          <cell r="O183">
            <v>1</v>
          </cell>
          <cell r="P183">
            <v>2</v>
          </cell>
          <cell r="Q183">
            <v>2</v>
          </cell>
          <cell r="R183">
            <v>2</v>
          </cell>
          <cell r="S183">
            <v>2</v>
          </cell>
          <cell r="T183">
            <v>2</v>
          </cell>
          <cell r="U183">
            <v>2</v>
          </cell>
          <cell r="V183">
            <v>2</v>
          </cell>
          <cell r="W183">
            <v>2</v>
          </cell>
          <cell r="X183">
            <v>2</v>
          </cell>
          <cell r="Y183">
            <v>2</v>
          </cell>
          <cell r="Z183">
            <v>2</v>
          </cell>
          <cell r="AA183">
            <v>2</v>
          </cell>
          <cell r="AB183">
            <v>2</v>
          </cell>
          <cell r="AC183">
            <v>2</v>
          </cell>
          <cell r="AD183">
            <v>2</v>
          </cell>
          <cell r="AE183">
            <v>1</v>
          </cell>
        </row>
        <row r="184">
          <cell r="K184" t="str">
            <v>Qty Surveyor &amp; Tech. Office Engineer</v>
          </cell>
          <cell r="L184">
            <v>1</v>
          </cell>
          <cell r="M184">
            <v>1</v>
          </cell>
          <cell r="N184">
            <v>1</v>
          </cell>
          <cell r="O184">
            <v>1</v>
          </cell>
          <cell r="P184">
            <v>1</v>
          </cell>
          <cell r="Q184">
            <v>1</v>
          </cell>
          <cell r="R184">
            <v>1</v>
          </cell>
          <cell r="S184">
            <v>1</v>
          </cell>
          <cell r="T184">
            <v>1</v>
          </cell>
          <cell r="U184">
            <v>1</v>
          </cell>
          <cell r="V184">
            <v>1</v>
          </cell>
          <cell r="W184">
            <v>1</v>
          </cell>
          <cell r="X184">
            <v>1</v>
          </cell>
          <cell r="Y184">
            <v>1</v>
          </cell>
          <cell r="Z184">
            <v>1</v>
          </cell>
          <cell r="AA184">
            <v>1</v>
          </cell>
          <cell r="AB184">
            <v>1</v>
          </cell>
          <cell r="AC184">
            <v>1</v>
          </cell>
          <cell r="AD184">
            <v>1</v>
          </cell>
          <cell r="AE184">
            <v>1</v>
          </cell>
        </row>
        <row r="185">
          <cell r="K185" t="str">
            <v>Planning Engineer</v>
          </cell>
          <cell r="L185">
            <v>1</v>
          </cell>
          <cell r="M185">
            <v>1</v>
          </cell>
          <cell r="N185">
            <v>1</v>
          </cell>
          <cell r="O185">
            <v>1</v>
          </cell>
          <cell r="P185">
            <v>1</v>
          </cell>
          <cell r="Q185">
            <v>1</v>
          </cell>
          <cell r="R185">
            <v>1</v>
          </cell>
          <cell r="S185">
            <v>1</v>
          </cell>
          <cell r="T185">
            <v>1</v>
          </cell>
          <cell r="U185">
            <v>1</v>
          </cell>
          <cell r="V185">
            <v>1</v>
          </cell>
          <cell r="W185">
            <v>1</v>
          </cell>
          <cell r="X185">
            <v>1</v>
          </cell>
          <cell r="Y185">
            <v>1</v>
          </cell>
          <cell r="Z185">
            <v>1</v>
          </cell>
          <cell r="AA185">
            <v>1</v>
          </cell>
          <cell r="AB185">
            <v>1</v>
          </cell>
          <cell r="AC185">
            <v>1</v>
          </cell>
          <cell r="AD185">
            <v>1</v>
          </cell>
          <cell r="AE185">
            <v>1</v>
          </cell>
        </row>
        <row r="186">
          <cell r="K186" t="str">
            <v>CAD Tech. &amp; Surveying Engineer</v>
          </cell>
          <cell r="L186">
            <v>1</v>
          </cell>
          <cell r="M186">
            <v>1</v>
          </cell>
          <cell r="N186">
            <v>1</v>
          </cell>
          <cell r="O186">
            <v>1</v>
          </cell>
          <cell r="P186">
            <v>1</v>
          </cell>
          <cell r="Q186">
            <v>1</v>
          </cell>
          <cell r="R186">
            <v>1</v>
          </cell>
          <cell r="S186">
            <v>1</v>
          </cell>
          <cell r="T186">
            <v>1</v>
          </cell>
          <cell r="U186">
            <v>1</v>
          </cell>
          <cell r="V186">
            <v>1</v>
          </cell>
          <cell r="W186">
            <v>1</v>
          </cell>
          <cell r="X186">
            <v>1</v>
          </cell>
          <cell r="Y186">
            <v>1</v>
          </cell>
          <cell r="Z186">
            <v>1</v>
          </cell>
          <cell r="AA186">
            <v>1</v>
          </cell>
          <cell r="AB186">
            <v>1</v>
          </cell>
          <cell r="AC186">
            <v>1</v>
          </cell>
          <cell r="AD186">
            <v>1</v>
          </cell>
          <cell r="AE186">
            <v>1</v>
          </cell>
        </row>
        <row r="187">
          <cell r="K187" t="str">
            <v>Laboratory &amp; QA/QC Engineer</v>
          </cell>
          <cell r="L187">
            <v>1</v>
          </cell>
          <cell r="O187">
            <v>1</v>
          </cell>
          <cell r="P187">
            <v>1</v>
          </cell>
          <cell r="Q187">
            <v>1</v>
          </cell>
          <cell r="R187">
            <v>1</v>
          </cell>
          <cell r="S187">
            <v>1</v>
          </cell>
          <cell r="T187">
            <v>1</v>
          </cell>
          <cell r="U187">
            <v>1</v>
          </cell>
          <cell r="V187">
            <v>1</v>
          </cell>
          <cell r="W187">
            <v>1</v>
          </cell>
          <cell r="X187">
            <v>1</v>
          </cell>
          <cell r="Y187">
            <v>1</v>
          </cell>
          <cell r="Z187">
            <v>1</v>
          </cell>
          <cell r="AA187">
            <v>1</v>
          </cell>
          <cell r="AB187">
            <v>1</v>
          </cell>
          <cell r="AC187">
            <v>1</v>
          </cell>
          <cell r="AD187">
            <v>1</v>
          </cell>
          <cell r="AE187">
            <v>1</v>
          </cell>
        </row>
        <row r="188">
          <cell r="K188" t="str">
            <v>Procurement &amp; Engineering</v>
          </cell>
          <cell r="L188">
            <v>1</v>
          </cell>
          <cell r="M188">
            <v>1</v>
          </cell>
          <cell r="N188">
            <v>1</v>
          </cell>
          <cell r="O188">
            <v>1</v>
          </cell>
          <cell r="P188">
            <v>1</v>
          </cell>
          <cell r="Q188">
            <v>1</v>
          </cell>
          <cell r="R188">
            <v>1</v>
          </cell>
          <cell r="S188">
            <v>1</v>
          </cell>
          <cell r="T188">
            <v>1</v>
          </cell>
          <cell r="U188">
            <v>1</v>
          </cell>
          <cell r="V188">
            <v>1</v>
          </cell>
          <cell r="W188">
            <v>1</v>
          </cell>
          <cell r="X188">
            <v>1</v>
          </cell>
          <cell r="Y188">
            <v>1</v>
          </cell>
          <cell r="Z188">
            <v>1</v>
          </cell>
          <cell r="AA188">
            <v>1</v>
          </cell>
          <cell r="AB188">
            <v>1</v>
          </cell>
          <cell r="AC188">
            <v>1</v>
          </cell>
          <cell r="AD188">
            <v>1</v>
          </cell>
          <cell r="AE188">
            <v>1</v>
          </cell>
        </row>
        <row r="189">
          <cell r="K189" t="str">
            <v>Mechanical Engineer</v>
          </cell>
          <cell r="L189">
            <v>1</v>
          </cell>
          <cell r="N189">
            <v>1</v>
          </cell>
          <cell r="O189">
            <v>1</v>
          </cell>
          <cell r="P189">
            <v>1</v>
          </cell>
          <cell r="Q189">
            <v>1</v>
          </cell>
          <cell r="R189">
            <v>1</v>
          </cell>
          <cell r="S189">
            <v>1</v>
          </cell>
          <cell r="T189">
            <v>1</v>
          </cell>
          <cell r="U189">
            <v>1</v>
          </cell>
          <cell r="V189">
            <v>1</v>
          </cell>
          <cell r="W189">
            <v>1</v>
          </cell>
          <cell r="X189">
            <v>1</v>
          </cell>
          <cell r="Y189">
            <v>1</v>
          </cell>
          <cell r="Z189">
            <v>1</v>
          </cell>
          <cell r="AA189">
            <v>1</v>
          </cell>
          <cell r="AB189">
            <v>1</v>
          </cell>
          <cell r="AC189">
            <v>1</v>
          </cell>
          <cell r="AD189">
            <v>1</v>
          </cell>
          <cell r="AE189">
            <v>1</v>
          </cell>
        </row>
        <row r="190">
          <cell r="K190" t="str">
            <v>Safety Officer</v>
          </cell>
          <cell r="L190">
            <v>1</v>
          </cell>
          <cell r="N190">
            <v>1</v>
          </cell>
          <cell r="O190">
            <v>1</v>
          </cell>
          <cell r="P190">
            <v>1</v>
          </cell>
          <cell r="Q190">
            <v>1</v>
          </cell>
          <cell r="R190">
            <v>1</v>
          </cell>
          <cell r="S190">
            <v>1</v>
          </cell>
          <cell r="T190">
            <v>1</v>
          </cell>
          <cell r="U190">
            <v>1</v>
          </cell>
          <cell r="V190">
            <v>1</v>
          </cell>
          <cell r="W190">
            <v>1</v>
          </cell>
          <cell r="X190">
            <v>1</v>
          </cell>
          <cell r="Y190">
            <v>1</v>
          </cell>
          <cell r="Z190">
            <v>1</v>
          </cell>
          <cell r="AA190">
            <v>1</v>
          </cell>
          <cell r="AB190">
            <v>1</v>
          </cell>
          <cell r="AC190">
            <v>1</v>
          </cell>
          <cell r="AD190">
            <v>1</v>
          </cell>
          <cell r="AE190">
            <v>1</v>
          </cell>
        </row>
        <row r="191">
          <cell r="K191" t="str">
            <v>Accountant</v>
          </cell>
          <cell r="L191">
            <v>1</v>
          </cell>
          <cell r="O191">
            <v>1</v>
          </cell>
          <cell r="P191">
            <v>1</v>
          </cell>
          <cell r="Q191">
            <v>1</v>
          </cell>
          <cell r="R191">
            <v>1</v>
          </cell>
          <cell r="S191">
            <v>1</v>
          </cell>
          <cell r="T191">
            <v>1</v>
          </cell>
          <cell r="U191">
            <v>1</v>
          </cell>
          <cell r="V191">
            <v>1</v>
          </cell>
          <cell r="W191">
            <v>1</v>
          </cell>
          <cell r="X191">
            <v>1</v>
          </cell>
          <cell r="Y191">
            <v>1</v>
          </cell>
          <cell r="Z191">
            <v>1</v>
          </cell>
          <cell r="AA191">
            <v>1</v>
          </cell>
          <cell r="AB191">
            <v>1</v>
          </cell>
          <cell r="AC191">
            <v>1</v>
          </cell>
          <cell r="AD191">
            <v>1</v>
          </cell>
          <cell r="AE191">
            <v>1</v>
          </cell>
        </row>
        <row r="192">
          <cell r="K192" t="str">
            <v>Administration</v>
          </cell>
          <cell r="L192">
            <v>1</v>
          </cell>
          <cell r="O192">
            <v>1</v>
          </cell>
          <cell r="P192">
            <v>1</v>
          </cell>
          <cell r="Q192">
            <v>1</v>
          </cell>
          <cell r="R192">
            <v>1</v>
          </cell>
          <cell r="S192">
            <v>1</v>
          </cell>
          <cell r="T192">
            <v>1</v>
          </cell>
          <cell r="U192">
            <v>1</v>
          </cell>
          <cell r="V192">
            <v>1</v>
          </cell>
          <cell r="W192">
            <v>1</v>
          </cell>
          <cell r="X192">
            <v>1</v>
          </cell>
          <cell r="Y192">
            <v>1</v>
          </cell>
          <cell r="Z192">
            <v>1</v>
          </cell>
          <cell r="AA192">
            <v>1</v>
          </cell>
          <cell r="AB192">
            <v>1</v>
          </cell>
          <cell r="AC192">
            <v>1</v>
          </cell>
          <cell r="AD192">
            <v>1</v>
          </cell>
          <cell r="AE192">
            <v>1</v>
          </cell>
        </row>
        <row r="193">
          <cell r="K193" t="str">
            <v>Surveyor</v>
          </cell>
          <cell r="L193">
            <v>2</v>
          </cell>
          <cell r="O193">
            <v>2</v>
          </cell>
          <cell r="P193">
            <v>2</v>
          </cell>
          <cell r="Q193">
            <v>2</v>
          </cell>
          <cell r="R193">
            <v>2</v>
          </cell>
          <cell r="S193">
            <v>2</v>
          </cell>
          <cell r="T193">
            <v>2</v>
          </cell>
          <cell r="U193">
            <v>2</v>
          </cell>
          <cell r="V193">
            <v>2</v>
          </cell>
          <cell r="W193">
            <v>2</v>
          </cell>
          <cell r="X193">
            <v>2</v>
          </cell>
          <cell r="Y193">
            <v>2</v>
          </cell>
          <cell r="Z193">
            <v>2</v>
          </cell>
          <cell r="AA193">
            <v>2</v>
          </cell>
          <cell r="AB193">
            <v>2</v>
          </cell>
          <cell r="AC193">
            <v>2</v>
          </cell>
          <cell r="AD193">
            <v>2</v>
          </cell>
          <cell r="AE193">
            <v>2</v>
          </cell>
        </row>
        <row r="194">
          <cell r="K194" t="str">
            <v>Civil Forman</v>
          </cell>
          <cell r="L194">
            <v>0</v>
          </cell>
        </row>
        <row r="195">
          <cell r="K195" t="str">
            <v>Mechanic Forman</v>
          </cell>
          <cell r="L195">
            <v>1</v>
          </cell>
          <cell r="N195">
            <v>1</v>
          </cell>
          <cell r="O195">
            <v>1</v>
          </cell>
          <cell r="P195">
            <v>1</v>
          </cell>
          <cell r="Q195">
            <v>1</v>
          </cell>
          <cell r="R195">
            <v>1</v>
          </cell>
          <cell r="S195">
            <v>1</v>
          </cell>
          <cell r="T195">
            <v>1</v>
          </cell>
          <cell r="U195">
            <v>1</v>
          </cell>
          <cell r="V195">
            <v>1</v>
          </cell>
          <cell r="W195">
            <v>1</v>
          </cell>
          <cell r="X195">
            <v>1</v>
          </cell>
          <cell r="Y195">
            <v>1</v>
          </cell>
          <cell r="Z195">
            <v>1</v>
          </cell>
          <cell r="AA195">
            <v>1</v>
          </cell>
          <cell r="AB195">
            <v>1</v>
          </cell>
          <cell r="AC195">
            <v>1</v>
          </cell>
          <cell r="AD195">
            <v>1</v>
          </cell>
          <cell r="AE195">
            <v>1</v>
          </cell>
        </row>
        <row r="196">
          <cell r="K196" t="str">
            <v>Storekeeper</v>
          </cell>
          <cell r="L196">
            <v>1</v>
          </cell>
          <cell r="N196">
            <v>1</v>
          </cell>
          <cell r="O196">
            <v>1</v>
          </cell>
          <cell r="P196">
            <v>1</v>
          </cell>
          <cell r="Q196">
            <v>1</v>
          </cell>
          <cell r="R196">
            <v>1</v>
          </cell>
          <cell r="S196">
            <v>1</v>
          </cell>
          <cell r="T196">
            <v>1</v>
          </cell>
          <cell r="U196">
            <v>1</v>
          </cell>
          <cell r="V196">
            <v>1</v>
          </cell>
          <cell r="W196">
            <v>1</v>
          </cell>
          <cell r="X196">
            <v>1</v>
          </cell>
          <cell r="Y196">
            <v>1</v>
          </cell>
          <cell r="Z196">
            <v>1</v>
          </cell>
          <cell r="AA196">
            <v>1</v>
          </cell>
          <cell r="AB196">
            <v>1</v>
          </cell>
          <cell r="AC196">
            <v>1</v>
          </cell>
          <cell r="AD196">
            <v>1</v>
          </cell>
          <cell r="AE196">
            <v>1</v>
          </cell>
        </row>
        <row r="197">
          <cell r="L197">
            <v>0</v>
          </cell>
        </row>
        <row r="198">
          <cell r="K198" t="str">
            <v>Driver &amp; Operator</v>
          </cell>
          <cell r="L198">
            <v>0</v>
          </cell>
          <cell r="N198">
            <v>7</v>
          </cell>
          <cell r="O198">
            <v>8</v>
          </cell>
          <cell r="P198">
            <v>8</v>
          </cell>
          <cell r="Q198">
            <v>8</v>
          </cell>
          <cell r="R198">
            <v>8</v>
          </cell>
          <cell r="S198">
            <v>8</v>
          </cell>
          <cell r="T198">
            <v>8</v>
          </cell>
          <cell r="U198">
            <v>8</v>
          </cell>
          <cell r="V198">
            <v>8</v>
          </cell>
          <cell r="W198">
            <v>8</v>
          </cell>
          <cell r="X198">
            <v>8</v>
          </cell>
          <cell r="Y198">
            <v>8</v>
          </cell>
          <cell r="Z198">
            <v>8</v>
          </cell>
          <cell r="AA198">
            <v>8</v>
          </cell>
          <cell r="AB198">
            <v>8</v>
          </cell>
          <cell r="AC198">
            <v>8</v>
          </cell>
          <cell r="AD198">
            <v>8</v>
          </cell>
          <cell r="AE198">
            <v>8</v>
          </cell>
        </row>
        <row r="199">
          <cell r="L199">
            <v>0</v>
          </cell>
        </row>
        <row r="200">
          <cell r="K200" t="str">
            <v>SKILLED LABOURS :</v>
          </cell>
          <cell r="L200">
            <v>0</v>
          </cell>
        </row>
        <row r="201">
          <cell r="K201" t="str">
            <v>Pipe fitter</v>
          </cell>
          <cell r="L201">
            <v>0</v>
          </cell>
        </row>
        <row r="202">
          <cell r="K202" t="str">
            <v>Carpenter</v>
          </cell>
          <cell r="L202">
            <v>0</v>
          </cell>
        </row>
        <row r="203">
          <cell r="K203" t="str">
            <v>Steel fixer</v>
          </cell>
          <cell r="L203">
            <v>1</v>
          </cell>
          <cell r="P203">
            <v>1</v>
          </cell>
          <cell r="Q203">
            <v>1</v>
          </cell>
          <cell r="R203">
            <v>1</v>
          </cell>
          <cell r="S203">
            <v>1</v>
          </cell>
          <cell r="T203">
            <v>1</v>
          </cell>
          <cell r="U203">
            <v>1</v>
          </cell>
          <cell r="V203">
            <v>1</v>
          </cell>
          <cell r="W203">
            <v>1</v>
          </cell>
          <cell r="X203">
            <v>1</v>
          </cell>
          <cell r="Y203">
            <v>1</v>
          </cell>
          <cell r="Z203">
            <v>1</v>
          </cell>
          <cell r="AA203">
            <v>1</v>
          </cell>
          <cell r="AB203">
            <v>1</v>
          </cell>
          <cell r="AC203">
            <v>1</v>
          </cell>
          <cell r="AD203">
            <v>1</v>
          </cell>
          <cell r="AE203">
            <v>1</v>
          </cell>
        </row>
        <row r="204">
          <cell r="K204" t="str">
            <v>Former</v>
          </cell>
          <cell r="L204">
            <v>2</v>
          </cell>
          <cell r="N204">
            <v>1</v>
          </cell>
          <cell r="O204">
            <v>2</v>
          </cell>
          <cell r="P204">
            <v>2</v>
          </cell>
          <cell r="Q204">
            <v>2</v>
          </cell>
          <cell r="R204">
            <v>2</v>
          </cell>
          <cell r="S204">
            <v>2</v>
          </cell>
          <cell r="T204">
            <v>2</v>
          </cell>
          <cell r="U204">
            <v>2</v>
          </cell>
          <cell r="V204">
            <v>2</v>
          </cell>
          <cell r="W204">
            <v>2</v>
          </cell>
          <cell r="X204">
            <v>2</v>
          </cell>
          <cell r="Y204">
            <v>2</v>
          </cell>
          <cell r="Z204">
            <v>2</v>
          </cell>
          <cell r="AA204">
            <v>2</v>
          </cell>
          <cell r="AB204">
            <v>2</v>
          </cell>
          <cell r="AC204">
            <v>2</v>
          </cell>
          <cell r="AD204">
            <v>2</v>
          </cell>
          <cell r="AE204">
            <v>2</v>
          </cell>
        </row>
        <row r="205">
          <cell r="K205" t="str">
            <v>Plaster</v>
          </cell>
          <cell r="L205">
            <v>2</v>
          </cell>
          <cell r="N205">
            <v>1</v>
          </cell>
          <cell r="O205">
            <v>2</v>
          </cell>
          <cell r="P205">
            <v>2</v>
          </cell>
          <cell r="Q205">
            <v>2</v>
          </cell>
          <cell r="R205">
            <v>2</v>
          </cell>
          <cell r="S205">
            <v>2</v>
          </cell>
          <cell r="T205">
            <v>2</v>
          </cell>
          <cell r="U205">
            <v>2</v>
          </cell>
          <cell r="V205">
            <v>2</v>
          </cell>
          <cell r="W205">
            <v>2</v>
          </cell>
          <cell r="X205">
            <v>2</v>
          </cell>
          <cell r="Y205">
            <v>2</v>
          </cell>
          <cell r="Z205">
            <v>2</v>
          </cell>
          <cell r="AA205">
            <v>2</v>
          </cell>
          <cell r="AB205">
            <v>2</v>
          </cell>
          <cell r="AC205">
            <v>2</v>
          </cell>
          <cell r="AD205">
            <v>2</v>
          </cell>
          <cell r="AE205">
            <v>2</v>
          </cell>
        </row>
        <row r="206">
          <cell r="K206" t="str">
            <v>Mechanic</v>
          </cell>
          <cell r="L206">
            <v>2</v>
          </cell>
          <cell r="N206">
            <v>1</v>
          </cell>
          <cell r="O206">
            <v>2</v>
          </cell>
          <cell r="P206">
            <v>2</v>
          </cell>
          <cell r="Q206">
            <v>2</v>
          </cell>
          <cell r="R206">
            <v>2</v>
          </cell>
          <cell r="S206">
            <v>2</v>
          </cell>
          <cell r="T206">
            <v>2</v>
          </cell>
          <cell r="U206">
            <v>2</v>
          </cell>
          <cell r="V206">
            <v>2</v>
          </cell>
          <cell r="W206">
            <v>2</v>
          </cell>
          <cell r="X206">
            <v>2</v>
          </cell>
          <cell r="Y206">
            <v>2</v>
          </cell>
          <cell r="Z206">
            <v>2</v>
          </cell>
          <cell r="AA206">
            <v>2</v>
          </cell>
          <cell r="AB206">
            <v>2</v>
          </cell>
          <cell r="AC206">
            <v>2</v>
          </cell>
          <cell r="AD206">
            <v>2</v>
          </cell>
          <cell r="AE206">
            <v>2</v>
          </cell>
        </row>
        <row r="207">
          <cell r="K207" t="str">
            <v>Electrician</v>
          </cell>
          <cell r="L207">
            <v>1</v>
          </cell>
          <cell r="N207">
            <v>1</v>
          </cell>
          <cell r="O207">
            <v>1</v>
          </cell>
          <cell r="P207">
            <v>1</v>
          </cell>
          <cell r="Q207">
            <v>1</v>
          </cell>
          <cell r="R207">
            <v>1</v>
          </cell>
          <cell r="S207">
            <v>1</v>
          </cell>
          <cell r="T207">
            <v>1</v>
          </cell>
          <cell r="U207">
            <v>1</v>
          </cell>
          <cell r="V207">
            <v>1</v>
          </cell>
          <cell r="W207">
            <v>1</v>
          </cell>
          <cell r="X207">
            <v>1</v>
          </cell>
          <cell r="Y207">
            <v>1</v>
          </cell>
          <cell r="Z207">
            <v>1</v>
          </cell>
          <cell r="AA207">
            <v>1</v>
          </cell>
          <cell r="AB207">
            <v>1</v>
          </cell>
          <cell r="AC207">
            <v>1</v>
          </cell>
          <cell r="AD207">
            <v>1</v>
          </cell>
          <cell r="AE207">
            <v>1</v>
          </cell>
        </row>
        <row r="208">
          <cell r="K208" t="str">
            <v>Welder</v>
          </cell>
          <cell r="L208">
            <v>2</v>
          </cell>
          <cell r="N208">
            <v>3</v>
          </cell>
          <cell r="O208">
            <v>3</v>
          </cell>
          <cell r="P208">
            <v>2</v>
          </cell>
          <cell r="Q208">
            <v>2</v>
          </cell>
          <cell r="R208">
            <v>2</v>
          </cell>
          <cell r="S208">
            <v>2</v>
          </cell>
          <cell r="T208">
            <v>2</v>
          </cell>
          <cell r="U208">
            <v>2</v>
          </cell>
          <cell r="V208">
            <v>2</v>
          </cell>
          <cell r="W208">
            <v>2</v>
          </cell>
          <cell r="X208">
            <v>1</v>
          </cell>
          <cell r="Y208">
            <v>1</v>
          </cell>
          <cell r="Z208">
            <v>1</v>
          </cell>
          <cell r="AA208">
            <v>1</v>
          </cell>
          <cell r="AB208">
            <v>1</v>
          </cell>
          <cell r="AC208">
            <v>1</v>
          </cell>
          <cell r="AD208">
            <v>1</v>
          </cell>
          <cell r="AE208">
            <v>1</v>
          </cell>
        </row>
        <row r="209">
          <cell r="K209" t="str">
            <v>Shutter</v>
          </cell>
          <cell r="L209">
            <v>1</v>
          </cell>
          <cell r="Q209">
            <v>1</v>
          </cell>
          <cell r="R209">
            <v>1</v>
          </cell>
          <cell r="S209">
            <v>1</v>
          </cell>
          <cell r="T209">
            <v>1</v>
          </cell>
          <cell r="U209">
            <v>1</v>
          </cell>
          <cell r="V209">
            <v>1</v>
          </cell>
          <cell r="W209">
            <v>1</v>
          </cell>
          <cell r="X209">
            <v>1</v>
          </cell>
          <cell r="Y209">
            <v>1</v>
          </cell>
          <cell r="Z209">
            <v>1</v>
          </cell>
          <cell r="AA209">
            <v>1</v>
          </cell>
          <cell r="AB209">
            <v>1</v>
          </cell>
          <cell r="AC209">
            <v>1</v>
          </cell>
          <cell r="AD209">
            <v>1</v>
          </cell>
          <cell r="AE209">
            <v>1</v>
          </cell>
        </row>
        <row r="210">
          <cell r="K210" t="str">
            <v>Proofing</v>
          </cell>
          <cell r="L210">
            <v>0</v>
          </cell>
        </row>
        <row r="211">
          <cell r="K211" t="str">
            <v>Tile fixer</v>
          </cell>
          <cell r="L211">
            <v>0</v>
          </cell>
        </row>
        <row r="212">
          <cell r="K212" t="str">
            <v>Rockfill Fixer</v>
          </cell>
          <cell r="L212">
            <v>0</v>
          </cell>
        </row>
        <row r="213">
          <cell r="K213" t="str">
            <v>Other Skilled</v>
          </cell>
          <cell r="L213">
            <v>0</v>
          </cell>
        </row>
        <row r="214">
          <cell r="K214" t="str">
            <v>Cooker</v>
          </cell>
          <cell r="L214">
            <v>1</v>
          </cell>
          <cell r="N214">
            <v>1</v>
          </cell>
          <cell r="O214">
            <v>1</v>
          </cell>
          <cell r="P214">
            <v>1</v>
          </cell>
          <cell r="Q214">
            <v>1</v>
          </cell>
          <cell r="R214">
            <v>1</v>
          </cell>
          <cell r="S214">
            <v>1</v>
          </cell>
          <cell r="T214">
            <v>1</v>
          </cell>
          <cell r="U214">
            <v>1</v>
          </cell>
          <cell r="V214">
            <v>1</v>
          </cell>
          <cell r="W214">
            <v>1</v>
          </cell>
          <cell r="X214">
            <v>1</v>
          </cell>
          <cell r="Y214">
            <v>1</v>
          </cell>
          <cell r="Z214">
            <v>1</v>
          </cell>
          <cell r="AA214">
            <v>1</v>
          </cell>
          <cell r="AB214">
            <v>1</v>
          </cell>
          <cell r="AC214">
            <v>1</v>
          </cell>
          <cell r="AD214">
            <v>1</v>
          </cell>
          <cell r="AE214">
            <v>1</v>
          </cell>
        </row>
        <row r="215">
          <cell r="L215">
            <v>0</v>
          </cell>
        </row>
        <row r="216">
          <cell r="K216" t="str">
            <v>UNSKILLED LABOURS :</v>
          </cell>
          <cell r="L216">
            <v>0</v>
          </cell>
        </row>
        <row r="217">
          <cell r="K217" t="str">
            <v>Pipe fitter assistance</v>
          </cell>
          <cell r="L217">
            <v>0</v>
          </cell>
        </row>
        <row r="218">
          <cell r="K218" t="str">
            <v>Carpenter assistance</v>
          </cell>
          <cell r="L218">
            <v>0</v>
          </cell>
        </row>
        <row r="219">
          <cell r="K219" t="str">
            <v>Steel fixer assistance</v>
          </cell>
          <cell r="L219">
            <v>1</v>
          </cell>
          <cell r="P219">
            <v>1</v>
          </cell>
          <cell r="Q219">
            <v>1</v>
          </cell>
          <cell r="R219">
            <v>1</v>
          </cell>
          <cell r="S219">
            <v>1</v>
          </cell>
          <cell r="T219">
            <v>1</v>
          </cell>
          <cell r="U219">
            <v>1</v>
          </cell>
          <cell r="V219">
            <v>1</v>
          </cell>
          <cell r="W219">
            <v>1</v>
          </cell>
          <cell r="X219">
            <v>1</v>
          </cell>
          <cell r="Y219">
            <v>1</v>
          </cell>
          <cell r="Z219">
            <v>1</v>
          </cell>
          <cell r="AA219">
            <v>1</v>
          </cell>
          <cell r="AB219">
            <v>1</v>
          </cell>
          <cell r="AC219">
            <v>1</v>
          </cell>
          <cell r="AD219">
            <v>1</v>
          </cell>
          <cell r="AE219">
            <v>1</v>
          </cell>
        </row>
        <row r="220">
          <cell r="K220" t="str">
            <v>Mechanic assistance</v>
          </cell>
          <cell r="L220">
            <v>1</v>
          </cell>
          <cell r="N220">
            <v>1</v>
          </cell>
          <cell r="O220">
            <v>1</v>
          </cell>
          <cell r="P220">
            <v>1</v>
          </cell>
          <cell r="Q220">
            <v>1</v>
          </cell>
          <cell r="R220">
            <v>1</v>
          </cell>
          <cell r="S220">
            <v>1</v>
          </cell>
          <cell r="T220">
            <v>1</v>
          </cell>
          <cell r="U220">
            <v>1</v>
          </cell>
          <cell r="V220">
            <v>1</v>
          </cell>
          <cell r="W220">
            <v>1</v>
          </cell>
          <cell r="X220">
            <v>1</v>
          </cell>
          <cell r="Y220">
            <v>1</v>
          </cell>
          <cell r="Z220">
            <v>1</v>
          </cell>
          <cell r="AA220">
            <v>1</v>
          </cell>
          <cell r="AB220">
            <v>1</v>
          </cell>
          <cell r="AC220">
            <v>1</v>
          </cell>
          <cell r="AD220">
            <v>1</v>
          </cell>
          <cell r="AE220">
            <v>1</v>
          </cell>
        </row>
        <row r="221">
          <cell r="K221" t="str">
            <v>Electrian assistance</v>
          </cell>
          <cell r="L221">
            <v>1</v>
          </cell>
          <cell r="O221">
            <v>1</v>
          </cell>
          <cell r="P221">
            <v>1</v>
          </cell>
          <cell r="Q221">
            <v>1</v>
          </cell>
          <cell r="R221">
            <v>1</v>
          </cell>
          <cell r="S221">
            <v>1</v>
          </cell>
          <cell r="T221">
            <v>1</v>
          </cell>
          <cell r="U221">
            <v>1</v>
          </cell>
          <cell r="V221">
            <v>1</v>
          </cell>
          <cell r="W221">
            <v>1</v>
          </cell>
          <cell r="X221">
            <v>1</v>
          </cell>
          <cell r="Y221">
            <v>1</v>
          </cell>
          <cell r="Z221">
            <v>1</v>
          </cell>
          <cell r="AA221">
            <v>1</v>
          </cell>
          <cell r="AB221">
            <v>1</v>
          </cell>
          <cell r="AC221">
            <v>1</v>
          </cell>
          <cell r="AD221">
            <v>1</v>
          </cell>
          <cell r="AE221">
            <v>1</v>
          </cell>
        </row>
        <row r="222">
          <cell r="K222" t="str">
            <v>Welder assistance</v>
          </cell>
          <cell r="L222">
            <v>2</v>
          </cell>
          <cell r="N222">
            <v>3</v>
          </cell>
          <cell r="O222">
            <v>2</v>
          </cell>
          <cell r="P222">
            <v>2</v>
          </cell>
          <cell r="Q222">
            <v>2</v>
          </cell>
          <cell r="R222">
            <v>2</v>
          </cell>
          <cell r="S222">
            <v>2</v>
          </cell>
          <cell r="T222">
            <v>2</v>
          </cell>
          <cell r="U222">
            <v>2</v>
          </cell>
          <cell r="V222">
            <v>2</v>
          </cell>
          <cell r="W222">
            <v>2</v>
          </cell>
          <cell r="X222">
            <v>2</v>
          </cell>
          <cell r="Y222">
            <v>2</v>
          </cell>
          <cell r="Z222">
            <v>1</v>
          </cell>
          <cell r="AA222">
            <v>1</v>
          </cell>
          <cell r="AB222">
            <v>1</v>
          </cell>
          <cell r="AC222">
            <v>1</v>
          </cell>
          <cell r="AD222">
            <v>1</v>
          </cell>
          <cell r="AE222">
            <v>1</v>
          </cell>
        </row>
        <row r="223">
          <cell r="K223" t="str">
            <v>Tile fixer assistance</v>
          </cell>
          <cell r="L223">
            <v>0</v>
          </cell>
        </row>
        <row r="224">
          <cell r="K224" t="str">
            <v>Concrete Labour</v>
          </cell>
          <cell r="L224">
            <v>1</v>
          </cell>
        </row>
        <row r="225">
          <cell r="K225" t="str">
            <v>Office boy</v>
          </cell>
          <cell r="L225">
            <v>2</v>
          </cell>
          <cell r="O225">
            <v>2</v>
          </cell>
          <cell r="P225">
            <v>2</v>
          </cell>
          <cell r="Q225">
            <v>2</v>
          </cell>
          <cell r="R225">
            <v>2</v>
          </cell>
          <cell r="S225">
            <v>2</v>
          </cell>
          <cell r="T225">
            <v>2</v>
          </cell>
          <cell r="U225">
            <v>2</v>
          </cell>
          <cell r="V225">
            <v>2</v>
          </cell>
          <cell r="W225">
            <v>2</v>
          </cell>
          <cell r="X225">
            <v>2</v>
          </cell>
          <cell r="Y225">
            <v>2</v>
          </cell>
          <cell r="Z225">
            <v>2</v>
          </cell>
          <cell r="AA225">
            <v>2</v>
          </cell>
          <cell r="AB225">
            <v>2</v>
          </cell>
          <cell r="AC225">
            <v>2</v>
          </cell>
          <cell r="AD225">
            <v>2</v>
          </cell>
          <cell r="AE225">
            <v>2</v>
          </cell>
        </row>
        <row r="226">
          <cell r="K226" t="str">
            <v>GUARD</v>
          </cell>
          <cell r="L226">
            <v>1</v>
          </cell>
          <cell r="O226">
            <v>1</v>
          </cell>
          <cell r="P226">
            <v>1</v>
          </cell>
          <cell r="Q226">
            <v>1</v>
          </cell>
          <cell r="R226">
            <v>1</v>
          </cell>
          <cell r="S226">
            <v>1</v>
          </cell>
          <cell r="T226">
            <v>1</v>
          </cell>
          <cell r="U226">
            <v>1</v>
          </cell>
          <cell r="V226">
            <v>1</v>
          </cell>
          <cell r="W226">
            <v>1</v>
          </cell>
          <cell r="X226">
            <v>1</v>
          </cell>
          <cell r="Y226">
            <v>1</v>
          </cell>
          <cell r="Z226">
            <v>1</v>
          </cell>
          <cell r="AA226">
            <v>1</v>
          </cell>
          <cell r="AB226">
            <v>1</v>
          </cell>
          <cell r="AC226">
            <v>1</v>
          </cell>
          <cell r="AD226">
            <v>1</v>
          </cell>
          <cell r="AE226">
            <v>1</v>
          </cell>
        </row>
        <row r="227">
          <cell r="K227" t="str">
            <v>Normal Labour</v>
          </cell>
          <cell r="L227">
            <v>22</v>
          </cell>
          <cell r="N227">
            <v>10</v>
          </cell>
          <cell r="O227">
            <v>18</v>
          </cell>
          <cell r="P227">
            <v>22</v>
          </cell>
          <cell r="Q227">
            <v>22</v>
          </cell>
          <cell r="R227">
            <v>22</v>
          </cell>
          <cell r="S227">
            <v>22</v>
          </cell>
          <cell r="T227">
            <v>22</v>
          </cell>
          <cell r="U227">
            <v>22</v>
          </cell>
          <cell r="V227">
            <v>22</v>
          </cell>
          <cell r="W227">
            <v>22</v>
          </cell>
          <cell r="X227">
            <v>22</v>
          </cell>
          <cell r="Y227">
            <v>22</v>
          </cell>
          <cell r="Z227">
            <v>22</v>
          </cell>
          <cell r="AA227">
            <v>22</v>
          </cell>
          <cell r="AB227">
            <v>22</v>
          </cell>
          <cell r="AC227">
            <v>22</v>
          </cell>
          <cell r="AD227">
            <v>16</v>
          </cell>
          <cell r="AE227">
            <v>10</v>
          </cell>
        </row>
        <row r="230">
          <cell r="K230" t="str">
            <v>Crew1</v>
          </cell>
          <cell r="M230">
            <v>1998</v>
          </cell>
          <cell r="P230">
            <v>1999</v>
          </cell>
          <cell r="AB230">
            <v>2000</v>
          </cell>
        </row>
        <row r="231">
          <cell r="K231" t="str">
            <v>Description</v>
          </cell>
          <cell r="L231" t="str">
            <v>Crew1</v>
          </cell>
          <cell r="M231">
            <v>10</v>
          </cell>
          <cell r="N231">
            <v>11</v>
          </cell>
          <cell r="O231">
            <v>12</v>
          </cell>
          <cell r="P231">
            <v>1</v>
          </cell>
          <cell r="Q231">
            <v>2</v>
          </cell>
          <cell r="R231">
            <v>3</v>
          </cell>
          <cell r="S231">
            <v>4</v>
          </cell>
          <cell r="T231">
            <v>5</v>
          </cell>
          <cell r="U231">
            <v>6</v>
          </cell>
          <cell r="V231">
            <v>7</v>
          </cell>
          <cell r="W231">
            <v>8</v>
          </cell>
          <cell r="X231">
            <v>9</v>
          </cell>
          <cell r="Y231">
            <v>10</v>
          </cell>
          <cell r="Z231">
            <v>11</v>
          </cell>
          <cell r="AA231">
            <v>12</v>
          </cell>
          <cell r="AB231">
            <v>1</v>
          </cell>
          <cell r="AC231">
            <v>2</v>
          </cell>
          <cell r="AD231">
            <v>3</v>
          </cell>
          <cell r="AE231">
            <v>4</v>
          </cell>
        </row>
        <row r="232">
          <cell r="K232" t="str">
            <v>Project Manager</v>
          </cell>
          <cell r="L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row>
        <row r="233">
          <cell r="K233" t="str">
            <v>Construction Manager</v>
          </cell>
          <cell r="L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row>
        <row r="234">
          <cell r="K234" t="str">
            <v>Tech. Manger &amp; Coordination Engineer</v>
          </cell>
          <cell r="L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row>
        <row r="235">
          <cell r="K235" t="str">
            <v>Site Engineer</v>
          </cell>
          <cell r="L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row>
        <row r="236">
          <cell r="K236" t="str">
            <v>Qty Surveyor &amp; Tech. Office Engineer</v>
          </cell>
          <cell r="L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row>
        <row r="237">
          <cell r="K237" t="str">
            <v>Planning Engineer</v>
          </cell>
          <cell r="L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row>
        <row r="238">
          <cell r="K238" t="str">
            <v>CAD Tech. &amp; Surveying Engineer</v>
          </cell>
          <cell r="L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row>
        <row r="239">
          <cell r="K239" t="str">
            <v>Laboratory &amp; QA/QC Engineer</v>
          </cell>
          <cell r="L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row>
        <row r="240">
          <cell r="K240" t="str">
            <v>Procurement &amp; Engineering</v>
          </cell>
          <cell r="L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row>
        <row r="241">
          <cell r="K241" t="str">
            <v>Mechanical Engineer</v>
          </cell>
          <cell r="L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row>
        <row r="242">
          <cell r="K242" t="str">
            <v>Safety Officer</v>
          </cell>
          <cell r="L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row>
        <row r="243">
          <cell r="K243" t="str">
            <v>Accountant</v>
          </cell>
          <cell r="L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row>
        <row r="244">
          <cell r="K244" t="str">
            <v>Administration</v>
          </cell>
          <cell r="L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row>
        <row r="245">
          <cell r="K245" t="str">
            <v>Surveyor</v>
          </cell>
          <cell r="L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row>
        <row r="246">
          <cell r="K246" t="str">
            <v>Civil Forman</v>
          </cell>
          <cell r="L246">
            <v>1</v>
          </cell>
          <cell r="O246">
            <v>1</v>
          </cell>
          <cell r="P246">
            <v>1</v>
          </cell>
          <cell r="Q246">
            <v>1</v>
          </cell>
          <cell r="R246">
            <v>1</v>
          </cell>
          <cell r="S246">
            <v>1</v>
          </cell>
          <cell r="T246">
            <v>1</v>
          </cell>
          <cell r="U246">
            <v>1</v>
          </cell>
          <cell r="V246">
            <v>1</v>
          </cell>
          <cell r="W246">
            <v>1</v>
          </cell>
          <cell r="X246">
            <v>1</v>
          </cell>
          <cell r="Y246">
            <v>1</v>
          </cell>
          <cell r="Z246">
            <v>1</v>
          </cell>
          <cell r="AA246">
            <v>1</v>
          </cell>
          <cell r="AB246">
            <v>1</v>
          </cell>
          <cell r="AC246">
            <v>1</v>
          </cell>
          <cell r="AD246">
            <v>1</v>
          </cell>
          <cell r="AE246">
            <v>1</v>
          </cell>
        </row>
        <row r="247">
          <cell r="K247" t="str">
            <v>Mechanic Forman</v>
          </cell>
          <cell r="L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row>
        <row r="248">
          <cell r="K248" t="str">
            <v>Storekeeper</v>
          </cell>
          <cell r="L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row>
        <row r="249">
          <cell r="L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row>
        <row r="250">
          <cell r="K250" t="str">
            <v>Driver &amp; Operator</v>
          </cell>
          <cell r="L250">
            <v>0</v>
          </cell>
          <cell r="N250">
            <v>5</v>
          </cell>
          <cell r="O250">
            <v>5</v>
          </cell>
          <cell r="P250">
            <v>6</v>
          </cell>
          <cell r="Q250">
            <v>6</v>
          </cell>
          <cell r="R250">
            <v>6</v>
          </cell>
          <cell r="S250">
            <v>6</v>
          </cell>
          <cell r="T250">
            <v>6</v>
          </cell>
          <cell r="U250">
            <v>6</v>
          </cell>
          <cell r="V250">
            <v>6</v>
          </cell>
          <cell r="W250">
            <v>6</v>
          </cell>
          <cell r="X250">
            <v>6</v>
          </cell>
          <cell r="Y250">
            <v>6</v>
          </cell>
          <cell r="Z250">
            <v>6</v>
          </cell>
          <cell r="AA250">
            <v>6</v>
          </cell>
          <cell r="AB250">
            <v>6</v>
          </cell>
          <cell r="AC250">
            <v>6</v>
          </cell>
          <cell r="AD250">
            <v>6</v>
          </cell>
          <cell r="AE250">
            <v>5</v>
          </cell>
        </row>
        <row r="251">
          <cell r="L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row>
        <row r="252">
          <cell r="K252" t="str">
            <v>SKILLED LABOURS :</v>
          </cell>
          <cell r="L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row>
        <row r="253">
          <cell r="K253" t="str">
            <v>Pipe fitter</v>
          </cell>
          <cell r="L253">
            <v>1</v>
          </cell>
          <cell r="O253">
            <v>1</v>
          </cell>
          <cell r="P253">
            <v>1</v>
          </cell>
          <cell r="Q253">
            <v>1</v>
          </cell>
          <cell r="R253">
            <v>1</v>
          </cell>
          <cell r="S253">
            <v>1</v>
          </cell>
          <cell r="T253">
            <v>1</v>
          </cell>
          <cell r="U253">
            <v>1</v>
          </cell>
          <cell r="V253">
            <v>1</v>
          </cell>
          <cell r="W253">
            <v>1</v>
          </cell>
          <cell r="X253">
            <v>1</v>
          </cell>
          <cell r="Y253">
            <v>1</v>
          </cell>
          <cell r="Z253">
            <v>1</v>
          </cell>
          <cell r="AA253">
            <v>1</v>
          </cell>
          <cell r="AB253">
            <v>1</v>
          </cell>
          <cell r="AC253">
            <v>1</v>
          </cell>
          <cell r="AD253">
            <v>1</v>
          </cell>
          <cell r="AE253">
            <v>1</v>
          </cell>
        </row>
        <row r="254">
          <cell r="K254" t="str">
            <v>Carpenter</v>
          </cell>
          <cell r="L254">
            <v>2</v>
          </cell>
          <cell r="O254">
            <v>2</v>
          </cell>
          <cell r="P254">
            <v>2</v>
          </cell>
          <cell r="Q254">
            <v>2</v>
          </cell>
          <cell r="R254">
            <v>2</v>
          </cell>
          <cell r="S254">
            <v>2</v>
          </cell>
          <cell r="T254">
            <v>2</v>
          </cell>
          <cell r="U254">
            <v>2</v>
          </cell>
          <cell r="V254">
            <v>2</v>
          </cell>
          <cell r="W254">
            <v>2</v>
          </cell>
          <cell r="X254">
            <v>2</v>
          </cell>
          <cell r="Y254">
            <v>2</v>
          </cell>
          <cell r="Z254">
            <v>2</v>
          </cell>
          <cell r="AA254">
            <v>2</v>
          </cell>
          <cell r="AB254">
            <v>2</v>
          </cell>
          <cell r="AC254">
            <v>2</v>
          </cell>
          <cell r="AD254">
            <v>2</v>
          </cell>
          <cell r="AE254">
            <v>2</v>
          </cell>
        </row>
        <row r="255">
          <cell r="K255" t="str">
            <v>Steel fixer</v>
          </cell>
          <cell r="L255">
            <v>1</v>
          </cell>
          <cell r="O255">
            <v>1</v>
          </cell>
          <cell r="P255">
            <v>1</v>
          </cell>
          <cell r="Q255">
            <v>1</v>
          </cell>
          <cell r="R255">
            <v>1</v>
          </cell>
          <cell r="S255">
            <v>1</v>
          </cell>
          <cell r="T255">
            <v>1</v>
          </cell>
          <cell r="U255">
            <v>1</v>
          </cell>
          <cell r="V255">
            <v>1</v>
          </cell>
          <cell r="W255">
            <v>1</v>
          </cell>
          <cell r="X255">
            <v>1</v>
          </cell>
          <cell r="Y255">
            <v>1</v>
          </cell>
          <cell r="Z255">
            <v>1</v>
          </cell>
          <cell r="AA255">
            <v>1</v>
          </cell>
          <cell r="AB255">
            <v>1</v>
          </cell>
          <cell r="AC255">
            <v>1</v>
          </cell>
          <cell r="AD255">
            <v>1</v>
          </cell>
          <cell r="AE255">
            <v>1</v>
          </cell>
        </row>
        <row r="256">
          <cell r="K256" t="str">
            <v>Former</v>
          </cell>
          <cell r="L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row>
        <row r="257">
          <cell r="K257" t="str">
            <v>Plaster</v>
          </cell>
          <cell r="L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row>
        <row r="258">
          <cell r="K258" t="str">
            <v>Mechanic</v>
          </cell>
          <cell r="L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row>
        <row r="259">
          <cell r="K259" t="str">
            <v>Electrician</v>
          </cell>
          <cell r="L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row>
        <row r="260">
          <cell r="K260" t="str">
            <v>Welder</v>
          </cell>
          <cell r="L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row>
        <row r="261">
          <cell r="K261" t="str">
            <v>Shutter</v>
          </cell>
          <cell r="L261">
            <v>1</v>
          </cell>
          <cell r="O261">
            <v>1</v>
          </cell>
          <cell r="P261">
            <v>1</v>
          </cell>
          <cell r="Q261">
            <v>1</v>
          </cell>
          <cell r="R261">
            <v>1</v>
          </cell>
          <cell r="S261">
            <v>1</v>
          </cell>
          <cell r="T261">
            <v>1</v>
          </cell>
          <cell r="U261">
            <v>1</v>
          </cell>
          <cell r="V261">
            <v>1</v>
          </cell>
          <cell r="W261">
            <v>1</v>
          </cell>
          <cell r="X261">
            <v>1</v>
          </cell>
          <cell r="Y261">
            <v>1</v>
          </cell>
          <cell r="Z261">
            <v>1</v>
          </cell>
          <cell r="AA261">
            <v>1</v>
          </cell>
          <cell r="AB261">
            <v>1</v>
          </cell>
          <cell r="AC261">
            <v>1</v>
          </cell>
          <cell r="AD261">
            <v>1</v>
          </cell>
          <cell r="AE261">
            <v>1</v>
          </cell>
        </row>
        <row r="262">
          <cell r="K262" t="str">
            <v>Proofing</v>
          </cell>
          <cell r="L262">
            <v>2</v>
          </cell>
          <cell r="O262">
            <v>2</v>
          </cell>
          <cell r="P262">
            <v>2</v>
          </cell>
          <cell r="Q262">
            <v>2</v>
          </cell>
          <cell r="R262">
            <v>2</v>
          </cell>
          <cell r="S262">
            <v>2</v>
          </cell>
          <cell r="T262">
            <v>2</v>
          </cell>
          <cell r="U262">
            <v>2</v>
          </cell>
          <cell r="V262">
            <v>2</v>
          </cell>
          <cell r="W262">
            <v>2</v>
          </cell>
          <cell r="X262">
            <v>2</v>
          </cell>
          <cell r="Y262">
            <v>2</v>
          </cell>
          <cell r="Z262">
            <v>2</v>
          </cell>
          <cell r="AA262">
            <v>2</v>
          </cell>
          <cell r="AB262">
            <v>2</v>
          </cell>
          <cell r="AC262">
            <v>2</v>
          </cell>
          <cell r="AD262">
            <v>2</v>
          </cell>
          <cell r="AE262">
            <v>2</v>
          </cell>
        </row>
        <row r="263">
          <cell r="K263" t="str">
            <v>Tile fixer</v>
          </cell>
          <cell r="L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row>
        <row r="264">
          <cell r="K264" t="str">
            <v>Rockfill Fixer</v>
          </cell>
          <cell r="L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row>
        <row r="265">
          <cell r="K265" t="str">
            <v>Other Skilled</v>
          </cell>
          <cell r="L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row>
        <row r="266">
          <cell r="K266" t="str">
            <v>Cooker</v>
          </cell>
          <cell r="L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row>
        <row r="267">
          <cell r="L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row>
        <row r="268">
          <cell r="K268" t="str">
            <v>UNSKILLED LABOURS :</v>
          </cell>
          <cell r="L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row>
        <row r="269">
          <cell r="K269" t="str">
            <v>Pipe fitter assistance</v>
          </cell>
          <cell r="L269">
            <v>1</v>
          </cell>
          <cell r="O269">
            <v>1</v>
          </cell>
          <cell r="P269">
            <v>1</v>
          </cell>
          <cell r="Q269">
            <v>1</v>
          </cell>
          <cell r="R269">
            <v>1</v>
          </cell>
          <cell r="S269">
            <v>1</v>
          </cell>
          <cell r="T269">
            <v>1</v>
          </cell>
          <cell r="U269">
            <v>1</v>
          </cell>
          <cell r="V269">
            <v>1</v>
          </cell>
          <cell r="W269">
            <v>1</v>
          </cell>
          <cell r="X269">
            <v>1</v>
          </cell>
          <cell r="Y269">
            <v>1</v>
          </cell>
          <cell r="Z269">
            <v>1</v>
          </cell>
          <cell r="AA269">
            <v>1</v>
          </cell>
          <cell r="AB269">
            <v>1</v>
          </cell>
          <cell r="AC269">
            <v>1</v>
          </cell>
          <cell r="AD269">
            <v>1</v>
          </cell>
          <cell r="AE269">
            <v>1</v>
          </cell>
        </row>
        <row r="270">
          <cell r="K270" t="str">
            <v>Carpenter assistance</v>
          </cell>
          <cell r="L270">
            <v>1</v>
          </cell>
          <cell r="O270">
            <v>1</v>
          </cell>
          <cell r="P270">
            <v>1</v>
          </cell>
          <cell r="Q270">
            <v>1</v>
          </cell>
          <cell r="R270">
            <v>1</v>
          </cell>
          <cell r="S270">
            <v>1</v>
          </cell>
          <cell r="T270">
            <v>1</v>
          </cell>
          <cell r="U270">
            <v>1</v>
          </cell>
          <cell r="V270">
            <v>1</v>
          </cell>
          <cell r="W270">
            <v>1</v>
          </cell>
          <cell r="X270">
            <v>1</v>
          </cell>
          <cell r="Y270">
            <v>1</v>
          </cell>
          <cell r="Z270">
            <v>1</v>
          </cell>
          <cell r="AA270">
            <v>1</v>
          </cell>
          <cell r="AB270">
            <v>1</v>
          </cell>
          <cell r="AC270">
            <v>1</v>
          </cell>
          <cell r="AD270">
            <v>1</v>
          </cell>
          <cell r="AE270">
            <v>1</v>
          </cell>
        </row>
        <row r="271">
          <cell r="K271" t="str">
            <v>Steel fixer assistance</v>
          </cell>
          <cell r="L271">
            <v>1</v>
          </cell>
          <cell r="O271">
            <v>1</v>
          </cell>
          <cell r="P271">
            <v>1</v>
          </cell>
          <cell r="Q271">
            <v>1</v>
          </cell>
          <cell r="R271">
            <v>1</v>
          </cell>
          <cell r="S271">
            <v>1</v>
          </cell>
          <cell r="T271">
            <v>1</v>
          </cell>
          <cell r="U271">
            <v>1</v>
          </cell>
          <cell r="V271">
            <v>1</v>
          </cell>
          <cell r="W271">
            <v>1</v>
          </cell>
          <cell r="X271">
            <v>1</v>
          </cell>
          <cell r="Y271">
            <v>1</v>
          </cell>
          <cell r="Z271">
            <v>1</v>
          </cell>
          <cell r="AA271">
            <v>1</v>
          </cell>
          <cell r="AB271">
            <v>1</v>
          </cell>
          <cell r="AC271">
            <v>1</v>
          </cell>
          <cell r="AD271">
            <v>1</v>
          </cell>
          <cell r="AE271">
            <v>1</v>
          </cell>
        </row>
        <row r="272">
          <cell r="K272" t="str">
            <v>Mechanic assistance</v>
          </cell>
          <cell r="L272">
            <v>1</v>
          </cell>
          <cell r="O272">
            <v>1</v>
          </cell>
          <cell r="P272">
            <v>1</v>
          </cell>
          <cell r="Q272">
            <v>1</v>
          </cell>
          <cell r="R272">
            <v>1</v>
          </cell>
          <cell r="S272">
            <v>1</v>
          </cell>
          <cell r="T272">
            <v>1</v>
          </cell>
          <cell r="U272">
            <v>1</v>
          </cell>
          <cell r="V272">
            <v>1</v>
          </cell>
          <cell r="W272">
            <v>1</v>
          </cell>
          <cell r="X272">
            <v>1</v>
          </cell>
          <cell r="Y272">
            <v>1</v>
          </cell>
          <cell r="Z272">
            <v>1</v>
          </cell>
          <cell r="AA272">
            <v>1</v>
          </cell>
          <cell r="AB272">
            <v>1</v>
          </cell>
          <cell r="AC272">
            <v>1</v>
          </cell>
          <cell r="AD272">
            <v>1</v>
          </cell>
          <cell r="AE272">
            <v>1</v>
          </cell>
        </row>
        <row r="273">
          <cell r="K273" t="str">
            <v>Electrian assistance</v>
          </cell>
          <cell r="L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row>
        <row r="274">
          <cell r="K274" t="str">
            <v>Welder assistance</v>
          </cell>
          <cell r="L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row>
        <row r="275">
          <cell r="K275" t="str">
            <v>Tile fixer assistance</v>
          </cell>
          <cell r="L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row>
        <row r="276">
          <cell r="K276" t="str">
            <v>Concrete Labour</v>
          </cell>
          <cell r="L276">
            <v>1</v>
          </cell>
          <cell r="O276">
            <v>1</v>
          </cell>
          <cell r="P276">
            <v>1</v>
          </cell>
          <cell r="Q276">
            <v>1</v>
          </cell>
          <cell r="R276">
            <v>1</v>
          </cell>
          <cell r="S276">
            <v>1</v>
          </cell>
          <cell r="T276">
            <v>1</v>
          </cell>
          <cell r="U276">
            <v>1</v>
          </cell>
          <cell r="V276">
            <v>1</v>
          </cell>
          <cell r="W276">
            <v>1</v>
          </cell>
          <cell r="X276">
            <v>1</v>
          </cell>
          <cell r="Y276">
            <v>1</v>
          </cell>
          <cell r="Z276">
            <v>1</v>
          </cell>
          <cell r="AA276">
            <v>1</v>
          </cell>
          <cell r="AB276">
            <v>1</v>
          </cell>
          <cell r="AC276">
            <v>1</v>
          </cell>
          <cell r="AD276">
            <v>1</v>
          </cell>
          <cell r="AE276">
            <v>1</v>
          </cell>
        </row>
        <row r="277">
          <cell r="K277" t="str">
            <v>Office boy</v>
          </cell>
          <cell r="L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row>
        <row r="278">
          <cell r="K278" t="str">
            <v>GUARD</v>
          </cell>
          <cell r="L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row>
        <row r="279">
          <cell r="K279" t="str">
            <v>Normal Labour</v>
          </cell>
          <cell r="L279">
            <v>15</v>
          </cell>
          <cell r="O279">
            <v>15</v>
          </cell>
          <cell r="P279">
            <v>15</v>
          </cell>
          <cell r="Q279">
            <v>15</v>
          </cell>
          <cell r="R279">
            <v>15</v>
          </cell>
          <cell r="S279">
            <v>15</v>
          </cell>
          <cell r="T279">
            <v>15</v>
          </cell>
          <cell r="U279">
            <v>15</v>
          </cell>
          <cell r="V279">
            <v>15</v>
          </cell>
          <cell r="W279">
            <v>15</v>
          </cell>
          <cell r="X279">
            <v>15</v>
          </cell>
          <cell r="Y279">
            <v>15</v>
          </cell>
          <cell r="Z279">
            <v>15</v>
          </cell>
          <cell r="AA279">
            <v>15</v>
          </cell>
          <cell r="AB279">
            <v>15</v>
          </cell>
          <cell r="AC279">
            <v>15</v>
          </cell>
          <cell r="AD279">
            <v>15</v>
          </cell>
          <cell r="AE279">
            <v>15</v>
          </cell>
        </row>
        <row r="282">
          <cell r="K282" t="str">
            <v>Crew2</v>
          </cell>
          <cell r="M282">
            <v>1998</v>
          </cell>
          <cell r="P282">
            <v>1999</v>
          </cell>
          <cell r="AB282">
            <v>2000</v>
          </cell>
        </row>
        <row r="283">
          <cell r="K283" t="str">
            <v>Description</v>
          </cell>
          <cell r="L283" t="str">
            <v>Crew2</v>
          </cell>
          <cell r="M283">
            <v>10</v>
          </cell>
          <cell r="N283">
            <v>11</v>
          </cell>
          <cell r="O283">
            <v>12</v>
          </cell>
          <cell r="P283">
            <v>1</v>
          </cell>
          <cell r="Q283">
            <v>2</v>
          </cell>
          <cell r="R283">
            <v>3</v>
          </cell>
          <cell r="S283">
            <v>4</v>
          </cell>
          <cell r="T283">
            <v>5</v>
          </cell>
          <cell r="U283">
            <v>6</v>
          </cell>
          <cell r="V283">
            <v>7</v>
          </cell>
          <cell r="W283">
            <v>8</v>
          </cell>
          <cell r="X283">
            <v>9</v>
          </cell>
          <cell r="Y283">
            <v>10</v>
          </cell>
          <cell r="Z283">
            <v>11</v>
          </cell>
          <cell r="AA283">
            <v>12</v>
          </cell>
          <cell r="AB283">
            <v>1</v>
          </cell>
          <cell r="AC283">
            <v>2</v>
          </cell>
          <cell r="AD283">
            <v>3</v>
          </cell>
          <cell r="AE283">
            <v>4</v>
          </cell>
        </row>
        <row r="284">
          <cell r="K284" t="str">
            <v>Project Manager</v>
          </cell>
          <cell r="L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row>
        <row r="285">
          <cell r="K285" t="str">
            <v>Construction Manager</v>
          </cell>
          <cell r="L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row>
        <row r="286">
          <cell r="K286" t="str">
            <v>Tech. Manger &amp; Coordination Engineer</v>
          </cell>
          <cell r="L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row>
        <row r="287">
          <cell r="K287" t="str">
            <v>Site Engineer</v>
          </cell>
          <cell r="L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row>
        <row r="288">
          <cell r="K288" t="str">
            <v>Qty Surveyor &amp; Tech. Office Engineer</v>
          </cell>
          <cell r="L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row>
        <row r="289">
          <cell r="K289" t="str">
            <v>Planning Engineer</v>
          </cell>
          <cell r="L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row>
        <row r="290">
          <cell r="K290" t="str">
            <v>CAD Tech. &amp; Surveying Engineer</v>
          </cell>
          <cell r="L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row>
        <row r="291">
          <cell r="K291" t="str">
            <v>Laboratory &amp; QA/QC Engineer</v>
          </cell>
          <cell r="L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row>
        <row r="292">
          <cell r="K292" t="str">
            <v>Procurement &amp; Engineering</v>
          </cell>
          <cell r="L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row>
        <row r="293">
          <cell r="K293" t="str">
            <v>Mechanical Engineer</v>
          </cell>
          <cell r="L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row>
        <row r="294">
          <cell r="K294" t="str">
            <v>Safety Officer</v>
          </cell>
          <cell r="L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row>
        <row r="295">
          <cell r="K295" t="str">
            <v>Accountant</v>
          </cell>
          <cell r="L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row>
        <row r="296">
          <cell r="K296" t="str">
            <v>Administration</v>
          </cell>
          <cell r="L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row>
        <row r="297">
          <cell r="K297" t="str">
            <v>Surveyor</v>
          </cell>
          <cell r="L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row>
        <row r="298">
          <cell r="K298" t="str">
            <v>Civil Forman</v>
          </cell>
          <cell r="L298">
            <v>1</v>
          </cell>
          <cell r="O298">
            <v>1</v>
          </cell>
          <cell r="P298">
            <v>1</v>
          </cell>
          <cell r="Q298">
            <v>1</v>
          </cell>
          <cell r="R298">
            <v>1</v>
          </cell>
          <cell r="S298">
            <v>1</v>
          </cell>
          <cell r="T298">
            <v>1</v>
          </cell>
          <cell r="U298">
            <v>1</v>
          </cell>
          <cell r="V298">
            <v>1</v>
          </cell>
          <cell r="W298">
            <v>1</v>
          </cell>
          <cell r="X298">
            <v>1</v>
          </cell>
          <cell r="Y298">
            <v>1</v>
          </cell>
          <cell r="Z298">
            <v>1</v>
          </cell>
          <cell r="AA298">
            <v>1</v>
          </cell>
          <cell r="AB298">
            <v>1</v>
          </cell>
          <cell r="AC298">
            <v>1</v>
          </cell>
          <cell r="AD298">
            <v>1</v>
          </cell>
          <cell r="AE298">
            <v>1</v>
          </cell>
        </row>
        <row r="299">
          <cell r="K299" t="str">
            <v>Mechanic Forman</v>
          </cell>
          <cell r="L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row>
        <row r="300">
          <cell r="K300" t="str">
            <v>Storekeeper</v>
          </cell>
          <cell r="L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row>
        <row r="301">
          <cell r="L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row>
        <row r="302">
          <cell r="K302" t="str">
            <v>Driver &amp; Operator</v>
          </cell>
          <cell r="L302">
            <v>0</v>
          </cell>
          <cell r="N302">
            <v>1</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row>
        <row r="303">
          <cell r="L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row>
        <row r="304">
          <cell r="K304" t="str">
            <v>SKILLED LABOURS :</v>
          </cell>
          <cell r="L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row>
        <row r="305">
          <cell r="K305" t="str">
            <v>Pipe fitter</v>
          </cell>
          <cell r="L305">
            <v>1</v>
          </cell>
          <cell r="O305">
            <v>1</v>
          </cell>
          <cell r="P305">
            <v>1</v>
          </cell>
          <cell r="Q305">
            <v>1</v>
          </cell>
          <cell r="R305">
            <v>1</v>
          </cell>
          <cell r="S305">
            <v>1</v>
          </cell>
          <cell r="T305">
            <v>1</v>
          </cell>
          <cell r="U305">
            <v>1</v>
          </cell>
          <cell r="V305">
            <v>1</v>
          </cell>
          <cell r="W305">
            <v>1</v>
          </cell>
          <cell r="X305">
            <v>1</v>
          </cell>
          <cell r="Y305">
            <v>1</v>
          </cell>
          <cell r="Z305">
            <v>1</v>
          </cell>
          <cell r="AA305">
            <v>1</v>
          </cell>
          <cell r="AB305">
            <v>1</v>
          </cell>
          <cell r="AC305">
            <v>1</v>
          </cell>
          <cell r="AD305">
            <v>1</v>
          </cell>
          <cell r="AE305">
            <v>1</v>
          </cell>
        </row>
        <row r="306">
          <cell r="K306" t="str">
            <v>Carpenter</v>
          </cell>
          <cell r="L306">
            <v>1</v>
          </cell>
          <cell r="O306">
            <v>1</v>
          </cell>
          <cell r="P306">
            <v>1</v>
          </cell>
          <cell r="Q306">
            <v>1</v>
          </cell>
          <cell r="R306">
            <v>1</v>
          </cell>
          <cell r="S306">
            <v>1</v>
          </cell>
          <cell r="T306">
            <v>1</v>
          </cell>
          <cell r="U306">
            <v>1</v>
          </cell>
          <cell r="V306">
            <v>1</v>
          </cell>
          <cell r="W306">
            <v>1</v>
          </cell>
          <cell r="X306">
            <v>1</v>
          </cell>
          <cell r="Y306">
            <v>1</v>
          </cell>
          <cell r="Z306">
            <v>1</v>
          </cell>
          <cell r="AA306">
            <v>1</v>
          </cell>
          <cell r="AB306">
            <v>1</v>
          </cell>
          <cell r="AC306">
            <v>1</v>
          </cell>
          <cell r="AD306">
            <v>1</v>
          </cell>
          <cell r="AE306">
            <v>1</v>
          </cell>
        </row>
        <row r="307">
          <cell r="K307" t="str">
            <v>Steel fixer</v>
          </cell>
          <cell r="L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row>
        <row r="308">
          <cell r="K308" t="str">
            <v>Former</v>
          </cell>
          <cell r="L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row>
        <row r="309">
          <cell r="K309" t="str">
            <v>Plaster</v>
          </cell>
          <cell r="L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row>
        <row r="310">
          <cell r="K310" t="str">
            <v>Mechanic</v>
          </cell>
          <cell r="L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row>
        <row r="311">
          <cell r="K311" t="str">
            <v>Electrician</v>
          </cell>
          <cell r="L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row>
        <row r="312">
          <cell r="K312" t="str">
            <v>Welder</v>
          </cell>
          <cell r="L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row>
        <row r="313">
          <cell r="K313" t="str">
            <v>Shutter</v>
          </cell>
          <cell r="L313">
            <v>1</v>
          </cell>
          <cell r="O313">
            <v>1</v>
          </cell>
          <cell r="P313">
            <v>1</v>
          </cell>
          <cell r="Q313">
            <v>1</v>
          </cell>
          <cell r="R313">
            <v>1</v>
          </cell>
          <cell r="S313">
            <v>1</v>
          </cell>
          <cell r="T313">
            <v>1</v>
          </cell>
          <cell r="U313">
            <v>1</v>
          </cell>
          <cell r="V313">
            <v>1</v>
          </cell>
          <cell r="W313">
            <v>1</v>
          </cell>
          <cell r="X313">
            <v>1</v>
          </cell>
          <cell r="Y313">
            <v>1</v>
          </cell>
          <cell r="Z313">
            <v>1</v>
          </cell>
          <cell r="AA313">
            <v>1</v>
          </cell>
          <cell r="AB313">
            <v>1</v>
          </cell>
          <cell r="AC313">
            <v>1</v>
          </cell>
          <cell r="AD313">
            <v>1</v>
          </cell>
          <cell r="AE313">
            <v>1</v>
          </cell>
        </row>
        <row r="314">
          <cell r="K314" t="str">
            <v>Proofing</v>
          </cell>
          <cell r="L314">
            <v>2</v>
          </cell>
          <cell r="O314">
            <v>2</v>
          </cell>
          <cell r="P314">
            <v>2</v>
          </cell>
          <cell r="Q314">
            <v>2</v>
          </cell>
          <cell r="R314">
            <v>2</v>
          </cell>
          <cell r="S314">
            <v>2</v>
          </cell>
          <cell r="T314">
            <v>2</v>
          </cell>
          <cell r="U314">
            <v>2</v>
          </cell>
          <cell r="V314">
            <v>2</v>
          </cell>
          <cell r="W314">
            <v>2</v>
          </cell>
          <cell r="X314">
            <v>2</v>
          </cell>
          <cell r="Y314">
            <v>2</v>
          </cell>
          <cell r="Z314">
            <v>2</v>
          </cell>
          <cell r="AA314">
            <v>2</v>
          </cell>
          <cell r="AB314">
            <v>2</v>
          </cell>
          <cell r="AC314">
            <v>2</v>
          </cell>
          <cell r="AD314">
            <v>2</v>
          </cell>
          <cell r="AE314">
            <v>2</v>
          </cell>
        </row>
        <row r="315">
          <cell r="K315" t="str">
            <v>Tile fixer</v>
          </cell>
          <cell r="L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row>
        <row r="316">
          <cell r="K316" t="str">
            <v>Rockfill Fixer</v>
          </cell>
          <cell r="L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row>
        <row r="317">
          <cell r="K317" t="str">
            <v>Other Skilled</v>
          </cell>
          <cell r="L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row>
        <row r="318">
          <cell r="K318" t="str">
            <v>Cooker</v>
          </cell>
          <cell r="L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row>
        <row r="319">
          <cell r="L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row>
        <row r="320">
          <cell r="K320" t="str">
            <v>UNSKILLED LABOURS :</v>
          </cell>
          <cell r="L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row>
        <row r="321">
          <cell r="K321" t="str">
            <v>Pipe fitter assistance</v>
          </cell>
          <cell r="L321">
            <v>1</v>
          </cell>
          <cell r="O321">
            <v>1</v>
          </cell>
          <cell r="P321">
            <v>1</v>
          </cell>
          <cell r="Q321">
            <v>1</v>
          </cell>
          <cell r="R321">
            <v>1</v>
          </cell>
          <cell r="S321">
            <v>1</v>
          </cell>
          <cell r="T321">
            <v>1</v>
          </cell>
          <cell r="U321">
            <v>1</v>
          </cell>
          <cell r="V321">
            <v>1</v>
          </cell>
          <cell r="W321">
            <v>1</v>
          </cell>
          <cell r="X321">
            <v>1</v>
          </cell>
          <cell r="Y321">
            <v>1</v>
          </cell>
          <cell r="Z321">
            <v>1</v>
          </cell>
          <cell r="AA321">
            <v>1</v>
          </cell>
          <cell r="AB321">
            <v>1</v>
          </cell>
          <cell r="AC321">
            <v>1</v>
          </cell>
          <cell r="AD321">
            <v>1</v>
          </cell>
          <cell r="AE321">
            <v>1</v>
          </cell>
        </row>
        <row r="322">
          <cell r="K322" t="str">
            <v>Carpenter assistance</v>
          </cell>
          <cell r="L322">
            <v>1</v>
          </cell>
          <cell r="O322">
            <v>1</v>
          </cell>
          <cell r="P322">
            <v>1</v>
          </cell>
          <cell r="Q322">
            <v>1</v>
          </cell>
          <cell r="R322">
            <v>1</v>
          </cell>
          <cell r="S322">
            <v>1</v>
          </cell>
          <cell r="T322">
            <v>1</v>
          </cell>
          <cell r="U322">
            <v>1</v>
          </cell>
          <cell r="V322">
            <v>1</v>
          </cell>
          <cell r="W322">
            <v>1</v>
          </cell>
          <cell r="X322">
            <v>1</v>
          </cell>
          <cell r="Y322">
            <v>1</v>
          </cell>
          <cell r="Z322">
            <v>1</v>
          </cell>
          <cell r="AA322">
            <v>1</v>
          </cell>
          <cell r="AB322">
            <v>1</v>
          </cell>
          <cell r="AC322">
            <v>1</v>
          </cell>
          <cell r="AD322">
            <v>1</v>
          </cell>
          <cell r="AE322">
            <v>1</v>
          </cell>
        </row>
        <row r="323">
          <cell r="K323" t="str">
            <v>Steel fixer assistance</v>
          </cell>
          <cell r="L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row>
        <row r="324">
          <cell r="K324" t="str">
            <v>Mechanic assistance</v>
          </cell>
          <cell r="L324">
            <v>1</v>
          </cell>
          <cell r="O324">
            <v>1</v>
          </cell>
          <cell r="P324">
            <v>1</v>
          </cell>
          <cell r="Q324">
            <v>1</v>
          </cell>
          <cell r="R324">
            <v>1</v>
          </cell>
          <cell r="S324">
            <v>1</v>
          </cell>
          <cell r="T324">
            <v>1</v>
          </cell>
          <cell r="U324">
            <v>1</v>
          </cell>
          <cell r="V324">
            <v>1</v>
          </cell>
          <cell r="W324">
            <v>1</v>
          </cell>
          <cell r="X324">
            <v>1</v>
          </cell>
          <cell r="Y324">
            <v>1</v>
          </cell>
          <cell r="Z324">
            <v>1</v>
          </cell>
          <cell r="AA324">
            <v>1</v>
          </cell>
          <cell r="AB324">
            <v>1</v>
          </cell>
          <cell r="AC324">
            <v>1</v>
          </cell>
          <cell r="AD324">
            <v>1</v>
          </cell>
          <cell r="AE324">
            <v>1</v>
          </cell>
        </row>
        <row r="325">
          <cell r="K325" t="str">
            <v>Electrian assistance</v>
          </cell>
          <cell r="L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row>
        <row r="326">
          <cell r="K326" t="str">
            <v>Welder assistance</v>
          </cell>
          <cell r="L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row>
        <row r="327">
          <cell r="K327" t="str">
            <v>Tile fixer assistance</v>
          </cell>
          <cell r="L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row>
        <row r="328">
          <cell r="K328" t="str">
            <v>Concrete Labour</v>
          </cell>
          <cell r="L328">
            <v>1</v>
          </cell>
          <cell r="O328">
            <v>1</v>
          </cell>
          <cell r="P328">
            <v>1</v>
          </cell>
          <cell r="Q328">
            <v>1</v>
          </cell>
          <cell r="R328">
            <v>1</v>
          </cell>
          <cell r="S328">
            <v>1</v>
          </cell>
          <cell r="T328">
            <v>1</v>
          </cell>
          <cell r="U328">
            <v>1</v>
          </cell>
          <cell r="V328">
            <v>1</v>
          </cell>
          <cell r="W328">
            <v>1</v>
          </cell>
          <cell r="X328">
            <v>1</v>
          </cell>
          <cell r="Y328">
            <v>1</v>
          </cell>
          <cell r="Z328">
            <v>1</v>
          </cell>
          <cell r="AA328">
            <v>1</v>
          </cell>
          <cell r="AB328">
            <v>1</v>
          </cell>
          <cell r="AC328">
            <v>1</v>
          </cell>
          <cell r="AD328">
            <v>1</v>
          </cell>
          <cell r="AE328">
            <v>1</v>
          </cell>
        </row>
        <row r="329">
          <cell r="K329" t="str">
            <v>Office boy</v>
          </cell>
          <cell r="L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row>
        <row r="330">
          <cell r="K330" t="str">
            <v>GUARD</v>
          </cell>
          <cell r="L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row>
        <row r="331">
          <cell r="K331" t="str">
            <v>Normal Labour</v>
          </cell>
          <cell r="L331">
            <v>14</v>
          </cell>
          <cell r="O331">
            <v>14</v>
          </cell>
          <cell r="P331">
            <v>14</v>
          </cell>
          <cell r="Q331">
            <v>14</v>
          </cell>
          <cell r="R331">
            <v>14</v>
          </cell>
          <cell r="S331">
            <v>14</v>
          </cell>
          <cell r="T331">
            <v>14</v>
          </cell>
          <cell r="U331">
            <v>14</v>
          </cell>
          <cell r="V331">
            <v>14</v>
          </cell>
          <cell r="W331">
            <v>14</v>
          </cell>
          <cell r="X331">
            <v>14</v>
          </cell>
          <cell r="Y331">
            <v>14</v>
          </cell>
          <cell r="Z331">
            <v>14</v>
          </cell>
          <cell r="AA331">
            <v>14</v>
          </cell>
          <cell r="AB331">
            <v>14</v>
          </cell>
          <cell r="AC331">
            <v>14</v>
          </cell>
          <cell r="AD331">
            <v>14</v>
          </cell>
          <cell r="AE331">
            <v>14</v>
          </cell>
        </row>
        <row r="334">
          <cell r="K334" t="str">
            <v>Crew3</v>
          </cell>
          <cell r="M334">
            <v>1998</v>
          </cell>
          <cell r="P334">
            <v>1999</v>
          </cell>
          <cell r="AB334">
            <v>2000</v>
          </cell>
        </row>
        <row r="335">
          <cell r="K335" t="str">
            <v>Description</v>
          </cell>
          <cell r="L335" t="str">
            <v>Crew3</v>
          </cell>
          <cell r="M335">
            <v>10</v>
          </cell>
          <cell r="N335">
            <v>11</v>
          </cell>
          <cell r="O335">
            <v>12</v>
          </cell>
          <cell r="P335">
            <v>1</v>
          </cell>
          <cell r="Q335">
            <v>2</v>
          </cell>
          <cell r="R335">
            <v>3</v>
          </cell>
          <cell r="S335">
            <v>4</v>
          </cell>
          <cell r="T335">
            <v>5</v>
          </cell>
          <cell r="U335">
            <v>6</v>
          </cell>
          <cell r="V335">
            <v>7</v>
          </cell>
          <cell r="W335">
            <v>8</v>
          </cell>
          <cell r="X335">
            <v>9</v>
          </cell>
          <cell r="Y335">
            <v>10</v>
          </cell>
          <cell r="Z335">
            <v>11</v>
          </cell>
          <cell r="AA335">
            <v>12</v>
          </cell>
          <cell r="AB335">
            <v>1</v>
          </cell>
          <cell r="AC335">
            <v>2</v>
          </cell>
          <cell r="AD335">
            <v>3</v>
          </cell>
          <cell r="AE335">
            <v>4</v>
          </cell>
        </row>
        <row r="336">
          <cell r="K336" t="str">
            <v>Project Manager</v>
          </cell>
          <cell r="L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row>
        <row r="337">
          <cell r="K337" t="str">
            <v>Construction Manager</v>
          </cell>
          <cell r="L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row>
        <row r="338">
          <cell r="K338" t="str">
            <v>Tech. Manger &amp; Coordination Engineer</v>
          </cell>
          <cell r="L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row>
        <row r="339">
          <cell r="K339" t="str">
            <v>Site Engineer</v>
          </cell>
          <cell r="L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row>
        <row r="340">
          <cell r="K340" t="str">
            <v>Qty Surveyor &amp; Tech. Office Engineer</v>
          </cell>
          <cell r="L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row>
        <row r="341">
          <cell r="K341" t="str">
            <v>Planning Engineer</v>
          </cell>
          <cell r="L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row>
        <row r="342">
          <cell r="K342" t="str">
            <v>CAD Tech. &amp; Surveying Engineer</v>
          </cell>
          <cell r="L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row>
        <row r="343">
          <cell r="K343" t="str">
            <v>Laboratory &amp; QA/QC Engineer</v>
          </cell>
          <cell r="L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row>
        <row r="344">
          <cell r="K344" t="str">
            <v>Procurement &amp; Engineering</v>
          </cell>
          <cell r="L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row>
        <row r="345">
          <cell r="K345" t="str">
            <v>Mechanical Engineer</v>
          </cell>
          <cell r="L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row>
        <row r="346">
          <cell r="K346" t="str">
            <v>Safety Officer</v>
          </cell>
          <cell r="L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row>
        <row r="347">
          <cell r="K347" t="str">
            <v>Accountant</v>
          </cell>
          <cell r="L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row>
        <row r="348">
          <cell r="K348" t="str">
            <v>Administration</v>
          </cell>
          <cell r="L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row>
        <row r="349">
          <cell r="K349" t="str">
            <v>Surveyor</v>
          </cell>
          <cell r="L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row>
        <row r="350">
          <cell r="K350" t="str">
            <v>Civil Forman</v>
          </cell>
          <cell r="L350">
            <v>1</v>
          </cell>
          <cell r="R350">
            <v>1</v>
          </cell>
          <cell r="S350">
            <v>1</v>
          </cell>
          <cell r="T350">
            <v>1</v>
          </cell>
          <cell r="U350">
            <v>1</v>
          </cell>
          <cell r="V350">
            <v>1</v>
          </cell>
          <cell r="W350">
            <v>1</v>
          </cell>
          <cell r="X350">
            <v>1</v>
          </cell>
          <cell r="Y350">
            <v>1</v>
          </cell>
          <cell r="Z350">
            <v>1</v>
          </cell>
          <cell r="AA350">
            <v>1</v>
          </cell>
          <cell r="AB350">
            <v>1</v>
          </cell>
          <cell r="AC350">
            <v>1</v>
          </cell>
          <cell r="AD350">
            <v>1</v>
          </cell>
          <cell r="AE350">
            <v>1</v>
          </cell>
        </row>
        <row r="351">
          <cell r="K351" t="str">
            <v>Mechanic Forman</v>
          </cell>
          <cell r="L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row>
        <row r="352">
          <cell r="K352" t="str">
            <v>Storekeeper</v>
          </cell>
          <cell r="L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row>
        <row r="353">
          <cell r="L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row>
        <row r="354">
          <cell r="K354" t="str">
            <v>Driver &amp; Operator</v>
          </cell>
          <cell r="L354">
            <v>0</v>
          </cell>
          <cell r="N354">
            <v>0</v>
          </cell>
          <cell r="O354">
            <v>0</v>
          </cell>
          <cell r="P354">
            <v>0</v>
          </cell>
          <cell r="Q354">
            <v>0</v>
          </cell>
          <cell r="R354">
            <v>3</v>
          </cell>
          <cell r="S354">
            <v>4</v>
          </cell>
          <cell r="T354">
            <v>4</v>
          </cell>
          <cell r="U354">
            <v>4</v>
          </cell>
          <cell r="V354">
            <v>4</v>
          </cell>
          <cell r="W354">
            <v>4</v>
          </cell>
          <cell r="X354">
            <v>4</v>
          </cell>
          <cell r="Y354">
            <v>4</v>
          </cell>
          <cell r="Z354">
            <v>4</v>
          </cell>
          <cell r="AA354">
            <v>4</v>
          </cell>
          <cell r="AB354">
            <v>4</v>
          </cell>
          <cell r="AC354">
            <v>4</v>
          </cell>
          <cell r="AD354">
            <v>4</v>
          </cell>
          <cell r="AE354">
            <v>4</v>
          </cell>
        </row>
        <row r="355">
          <cell r="L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row>
        <row r="356">
          <cell r="K356" t="str">
            <v>SKILLED LABOURS :</v>
          </cell>
          <cell r="L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row>
        <row r="357">
          <cell r="K357" t="str">
            <v>Pipe fitter</v>
          </cell>
          <cell r="L357">
            <v>1</v>
          </cell>
          <cell r="R357">
            <v>1</v>
          </cell>
          <cell r="S357">
            <v>1</v>
          </cell>
          <cell r="T357">
            <v>1</v>
          </cell>
          <cell r="U357">
            <v>1</v>
          </cell>
          <cell r="V357">
            <v>1</v>
          </cell>
          <cell r="W357">
            <v>1</v>
          </cell>
          <cell r="X357">
            <v>1</v>
          </cell>
          <cell r="Y357">
            <v>1</v>
          </cell>
          <cell r="Z357">
            <v>1</v>
          </cell>
          <cell r="AA357">
            <v>1</v>
          </cell>
          <cell r="AB357">
            <v>1</v>
          </cell>
          <cell r="AC357">
            <v>1</v>
          </cell>
          <cell r="AD357">
            <v>1</v>
          </cell>
          <cell r="AE357">
            <v>1</v>
          </cell>
        </row>
        <row r="358">
          <cell r="K358" t="str">
            <v>Carpenter</v>
          </cell>
          <cell r="L358">
            <v>1</v>
          </cell>
          <cell r="R358">
            <v>1</v>
          </cell>
          <cell r="S358">
            <v>1</v>
          </cell>
          <cell r="T358">
            <v>1</v>
          </cell>
          <cell r="U358">
            <v>1</v>
          </cell>
          <cell r="V358">
            <v>1</v>
          </cell>
          <cell r="W358">
            <v>1</v>
          </cell>
          <cell r="X358">
            <v>1</v>
          </cell>
          <cell r="Y358">
            <v>1</v>
          </cell>
          <cell r="Z358">
            <v>1</v>
          </cell>
          <cell r="AA358">
            <v>1</v>
          </cell>
          <cell r="AB358">
            <v>1</v>
          </cell>
          <cell r="AC358">
            <v>1</v>
          </cell>
          <cell r="AD358">
            <v>1</v>
          </cell>
          <cell r="AE358">
            <v>1</v>
          </cell>
        </row>
        <row r="359">
          <cell r="K359" t="str">
            <v>Steel fixer</v>
          </cell>
          <cell r="L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row>
        <row r="360">
          <cell r="K360" t="str">
            <v>Former</v>
          </cell>
          <cell r="L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row>
        <row r="361">
          <cell r="K361" t="str">
            <v>Plaster</v>
          </cell>
          <cell r="L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row>
        <row r="362">
          <cell r="K362" t="str">
            <v>Mechanic</v>
          </cell>
          <cell r="L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row>
        <row r="363">
          <cell r="K363" t="str">
            <v>Electrician</v>
          </cell>
          <cell r="L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row>
        <row r="364">
          <cell r="K364" t="str">
            <v>Welder</v>
          </cell>
          <cell r="L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row>
        <row r="365">
          <cell r="K365" t="str">
            <v>Shutter</v>
          </cell>
          <cell r="L365">
            <v>1</v>
          </cell>
          <cell r="R365">
            <v>1</v>
          </cell>
          <cell r="S365">
            <v>1</v>
          </cell>
          <cell r="T365">
            <v>1</v>
          </cell>
          <cell r="U365">
            <v>1</v>
          </cell>
          <cell r="V365">
            <v>1</v>
          </cell>
          <cell r="W365">
            <v>1</v>
          </cell>
          <cell r="X365">
            <v>1</v>
          </cell>
          <cell r="Y365">
            <v>1</v>
          </cell>
          <cell r="Z365">
            <v>1</v>
          </cell>
          <cell r="AA365">
            <v>1</v>
          </cell>
          <cell r="AB365">
            <v>1</v>
          </cell>
          <cell r="AC365">
            <v>1</v>
          </cell>
          <cell r="AD365">
            <v>1</v>
          </cell>
          <cell r="AE365">
            <v>1</v>
          </cell>
        </row>
        <row r="366">
          <cell r="K366" t="str">
            <v>Proofing</v>
          </cell>
          <cell r="L366">
            <v>2</v>
          </cell>
          <cell r="R366">
            <v>2</v>
          </cell>
          <cell r="S366">
            <v>2</v>
          </cell>
          <cell r="T366">
            <v>2</v>
          </cell>
          <cell r="U366">
            <v>2</v>
          </cell>
          <cell r="V366">
            <v>2</v>
          </cell>
          <cell r="W366">
            <v>2</v>
          </cell>
          <cell r="X366">
            <v>2</v>
          </cell>
          <cell r="Y366">
            <v>2</v>
          </cell>
          <cell r="Z366">
            <v>2</v>
          </cell>
          <cell r="AA366">
            <v>2</v>
          </cell>
          <cell r="AB366">
            <v>2</v>
          </cell>
          <cell r="AC366">
            <v>2</v>
          </cell>
          <cell r="AD366">
            <v>2</v>
          </cell>
          <cell r="AE366">
            <v>2</v>
          </cell>
        </row>
        <row r="367">
          <cell r="K367" t="str">
            <v>Tile fixer</v>
          </cell>
          <cell r="L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row>
        <row r="368">
          <cell r="K368" t="str">
            <v>Rockfill Fixer</v>
          </cell>
          <cell r="L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row>
        <row r="369">
          <cell r="K369" t="str">
            <v>Other Skilled</v>
          </cell>
          <cell r="L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row>
        <row r="370">
          <cell r="K370" t="str">
            <v>Cooker</v>
          </cell>
          <cell r="L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row>
        <row r="371">
          <cell r="L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row>
        <row r="372">
          <cell r="K372" t="str">
            <v>UNSKILLED LABOURS :</v>
          </cell>
          <cell r="L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row>
        <row r="373">
          <cell r="K373" t="str">
            <v>Pipe fitter assistance</v>
          </cell>
          <cell r="L373">
            <v>1</v>
          </cell>
          <cell r="R373">
            <v>1</v>
          </cell>
          <cell r="S373">
            <v>1</v>
          </cell>
          <cell r="T373">
            <v>1</v>
          </cell>
          <cell r="U373">
            <v>1</v>
          </cell>
          <cell r="V373">
            <v>1</v>
          </cell>
          <cell r="W373">
            <v>1</v>
          </cell>
          <cell r="X373">
            <v>1</v>
          </cell>
          <cell r="Y373">
            <v>1</v>
          </cell>
          <cell r="Z373">
            <v>1</v>
          </cell>
          <cell r="AA373">
            <v>1</v>
          </cell>
          <cell r="AB373">
            <v>1</v>
          </cell>
          <cell r="AC373">
            <v>1</v>
          </cell>
          <cell r="AD373">
            <v>1</v>
          </cell>
          <cell r="AE373">
            <v>1</v>
          </cell>
        </row>
        <row r="374">
          <cell r="K374" t="str">
            <v>Carpenter assistance</v>
          </cell>
          <cell r="L374">
            <v>1</v>
          </cell>
          <cell r="R374">
            <v>1</v>
          </cell>
          <cell r="S374">
            <v>1</v>
          </cell>
          <cell r="T374">
            <v>1</v>
          </cell>
          <cell r="U374">
            <v>1</v>
          </cell>
          <cell r="V374">
            <v>1</v>
          </cell>
          <cell r="W374">
            <v>1</v>
          </cell>
          <cell r="X374">
            <v>1</v>
          </cell>
          <cell r="Y374">
            <v>1</v>
          </cell>
          <cell r="Z374">
            <v>1</v>
          </cell>
          <cell r="AA374">
            <v>1</v>
          </cell>
          <cell r="AB374">
            <v>1</v>
          </cell>
          <cell r="AC374">
            <v>1</v>
          </cell>
          <cell r="AD374">
            <v>1</v>
          </cell>
          <cell r="AE374">
            <v>1</v>
          </cell>
        </row>
        <row r="375">
          <cell r="K375" t="str">
            <v>Steel fixer assistance</v>
          </cell>
          <cell r="L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row>
        <row r="376">
          <cell r="K376" t="str">
            <v>Mechanic assistance</v>
          </cell>
          <cell r="L376">
            <v>1</v>
          </cell>
          <cell r="R376">
            <v>1</v>
          </cell>
          <cell r="S376">
            <v>1</v>
          </cell>
          <cell r="T376">
            <v>1</v>
          </cell>
          <cell r="U376">
            <v>1</v>
          </cell>
          <cell r="V376">
            <v>1</v>
          </cell>
          <cell r="W376">
            <v>1</v>
          </cell>
          <cell r="X376">
            <v>1</v>
          </cell>
          <cell r="Y376">
            <v>1</v>
          </cell>
          <cell r="Z376">
            <v>1</v>
          </cell>
          <cell r="AA376">
            <v>1</v>
          </cell>
          <cell r="AB376">
            <v>1</v>
          </cell>
          <cell r="AC376">
            <v>1</v>
          </cell>
          <cell r="AD376">
            <v>1</v>
          </cell>
          <cell r="AE376">
            <v>1</v>
          </cell>
        </row>
        <row r="377">
          <cell r="K377" t="str">
            <v>Electrian assistance</v>
          </cell>
          <cell r="L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row>
        <row r="378">
          <cell r="K378" t="str">
            <v>Welder assistance</v>
          </cell>
          <cell r="L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row>
        <row r="379">
          <cell r="K379" t="str">
            <v>Tile fixer assistance</v>
          </cell>
          <cell r="L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row>
        <row r="380">
          <cell r="K380" t="str">
            <v>Concrete Labour</v>
          </cell>
          <cell r="L380">
            <v>1</v>
          </cell>
          <cell r="R380">
            <v>1</v>
          </cell>
          <cell r="S380">
            <v>1</v>
          </cell>
          <cell r="T380">
            <v>1</v>
          </cell>
          <cell r="U380">
            <v>1</v>
          </cell>
          <cell r="V380">
            <v>1</v>
          </cell>
          <cell r="W380">
            <v>1</v>
          </cell>
          <cell r="X380">
            <v>1</v>
          </cell>
          <cell r="Y380">
            <v>1</v>
          </cell>
          <cell r="Z380">
            <v>1</v>
          </cell>
          <cell r="AA380">
            <v>1</v>
          </cell>
          <cell r="AB380">
            <v>1</v>
          </cell>
          <cell r="AC380">
            <v>1</v>
          </cell>
          <cell r="AD380">
            <v>1</v>
          </cell>
          <cell r="AE380">
            <v>1</v>
          </cell>
        </row>
        <row r="381">
          <cell r="K381" t="str">
            <v>Office boy</v>
          </cell>
          <cell r="L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row>
        <row r="382">
          <cell r="K382" t="str">
            <v>GUARD</v>
          </cell>
          <cell r="L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row>
        <row r="383">
          <cell r="K383" t="str">
            <v>Normal Labour</v>
          </cell>
          <cell r="L383">
            <v>14</v>
          </cell>
          <cell r="R383">
            <v>14</v>
          </cell>
          <cell r="S383">
            <v>14</v>
          </cell>
          <cell r="T383">
            <v>14</v>
          </cell>
          <cell r="U383">
            <v>14</v>
          </cell>
          <cell r="V383">
            <v>14</v>
          </cell>
          <cell r="W383">
            <v>14</v>
          </cell>
          <cell r="X383">
            <v>14</v>
          </cell>
          <cell r="Y383">
            <v>14</v>
          </cell>
          <cell r="Z383">
            <v>14</v>
          </cell>
          <cell r="AA383">
            <v>14</v>
          </cell>
          <cell r="AB383">
            <v>14</v>
          </cell>
          <cell r="AC383">
            <v>14</v>
          </cell>
          <cell r="AD383">
            <v>12</v>
          </cell>
          <cell r="AE383">
            <v>2</v>
          </cell>
        </row>
      </sheetData>
      <sheetData sheetId="2"/>
      <sheetData sheetId="3"/>
      <sheetData sheetId="4" refreshError="1">
        <row r="1">
          <cell r="A1" t="str">
            <v>Mussafah Surface Water</v>
          </cell>
        </row>
        <row r="2">
          <cell r="A2" t="str">
            <v>(Contract No. 147/7D)</v>
          </cell>
        </row>
        <row r="3">
          <cell r="A3" t="str">
            <v>Equipment Resources Distribution</v>
          </cell>
        </row>
        <row r="5">
          <cell r="G5">
            <v>-1</v>
          </cell>
          <cell r="H5">
            <v>1</v>
          </cell>
          <cell r="I5">
            <v>2</v>
          </cell>
          <cell r="J5">
            <v>3</v>
          </cell>
          <cell r="K5">
            <v>4</v>
          </cell>
          <cell r="L5">
            <v>5</v>
          </cell>
          <cell r="M5">
            <v>6</v>
          </cell>
          <cell r="N5">
            <v>7</v>
          </cell>
          <cell r="O5">
            <v>8</v>
          </cell>
          <cell r="P5">
            <v>9</v>
          </cell>
          <cell r="Q5">
            <v>10</v>
          </cell>
          <cell r="R5">
            <v>11</v>
          </cell>
          <cell r="S5">
            <v>12</v>
          </cell>
          <cell r="T5">
            <v>13</v>
          </cell>
          <cell r="U5">
            <v>14</v>
          </cell>
          <cell r="V5">
            <v>15</v>
          </cell>
          <cell r="W5">
            <v>16</v>
          </cell>
          <cell r="X5">
            <v>17</v>
          </cell>
          <cell r="Y5">
            <v>18</v>
          </cell>
        </row>
        <row r="6">
          <cell r="C6" t="str">
            <v>Ownership</v>
          </cell>
          <cell r="F6" t="str">
            <v>Max</v>
          </cell>
          <cell r="G6">
            <v>1998</v>
          </cell>
          <cell r="J6">
            <v>1999</v>
          </cell>
          <cell r="V6">
            <v>2000</v>
          </cell>
        </row>
        <row r="7">
          <cell r="A7" t="str">
            <v>Equipment</v>
          </cell>
          <cell r="B7" t="str">
            <v>Type</v>
          </cell>
          <cell r="C7" t="str">
            <v>Owned</v>
          </cell>
          <cell r="D7" t="str">
            <v>Leased</v>
          </cell>
          <cell r="E7" t="str">
            <v>To be purchased</v>
          </cell>
          <cell r="F7" t="str">
            <v xml:space="preserve"> No.</v>
          </cell>
          <cell r="G7">
            <v>10</v>
          </cell>
          <cell r="H7">
            <v>11</v>
          </cell>
          <cell r="I7">
            <v>12</v>
          </cell>
          <cell r="J7">
            <v>1</v>
          </cell>
          <cell r="K7">
            <v>2</v>
          </cell>
          <cell r="L7">
            <v>3</v>
          </cell>
          <cell r="M7">
            <v>4</v>
          </cell>
          <cell r="N7">
            <v>5</v>
          </cell>
          <cell r="O7">
            <v>6</v>
          </cell>
          <cell r="P7">
            <v>7</v>
          </cell>
          <cell r="Q7">
            <v>8</v>
          </cell>
          <cell r="R7">
            <v>9</v>
          </cell>
          <cell r="S7">
            <v>10</v>
          </cell>
          <cell r="T7">
            <v>11</v>
          </cell>
          <cell r="U7">
            <v>12</v>
          </cell>
          <cell r="V7">
            <v>1</v>
          </cell>
          <cell r="W7">
            <v>2</v>
          </cell>
          <cell r="X7">
            <v>3</v>
          </cell>
          <cell r="Y7">
            <v>4</v>
          </cell>
        </row>
        <row r="8">
          <cell r="A8" t="str">
            <v>Excavator</v>
          </cell>
          <cell r="B8" t="str">
            <v>Cat235 / Komatsu400</v>
          </cell>
          <cell r="C8" t="str">
            <v>X</v>
          </cell>
          <cell r="F8">
            <v>2</v>
          </cell>
          <cell r="G8">
            <v>0</v>
          </cell>
          <cell r="H8">
            <v>2</v>
          </cell>
          <cell r="I8">
            <v>2</v>
          </cell>
          <cell r="J8">
            <v>2</v>
          </cell>
          <cell r="K8">
            <v>2</v>
          </cell>
          <cell r="L8">
            <v>2</v>
          </cell>
          <cell r="M8">
            <v>2</v>
          </cell>
          <cell r="N8">
            <v>2</v>
          </cell>
          <cell r="O8">
            <v>2</v>
          </cell>
          <cell r="P8">
            <v>2</v>
          </cell>
          <cell r="Q8">
            <v>2</v>
          </cell>
          <cell r="R8">
            <v>2</v>
          </cell>
          <cell r="S8">
            <v>2</v>
          </cell>
          <cell r="T8">
            <v>2</v>
          </cell>
          <cell r="U8">
            <v>2</v>
          </cell>
          <cell r="V8">
            <v>2</v>
          </cell>
          <cell r="W8">
            <v>2</v>
          </cell>
          <cell r="X8">
            <v>2</v>
          </cell>
          <cell r="Y8">
            <v>1</v>
          </cell>
        </row>
        <row r="9">
          <cell r="A9" t="str">
            <v>Excavator</v>
          </cell>
          <cell r="B9" t="str">
            <v>Komatsu 210</v>
          </cell>
          <cell r="C9" t="str">
            <v>X</v>
          </cell>
          <cell r="D9" t="str">
            <v>X</v>
          </cell>
          <cell r="F9">
            <v>4</v>
          </cell>
          <cell r="G9">
            <v>0</v>
          </cell>
          <cell r="H9">
            <v>2</v>
          </cell>
          <cell r="I9">
            <v>2</v>
          </cell>
          <cell r="J9">
            <v>2</v>
          </cell>
          <cell r="K9">
            <v>2</v>
          </cell>
          <cell r="L9">
            <v>4</v>
          </cell>
          <cell r="M9">
            <v>4</v>
          </cell>
          <cell r="N9">
            <v>4</v>
          </cell>
          <cell r="O9">
            <v>4</v>
          </cell>
          <cell r="P9">
            <v>4</v>
          </cell>
          <cell r="Q9">
            <v>4</v>
          </cell>
          <cell r="R9">
            <v>4</v>
          </cell>
          <cell r="S9">
            <v>4</v>
          </cell>
          <cell r="T9">
            <v>4</v>
          </cell>
          <cell r="U9">
            <v>4</v>
          </cell>
          <cell r="V9">
            <v>3</v>
          </cell>
          <cell r="W9">
            <v>3</v>
          </cell>
          <cell r="X9">
            <v>3</v>
          </cell>
          <cell r="Y9">
            <v>3</v>
          </cell>
        </row>
        <row r="10">
          <cell r="A10" t="str">
            <v>Crane</v>
          </cell>
          <cell r="B10" t="str">
            <v>70 ton</v>
          </cell>
          <cell r="D10" t="str">
            <v>X</v>
          </cell>
          <cell r="F10">
            <v>2</v>
          </cell>
          <cell r="G10">
            <v>0</v>
          </cell>
          <cell r="H10">
            <v>0</v>
          </cell>
          <cell r="I10">
            <v>1</v>
          </cell>
          <cell r="J10">
            <v>2</v>
          </cell>
          <cell r="K10">
            <v>1</v>
          </cell>
          <cell r="L10">
            <v>1</v>
          </cell>
          <cell r="M10">
            <v>1</v>
          </cell>
          <cell r="N10">
            <v>0</v>
          </cell>
          <cell r="O10">
            <v>0</v>
          </cell>
          <cell r="P10">
            <v>1</v>
          </cell>
          <cell r="Q10">
            <v>1</v>
          </cell>
          <cell r="R10">
            <v>0</v>
          </cell>
          <cell r="S10">
            <v>0</v>
          </cell>
          <cell r="T10">
            <v>0</v>
          </cell>
          <cell r="U10">
            <v>0</v>
          </cell>
          <cell r="V10">
            <v>0</v>
          </cell>
          <cell r="W10">
            <v>0</v>
          </cell>
          <cell r="X10">
            <v>0</v>
          </cell>
          <cell r="Y10">
            <v>0</v>
          </cell>
        </row>
        <row r="11">
          <cell r="A11" t="str">
            <v>Crane</v>
          </cell>
          <cell r="B11" t="str">
            <v>60 ton</v>
          </cell>
          <cell r="C11" t="str">
            <v>X</v>
          </cell>
          <cell r="F11">
            <v>1</v>
          </cell>
          <cell r="G11">
            <v>0</v>
          </cell>
          <cell r="H11">
            <v>0</v>
          </cell>
          <cell r="I11">
            <v>0</v>
          </cell>
          <cell r="J11">
            <v>0</v>
          </cell>
          <cell r="K11">
            <v>0</v>
          </cell>
          <cell r="L11">
            <v>0</v>
          </cell>
          <cell r="M11">
            <v>0</v>
          </cell>
          <cell r="N11">
            <v>1</v>
          </cell>
          <cell r="O11">
            <v>1</v>
          </cell>
          <cell r="P11">
            <v>0</v>
          </cell>
          <cell r="Q11">
            <v>1</v>
          </cell>
          <cell r="R11">
            <v>1</v>
          </cell>
          <cell r="S11">
            <v>1</v>
          </cell>
          <cell r="T11">
            <v>1</v>
          </cell>
          <cell r="U11">
            <v>1</v>
          </cell>
          <cell r="V11">
            <v>1</v>
          </cell>
          <cell r="W11">
            <v>1</v>
          </cell>
          <cell r="X11">
            <v>1</v>
          </cell>
          <cell r="Y11">
            <v>1</v>
          </cell>
        </row>
        <row r="12">
          <cell r="A12" t="str">
            <v>Crane</v>
          </cell>
          <cell r="B12" t="str">
            <v>35 ton</v>
          </cell>
          <cell r="C12" t="str">
            <v>X</v>
          </cell>
          <cell r="F12">
            <v>1</v>
          </cell>
          <cell r="G12">
            <v>0</v>
          </cell>
          <cell r="H12">
            <v>0</v>
          </cell>
          <cell r="I12">
            <v>1</v>
          </cell>
          <cell r="J12">
            <v>1</v>
          </cell>
          <cell r="K12">
            <v>1</v>
          </cell>
          <cell r="L12">
            <v>1</v>
          </cell>
          <cell r="M12">
            <v>1</v>
          </cell>
          <cell r="N12">
            <v>1</v>
          </cell>
          <cell r="O12">
            <v>1</v>
          </cell>
          <cell r="P12">
            <v>1</v>
          </cell>
          <cell r="Q12">
            <v>1</v>
          </cell>
          <cell r="R12">
            <v>1</v>
          </cell>
          <cell r="S12">
            <v>1</v>
          </cell>
          <cell r="T12">
            <v>1</v>
          </cell>
          <cell r="U12">
            <v>1</v>
          </cell>
          <cell r="V12">
            <v>1</v>
          </cell>
          <cell r="W12">
            <v>1</v>
          </cell>
          <cell r="X12">
            <v>1</v>
          </cell>
          <cell r="Y12">
            <v>1</v>
          </cell>
        </row>
        <row r="13">
          <cell r="A13" t="str">
            <v>Crane</v>
          </cell>
          <cell r="B13" t="str">
            <v>25 ton</v>
          </cell>
          <cell r="D13" t="str">
            <v>X</v>
          </cell>
          <cell r="F13">
            <v>1</v>
          </cell>
          <cell r="G13">
            <v>0</v>
          </cell>
          <cell r="H13">
            <v>0</v>
          </cell>
          <cell r="I13">
            <v>0</v>
          </cell>
          <cell r="J13">
            <v>0</v>
          </cell>
          <cell r="K13">
            <v>0</v>
          </cell>
          <cell r="L13">
            <v>1</v>
          </cell>
          <cell r="M13">
            <v>1</v>
          </cell>
          <cell r="N13">
            <v>1</v>
          </cell>
          <cell r="O13">
            <v>1</v>
          </cell>
          <cell r="P13">
            <v>1</v>
          </cell>
          <cell r="Q13">
            <v>1</v>
          </cell>
          <cell r="R13">
            <v>1</v>
          </cell>
          <cell r="S13">
            <v>1</v>
          </cell>
          <cell r="T13">
            <v>1</v>
          </cell>
          <cell r="U13">
            <v>1</v>
          </cell>
          <cell r="V13">
            <v>1</v>
          </cell>
          <cell r="W13">
            <v>1</v>
          </cell>
          <cell r="X13">
            <v>1</v>
          </cell>
          <cell r="Y13">
            <v>1</v>
          </cell>
        </row>
        <row r="14">
          <cell r="A14" t="str">
            <v>Flat Bed</v>
          </cell>
          <cell r="B14" t="str">
            <v>20 ton</v>
          </cell>
          <cell r="C14" t="str">
            <v>X</v>
          </cell>
          <cell r="F14">
            <v>2</v>
          </cell>
          <cell r="G14">
            <v>0</v>
          </cell>
          <cell r="H14">
            <v>1</v>
          </cell>
          <cell r="I14">
            <v>1</v>
          </cell>
          <cell r="J14">
            <v>1</v>
          </cell>
          <cell r="K14">
            <v>2</v>
          </cell>
          <cell r="L14">
            <v>1</v>
          </cell>
          <cell r="M14">
            <v>1</v>
          </cell>
          <cell r="N14">
            <v>1</v>
          </cell>
          <cell r="O14">
            <v>1</v>
          </cell>
          <cell r="P14">
            <v>1</v>
          </cell>
          <cell r="Q14">
            <v>1</v>
          </cell>
          <cell r="R14">
            <v>1</v>
          </cell>
          <cell r="S14">
            <v>1</v>
          </cell>
          <cell r="T14">
            <v>1</v>
          </cell>
          <cell r="U14">
            <v>1</v>
          </cell>
          <cell r="V14">
            <v>1</v>
          </cell>
          <cell r="W14">
            <v>1</v>
          </cell>
          <cell r="X14">
            <v>1</v>
          </cell>
          <cell r="Y14">
            <v>1</v>
          </cell>
        </row>
        <row r="15">
          <cell r="A15" t="str">
            <v>Loader</v>
          </cell>
          <cell r="B15" t="str">
            <v>3 m3</v>
          </cell>
          <cell r="D15" t="str">
            <v>X</v>
          </cell>
          <cell r="F15">
            <v>4</v>
          </cell>
          <cell r="G15">
            <v>0</v>
          </cell>
          <cell r="H15">
            <v>2</v>
          </cell>
          <cell r="I15">
            <v>3</v>
          </cell>
          <cell r="J15">
            <v>2</v>
          </cell>
          <cell r="K15">
            <v>2</v>
          </cell>
          <cell r="L15">
            <v>2</v>
          </cell>
          <cell r="M15">
            <v>4</v>
          </cell>
          <cell r="N15">
            <v>3</v>
          </cell>
          <cell r="O15">
            <v>3</v>
          </cell>
          <cell r="P15">
            <v>3</v>
          </cell>
          <cell r="Q15">
            <v>3</v>
          </cell>
          <cell r="R15">
            <v>3</v>
          </cell>
          <cell r="S15">
            <v>3</v>
          </cell>
          <cell r="T15">
            <v>3</v>
          </cell>
          <cell r="U15">
            <v>3</v>
          </cell>
          <cell r="V15">
            <v>3</v>
          </cell>
          <cell r="W15">
            <v>3</v>
          </cell>
          <cell r="X15">
            <v>3</v>
          </cell>
          <cell r="Y15">
            <v>3</v>
          </cell>
        </row>
        <row r="16">
          <cell r="A16" t="str">
            <v>Roller Compactor</v>
          </cell>
          <cell r="B16" t="str">
            <v>1 ton</v>
          </cell>
          <cell r="C16" t="str">
            <v>X</v>
          </cell>
          <cell r="F16">
            <v>3</v>
          </cell>
          <cell r="G16">
            <v>0</v>
          </cell>
          <cell r="H16">
            <v>1</v>
          </cell>
          <cell r="I16">
            <v>2</v>
          </cell>
          <cell r="J16">
            <v>2</v>
          </cell>
          <cell r="K16">
            <v>2</v>
          </cell>
          <cell r="L16">
            <v>3</v>
          </cell>
          <cell r="M16">
            <v>3</v>
          </cell>
          <cell r="N16">
            <v>3</v>
          </cell>
          <cell r="O16">
            <v>3</v>
          </cell>
          <cell r="P16">
            <v>3</v>
          </cell>
          <cell r="Q16">
            <v>3</v>
          </cell>
          <cell r="R16">
            <v>3</v>
          </cell>
          <cell r="S16">
            <v>3</v>
          </cell>
          <cell r="T16">
            <v>3</v>
          </cell>
          <cell r="U16">
            <v>3</v>
          </cell>
          <cell r="V16">
            <v>3</v>
          </cell>
          <cell r="W16">
            <v>3</v>
          </cell>
          <cell r="X16">
            <v>3</v>
          </cell>
          <cell r="Y16">
            <v>3</v>
          </cell>
        </row>
        <row r="17">
          <cell r="A17" t="str">
            <v>Plate Compactor</v>
          </cell>
          <cell r="C17" t="str">
            <v>X</v>
          </cell>
          <cell r="F17">
            <v>1</v>
          </cell>
          <cell r="G17">
            <v>0</v>
          </cell>
          <cell r="H17">
            <v>0</v>
          </cell>
          <cell r="I17">
            <v>0</v>
          </cell>
          <cell r="J17">
            <v>0</v>
          </cell>
          <cell r="K17">
            <v>0</v>
          </cell>
          <cell r="L17">
            <v>0</v>
          </cell>
          <cell r="M17">
            <v>0</v>
          </cell>
          <cell r="N17">
            <v>0</v>
          </cell>
          <cell r="O17">
            <v>0</v>
          </cell>
          <cell r="P17">
            <v>1</v>
          </cell>
          <cell r="Q17">
            <v>1</v>
          </cell>
          <cell r="R17">
            <v>1</v>
          </cell>
          <cell r="S17">
            <v>0</v>
          </cell>
          <cell r="T17">
            <v>0</v>
          </cell>
          <cell r="U17">
            <v>0</v>
          </cell>
          <cell r="V17">
            <v>0</v>
          </cell>
          <cell r="W17">
            <v>0</v>
          </cell>
          <cell r="X17">
            <v>0</v>
          </cell>
          <cell r="Y17">
            <v>0</v>
          </cell>
        </row>
        <row r="18">
          <cell r="A18" t="str">
            <v>Truck</v>
          </cell>
          <cell r="B18" t="str">
            <v>20 m3</v>
          </cell>
          <cell r="D18" t="str">
            <v>X</v>
          </cell>
          <cell r="F18">
            <v>2</v>
          </cell>
          <cell r="G18">
            <v>0</v>
          </cell>
          <cell r="H18">
            <v>2</v>
          </cell>
          <cell r="I18">
            <v>2</v>
          </cell>
          <cell r="J18">
            <v>2</v>
          </cell>
          <cell r="K18">
            <v>2</v>
          </cell>
          <cell r="L18">
            <v>2</v>
          </cell>
          <cell r="M18">
            <v>2</v>
          </cell>
          <cell r="N18">
            <v>2</v>
          </cell>
          <cell r="O18">
            <v>2</v>
          </cell>
          <cell r="P18">
            <v>2</v>
          </cell>
          <cell r="Q18">
            <v>2</v>
          </cell>
          <cell r="R18">
            <v>2</v>
          </cell>
          <cell r="S18">
            <v>2</v>
          </cell>
          <cell r="T18">
            <v>2</v>
          </cell>
          <cell r="U18">
            <v>2</v>
          </cell>
          <cell r="V18">
            <v>2</v>
          </cell>
          <cell r="W18">
            <v>2</v>
          </cell>
          <cell r="X18">
            <v>2</v>
          </cell>
          <cell r="Y18">
            <v>2</v>
          </cell>
        </row>
        <row r="19">
          <cell r="A19" t="str">
            <v>Well Point</v>
          </cell>
          <cell r="B19" t="str">
            <v>7m</v>
          </cell>
          <cell r="C19" t="str">
            <v>X</v>
          </cell>
          <cell r="F19">
            <v>800</v>
          </cell>
          <cell r="G19">
            <v>0</v>
          </cell>
          <cell r="H19">
            <v>600</v>
          </cell>
          <cell r="I19">
            <v>800</v>
          </cell>
          <cell r="J19">
            <v>800</v>
          </cell>
          <cell r="K19">
            <v>800</v>
          </cell>
          <cell r="L19">
            <v>800</v>
          </cell>
          <cell r="M19">
            <v>800</v>
          </cell>
          <cell r="N19">
            <v>800</v>
          </cell>
          <cell r="O19">
            <v>800</v>
          </cell>
          <cell r="P19">
            <v>800</v>
          </cell>
          <cell r="Q19">
            <v>800</v>
          </cell>
          <cell r="R19">
            <v>800</v>
          </cell>
          <cell r="S19">
            <v>800</v>
          </cell>
          <cell r="T19">
            <v>800</v>
          </cell>
          <cell r="U19">
            <v>800</v>
          </cell>
          <cell r="V19">
            <v>800</v>
          </cell>
          <cell r="W19">
            <v>800</v>
          </cell>
          <cell r="X19">
            <v>800</v>
          </cell>
          <cell r="Y19">
            <v>600</v>
          </cell>
        </row>
        <row r="20">
          <cell r="A20" t="str">
            <v>Well Point</v>
          </cell>
          <cell r="B20" t="str">
            <v>6m</v>
          </cell>
          <cell r="C20" t="str">
            <v>X</v>
          </cell>
          <cell r="E20" t="str">
            <v>X</v>
          </cell>
          <cell r="F20">
            <v>500</v>
          </cell>
          <cell r="G20">
            <v>0</v>
          </cell>
          <cell r="H20">
            <v>0</v>
          </cell>
          <cell r="I20">
            <v>300</v>
          </cell>
          <cell r="J20">
            <v>300</v>
          </cell>
          <cell r="K20">
            <v>300</v>
          </cell>
          <cell r="L20">
            <v>500</v>
          </cell>
          <cell r="M20">
            <v>500</v>
          </cell>
          <cell r="N20">
            <v>500</v>
          </cell>
          <cell r="O20">
            <v>500</v>
          </cell>
          <cell r="P20">
            <v>500</v>
          </cell>
          <cell r="Q20">
            <v>500</v>
          </cell>
          <cell r="R20">
            <v>500</v>
          </cell>
          <cell r="S20">
            <v>500</v>
          </cell>
          <cell r="T20">
            <v>500</v>
          </cell>
          <cell r="U20">
            <v>500</v>
          </cell>
          <cell r="V20">
            <v>500</v>
          </cell>
          <cell r="W20">
            <v>500</v>
          </cell>
          <cell r="X20">
            <v>500</v>
          </cell>
          <cell r="Y20">
            <v>500</v>
          </cell>
        </row>
        <row r="21">
          <cell r="A21" t="str">
            <v xml:space="preserve">Pump </v>
          </cell>
          <cell r="B21" t="str">
            <v>32 HP</v>
          </cell>
          <cell r="C21" t="str">
            <v>X</v>
          </cell>
          <cell r="F21">
            <v>9</v>
          </cell>
          <cell r="G21">
            <v>0</v>
          </cell>
          <cell r="H21">
            <v>6</v>
          </cell>
          <cell r="I21">
            <v>8</v>
          </cell>
          <cell r="J21">
            <v>8</v>
          </cell>
          <cell r="K21">
            <v>8</v>
          </cell>
          <cell r="L21">
            <v>9</v>
          </cell>
          <cell r="M21">
            <v>9</v>
          </cell>
          <cell r="N21">
            <v>9</v>
          </cell>
          <cell r="O21">
            <v>9</v>
          </cell>
          <cell r="P21">
            <v>9</v>
          </cell>
          <cell r="Q21">
            <v>9</v>
          </cell>
          <cell r="R21">
            <v>9</v>
          </cell>
          <cell r="S21">
            <v>9</v>
          </cell>
          <cell r="T21">
            <v>9</v>
          </cell>
          <cell r="U21">
            <v>9</v>
          </cell>
          <cell r="V21">
            <v>9</v>
          </cell>
          <cell r="W21">
            <v>9</v>
          </cell>
          <cell r="X21">
            <v>9</v>
          </cell>
          <cell r="Y21">
            <v>9</v>
          </cell>
        </row>
        <row r="22">
          <cell r="A22" t="str">
            <v xml:space="preserve">Pump </v>
          </cell>
          <cell r="B22" t="str">
            <v>12 HP</v>
          </cell>
          <cell r="C22" t="str">
            <v>X</v>
          </cell>
          <cell r="F22">
            <v>4</v>
          </cell>
          <cell r="G22">
            <v>0</v>
          </cell>
          <cell r="H22">
            <v>0</v>
          </cell>
          <cell r="I22">
            <v>3</v>
          </cell>
          <cell r="J22">
            <v>3</v>
          </cell>
          <cell r="K22">
            <v>3</v>
          </cell>
          <cell r="L22">
            <v>4</v>
          </cell>
          <cell r="M22">
            <v>4</v>
          </cell>
          <cell r="N22">
            <v>4</v>
          </cell>
          <cell r="O22">
            <v>4</v>
          </cell>
          <cell r="P22">
            <v>4</v>
          </cell>
          <cell r="Q22">
            <v>4</v>
          </cell>
          <cell r="R22">
            <v>4</v>
          </cell>
          <cell r="S22">
            <v>4</v>
          </cell>
          <cell r="T22">
            <v>4</v>
          </cell>
          <cell r="U22">
            <v>4</v>
          </cell>
          <cell r="V22">
            <v>4</v>
          </cell>
          <cell r="W22">
            <v>4</v>
          </cell>
          <cell r="X22">
            <v>4</v>
          </cell>
          <cell r="Y22">
            <v>4</v>
          </cell>
        </row>
        <row r="23">
          <cell r="A23" t="str">
            <v>Submerged Pump</v>
          </cell>
          <cell r="C23" t="str">
            <v>X</v>
          </cell>
          <cell r="F23">
            <v>2</v>
          </cell>
          <cell r="G23">
            <v>0</v>
          </cell>
          <cell r="H23">
            <v>0</v>
          </cell>
          <cell r="I23">
            <v>0</v>
          </cell>
          <cell r="J23">
            <v>0</v>
          </cell>
          <cell r="K23">
            <v>0</v>
          </cell>
          <cell r="L23">
            <v>0</v>
          </cell>
          <cell r="M23">
            <v>2</v>
          </cell>
          <cell r="N23">
            <v>2</v>
          </cell>
          <cell r="O23">
            <v>2</v>
          </cell>
          <cell r="P23">
            <v>2</v>
          </cell>
          <cell r="Q23">
            <v>0</v>
          </cell>
          <cell r="R23">
            <v>0</v>
          </cell>
          <cell r="S23">
            <v>0</v>
          </cell>
          <cell r="T23">
            <v>0</v>
          </cell>
          <cell r="U23">
            <v>0</v>
          </cell>
          <cell r="V23">
            <v>0</v>
          </cell>
          <cell r="W23">
            <v>0</v>
          </cell>
          <cell r="X23">
            <v>0</v>
          </cell>
          <cell r="Y23">
            <v>0</v>
          </cell>
        </row>
        <row r="24">
          <cell r="A24" t="str">
            <v>Jetting Pump</v>
          </cell>
          <cell r="C24" t="str">
            <v>X</v>
          </cell>
          <cell r="F24">
            <v>1</v>
          </cell>
          <cell r="G24">
            <v>0</v>
          </cell>
          <cell r="H24">
            <v>1</v>
          </cell>
          <cell r="I24">
            <v>1</v>
          </cell>
          <cell r="J24">
            <v>1</v>
          </cell>
          <cell r="K24">
            <v>1</v>
          </cell>
          <cell r="L24">
            <v>1</v>
          </cell>
          <cell r="M24">
            <v>1</v>
          </cell>
          <cell r="N24">
            <v>1</v>
          </cell>
          <cell r="O24">
            <v>1</v>
          </cell>
          <cell r="P24">
            <v>1</v>
          </cell>
          <cell r="Q24">
            <v>1</v>
          </cell>
          <cell r="R24">
            <v>1</v>
          </cell>
          <cell r="S24">
            <v>1</v>
          </cell>
          <cell r="T24">
            <v>1</v>
          </cell>
          <cell r="U24">
            <v>1</v>
          </cell>
          <cell r="V24">
            <v>1</v>
          </cell>
          <cell r="W24">
            <v>1</v>
          </cell>
          <cell r="X24">
            <v>1</v>
          </cell>
          <cell r="Y24">
            <v>1</v>
          </cell>
        </row>
        <row r="25">
          <cell r="A25" t="str">
            <v>Auger</v>
          </cell>
          <cell r="C25" t="str">
            <v>X</v>
          </cell>
          <cell r="F25">
            <v>1</v>
          </cell>
          <cell r="G25">
            <v>0</v>
          </cell>
          <cell r="H25">
            <v>1</v>
          </cell>
          <cell r="I25">
            <v>1</v>
          </cell>
          <cell r="J25">
            <v>1</v>
          </cell>
          <cell r="K25">
            <v>1</v>
          </cell>
          <cell r="L25">
            <v>1</v>
          </cell>
          <cell r="M25">
            <v>1</v>
          </cell>
          <cell r="N25">
            <v>1</v>
          </cell>
          <cell r="O25">
            <v>1</v>
          </cell>
          <cell r="P25">
            <v>1</v>
          </cell>
          <cell r="Q25">
            <v>1</v>
          </cell>
          <cell r="R25">
            <v>1</v>
          </cell>
          <cell r="S25">
            <v>1</v>
          </cell>
          <cell r="T25">
            <v>1</v>
          </cell>
          <cell r="U25">
            <v>1</v>
          </cell>
          <cell r="V25">
            <v>1</v>
          </cell>
          <cell r="W25">
            <v>1</v>
          </cell>
          <cell r="X25">
            <v>1</v>
          </cell>
          <cell r="Y25">
            <v>1</v>
          </cell>
        </row>
        <row r="26">
          <cell r="A26" t="str">
            <v>Piles Machine</v>
          </cell>
          <cell r="D26" t="str">
            <v>X</v>
          </cell>
          <cell r="F26">
            <v>1</v>
          </cell>
          <cell r="G26">
            <v>0</v>
          </cell>
          <cell r="H26">
            <v>0</v>
          </cell>
          <cell r="I26">
            <v>0</v>
          </cell>
          <cell r="J26">
            <v>1</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row>
        <row r="27">
          <cell r="A27" t="str">
            <v>Sheet Piles</v>
          </cell>
          <cell r="B27" t="str">
            <v>(12m Long) in L.M.</v>
          </cell>
          <cell r="D27" t="str">
            <v>X</v>
          </cell>
          <cell r="F27">
            <v>240</v>
          </cell>
          <cell r="G27">
            <v>0</v>
          </cell>
          <cell r="H27">
            <v>0</v>
          </cell>
          <cell r="I27">
            <v>0</v>
          </cell>
          <cell r="J27">
            <v>0</v>
          </cell>
          <cell r="K27">
            <v>100</v>
          </cell>
          <cell r="L27">
            <v>240</v>
          </cell>
          <cell r="M27">
            <v>240</v>
          </cell>
          <cell r="N27">
            <v>240</v>
          </cell>
          <cell r="O27">
            <v>240</v>
          </cell>
          <cell r="P27">
            <v>240</v>
          </cell>
          <cell r="Q27">
            <v>0</v>
          </cell>
          <cell r="R27">
            <v>0</v>
          </cell>
          <cell r="S27">
            <v>0</v>
          </cell>
          <cell r="T27">
            <v>0</v>
          </cell>
          <cell r="U27">
            <v>0</v>
          </cell>
          <cell r="V27">
            <v>0</v>
          </cell>
          <cell r="W27">
            <v>0</v>
          </cell>
          <cell r="X27">
            <v>0</v>
          </cell>
          <cell r="Y27">
            <v>0</v>
          </cell>
        </row>
        <row r="28">
          <cell r="A28" t="str">
            <v>Water Tanker</v>
          </cell>
          <cell r="F28">
            <v>1</v>
          </cell>
          <cell r="G28">
            <v>0</v>
          </cell>
          <cell r="H28">
            <v>1</v>
          </cell>
          <cell r="I28">
            <v>1</v>
          </cell>
          <cell r="J28">
            <v>1</v>
          </cell>
          <cell r="K28">
            <v>1</v>
          </cell>
          <cell r="L28">
            <v>1</v>
          </cell>
          <cell r="M28">
            <v>1</v>
          </cell>
          <cell r="N28">
            <v>1</v>
          </cell>
          <cell r="O28">
            <v>1</v>
          </cell>
          <cell r="P28">
            <v>1</v>
          </cell>
          <cell r="Q28">
            <v>1</v>
          </cell>
          <cell r="R28">
            <v>1</v>
          </cell>
          <cell r="S28">
            <v>1</v>
          </cell>
          <cell r="T28">
            <v>1</v>
          </cell>
          <cell r="U28">
            <v>1</v>
          </cell>
          <cell r="V28">
            <v>1</v>
          </cell>
          <cell r="W28">
            <v>1</v>
          </cell>
          <cell r="X28">
            <v>1</v>
          </cell>
          <cell r="Y28">
            <v>1</v>
          </cell>
        </row>
        <row r="29">
          <cell r="A29" t="str">
            <v>Compressor</v>
          </cell>
          <cell r="C29" t="str">
            <v>X</v>
          </cell>
          <cell r="F29">
            <v>1</v>
          </cell>
          <cell r="G29">
            <v>0</v>
          </cell>
          <cell r="H29">
            <v>1</v>
          </cell>
          <cell r="I29">
            <v>1</v>
          </cell>
          <cell r="J29">
            <v>1</v>
          </cell>
          <cell r="K29">
            <v>1</v>
          </cell>
          <cell r="L29">
            <v>1</v>
          </cell>
          <cell r="M29">
            <v>1</v>
          </cell>
          <cell r="N29">
            <v>1</v>
          </cell>
          <cell r="O29">
            <v>1</v>
          </cell>
          <cell r="P29">
            <v>1</v>
          </cell>
          <cell r="Q29">
            <v>1</v>
          </cell>
          <cell r="R29">
            <v>1</v>
          </cell>
          <cell r="S29">
            <v>1</v>
          </cell>
          <cell r="T29">
            <v>1</v>
          </cell>
          <cell r="U29">
            <v>1</v>
          </cell>
          <cell r="V29">
            <v>1</v>
          </cell>
          <cell r="W29">
            <v>1</v>
          </cell>
          <cell r="X29">
            <v>1</v>
          </cell>
          <cell r="Y29">
            <v>1</v>
          </cell>
        </row>
        <row r="30">
          <cell r="A30" t="str">
            <v>Welding Machine</v>
          </cell>
          <cell r="C30" t="str">
            <v>X</v>
          </cell>
          <cell r="F30">
            <v>2</v>
          </cell>
          <cell r="G30">
            <v>0</v>
          </cell>
          <cell r="H30">
            <v>2</v>
          </cell>
          <cell r="I30">
            <v>2</v>
          </cell>
          <cell r="J30">
            <v>2</v>
          </cell>
          <cell r="K30">
            <v>2</v>
          </cell>
          <cell r="L30">
            <v>2</v>
          </cell>
          <cell r="M30">
            <v>2</v>
          </cell>
          <cell r="N30">
            <v>1</v>
          </cell>
          <cell r="O30">
            <v>1</v>
          </cell>
          <cell r="P30">
            <v>1</v>
          </cell>
          <cell r="Q30">
            <v>1</v>
          </cell>
          <cell r="R30">
            <v>1</v>
          </cell>
          <cell r="S30">
            <v>1</v>
          </cell>
          <cell r="T30">
            <v>1</v>
          </cell>
          <cell r="U30">
            <v>1</v>
          </cell>
          <cell r="V30">
            <v>1</v>
          </cell>
          <cell r="W30">
            <v>0</v>
          </cell>
          <cell r="X30">
            <v>0</v>
          </cell>
          <cell r="Y30">
            <v>0</v>
          </cell>
        </row>
        <row r="31">
          <cell r="A31" t="str">
            <v>Vibrator</v>
          </cell>
          <cell r="C31" t="str">
            <v>X</v>
          </cell>
          <cell r="F31">
            <v>4</v>
          </cell>
          <cell r="G31">
            <v>0</v>
          </cell>
          <cell r="H31">
            <v>4</v>
          </cell>
          <cell r="I31">
            <v>4</v>
          </cell>
          <cell r="J31">
            <v>3</v>
          </cell>
          <cell r="K31">
            <v>2</v>
          </cell>
          <cell r="L31">
            <v>2</v>
          </cell>
          <cell r="M31">
            <v>2</v>
          </cell>
          <cell r="N31">
            <v>2</v>
          </cell>
          <cell r="O31">
            <v>2</v>
          </cell>
          <cell r="P31">
            <v>2</v>
          </cell>
          <cell r="Q31">
            <v>2</v>
          </cell>
          <cell r="R31">
            <v>2</v>
          </cell>
          <cell r="S31">
            <v>2</v>
          </cell>
          <cell r="T31">
            <v>2</v>
          </cell>
          <cell r="U31">
            <v>2</v>
          </cell>
          <cell r="V31">
            <v>2</v>
          </cell>
          <cell r="W31">
            <v>2</v>
          </cell>
          <cell r="X31">
            <v>2</v>
          </cell>
          <cell r="Y31">
            <v>2</v>
          </cell>
        </row>
        <row r="32">
          <cell r="A32" t="str">
            <v>Pick Up</v>
          </cell>
          <cell r="D32" t="str">
            <v>X</v>
          </cell>
          <cell r="F32">
            <v>2</v>
          </cell>
          <cell r="G32">
            <v>0</v>
          </cell>
          <cell r="H32">
            <v>2</v>
          </cell>
          <cell r="I32">
            <v>2</v>
          </cell>
          <cell r="J32">
            <v>2</v>
          </cell>
          <cell r="K32">
            <v>2</v>
          </cell>
          <cell r="L32">
            <v>2</v>
          </cell>
          <cell r="M32">
            <v>2</v>
          </cell>
          <cell r="N32">
            <v>2</v>
          </cell>
          <cell r="O32">
            <v>2</v>
          </cell>
          <cell r="P32">
            <v>2</v>
          </cell>
          <cell r="Q32">
            <v>2</v>
          </cell>
          <cell r="R32">
            <v>2</v>
          </cell>
          <cell r="S32">
            <v>2</v>
          </cell>
          <cell r="T32">
            <v>2</v>
          </cell>
          <cell r="U32">
            <v>2</v>
          </cell>
          <cell r="V32">
            <v>2</v>
          </cell>
          <cell r="W32">
            <v>2</v>
          </cell>
          <cell r="X32">
            <v>2</v>
          </cell>
          <cell r="Y32">
            <v>2</v>
          </cell>
        </row>
        <row r="33">
          <cell r="A33" t="str">
            <v>4*4 Wheel Drive</v>
          </cell>
          <cell r="C33" t="str">
            <v>X</v>
          </cell>
          <cell r="D33" t="str">
            <v>X</v>
          </cell>
          <cell r="F33">
            <v>4</v>
          </cell>
          <cell r="G33">
            <v>1</v>
          </cell>
          <cell r="H33">
            <v>3</v>
          </cell>
          <cell r="I33">
            <v>3</v>
          </cell>
          <cell r="J33">
            <v>3</v>
          </cell>
          <cell r="K33">
            <v>3</v>
          </cell>
          <cell r="L33">
            <v>4</v>
          </cell>
          <cell r="M33">
            <v>4</v>
          </cell>
          <cell r="N33">
            <v>4</v>
          </cell>
          <cell r="O33">
            <v>4</v>
          </cell>
          <cell r="P33">
            <v>4</v>
          </cell>
          <cell r="Q33">
            <v>4</v>
          </cell>
          <cell r="R33">
            <v>4</v>
          </cell>
          <cell r="S33">
            <v>4</v>
          </cell>
          <cell r="T33">
            <v>4</v>
          </cell>
          <cell r="U33">
            <v>4</v>
          </cell>
          <cell r="V33">
            <v>4</v>
          </cell>
          <cell r="W33">
            <v>4</v>
          </cell>
          <cell r="X33">
            <v>4</v>
          </cell>
          <cell r="Y33">
            <v>4</v>
          </cell>
        </row>
        <row r="34">
          <cell r="A34" t="str">
            <v>Minibus</v>
          </cell>
          <cell r="C34" t="str">
            <v>X</v>
          </cell>
          <cell r="F34">
            <v>1</v>
          </cell>
          <cell r="G34">
            <v>0</v>
          </cell>
          <cell r="H34">
            <v>0</v>
          </cell>
          <cell r="I34">
            <v>1</v>
          </cell>
          <cell r="J34">
            <v>1</v>
          </cell>
          <cell r="K34">
            <v>1</v>
          </cell>
          <cell r="L34">
            <v>1</v>
          </cell>
          <cell r="M34">
            <v>1</v>
          </cell>
          <cell r="N34">
            <v>1</v>
          </cell>
          <cell r="O34">
            <v>1</v>
          </cell>
          <cell r="P34">
            <v>1</v>
          </cell>
          <cell r="Q34">
            <v>1</v>
          </cell>
          <cell r="R34">
            <v>1</v>
          </cell>
          <cell r="S34">
            <v>1</v>
          </cell>
          <cell r="T34">
            <v>1</v>
          </cell>
          <cell r="U34">
            <v>1</v>
          </cell>
          <cell r="V34">
            <v>1</v>
          </cell>
          <cell r="W34">
            <v>1</v>
          </cell>
          <cell r="X34">
            <v>1</v>
          </cell>
          <cell r="Y34">
            <v>1</v>
          </cell>
        </row>
        <row r="35">
          <cell r="A35" t="str">
            <v>Generator</v>
          </cell>
          <cell r="C35" t="str">
            <v>X</v>
          </cell>
          <cell r="F35">
            <v>2</v>
          </cell>
          <cell r="G35">
            <v>0</v>
          </cell>
          <cell r="H35">
            <v>0</v>
          </cell>
          <cell r="I35">
            <v>2</v>
          </cell>
          <cell r="J35">
            <v>2</v>
          </cell>
          <cell r="K35">
            <v>2</v>
          </cell>
          <cell r="L35">
            <v>2</v>
          </cell>
          <cell r="M35">
            <v>2</v>
          </cell>
          <cell r="N35">
            <v>2</v>
          </cell>
          <cell r="O35">
            <v>2</v>
          </cell>
          <cell r="P35">
            <v>2</v>
          </cell>
          <cell r="Q35">
            <v>2</v>
          </cell>
          <cell r="R35">
            <v>2</v>
          </cell>
          <cell r="S35">
            <v>2</v>
          </cell>
          <cell r="T35">
            <v>2</v>
          </cell>
          <cell r="U35">
            <v>2</v>
          </cell>
          <cell r="V35">
            <v>2</v>
          </cell>
          <cell r="W35">
            <v>2</v>
          </cell>
          <cell r="X35">
            <v>2</v>
          </cell>
          <cell r="Y35">
            <v>2</v>
          </cell>
        </row>
        <row r="40">
          <cell r="A40" t="str">
            <v>General</v>
          </cell>
          <cell r="G40">
            <v>-1</v>
          </cell>
          <cell r="H40">
            <v>1</v>
          </cell>
          <cell r="I40">
            <v>2</v>
          </cell>
          <cell r="J40">
            <v>3</v>
          </cell>
          <cell r="K40">
            <v>4</v>
          </cell>
          <cell r="L40">
            <v>5</v>
          </cell>
          <cell r="M40">
            <v>6</v>
          </cell>
          <cell r="N40">
            <v>7</v>
          </cell>
          <cell r="O40">
            <v>8</v>
          </cell>
          <cell r="P40">
            <v>9</v>
          </cell>
          <cell r="Q40">
            <v>10</v>
          </cell>
          <cell r="R40">
            <v>11</v>
          </cell>
          <cell r="S40">
            <v>12</v>
          </cell>
          <cell r="T40">
            <v>13</v>
          </cell>
          <cell r="U40">
            <v>14</v>
          </cell>
          <cell r="V40">
            <v>15</v>
          </cell>
          <cell r="W40">
            <v>16</v>
          </cell>
          <cell r="X40">
            <v>17</v>
          </cell>
          <cell r="Y40">
            <v>18</v>
          </cell>
        </row>
        <row r="41">
          <cell r="C41" t="str">
            <v>Ownership</v>
          </cell>
          <cell r="F41" t="str">
            <v>Max</v>
          </cell>
          <cell r="J41">
            <v>1998</v>
          </cell>
          <cell r="V41">
            <v>2000</v>
          </cell>
        </row>
        <row r="42">
          <cell r="A42" t="str">
            <v>Equipment</v>
          </cell>
          <cell r="B42" t="str">
            <v>Type</v>
          </cell>
          <cell r="C42" t="str">
            <v>Owned</v>
          </cell>
          <cell r="D42" t="str">
            <v>Leased</v>
          </cell>
          <cell r="E42" t="str">
            <v>To be purchased</v>
          </cell>
          <cell r="F42" t="str">
            <v xml:space="preserve"> No.</v>
          </cell>
          <cell r="G42">
            <v>10</v>
          </cell>
          <cell r="H42">
            <v>11</v>
          </cell>
          <cell r="I42">
            <v>12</v>
          </cell>
          <cell r="J42">
            <v>1</v>
          </cell>
          <cell r="K42">
            <v>2</v>
          </cell>
          <cell r="L42">
            <v>3</v>
          </cell>
          <cell r="M42">
            <v>4</v>
          </cell>
          <cell r="N42">
            <v>5</v>
          </cell>
          <cell r="O42">
            <v>6</v>
          </cell>
          <cell r="P42">
            <v>7</v>
          </cell>
          <cell r="Q42">
            <v>8</v>
          </cell>
          <cell r="R42">
            <v>9</v>
          </cell>
          <cell r="S42">
            <v>10</v>
          </cell>
          <cell r="T42">
            <v>11</v>
          </cell>
          <cell r="U42">
            <v>12</v>
          </cell>
          <cell r="V42">
            <v>1</v>
          </cell>
          <cell r="W42">
            <v>2</v>
          </cell>
          <cell r="X42">
            <v>3</v>
          </cell>
          <cell r="Y42">
            <v>4</v>
          </cell>
        </row>
        <row r="43">
          <cell r="A43" t="str">
            <v>Excavator</v>
          </cell>
          <cell r="B43" t="str">
            <v>Cutrpler235/Komatsu400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row>
        <row r="44">
          <cell r="A44" t="str">
            <v>Excavator</v>
          </cell>
          <cell r="B44" t="str">
            <v>Komatsu 210</v>
          </cell>
          <cell r="H44">
            <v>1</v>
          </cell>
          <cell r="I44">
            <v>1</v>
          </cell>
          <cell r="J44">
            <v>1</v>
          </cell>
          <cell r="K44">
            <v>1</v>
          </cell>
          <cell r="L44">
            <v>1</v>
          </cell>
          <cell r="M44">
            <v>1</v>
          </cell>
          <cell r="N44">
            <v>1</v>
          </cell>
          <cell r="O44">
            <v>1</v>
          </cell>
          <cell r="P44">
            <v>1</v>
          </cell>
          <cell r="Q44">
            <v>1</v>
          </cell>
          <cell r="R44">
            <v>1</v>
          </cell>
          <cell r="S44">
            <v>1</v>
          </cell>
          <cell r="T44">
            <v>1</v>
          </cell>
          <cell r="U44">
            <v>1</v>
          </cell>
          <cell r="V44">
            <v>1</v>
          </cell>
          <cell r="W44">
            <v>1</v>
          </cell>
          <cell r="X44">
            <v>1</v>
          </cell>
          <cell r="Y44">
            <v>1</v>
          </cell>
        </row>
        <row r="45">
          <cell r="A45" t="str">
            <v>Crane</v>
          </cell>
          <cell r="B45" t="str">
            <v>70 ton</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row>
        <row r="46">
          <cell r="A46" t="str">
            <v>Crane</v>
          </cell>
          <cell r="B46" t="str">
            <v>60 ton</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row>
        <row r="47">
          <cell r="A47" t="str">
            <v>Crane</v>
          </cell>
          <cell r="B47" t="str">
            <v>35 ton</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row>
        <row r="48">
          <cell r="A48" t="str">
            <v>Crane</v>
          </cell>
          <cell r="B48" t="str">
            <v>25 ton</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row>
        <row r="49">
          <cell r="A49" t="str">
            <v>Flat Bed</v>
          </cell>
          <cell r="B49" t="str">
            <v>20 ton</v>
          </cell>
          <cell r="H49">
            <v>1</v>
          </cell>
          <cell r="I49">
            <v>1</v>
          </cell>
          <cell r="J49">
            <v>1</v>
          </cell>
          <cell r="K49">
            <v>1</v>
          </cell>
          <cell r="L49">
            <v>1</v>
          </cell>
          <cell r="M49">
            <v>1</v>
          </cell>
          <cell r="N49">
            <v>1</v>
          </cell>
          <cell r="O49">
            <v>1</v>
          </cell>
          <cell r="P49">
            <v>1</v>
          </cell>
          <cell r="Q49">
            <v>1</v>
          </cell>
          <cell r="R49">
            <v>1</v>
          </cell>
          <cell r="S49">
            <v>1</v>
          </cell>
          <cell r="T49">
            <v>1</v>
          </cell>
          <cell r="U49">
            <v>1</v>
          </cell>
          <cell r="V49">
            <v>1</v>
          </cell>
          <cell r="W49">
            <v>1</v>
          </cell>
          <cell r="X49">
            <v>1</v>
          </cell>
          <cell r="Y49">
            <v>1</v>
          </cell>
        </row>
        <row r="50">
          <cell r="A50" t="str">
            <v>Loader</v>
          </cell>
          <cell r="B50" t="str">
            <v>3 m3</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row>
        <row r="51">
          <cell r="A51" t="str">
            <v>Roller Compactor</v>
          </cell>
          <cell r="B51" t="str">
            <v>1 ton</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row>
        <row r="52">
          <cell r="A52" t="str">
            <v>Truck</v>
          </cell>
          <cell r="B52" t="str">
            <v>20 m3</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row>
        <row r="53">
          <cell r="A53" t="str">
            <v>Well Point</v>
          </cell>
          <cell r="B53" t="str">
            <v>7m</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row>
        <row r="54">
          <cell r="A54" t="str">
            <v>Well Point</v>
          </cell>
          <cell r="B54" t="str">
            <v>6m</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row>
        <row r="55">
          <cell r="A55" t="str">
            <v xml:space="preserve">Pump </v>
          </cell>
          <cell r="B55" t="str">
            <v>32 HP</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row>
        <row r="56">
          <cell r="A56" t="str">
            <v xml:space="preserve">Pump </v>
          </cell>
          <cell r="B56" t="str">
            <v>12 HP</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row>
        <row r="57">
          <cell r="A57" t="str">
            <v>Drilling Machine</v>
          </cell>
          <cell r="H57">
            <v>1</v>
          </cell>
          <cell r="I57">
            <v>1</v>
          </cell>
          <cell r="J57">
            <v>1</v>
          </cell>
          <cell r="K57">
            <v>1</v>
          </cell>
          <cell r="L57">
            <v>1</v>
          </cell>
          <cell r="M57">
            <v>1</v>
          </cell>
          <cell r="N57">
            <v>1</v>
          </cell>
          <cell r="O57">
            <v>1</v>
          </cell>
          <cell r="P57">
            <v>1</v>
          </cell>
          <cell r="Q57">
            <v>1</v>
          </cell>
          <cell r="R57">
            <v>1</v>
          </cell>
          <cell r="S57">
            <v>1</v>
          </cell>
          <cell r="T57">
            <v>1</v>
          </cell>
          <cell r="U57">
            <v>1</v>
          </cell>
          <cell r="V57">
            <v>1</v>
          </cell>
          <cell r="W57">
            <v>1</v>
          </cell>
          <cell r="X57">
            <v>1</v>
          </cell>
          <cell r="Y57">
            <v>1</v>
          </cell>
        </row>
        <row r="58">
          <cell r="A58" t="str">
            <v>Piles Machine</v>
          </cell>
        </row>
        <row r="59">
          <cell r="A59" t="str">
            <v>Sheet Piles</v>
          </cell>
          <cell r="B59" t="str">
            <v>(250L.M.  12m Long)</v>
          </cell>
        </row>
        <row r="60">
          <cell r="A60" t="str">
            <v>Water Tanker</v>
          </cell>
          <cell r="H60">
            <v>1</v>
          </cell>
          <cell r="I60">
            <v>1</v>
          </cell>
          <cell r="J60">
            <v>1</v>
          </cell>
          <cell r="K60">
            <v>1</v>
          </cell>
          <cell r="L60">
            <v>1</v>
          </cell>
          <cell r="M60">
            <v>1</v>
          </cell>
          <cell r="N60">
            <v>1</v>
          </cell>
          <cell r="O60">
            <v>1</v>
          </cell>
          <cell r="P60">
            <v>1</v>
          </cell>
          <cell r="Q60">
            <v>1</v>
          </cell>
          <cell r="R60">
            <v>1</v>
          </cell>
          <cell r="S60">
            <v>1</v>
          </cell>
          <cell r="T60">
            <v>1</v>
          </cell>
          <cell r="U60">
            <v>1</v>
          </cell>
          <cell r="V60">
            <v>1</v>
          </cell>
          <cell r="W60">
            <v>1</v>
          </cell>
          <cell r="X60">
            <v>1</v>
          </cell>
          <cell r="Y60">
            <v>1</v>
          </cell>
        </row>
        <row r="61">
          <cell r="A61" t="str">
            <v>Compressor</v>
          </cell>
          <cell r="H61">
            <v>1</v>
          </cell>
          <cell r="I61">
            <v>1</v>
          </cell>
          <cell r="J61">
            <v>1</v>
          </cell>
          <cell r="K61">
            <v>1</v>
          </cell>
          <cell r="L61">
            <v>1</v>
          </cell>
          <cell r="M61">
            <v>1</v>
          </cell>
          <cell r="N61">
            <v>1</v>
          </cell>
          <cell r="O61">
            <v>1</v>
          </cell>
          <cell r="P61">
            <v>1</v>
          </cell>
          <cell r="Q61">
            <v>1</v>
          </cell>
          <cell r="R61">
            <v>1</v>
          </cell>
          <cell r="S61">
            <v>1</v>
          </cell>
          <cell r="T61">
            <v>1</v>
          </cell>
          <cell r="U61">
            <v>1</v>
          </cell>
          <cell r="V61">
            <v>1</v>
          </cell>
          <cell r="W61">
            <v>1</v>
          </cell>
          <cell r="X61">
            <v>1</v>
          </cell>
          <cell r="Y61">
            <v>1</v>
          </cell>
        </row>
        <row r="62">
          <cell r="A62" t="str">
            <v>Welding Machine</v>
          </cell>
          <cell r="H62">
            <v>2</v>
          </cell>
          <cell r="I62">
            <v>2</v>
          </cell>
          <cell r="J62">
            <v>2</v>
          </cell>
          <cell r="K62">
            <v>2</v>
          </cell>
          <cell r="L62">
            <v>2</v>
          </cell>
          <cell r="M62">
            <v>2</v>
          </cell>
          <cell r="N62">
            <v>1</v>
          </cell>
          <cell r="O62">
            <v>1</v>
          </cell>
          <cell r="P62">
            <v>1</v>
          </cell>
          <cell r="Q62">
            <v>1</v>
          </cell>
          <cell r="R62">
            <v>1</v>
          </cell>
          <cell r="S62">
            <v>1</v>
          </cell>
          <cell r="T62">
            <v>1</v>
          </cell>
          <cell r="U62">
            <v>1</v>
          </cell>
          <cell r="V62">
            <v>1</v>
          </cell>
          <cell r="W62">
            <v>0</v>
          </cell>
          <cell r="X62">
            <v>0</v>
          </cell>
          <cell r="Y62">
            <v>0</v>
          </cell>
        </row>
        <row r="63">
          <cell r="A63" t="str">
            <v>Vibrator</v>
          </cell>
          <cell r="H63">
            <v>4</v>
          </cell>
          <cell r="I63">
            <v>4</v>
          </cell>
          <cell r="J63">
            <v>3</v>
          </cell>
          <cell r="K63">
            <v>2</v>
          </cell>
          <cell r="L63">
            <v>2</v>
          </cell>
          <cell r="M63">
            <v>2</v>
          </cell>
          <cell r="N63">
            <v>2</v>
          </cell>
          <cell r="O63">
            <v>2</v>
          </cell>
          <cell r="P63">
            <v>2</v>
          </cell>
          <cell r="Q63">
            <v>2</v>
          </cell>
          <cell r="R63">
            <v>2</v>
          </cell>
          <cell r="S63">
            <v>2</v>
          </cell>
          <cell r="T63">
            <v>2</v>
          </cell>
          <cell r="U63">
            <v>2</v>
          </cell>
          <cell r="V63">
            <v>2</v>
          </cell>
          <cell r="W63">
            <v>2</v>
          </cell>
          <cell r="X63">
            <v>2</v>
          </cell>
          <cell r="Y63">
            <v>2</v>
          </cell>
        </row>
        <row r="64">
          <cell r="A64" t="str">
            <v>Pick Up</v>
          </cell>
          <cell r="H64">
            <v>2</v>
          </cell>
          <cell r="I64">
            <v>2</v>
          </cell>
          <cell r="J64">
            <v>2</v>
          </cell>
          <cell r="K64">
            <v>2</v>
          </cell>
          <cell r="L64">
            <v>2</v>
          </cell>
          <cell r="M64">
            <v>2</v>
          </cell>
          <cell r="N64">
            <v>2</v>
          </cell>
          <cell r="O64">
            <v>2</v>
          </cell>
          <cell r="P64">
            <v>2</v>
          </cell>
          <cell r="Q64">
            <v>2</v>
          </cell>
          <cell r="R64">
            <v>2</v>
          </cell>
          <cell r="S64">
            <v>2</v>
          </cell>
          <cell r="T64">
            <v>2</v>
          </cell>
          <cell r="U64">
            <v>2</v>
          </cell>
          <cell r="V64">
            <v>2</v>
          </cell>
          <cell r="W64">
            <v>2</v>
          </cell>
          <cell r="X64">
            <v>2</v>
          </cell>
          <cell r="Y64">
            <v>2</v>
          </cell>
        </row>
        <row r="65">
          <cell r="A65" t="str">
            <v>4*4 Wheel Drive</v>
          </cell>
          <cell r="G65">
            <v>1</v>
          </cell>
          <cell r="H65">
            <v>2</v>
          </cell>
          <cell r="I65">
            <v>2</v>
          </cell>
          <cell r="J65">
            <v>2</v>
          </cell>
          <cell r="K65">
            <v>2</v>
          </cell>
          <cell r="L65">
            <v>2</v>
          </cell>
          <cell r="M65">
            <v>2</v>
          </cell>
          <cell r="N65">
            <v>2</v>
          </cell>
          <cell r="O65">
            <v>2</v>
          </cell>
          <cell r="P65">
            <v>2</v>
          </cell>
          <cell r="Q65">
            <v>2</v>
          </cell>
          <cell r="R65">
            <v>2</v>
          </cell>
          <cell r="S65">
            <v>2</v>
          </cell>
          <cell r="T65">
            <v>2</v>
          </cell>
          <cell r="U65">
            <v>2</v>
          </cell>
          <cell r="V65">
            <v>2</v>
          </cell>
          <cell r="W65">
            <v>2</v>
          </cell>
          <cell r="X65">
            <v>2</v>
          </cell>
          <cell r="Y65">
            <v>2</v>
          </cell>
        </row>
        <row r="66">
          <cell r="A66" t="str">
            <v>Minibus</v>
          </cell>
          <cell r="H66">
            <v>0</v>
          </cell>
          <cell r="I66">
            <v>1</v>
          </cell>
          <cell r="J66">
            <v>1</v>
          </cell>
          <cell r="K66">
            <v>1</v>
          </cell>
          <cell r="L66">
            <v>1</v>
          </cell>
          <cell r="M66">
            <v>1</v>
          </cell>
          <cell r="N66">
            <v>1</v>
          </cell>
          <cell r="O66">
            <v>1</v>
          </cell>
          <cell r="P66">
            <v>1</v>
          </cell>
          <cell r="Q66">
            <v>1</v>
          </cell>
          <cell r="R66">
            <v>1</v>
          </cell>
          <cell r="S66">
            <v>1</v>
          </cell>
          <cell r="T66">
            <v>1</v>
          </cell>
          <cell r="U66">
            <v>1</v>
          </cell>
          <cell r="V66">
            <v>1</v>
          </cell>
          <cell r="W66">
            <v>1</v>
          </cell>
          <cell r="X66">
            <v>1</v>
          </cell>
          <cell r="Y66">
            <v>1</v>
          </cell>
        </row>
        <row r="67">
          <cell r="A67" t="str">
            <v>Generator</v>
          </cell>
          <cell r="H67">
            <v>0</v>
          </cell>
          <cell r="I67">
            <v>2</v>
          </cell>
          <cell r="J67">
            <v>2</v>
          </cell>
          <cell r="K67">
            <v>2</v>
          </cell>
          <cell r="L67">
            <v>2</v>
          </cell>
          <cell r="M67">
            <v>2</v>
          </cell>
          <cell r="N67">
            <v>2</v>
          </cell>
          <cell r="O67">
            <v>2</v>
          </cell>
          <cell r="P67">
            <v>2</v>
          </cell>
          <cell r="Q67">
            <v>2</v>
          </cell>
          <cell r="R67">
            <v>2</v>
          </cell>
          <cell r="S67">
            <v>2</v>
          </cell>
          <cell r="T67">
            <v>2</v>
          </cell>
          <cell r="U67">
            <v>2</v>
          </cell>
          <cell r="V67">
            <v>2</v>
          </cell>
          <cell r="W67">
            <v>2</v>
          </cell>
          <cell r="X67">
            <v>2</v>
          </cell>
          <cell r="Y67">
            <v>2</v>
          </cell>
        </row>
        <row r="72">
          <cell r="A72" t="str">
            <v>Crew1</v>
          </cell>
          <cell r="G72">
            <v>-1</v>
          </cell>
          <cell r="H72">
            <v>1</v>
          </cell>
          <cell r="I72">
            <v>2</v>
          </cell>
          <cell r="J72">
            <v>3</v>
          </cell>
          <cell r="K72">
            <v>4</v>
          </cell>
          <cell r="L72">
            <v>5</v>
          </cell>
          <cell r="M72">
            <v>6</v>
          </cell>
          <cell r="N72">
            <v>7</v>
          </cell>
          <cell r="O72">
            <v>8</v>
          </cell>
          <cell r="P72">
            <v>9</v>
          </cell>
          <cell r="Q72">
            <v>10</v>
          </cell>
          <cell r="R72">
            <v>11</v>
          </cell>
          <cell r="S72">
            <v>12</v>
          </cell>
          <cell r="T72">
            <v>13</v>
          </cell>
          <cell r="U72">
            <v>14</v>
          </cell>
          <cell r="V72">
            <v>15</v>
          </cell>
          <cell r="W72">
            <v>16</v>
          </cell>
          <cell r="X72">
            <v>17</v>
          </cell>
          <cell r="Y72">
            <v>18</v>
          </cell>
        </row>
        <row r="73">
          <cell r="C73" t="str">
            <v>Ownership</v>
          </cell>
          <cell r="F73" t="str">
            <v>Max</v>
          </cell>
          <cell r="J73">
            <v>1998</v>
          </cell>
          <cell r="V73">
            <v>2000</v>
          </cell>
        </row>
        <row r="74">
          <cell r="A74" t="str">
            <v>Equipment</v>
          </cell>
          <cell r="B74" t="str">
            <v>Type</v>
          </cell>
          <cell r="C74" t="str">
            <v>Owned</v>
          </cell>
          <cell r="D74" t="str">
            <v>Leased</v>
          </cell>
          <cell r="E74" t="str">
            <v>To be purchased</v>
          </cell>
          <cell r="F74" t="str">
            <v xml:space="preserve"> No.</v>
          </cell>
          <cell r="G74">
            <v>10</v>
          </cell>
          <cell r="H74">
            <v>11</v>
          </cell>
          <cell r="I74">
            <v>12</v>
          </cell>
          <cell r="J74">
            <v>1</v>
          </cell>
          <cell r="K74">
            <v>2</v>
          </cell>
          <cell r="L74">
            <v>3</v>
          </cell>
          <cell r="M74">
            <v>4</v>
          </cell>
          <cell r="N74">
            <v>5</v>
          </cell>
          <cell r="O74">
            <v>6</v>
          </cell>
          <cell r="P74">
            <v>7</v>
          </cell>
          <cell r="Q74">
            <v>8</v>
          </cell>
          <cell r="R74">
            <v>9</v>
          </cell>
          <cell r="S74">
            <v>10</v>
          </cell>
          <cell r="T74">
            <v>11</v>
          </cell>
          <cell r="U74">
            <v>12</v>
          </cell>
          <cell r="V74">
            <v>1</v>
          </cell>
          <cell r="W74">
            <v>2</v>
          </cell>
          <cell r="X74">
            <v>3</v>
          </cell>
          <cell r="Y74">
            <v>4</v>
          </cell>
        </row>
        <row r="75">
          <cell r="A75" t="str">
            <v>Excavator</v>
          </cell>
          <cell r="B75" t="str">
            <v>Cutrpler235/Komatsu400</v>
          </cell>
          <cell r="H75">
            <v>1</v>
          </cell>
          <cell r="I75">
            <v>1</v>
          </cell>
          <cell r="J75">
            <v>1</v>
          </cell>
          <cell r="K75">
            <v>1</v>
          </cell>
          <cell r="L75">
            <v>1</v>
          </cell>
          <cell r="M75">
            <v>1</v>
          </cell>
          <cell r="N75">
            <v>1</v>
          </cell>
          <cell r="O75">
            <v>1</v>
          </cell>
          <cell r="P75">
            <v>1</v>
          </cell>
          <cell r="Q75">
            <v>1</v>
          </cell>
          <cell r="R75">
            <v>1</v>
          </cell>
          <cell r="S75">
            <v>1</v>
          </cell>
          <cell r="T75">
            <v>1</v>
          </cell>
          <cell r="U75">
            <v>1</v>
          </cell>
          <cell r="V75">
            <v>1</v>
          </cell>
          <cell r="W75">
            <v>1</v>
          </cell>
          <cell r="X75">
            <v>1</v>
          </cell>
        </row>
        <row r="76">
          <cell r="A76" t="str">
            <v>Excavator</v>
          </cell>
          <cell r="B76" t="str">
            <v>Komatsu 210</v>
          </cell>
          <cell r="H76">
            <v>1</v>
          </cell>
          <cell r="I76">
            <v>1</v>
          </cell>
          <cell r="J76">
            <v>1</v>
          </cell>
          <cell r="K76">
            <v>1</v>
          </cell>
          <cell r="L76">
            <v>1</v>
          </cell>
          <cell r="M76">
            <v>1</v>
          </cell>
          <cell r="N76">
            <v>1</v>
          </cell>
          <cell r="O76">
            <v>1</v>
          </cell>
          <cell r="P76">
            <v>1</v>
          </cell>
          <cell r="Q76">
            <v>1</v>
          </cell>
          <cell r="R76">
            <v>1</v>
          </cell>
          <cell r="S76">
            <v>1</v>
          </cell>
          <cell r="T76">
            <v>1</v>
          </cell>
          <cell r="U76">
            <v>1</v>
          </cell>
          <cell r="V76">
            <v>1</v>
          </cell>
          <cell r="W76">
            <v>1</v>
          </cell>
          <cell r="X76">
            <v>1</v>
          </cell>
          <cell r="Y76">
            <v>1</v>
          </cell>
        </row>
        <row r="77">
          <cell r="A77" t="str">
            <v>Crane</v>
          </cell>
          <cell r="B77" t="str">
            <v>70 ton</v>
          </cell>
          <cell r="H77">
            <v>0</v>
          </cell>
          <cell r="I77">
            <v>1</v>
          </cell>
          <cell r="J77">
            <v>1</v>
          </cell>
          <cell r="K77">
            <v>1</v>
          </cell>
          <cell r="L77">
            <v>1</v>
          </cell>
          <cell r="M77">
            <v>1</v>
          </cell>
          <cell r="N77">
            <v>0</v>
          </cell>
          <cell r="O77">
            <v>0</v>
          </cell>
          <cell r="P77">
            <v>1</v>
          </cell>
          <cell r="Q77">
            <v>0</v>
          </cell>
          <cell r="R77">
            <v>0</v>
          </cell>
          <cell r="S77">
            <v>0</v>
          </cell>
          <cell r="T77">
            <v>0</v>
          </cell>
          <cell r="U77">
            <v>0</v>
          </cell>
          <cell r="V77">
            <v>0</v>
          </cell>
          <cell r="W77">
            <v>0</v>
          </cell>
          <cell r="X77">
            <v>0</v>
          </cell>
          <cell r="Y77">
            <v>0</v>
          </cell>
        </row>
        <row r="78">
          <cell r="A78" t="str">
            <v>Crane</v>
          </cell>
          <cell r="B78" t="str">
            <v>60 ton</v>
          </cell>
          <cell r="N78">
            <v>1</v>
          </cell>
          <cell r="O78">
            <v>1</v>
          </cell>
          <cell r="Q78">
            <v>1</v>
          </cell>
          <cell r="R78">
            <v>1</v>
          </cell>
          <cell r="S78">
            <v>1</v>
          </cell>
          <cell r="T78">
            <v>1</v>
          </cell>
          <cell r="U78">
            <v>1</v>
          </cell>
          <cell r="V78">
            <v>1</v>
          </cell>
          <cell r="W78">
            <v>1</v>
          </cell>
          <cell r="X78">
            <v>1</v>
          </cell>
          <cell r="Y78">
            <v>1</v>
          </cell>
        </row>
        <row r="79">
          <cell r="A79" t="str">
            <v>Crane</v>
          </cell>
          <cell r="B79" t="str">
            <v>35 ton</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row>
        <row r="80">
          <cell r="A80" t="str">
            <v>Crane</v>
          </cell>
          <cell r="B80" t="str">
            <v>25 ton</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row>
        <row r="81">
          <cell r="A81" t="str">
            <v>Flat Bed</v>
          </cell>
          <cell r="B81" t="str">
            <v>20 ton</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row>
        <row r="82">
          <cell r="A82" t="str">
            <v>Loader</v>
          </cell>
          <cell r="B82" t="str">
            <v>3 m3</v>
          </cell>
          <cell r="H82">
            <v>1</v>
          </cell>
          <cell r="I82">
            <v>1</v>
          </cell>
          <cell r="J82">
            <v>1</v>
          </cell>
          <cell r="K82">
            <v>1</v>
          </cell>
          <cell r="L82">
            <v>1</v>
          </cell>
          <cell r="M82">
            <v>1</v>
          </cell>
          <cell r="N82">
            <v>1</v>
          </cell>
          <cell r="O82">
            <v>1</v>
          </cell>
          <cell r="P82">
            <v>1</v>
          </cell>
          <cell r="Q82">
            <v>1</v>
          </cell>
          <cell r="R82">
            <v>1</v>
          </cell>
          <cell r="S82">
            <v>1</v>
          </cell>
          <cell r="T82">
            <v>1</v>
          </cell>
          <cell r="U82">
            <v>1</v>
          </cell>
          <cell r="V82">
            <v>1</v>
          </cell>
          <cell r="W82">
            <v>1</v>
          </cell>
          <cell r="X82">
            <v>1</v>
          </cell>
          <cell r="Y82">
            <v>1</v>
          </cell>
        </row>
        <row r="83">
          <cell r="A83" t="str">
            <v>Roller Compactor</v>
          </cell>
          <cell r="B83" t="str">
            <v>1 ton</v>
          </cell>
          <cell r="H83">
            <v>1</v>
          </cell>
          <cell r="I83">
            <v>1</v>
          </cell>
          <cell r="J83">
            <v>1</v>
          </cell>
          <cell r="K83">
            <v>1</v>
          </cell>
          <cell r="L83">
            <v>1</v>
          </cell>
          <cell r="M83">
            <v>1</v>
          </cell>
          <cell r="N83">
            <v>1</v>
          </cell>
          <cell r="O83">
            <v>1</v>
          </cell>
          <cell r="P83">
            <v>1</v>
          </cell>
          <cell r="Q83">
            <v>1</v>
          </cell>
          <cell r="R83">
            <v>1</v>
          </cell>
          <cell r="S83">
            <v>1</v>
          </cell>
          <cell r="T83">
            <v>1</v>
          </cell>
          <cell r="U83">
            <v>1</v>
          </cell>
          <cell r="V83">
            <v>1</v>
          </cell>
          <cell r="W83">
            <v>1</v>
          </cell>
          <cell r="X83">
            <v>1</v>
          </cell>
          <cell r="Y83">
            <v>1</v>
          </cell>
        </row>
        <row r="84">
          <cell r="A84" t="str">
            <v>Truck</v>
          </cell>
          <cell r="B84" t="str">
            <v>20 m3</v>
          </cell>
          <cell r="H84">
            <v>1</v>
          </cell>
          <cell r="I84">
            <v>0</v>
          </cell>
          <cell r="J84">
            <v>1</v>
          </cell>
          <cell r="K84">
            <v>1</v>
          </cell>
          <cell r="L84">
            <v>1</v>
          </cell>
          <cell r="M84">
            <v>1</v>
          </cell>
          <cell r="N84">
            <v>1</v>
          </cell>
          <cell r="O84">
            <v>1</v>
          </cell>
          <cell r="P84">
            <v>1</v>
          </cell>
          <cell r="Q84">
            <v>1</v>
          </cell>
          <cell r="R84">
            <v>1</v>
          </cell>
          <cell r="S84">
            <v>1</v>
          </cell>
          <cell r="T84">
            <v>1</v>
          </cell>
          <cell r="U84">
            <v>1</v>
          </cell>
          <cell r="V84">
            <v>1</v>
          </cell>
          <cell r="W84">
            <v>1</v>
          </cell>
          <cell r="X84">
            <v>1</v>
          </cell>
          <cell r="Y84">
            <v>1</v>
          </cell>
        </row>
        <row r="85">
          <cell r="A85" t="str">
            <v>Well Point</v>
          </cell>
          <cell r="B85" t="str">
            <v>7m</v>
          </cell>
          <cell r="H85">
            <v>600</v>
          </cell>
          <cell r="I85">
            <v>600</v>
          </cell>
          <cell r="J85">
            <v>600</v>
          </cell>
          <cell r="K85">
            <v>600</v>
          </cell>
          <cell r="L85">
            <v>600</v>
          </cell>
          <cell r="M85">
            <v>600</v>
          </cell>
          <cell r="N85">
            <v>600</v>
          </cell>
          <cell r="O85">
            <v>600</v>
          </cell>
          <cell r="P85">
            <v>600</v>
          </cell>
          <cell r="Q85">
            <v>600</v>
          </cell>
          <cell r="R85">
            <v>600</v>
          </cell>
          <cell r="S85">
            <v>600</v>
          </cell>
          <cell r="T85">
            <v>600</v>
          </cell>
          <cell r="U85">
            <v>600</v>
          </cell>
          <cell r="V85">
            <v>600</v>
          </cell>
          <cell r="W85">
            <v>600</v>
          </cell>
          <cell r="X85">
            <v>600</v>
          </cell>
          <cell r="Y85">
            <v>400</v>
          </cell>
        </row>
        <row r="86">
          <cell r="A86" t="str">
            <v>Well Point</v>
          </cell>
          <cell r="B86" t="str">
            <v>6m</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row>
        <row r="87">
          <cell r="A87" t="str">
            <v xml:space="preserve">Pump </v>
          </cell>
          <cell r="B87" t="str">
            <v>32 HP</v>
          </cell>
          <cell r="H87">
            <v>6</v>
          </cell>
          <cell r="I87">
            <v>6</v>
          </cell>
          <cell r="J87">
            <v>6</v>
          </cell>
          <cell r="K87">
            <v>6</v>
          </cell>
          <cell r="L87">
            <v>6</v>
          </cell>
          <cell r="M87">
            <v>6</v>
          </cell>
          <cell r="N87">
            <v>6</v>
          </cell>
          <cell r="O87">
            <v>6</v>
          </cell>
          <cell r="P87">
            <v>6</v>
          </cell>
          <cell r="Q87">
            <v>6</v>
          </cell>
          <cell r="R87">
            <v>6</v>
          </cell>
          <cell r="S87">
            <v>6</v>
          </cell>
          <cell r="T87">
            <v>6</v>
          </cell>
          <cell r="U87">
            <v>6</v>
          </cell>
          <cell r="V87">
            <v>6</v>
          </cell>
          <cell r="W87">
            <v>6</v>
          </cell>
          <cell r="X87">
            <v>6</v>
          </cell>
          <cell r="Y87">
            <v>6</v>
          </cell>
        </row>
        <row r="88">
          <cell r="A88" t="str">
            <v xml:space="preserve">Pump </v>
          </cell>
          <cell r="B88" t="str">
            <v>12 HP</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row>
        <row r="89">
          <cell r="A89" t="str">
            <v>Drilling Machine</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row>
        <row r="90">
          <cell r="A90" t="str">
            <v>Piles Machine</v>
          </cell>
        </row>
        <row r="91">
          <cell r="A91" t="str">
            <v>Sheet Piles</v>
          </cell>
          <cell r="B91" t="str">
            <v>(250L.M.  12m Long)</v>
          </cell>
        </row>
        <row r="92">
          <cell r="A92" t="str">
            <v>Water Tanker</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row>
        <row r="93">
          <cell r="A93" t="str">
            <v>Compressor</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row>
        <row r="94">
          <cell r="A94" t="str">
            <v>Welding Machine</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row>
        <row r="95">
          <cell r="A95" t="str">
            <v>Vibrator</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row>
        <row r="96">
          <cell r="A96" t="str">
            <v>Pick Up</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row>
        <row r="97">
          <cell r="A97" t="str">
            <v>4*4 Wheel Drive</v>
          </cell>
          <cell r="H97">
            <v>1</v>
          </cell>
          <cell r="I97">
            <v>1</v>
          </cell>
          <cell r="J97">
            <v>1</v>
          </cell>
          <cell r="K97">
            <v>1</v>
          </cell>
          <cell r="L97">
            <v>1</v>
          </cell>
          <cell r="M97">
            <v>1</v>
          </cell>
          <cell r="N97">
            <v>1</v>
          </cell>
          <cell r="O97">
            <v>1</v>
          </cell>
          <cell r="P97">
            <v>1</v>
          </cell>
          <cell r="Q97">
            <v>1</v>
          </cell>
          <cell r="R97">
            <v>1</v>
          </cell>
          <cell r="S97">
            <v>1</v>
          </cell>
          <cell r="T97">
            <v>1</v>
          </cell>
          <cell r="U97">
            <v>1</v>
          </cell>
          <cell r="V97">
            <v>1</v>
          </cell>
          <cell r="W97">
            <v>1</v>
          </cell>
          <cell r="X97">
            <v>1</v>
          </cell>
          <cell r="Y97">
            <v>1</v>
          </cell>
        </row>
        <row r="98">
          <cell r="A98" t="str">
            <v>Minibus</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row>
        <row r="99">
          <cell r="A99" t="str">
            <v>Generator</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row>
        <row r="104">
          <cell r="A104" t="str">
            <v>Crew2</v>
          </cell>
          <cell r="G104">
            <v>-1</v>
          </cell>
          <cell r="H104">
            <v>1</v>
          </cell>
          <cell r="I104">
            <v>2</v>
          </cell>
          <cell r="J104">
            <v>3</v>
          </cell>
          <cell r="K104">
            <v>4</v>
          </cell>
          <cell r="L104">
            <v>5</v>
          </cell>
          <cell r="M104">
            <v>6</v>
          </cell>
          <cell r="N104">
            <v>7</v>
          </cell>
          <cell r="O104">
            <v>8</v>
          </cell>
          <cell r="P104">
            <v>9</v>
          </cell>
          <cell r="Q104">
            <v>10</v>
          </cell>
          <cell r="R104">
            <v>11</v>
          </cell>
          <cell r="S104">
            <v>12</v>
          </cell>
          <cell r="T104">
            <v>13</v>
          </cell>
          <cell r="U104">
            <v>14</v>
          </cell>
          <cell r="V104">
            <v>15</v>
          </cell>
          <cell r="W104">
            <v>16</v>
          </cell>
          <cell r="X104">
            <v>17</v>
          </cell>
          <cell r="Y104">
            <v>18</v>
          </cell>
        </row>
        <row r="105">
          <cell r="C105" t="str">
            <v>Ownership</v>
          </cell>
          <cell r="F105" t="str">
            <v>Max</v>
          </cell>
          <cell r="J105">
            <v>1998</v>
          </cell>
          <cell r="V105">
            <v>2000</v>
          </cell>
        </row>
        <row r="106">
          <cell r="A106" t="str">
            <v>Equipment</v>
          </cell>
          <cell r="B106" t="str">
            <v>Type</v>
          </cell>
          <cell r="C106" t="str">
            <v>Owned</v>
          </cell>
          <cell r="D106" t="str">
            <v>Leased</v>
          </cell>
          <cell r="E106" t="str">
            <v>To be purchased</v>
          </cell>
          <cell r="F106" t="str">
            <v xml:space="preserve"> No.</v>
          </cell>
          <cell r="G106">
            <v>10</v>
          </cell>
          <cell r="H106">
            <v>11</v>
          </cell>
          <cell r="I106">
            <v>12</v>
          </cell>
          <cell r="J106">
            <v>1</v>
          </cell>
          <cell r="K106">
            <v>2</v>
          </cell>
          <cell r="L106">
            <v>3</v>
          </cell>
          <cell r="M106">
            <v>4</v>
          </cell>
          <cell r="N106">
            <v>5</v>
          </cell>
          <cell r="O106">
            <v>6</v>
          </cell>
          <cell r="P106">
            <v>7</v>
          </cell>
          <cell r="Q106">
            <v>8</v>
          </cell>
          <cell r="R106">
            <v>9</v>
          </cell>
          <cell r="S106">
            <v>10</v>
          </cell>
          <cell r="T106">
            <v>11</v>
          </cell>
          <cell r="U106">
            <v>12</v>
          </cell>
          <cell r="V106">
            <v>1</v>
          </cell>
          <cell r="W106">
            <v>2</v>
          </cell>
          <cell r="X106">
            <v>3</v>
          </cell>
          <cell r="Y106">
            <v>4</v>
          </cell>
        </row>
        <row r="107">
          <cell r="A107" t="str">
            <v>Excavator</v>
          </cell>
          <cell r="B107" t="str">
            <v>Cutrpler235/Komatsu400</v>
          </cell>
          <cell r="H107">
            <v>1</v>
          </cell>
          <cell r="I107">
            <v>1</v>
          </cell>
          <cell r="J107">
            <v>1</v>
          </cell>
          <cell r="K107">
            <v>1</v>
          </cell>
          <cell r="L107">
            <v>1</v>
          </cell>
          <cell r="M107">
            <v>1</v>
          </cell>
          <cell r="N107">
            <v>1</v>
          </cell>
          <cell r="O107">
            <v>1</v>
          </cell>
          <cell r="P107">
            <v>1</v>
          </cell>
          <cell r="Q107">
            <v>1</v>
          </cell>
          <cell r="R107">
            <v>1</v>
          </cell>
          <cell r="S107">
            <v>1</v>
          </cell>
          <cell r="T107">
            <v>1</v>
          </cell>
          <cell r="U107">
            <v>1</v>
          </cell>
          <cell r="V107">
            <v>1</v>
          </cell>
          <cell r="W107">
            <v>1</v>
          </cell>
          <cell r="X107">
            <v>1</v>
          </cell>
          <cell r="Y107">
            <v>1</v>
          </cell>
        </row>
        <row r="108">
          <cell r="A108" t="str">
            <v>Excavator</v>
          </cell>
          <cell r="B108" t="str">
            <v>Komatsu 210</v>
          </cell>
          <cell r="I108">
            <v>0</v>
          </cell>
          <cell r="J108">
            <v>0</v>
          </cell>
          <cell r="K108">
            <v>0</v>
          </cell>
          <cell r="L108">
            <v>1</v>
          </cell>
          <cell r="M108">
            <v>0</v>
          </cell>
          <cell r="N108">
            <v>1</v>
          </cell>
          <cell r="O108">
            <v>1</v>
          </cell>
          <cell r="P108">
            <v>1</v>
          </cell>
          <cell r="Q108">
            <v>1</v>
          </cell>
          <cell r="R108">
            <v>1</v>
          </cell>
          <cell r="S108">
            <v>1</v>
          </cell>
          <cell r="T108">
            <v>1</v>
          </cell>
          <cell r="U108">
            <v>1</v>
          </cell>
          <cell r="V108">
            <v>0</v>
          </cell>
        </row>
        <row r="109">
          <cell r="A109" t="str">
            <v>Crane</v>
          </cell>
          <cell r="B109" t="str">
            <v>70 ton</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row>
        <row r="110">
          <cell r="A110" t="str">
            <v>Crane</v>
          </cell>
          <cell r="B110" t="str">
            <v>60 ton</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row>
        <row r="111">
          <cell r="A111" t="str">
            <v>Crane</v>
          </cell>
          <cell r="B111" t="str">
            <v>35 ton</v>
          </cell>
          <cell r="I111">
            <v>1</v>
          </cell>
          <cell r="J111">
            <v>1</v>
          </cell>
          <cell r="K111">
            <v>1</v>
          </cell>
          <cell r="L111">
            <v>1</v>
          </cell>
          <cell r="M111">
            <v>1</v>
          </cell>
          <cell r="N111">
            <v>1</v>
          </cell>
          <cell r="O111">
            <v>1</v>
          </cell>
          <cell r="P111">
            <v>1</v>
          </cell>
          <cell r="Q111">
            <v>1</v>
          </cell>
          <cell r="R111">
            <v>1</v>
          </cell>
          <cell r="S111">
            <v>1</v>
          </cell>
          <cell r="T111">
            <v>1</v>
          </cell>
          <cell r="U111">
            <v>1</v>
          </cell>
          <cell r="V111">
            <v>1</v>
          </cell>
          <cell r="W111">
            <v>1</v>
          </cell>
          <cell r="X111">
            <v>1</v>
          </cell>
          <cell r="Y111">
            <v>1</v>
          </cell>
        </row>
        <row r="112">
          <cell r="A112" t="str">
            <v>Crane</v>
          </cell>
          <cell r="B112" t="str">
            <v>25 ton</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row>
        <row r="113">
          <cell r="A113" t="str">
            <v>Flat Bed</v>
          </cell>
          <cell r="B113" t="str">
            <v>20 ton</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row>
        <row r="114">
          <cell r="A114" t="str">
            <v>Loader</v>
          </cell>
          <cell r="B114" t="str">
            <v>3 m3</v>
          </cell>
          <cell r="I114">
            <v>1</v>
          </cell>
          <cell r="J114">
            <v>1</v>
          </cell>
          <cell r="K114">
            <v>1</v>
          </cell>
          <cell r="L114">
            <v>1</v>
          </cell>
          <cell r="M114">
            <v>1</v>
          </cell>
          <cell r="N114">
            <v>1</v>
          </cell>
          <cell r="O114">
            <v>1</v>
          </cell>
          <cell r="P114">
            <v>1</v>
          </cell>
          <cell r="Q114">
            <v>1</v>
          </cell>
          <cell r="R114">
            <v>1</v>
          </cell>
          <cell r="S114">
            <v>1</v>
          </cell>
          <cell r="T114">
            <v>1</v>
          </cell>
          <cell r="U114">
            <v>1</v>
          </cell>
          <cell r="V114">
            <v>1</v>
          </cell>
          <cell r="W114">
            <v>1</v>
          </cell>
          <cell r="X114">
            <v>1</v>
          </cell>
          <cell r="Y114">
            <v>1</v>
          </cell>
        </row>
        <row r="115">
          <cell r="A115" t="str">
            <v>Roller Compactor</v>
          </cell>
          <cell r="B115" t="str">
            <v>1 ton</v>
          </cell>
          <cell r="I115">
            <v>1</v>
          </cell>
          <cell r="J115">
            <v>1</v>
          </cell>
          <cell r="K115">
            <v>1</v>
          </cell>
          <cell r="L115">
            <v>1</v>
          </cell>
          <cell r="M115">
            <v>1</v>
          </cell>
          <cell r="N115">
            <v>1</v>
          </cell>
          <cell r="O115">
            <v>1</v>
          </cell>
          <cell r="P115">
            <v>1</v>
          </cell>
          <cell r="Q115">
            <v>1</v>
          </cell>
          <cell r="R115">
            <v>1</v>
          </cell>
          <cell r="S115">
            <v>1</v>
          </cell>
          <cell r="T115">
            <v>1</v>
          </cell>
          <cell r="U115">
            <v>1</v>
          </cell>
          <cell r="V115">
            <v>1</v>
          </cell>
          <cell r="W115">
            <v>1</v>
          </cell>
          <cell r="X115">
            <v>1</v>
          </cell>
          <cell r="Y115">
            <v>1</v>
          </cell>
        </row>
        <row r="116">
          <cell r="A116" t="str">
            <v>Truck</v>
          </cell>
          <cell r="B116" t="str">
            <v>20 m3</v>
          </cell>
          <cell r="I116">
            <v>1</v>
          </cell>
          <cell r="J116">
            <v>1</v>
          </cell>
          <cell r="K116">
            <v>1</v>
          </cell>
          <cell r="L116">
            <v>1</v>
          </cell>
          <cell r="M116">
            <v>1</v>
          </cell>
          <cell r="N116">
            <v>1</v>
          </cell>
          <cell r="O116">
            <v>1</v>
          </cell>
          <cell r="P116">
            <v>1</v>
          </cell>
          <cell r="Q116">
            <v>1</v>
          </cell>
          <cell r="R116">
            <v>1</v>
          </cell>
          <cell r="S116">
            <v>1</v>
          </cell>
          <cell r="T116">
            <v>1</v>
          </cell>
          <cell r="U116">
            <v>1</v>
          </cell>
          <cell r="V116">
            <v>1</v>
          </cell>
          <cell r="W116">
            <v>1</v>
          </cell>
          <cell r="X116">
            <v>1</v>
          </cell>
          <cell r="Y116">
            <v>1</v>
          </cell>
        </row>
        <row r="117">
          <cell r="A117" t="str">
            <v>Well Point</v>
          </cell>
          <cell r="B117" t="str">
            <v>7m</v>
          </cell>
          <cell r="I117">
            <v>200</v>
          </cell>
          <cell r="J117">
            <v>200</v>
          </cell>
          <cell r="K117">
            <v>200</v>
          </cell>
          <cell r="L117">
            <v>200</v>
          </cell>
          <cell r="M117">
            <v>200</v>
          </cell>
          <cell r="N117">
            <v>200</v>
          </cell>
          <cell r="O117">
            <v>200</v>
          </cell>
          <cell r="P117">
            <v>200</v>
          </cell>
          <cell r="Q117">
            <v>200</v>
          </cell>
          <cell r="R117">
            <v>200</v>
          </cell>
          <cell r="S117">
            <v>200</v>
          </cell>
          <cell r="T117">
            <v>200</v>
          </cell>
          <cell r="U117">
            <v>200</v>
          </cell>
          <cell r="V117">
            <v>200</v>
          </cell>
          <cell r="W117">
            <v>200</v>
          </cell>
          <cell r="X117">
            <v>200</v>
          </cell>
          <cell r="Y117">
            <v>200</v>
          </cell>
        </row>
        <row r="118">
          <cell r="A118" t="str">
            <v>Well Point</v>
          </cell>
          <cell r="B118" t="str">
            <v>6m</v>
          </cell>
          <cell r="I118">
            <v>300</v>
          </cell>
          <cell r="J118">
            <v>300</v>
          </cell>
          <cell r="K118">
            <v>300</v>
          </cell>
          <cell r="L118">
            <v>200</v>
          </cell>
          <cell r="M118">
            <v>200</v>
          </cell>
          <cell r="N118">
            <v>200</v>
          </cell>
          <cell r="O118">
            <v>200</v>
          </cell>
          <cell r="P118">
            <v>200</v>
          </cell>
          <cell r="Q118">
            <v>200</v>
          </cell>
          <cell r="R118">
            <v>200</v>
          </cell>
          <cell r="S118">
            <v>200</v>
          </cell>
          <cell r="T118">
            <v>200</v>
          </cell>
          <cell r="U118">
            <v>200</v>
          </cell>
          <cell r="V118">
            <v>200</v>
          </cell>
          <cell r="W118">
            <v>200</v>
          </cell>
          <cell r="X118">
            <v>200</v>
          </cell>
          <cell r="Y118">
            <v>200</v>
          </cell>
        </row>
        <row r="119">
          <cell r="A119" t="str">
            <v xml:space="preserve">Pump </v>
          </cell>
          <cell r="B119" t="str">
            <v>32 HP</v>
          </cell>
          <cell r="I119">
            <v>2</v>
          </cell>
          <cell r="J119">
            <v>2</v>
          </cell>
          <cell r="K119">
            <v>2</v>
          </cell>
          <cell r="L119">
            <v>2</v>
          </cell>
          <cell r="M119">
            <v>2</v>
          </cell>
          <cell r="N119">
            <v>2</v>
          </cell>
          <cell r="O119">
            <v>2</v>
          </cell>
          <cell r="P119">
            <v>2</v>
          </cell>
          <cell r="Q119">
            <v>2</v>
          </cell>
          <cell r="R119">
            <v>2</v>
          </cell>
          <cell r="S119">
            <v>2</v>
          </cell>
          <cell r="T119">
            <v>2</v>
          </cell>
          <cell r="U119">
            <v>2</v>
          </cell>
          <cell r="V119">
            <v>2</v>
          </cell>
          <cell r="W119">
            <v>2</v>
          </cell>
          <cell r="X119">
            <v>2</v>
          </cell>
          <cell r="Y119">
            <v>2</v>
          </cell>
        </row>
        <row r="120">
          <cell r="A120" t="str">
            <v xml:space="preserve">Pump </v>
          </cell>
          <cell r="B120" t="str">
            <v>12 HP</v>
          </cell>
          <cell r="I120">
            <v>3</v>
          </cell>
          <cell r="J120">
            <v>3</v>
          </cell>
          <cell r="K120">
            <v>3</v>
          </cell>
          <cell r="L120">
            <v>2</v>
          </cell>
          <cell r="M120">
            <v>2</v>
          </cell>
          <cell r="N120">
            <v>2</v>
          </cell>
          <cell r="O120">
            <v>2</v>
          </cell>
          <cell r="P120">
            <v>2</v>
          </cell>
          <cell r="Q120">
            <v>2</v>
          </cell>
          <cell r="R120">
            <v>2</v>
          </cell>
          <cell r="S120">
            <v>2</v>
          </cell>
          <cell r="T120">
            <v>2</v>
          </cell>
          <cell r="U120">
            <v>2</v>
          </cell>
          <cell r="V120">
            <v>2</v>
          </cell>
          <cell r="W120">
            <v>2</v>
          </cell>
          <cell r="X120">
            <v>2</v>
          </cell>
          <cell r="Y120">
            <v>2</v>
          </cell>
        </row>
        <row r="121">
          <cell r="A121" t="str">
            <v>Drilling Machine</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row>
        <row r="122">
          <cell r="A122" t="str">
            <v>Piles Machine</v>
          </cell>
        </row>
        <row r="123">
          <cell r="A123" t="str">
            <v>Sheet Piles</v>
          </cell>
          <cell r="B123" t="str">
            <v>(250L.M.  12m Long)</v>
          </cell>
        </row>
        <row r="124">
          <cell r="A124" t="str">
            <v>Water Tanker</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row>
        <row r="125">
          <cell r="A125" t="str">
            <v>Compressor</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row>
        <row r="126">
          <cell r="A126" t="str">
            <v>Welding Machine</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row>
        <row r="127">
          <cell r="A127" t="str">
            <v>Vibrator</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row>
        <row r="128">
          <cell r="A128" t="str">
            <v>Pick Up</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row>
        <row r="129">
          <cell r="A129" t="str">
            <v>4*4 Wheel Drive</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row>
        <row r="130">
          <cell r="A130" t="str">
            <v>Minibus</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row>
        <row r="131">
          <cell r="A131" t="str">
            <v>Generator</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row>
        <row r="136">
          <cell r="A136" t="str">
            <v>Crew3</v>
          </cell>
          <cell r="G136">
            <v>-1</v>
          </cell>
          <cell r="H136">
            <v>1</v>
          </cell>
          <cell r="I136">
            <v>2</v>
          </cell>
          <cell r="J136">
            <v>3</v>
          </cell>
          <cell r="K136">
            <v>4</v>
          </cell>
          <cell r="L136">
            <v>5</v>
          </cell>
          <cell r="M136">
            <v>6</v>
          </cell>
          <cell r="N136">
            <v>7</v>
          </cell>
          <cell r="O136">
            <v>8</v>
          </cell>
          <cell r="P136">
            <v>9</v>
          </cell>
          <cell r="Q136">
            <v>10</v>
          </cell>
          <cell r="R136">
            <v>11</v>
          </cell>
          <cell r="S136">
            <v>12</v>
          </cell>
          <cell r="T136">
            <v>13</v>
          </cell>
          <cell r="U136">
            <v>14</v>
          </cell>
          <cell r="V136">
            <v>15</v>
          </cell>
          <cell r="W136">
            <v>16</v>
          </cell>
          <cell r="X136">
            <v>17</v>
          </cell>
          <cell r="Y136">
            <v>18</v>
          </cell>
        </row>
        <row r="137">
          <cell r="C137" t="str">
            <v>Ownership</v>
          </cell>
          <cell r="F137" t="str">
            <v>Max</v>
          </cell>
          <cell r="J137">
            <v>1998</v>
          </cell>
          <cell r="V137">
            <v>2000</v>
          </cell>
        </row>
        <row r="138">
          <cell r="A138" t="str">
            <v>Equipment</v>
          </cell>
          <cell r="B138" t="str">
            <v>Type</v>
          </cell>
          <cell r="C138" t="str">
            <v>Owned</v>
          </cell>
          <cell r="D138" t="str">
            <v>Leased</v>
          </cell>
          <cell r="E138" t="str">
            <v>To be purchased</v>
          </cell>
          <cell r="F138" t="str">
            <v xml:space="preserve"> No.</v>
          </cell>
          <cell r="G138">
            <v>10</v>
          </cell>
          <cell r="H138">
            <v>11</v>
          </cell>
          <cell r="I138">
            <v>12</v>
          </cell>
          <cell r="J138">
            <v>1</v>
          </cell>
          <cell r="K138">
            <v>2</v>
          </cell>
          <cell r="L138">
            <v>3</v>
          </cell>
          <cell r="M138">
            <v>4</v>
          </cell>
          <cell r="N138">
            <v>5</v>
          </cell>
          <cell r="O138">
            <v>6</v>
          </cell>
          <cell r="P138">
            <v>7</v>
          </cell>
          <cell r="Q138">
            <v>8</v>
          </cell>
          <cell r="R138">
            <v>9</v>
          </cell>
          <cell r="S138">
            <v>10</v>
          </cell>
          <cell r="T138">
            <v>11</v>
          </cell>
          <cell r="U138">
            <v>12</v>
          </cell>
          <cell r="V138">
            <v>1</v>
          </cell>
          <cell r="W138">
            <v>2</v>
          </cell>
          <cell r="X138">
            <v>3</v>
          </cell>
          <cell r="Y138">
            <v>4</v>
          </cell>
        </row>
        <row r="139">
          <cell r="A139" t="str">
            <v>Excavator</v>
          </cell>
          <cell r="B139" t="str">
            <v>Cutrpler235/Komatsu400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row>
        <row r="140">
          <cell r="A140" t="str">
            <v>Excavator</v>
          </cell>
          <cell r="B140" t="str">
            <v>Komatsu 210</v>
          </cell>
          <cell r="L140">
            <v>1</v>
          </cell>
          <cell r="M140">
            <v>1</v>
          </cell>
          <cell r="N140">
            <v>1</v>
          </cell>
          <cell r="O140">
            <v>1</v>
          </cell>
          <cell r="P140">
            <v>1</v>
          </cell>
          <cell r="Q140">
            <v>1</v>
          </cell>
          <cell r="R140">
            <v>1</v>
          </cell>
          <cell r="S140">
            <v>1</v>
          </cell>
          <cell r="T140">
            <v>1</v>
          </cell>
          <cell r="U140">
            <v>1</v>
          </cell>
          <cell r="V140">
            <v>1</v>
          </cell>
          <cell r="W140">
            <v>1</v>
          </cell>
          <cell r="X140">
            <v>1</v>
          </cell>
          <cell r="Y140">
            <v>1</v>
          </cell>
        </row>
        <row r="141">
          <cell r="A141" t="str">
            <v>Crane</v>
          </cell>
          <cell r="B141" t="str">
            <v>70 ton</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row>
        <row r="142">
          <cell r="A142" t="str">
            <v>Crane</v>
          </cell>
          <cell r="B142" t="str">
            <v>60 ton</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row>
        <row r="143">
          <cell r="A143" t="str">
            <v>Crane</v>
          </cell>
          <cell r="B143" t="str">
            <v>35 ton</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row>
        <row r="144">
          <cell r="A144" t="str">
            <v>Crane</v>
          </cell>
          <cell r="B144" t="str">
            <v>25 ton</v>
          </cell>
          <cell r="L144">
            <v>1</v>
          </cell>
          <cell r="M144">
            <v>1</v>
          </cell>
          <cell r="N144">
            <v>1</v>
          </cell>
          <cell r="O144">
            <v>1</v>
          </cell>
          <cell r="P144">
            <v>1</v>
          </cell>
          <cell r="Q144">
            <v>1</v>
          </cell>
          <cell r="R144">
            <v>1</v>
          </cell>
          <cell r="S144">
            <v>1</v>
          </cell>
          <cell r="T144">
            <v>1</v>
          </cell>
          <cell r="U144">
            <v>1</v>
          </cell>
          <cell r="V144">
            <v>1</v>
          </cell>
          <cell r="W144">
            <v>1</v>
          </cell>
          <cell r="X144">
            <v>1</v>
          </cell>
          <cell r="Y144">
            <v>1</v>
          </cell>
        </row>
        <row r="145">
          <cell r="A145" t="str">
            <v>Flat Bed</v>
          </cell>
          <cell r="B145" t="str">
            <v>20 ton</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row>
        <row r="146">
          <cell r="A146" t="str">
            <v>Loader</v>
          </cell>
          <cell r="B146" t="str">
            <v>3 m3</v>
          </cell>
          <cell r="L146">
            <v>0</v>
          </cell>
          <cell r="M146">
            <v>1</v>
          </cell>
          <cell r="N146">
            <v>1</v>
          </cell>
          <cell r="O146">
            <v>1</v>
          </cell>
          <cell r="P146">
            <v>1</v>
          </cell>
          <cell r="Q146">
            <v>1</v>
          </cell>
          <cell r="R146">
            <v>1</v>
          </cell>
          <cell r="S146">
            <v>1</v>
          </cell>
          <cell r="T146">
            <v>1</v>
          </cell>
          <cell r="U146">
            <v>1</v>
          </cell>
          <cell r="V146">
            <v>1</v>
          </cell>
          <cell r="W146">
            <v>1</v>
          </cell>
          <cell r="X146">
            <v>1</v>
          </cell>
          <cell r="Y146">
            <v>1</v>
          </cell>
        </row>
        <row r="147">
          <cell r="A147" t="str">
            <v>Roller Compactor</v>
          </cell>
          <cell r="B147" t="str">
            <v>1 ton</v>
          </cell>
          <cell r="L147">
            <v>1</v>
          </cell>
          <cell r="M147">
            <v>1</v>
          </cell>
          <cell r="N147">
            <v>1</v>
          </cell>
          <cell r="O147">
            <v>1</v>
          </cell>
          <cell r="P147">
            <v>1</v>
          </cell>
          <cell r="Q147">
            <v>1</v>
          </cell>
          <cell r="R147">
            <v>1</v>
          </cell>
          <cell r="S147">
            <v>1</v>
          </cell>
          <cell r="T147">
            <v>1</v>
          </cell>
          <cell r="U147">
            <v>1</v>
          </cell>
          <cell r="V147">
            <v>1</v>
          </cell>
          <cell r="W147">
            <v>1</v>
          </cell>
          <cell r="X147">
            <v>1</v>
          </cell>
          <cell r="Y147">
            <v>1</v>
          </cell>
        </row>
        <row r="148">
          <cell r="A148" t="str">
            <v>Truck</v>
          </cell>
          <cell r="B148" t="str">
            <v>20 m3</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row>
        <row r="149">
          <cell r="A149" t="str">
            <v>Well Point</v>
          </cell>
          <cell r="B149" t="str">
            <v>7m</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row>
        <row r="150">
          <cell r="A150" t="str">
            <v>Well Point</v>
          </cell>
          <cell r="B150" t="str">
            <v>6m</v>
          </cell>
          <cell r="L150">
            <v>300</v>
          </cell>
          <cell r="M150">
            <v>300</v>
          </cell>
          <cell r="N150">
            <v>300</v>
          </cell>
          <cell r="O150">
            <v>300</v>
          </cell>
          <cell r="P150">
            <v>300</v>
          </cell>
          <cell r="Q150">
            <v>300</v>
          </cell>
          <cell r="R150">
            <v>300</v>
          </cell>
          <cell r="S150">
            <v>300</v>
          </cell>
          <cell r="T150">
            <v>300</v>
          </cell>
          <cell r="U150">
            <v>300</v>
          </cell>
          <cell r="V150">
            <v>300</v>
          </cell>
          <cell r="W150">
            <v>300</v>
          </cell>
          <cell r="X150">
            <v>300</v>
          </cell>
          <cell r="Y150">
            <v>300</v>
          </cell>
        </row>
        <row r="151">
          <cell r="A151" t="str">
            <v xml:space="preserve">Pump </v>
          </cell>
          <cell r="B151" t="str">
            <v>32 HP</v>
          </cell>
          <cell r="L151">
            <v>1</v>
          </cell>
          <cell r="M151">
            <v>1</v>
          </cell>
          <cell r="N151">
            <v>1</v>
          </cell>
          <cell r="O151">
            <v>1</v>
          </cell>
          <cell r="P151">
            <v>1</v>
          </cell>
          <cell r="Q151">
            <v>1</v>
          </cell>
          <cell r="R151">
            <v>1</v>
          </cell>
          <cell r="S151">
            <v>1</v>
          </cell>
          <cell r="T151">
            <v>1</v>
          </cell>
          <cell r="U151">
            <v>1</v>
          </cell>
          <cell r="V151">
            <v>1</v>
          </cell>
          <cell r="W151">
            <v>1</v>
          </cell>
          <cell r="X151">
            <v>1</v>
          </cell>
          <cell r="Y151">
            <v>1</v>
          </cell>
        </row>
        <row r="152">
          <cell r="A152" t="str">
            <v xml:space="preserve">Pump </v>
          </cell>
          <cell r="B152" t="str">
            <v>12 HP</v>
          </cell>
          <cell r="L152">
            <v>2</v>
          </cell>
          <cell r="M152">
            <v>2</v>
          </cell>
          <cell r="N152">
            <v>2</v>
          </cell>
          <cell r="O152">
            <v>2</v>
          </cell>
          <cell r="P152">
            <v>2</v>
          </cell>
          <cell r="Q152">
            <v>2</v>
          </cell>
          <cell r="R152">
            <v>2</v>
          </cell>
          <cell r="S152">
            <v>2</v>
          </cell>
          <cell r="T152">
            <v>2</v>
          </cell>
          <cell r="U152">
            <v>2</v>
          </cell>
          <cell r="V152">
            <v>2</v>
          </cell>
          <cell r="W152">
            <v>2</v>
          </cell>
          <cell r="X152">
            <v>2</v>
          </cell>
          <cell r="Y152">
            <v>2</v>
          </cell>
        </row>
        <row r="153">
          <cell r="A153" t="str">
            <v>Drilling Machine</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row>
        <row r="154">
          <cell r="A154" t="str">
            <v>Piles Machine</v>
          </cell>
        </row>
        <row r="155">
          <cell r="A155" t="str">
            <v>Sheet Piles</v>
          </cell>
          <cell r="B155" t="str">
            <v>(250L.M.  12m Long)</v>
          </cell>
        </row>
        <row r="156">
          <cell r="A156" t="str">
            <v>Water Tanker</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row>
        <row r="157">
          <cell r="A157" t="str">
            <v>Compressor</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row>
        <row r="158">
          <cell r="A158" t="str">
            <v>Welding Machine</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row>
        <row r="159">
          <cell r="A159" t="str">
            <v>Vibrator</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row>
        <row r="160">
          <cell r="A160" t="str">
            <v>Pick Up</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row>
        <row r="161">
          <cell r="A161" t="str">
            <v>4*4 Wheel Drive</v>
          </cell>
          <cell r="L161">
            <v>1</v>
          </cell>
          <cell r="M161">
            <v>1</v>
          </cell>
          <cell r="N161">
            <v>1</v>
          </cell>
          <cell r="O161">
            <v>1</v>
          </cell>
          <cell r="P161">
            <v>1</v>
          </cell>
          <cell r="Q161">
            <v>1</v>
          </cell>
          <cell r="R161">
            <v>1</v>
          </cell>
          <cell r="S161">
            <v>1</v>
          </cell>
          <cell r="T161">
            <v>1</v>
          </cell>
          <cell r="U161">
            <v>1</v>
          </cell>
          <cell r="V161">
            <v>1</v>
          </cell>
          <cell r="W161">
            <v>1</v>
          </cell>
          <cell r="X161">
            <v>1</v>
          </cell>
          <cell r="Y161">
            <v>1</v>
          </cell>
        </row>
        <row r="162">
          <cell r="A162" t="str">
            <v>Minibus</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row>
        <row r="163">
          <cell r="A163" t="str">
            <v>Generator</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row>
        <row r="168">
          <cell r="A168" t="str">
            <v>Outfal</v>
          </cell>
          <cell r="G168">
            <v>-1</v>
          </cell>
          <cell r="H168">
            <v>1</v>
          </cell>
          <cell r="I168">
            <v>2</v>
          </cell>
          <cell r="J168">
            <v>3</v>
          </cell>
          <cell r="K168">
            <v>4</v>
          </cell>
          <cell r="L168">
            <v>5</v>
          </cell>
          <cell r="M168">
            <v>6</v>
          </cell>
          <cell r="N168">
            <v>7</v>
          </cell>
          <cell r="O168">
            <v>8</v>
          </cell>
          <cell r="P168">
            <v>9</v>
          </cell>
          <cell r="Q168">
            <v>10</v>
          </cell>
          <cell r="R168">
            <v>11</v>
          </cell>
          <cell r="S168">
            <v>12</v>
          </cell>
          <cell r="T168">
            <v>13</v>
          </cell>
          <cell r="U168">
            <v>14</v>
          </cell>
          <cell r="V168">
            <v>15</v>
          </cell>
          <cell r="W168">
            <v>16</v>
          </cell>
          <cell r="X168">
            <v>17</v>
          </cell>
          <cell r="Y168">
            <v>18</v>
          </cell>
        </row>
        <row r="169">
          <cell r="C169" t="str">
            <v>Ownership</v>
          </cell>
          <cell r="F169" t="str">
            <v>Max</v>
          </cell>
          <cell r="J169">
            <v>1998</v>
          </cell>
          <cell r="V169">
            <v>2000</v>
          </cell>
        </row>
        <row r="170">
          <cell r="A170" t="str">
            <v>Equipment</v>
          </cell>
          <cell r="B170" t="str">
            <v>Type</v>
          </cell>
          <cell r="C170" t="str">
            <v>Owned</v>
          </cell>
          <cell r="D170" t="str">
            <v>Leased</v>
          </cell>
          <cell r="E170" t="str">
            <v>To be purchased</v>
          </cell>
          <cell r="F170" t="str">
            <v xml:space="preserve"> No.</v>
          </cell>
          <cell r="G170">
            <v>10</v>
          </cell>
          <cell r="H170">
            <v>11</v>
          </cell>
          <cell r="I170">
            <v>12</v>
          </cell>
          <cell r="J170">
            <v>1</v>
          </cell>
          <cell r="K170">
            <v>2</v>
          </cell>
          <cell r="L170">
            <v>3</v>
          </cell>
          <cell r="M170">
            <v>4</v>
          </cell>
          <cell r="N170">
            <v>5</v>
          </cell>
          <cell r="O170">
            <v>6</v>
          </cell>
          <cell r="P170">
            <v>7</v>
          </cell>
          <cell r="Q170">
            <v>8</v>
          </cell>
          <cell r="R170">
            <v>9</v>
          </cell>
          <cell r="S170">
            <v>10</v>
          </cell>
          <cell r="T170">
            <v>11</v>
          </cell>
          <cell r="U170">
            <v>12</v>
          </cell>
          <cell r="V170">
            <v>1</v>
          </cell>
          <cell r="W170">
            <v>2</v>
          </cell>
          <cell r="X170">
            <v>3</v>
          </cell>
          <cell r="Y170">
            <v>4</v>
          </cell>
        </row>
        <row r="171">
          <cell r="A171" t="str">
            <v>Excavator</v>
          </cell>
          <cell r="B171" t="str">
            <v>Cutrpler235/Komatsu400</v>
          </cell>
        </row>
        <row r="172">
          <cell r="A172" t="str">
            <v>Excavator</v>
          </cell>
          <cell r="B172" t="str">
            <v>Komatsu 210</v>
          </cell>
          <cell r="M172">
            <v>1</v>
          </cell>
        </row>
        <row r="173">
          <cell r="A173" t="str">
            <v>Crane</v>
          </cell>
          <cell r="B173" t="str">
            <v>70 ton</v>
          </cell>
          <cell r="J173">
            <v>1</v>
          </cell>
          <cell r="Q173">
            <v>1</v>
          </cell>
        </row>
        <row r="174">
          <cell r="A174" t="str">
            <v>Crane</v>
          </cell>
          <cell r="B174" t="str">
            <v>60 ton</v>
          </cell>
          <cell r="J174">
            <v>0</v>
          </cell>
        </row>
        <row r="175">
          <cell r="A175" t="str">
            <v>Crane</v>
          </cell>
          <cell r="B175" t="str">
            <v>35 ton</v>
          </cell>
        </row>
        <row r="176">
          <cell r="A176" t="str">
            <v>Crane</v>
          </cell>
          <cell r="B176" t="str">
            <v>25 ton</v>
          </cell>
        </row>
        <row r="177">
          <cell r="A177" t="str">
            <v>Flat Bed</v>
          </cell>
          <cell r="B177" t="str">
            <v>20 ton</v>
          </cell>
          <cell r="K177">
            <v>1</v>
          </cell>
        </row>
        <row r="178">
          <cell r="A178" t="str">
            <v>Loader</v>
          </cell>
          <cell r="B178" t="str">
            <v>3 m3</v>
          </cell>
          <cell r="H178">
            <v>1</v>
          </cell>
          <cell r="I178">
            <v>1</v>
          </cell>
          <cell r="M178">
            <v>1</v>
          </cell>
        </row>
        <row r="179">
          <cell r="A179" t="str">
            <v>Roller Compactor</v>
          </cell>
          <cell r="B179" t="str">
            <v>1 ton</v>
          </cell>
          <cell r="I179">
            <v>0</v>
          </cell>
        </row>
        <row r="180">
          <cell r="A180" t="str">
            <v>Plate Compactor</v>
          </cell>
          <cell r="P180">
            <v>1</v>
          </cell>
          <cell r="Q180">
            <v>1</v>
          </cell>
          <cell r="R180">
            <v>1</v>
          </cell>
        </row>
        <row r="181">
          <cell r="A181" t="str">
            <v>Truck</v>
          </cell>
          <cell r="B181" t="str">
            <v>20 m3</v>
          </cell>
          <cell r="H181">
            <v>1</v>
          </cell>
          <cell r="I181">
            <v>1</v>
          </cell>
        </row>
        <row r="182">
          <cell r="A182" t="str">
            <v>Well Point</v>
          </cell>
          <cell r="B182" t="str">
            <v>7m</v>
          </cell>
        </row>
        <row r="183">
          <cell r="A183" t="str">
            <v>Well Point</v>
          </cell>
          <cell r="B183" t="str">
            <v>6m</v>
          </cell>
          <cell r="M183">
            <v>0</v>
          </cell>
          <cell r="N183">
            <v>0</v>
          </cell>
          <cell r="O183">
            <v>0</v>
          </cell>
          <cell r="P183">
            <v>0</v>
          </cell>
        </row>
        <row r="184">
          <cell r="A184" t="str">
            <v xml:space="preserve">Pump </v>
          </cell>
          <cell r="B184" t="str">
            <v>32 HP</v>
          </cell>
          <cell r="M184">
            <v>0</v>
          </cell>
          <cell r="N184">
            <v>0</v>
          </cell>
          <cell r="O184">
            <v>0</v>
          </cell>
          <cell r="P184">
            <v>0</v>
          </cell>
        </row>
        <row r="185">
          <cell r="A185" t="str">
            <v xml:space="preserve">Pump </v>
          </cell>
          <cell r="B185" t="str">
            <v>12 HP</v>
          </cell>
        </row>
        <row r="186">
          <cell r="A186" t="str">
            <v>Submerged Pump</v>
          </cell>
          <cell r="M186">
            <v>2</v>
          </cell>
          <cell r="N186">
            <v>2</v>
          </cell>
          <cell r="O186">
            <v>2</v>
          </cell>
          <cell r="P186">
            <v>2</v>
          </cell>
        </row>
        <row r="187">
          <cell r="A187" t="str">
            <v>Drilling Machine</v>
          </cell>
        </row>
        <row r="188">
          <cell r="A188" t="str">
            <v>Piles Machine</v>
          </cell>
          <cell r="J188">
            <v>1</v>
          </cell>
        </row>
        <row r="189">
          <cell r="A189" t="str">
            <v>Sheet Piles</v>
          </cell>
          <cell r="B189" t="str">
            <v>(250L.M.  12m Long)</v>
          </cell>
          <cell r="K189">
            <v>100</v>
          </cell>
          <cell r="L189">
            <v>240</v>
          </cell>
          <cell r="M189">
            <v>240</v>
          </cell>
          <cell r="N189">
            <v>240</v>
          </cell>
          <cell r="O189">
            <v>240</v>
          </cell>
          <cell r="P189">
            <v>240</v>
          </cell>
        </row>
        <row r="190">
          <cell r="A190" t="str">
            <v>Water Tanker</v>
          </cell>
        </row>
        <row r="191">
          <cell r="A191" t="str">
            <v>Compressor</v>
          </cell>
        </row>
        <row r="192">
          <cell r="A192" t="str">
            <v>Welding Machine</v>
          </cell>
        </row>
        <row r="193">
          <cell r="A193" t="str">
            <v>Vibrator</v>
          </cell>
        </row>
        <row r="194">
          <cell r="A194" t="str">
            <v>Pick Up</v>
          </cell>
        </row>
        <row r="195">
          <cell r="A195" t="str">
            <v>4*4 Wheel Drive</v>
          </cell>
        </row>
        <row r="196">
          <cell r="A196" t="str">
            <v>Minibus</v>
          </cell>
        </row>
        <row r="197">
          <cell r="A197" t="str">
            <v>Generator</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rrencey Rate"/>
      <sheetName val="Fittings BD"/>
      <sheetName val="Bill -1"/>
      <sheetName val="Bill-2 "/>
      <sheetName val="Bill-3 "/>
      <sheetName val="Bill -4"/>
      <sheetName val="Bill-5 "/>
      <sheetName val="Bill-6 "/>
      <sheetName val="Summary"/>
      <sheetName val="Report"/>
      <sheetName val="DI 900-700 mm"/>
      <sheetName val="DI 600-less"/>
      <sheetName val="OH"/>
      <sheetName val="Cashflow"/>
      <sheetName val="Estim-Bill No 1"/>
      <sheetName val="Estim-Bill No 2"/>
      <sheetName val="Concrete Estim"/>
      <sheetName val="Estim-Bill No 3"/>
      <sheetName val="Urgent Works "/>
      <sheetName val="Labour"/>
      <sheetName val="Estim-Urgent "/>
      <sheetName val="Equipment "/>
      <sheetName val="Estim-Bill No 5"/>
      <sheetName val="List"/>
      <sheetName val="Proofing "/>
      <sheetName val="Chambers "/>
      <sheetName val="Ducts-marker Post +fence"/>
      <sheetName val="Pressure Gauge"/>
      <sheetName val="Skids"/>
      <sheetName val="R-Gasket-SS Strap"/>
      <sheetName val="Valves"/>
      <sheetName val="DisJoint "/>
      <sheetName val="Strainers"/>
      <sheetName val="Valves-Pilot Op "/>
      <sheetName val="Covers"/>
      <sheetName val="Port Charges"/>
      <sheetName val="DI Pipes "/>
      <sheetName val="TPIA "/>
      <sheetName val="Sheet1"/>
      <sheetName val="Sheet2"/>
      <sheetName val="Sheet3"/>
    </sheetNames>
    <sheetDataSet>
      <sheetData sheetId="0" refreshError="1"/>
      <sheetData sheetId="1" refreshError="1"/>
      <sheetData sheetId="2" refreshError="1">
        <row r="46">
          <cell r="A46" t="e">
            <v>#N/A</v>
          </cell>
        </row>
        <row r="47">
          <cell r="A47" t="str">
            <v>BILL OF QUANTITIES</v>
          </cell>
        </row>
        <row r="48">
          <cell r="A48" t="str">
            <v>Item</v>
          </cell>
          <cell r="B48" t="str">
            <v>Description</v>
          </cell>
          <cell r="C48" t="str">
            <v>Quantity</v>
          </cell>
          <cell r="D48" t="str">
            <v>Unit</v>
          </cell>
          <cell r="E48" t="str">
            <v>Rate (Dhs)</v>
          </cell>
          <cell r="F48" t="str">
            <v>Amount (Dhs)</v>
          </cell>
        </row>
        <row r="50">
          <cell r="B50" t="str">
            <v>BILL NO. 1.1</v>
          </cell>
        </row>
        <row r="51">
          <cell r="B51" t="str">
            <v>SUPPLY OF PIPES</v>
          </cell>
        </row>
        <row r="53">
          <cell r="B53" t="str">
            <v>Supply Class K9 ductile iron pipe in accordance to</v>
          </cell>
        </row>
        <row r="54">
          <cell r="B54" t="str">
            <v>ISO 2531 with spigot and socket joints, zinc and bitumen</v>
          </cell>
        </row>
        <row r="55">
          <cell r="B55" t="str">
            <v>external coating and internal cement mortar lining</v>
          </cell>
        </row>
        <row r="56">
          <cell r="B56" t="str">
            <v>including polyethylene sleeves, warning tape, gaskets,</v>
          </cell>
        </row>
        <row r="57">
          <cell r="B57" t="str">
            <v>and all accessories as specified for the following</v>
          </cell>
        </row>
        <row r="58">
          <cell r="B58" t="str">
            <v>pipe sizes: (All flanges and restrained sets to be rated</v>
          </cell>
        </row>
        <row r="59">
          <cell r="B59" t="str">
            <v>PN 16 unless otherwise noted)</v>
          </cell>
        </row>
        <row r="61">
          <cell r="A61" t="str">
            <v>1.1.1.1</v>
          </cell>
          <cell r="B61" t="str">
            <v>900mm dia. (1% of length to be gauged)</v>
          </cell>
          <cell r="C61">
            <v>4562</v>
          </cell>
          <cell r="D61" t="str">
            <v>m</v>
          </cell>
          <cell r="E61">
            <v>1850</v>
          </cell>
          <cell r="F61">
            <v>8439700</v>
          </cell>
        </row>
        <row r="62">
          <cell r="A62" t="str">
            <v>1.1.1.2</v>
          </cell>
          <cell r="B62" t="str">
            <v>800mm dia. (1% of length to be gauged)</v>
          </cell>
          <cell r="C62">
            <v>6484</v>
          </cell>
          <cell r="D62" t="str">
            <v>m</v>
          </cell>
          <cell r="E62">
            <v>1450</v>
          </cell>
          <cell r="F62">
            <v>9401800</v>
          </cell>
        </row>
        <row r="63">
          <cell r="A63" t="str">
            <v>1.1.1.3</v>
          </cell>
          <cell r="B63" t="str">
            <v>700mm dia. (1% of length to be gauged)</v>
          </cell>
          <cell r="C63">
            <v>21</v>
          </cell>
          <cell r="D63" t="str">
            <v>m</v>
          </cell>
          <cell r="E63">
            <v>1300</v>
          </cell>
          <cell r="F63">
            <v>27300</v>
          </cell>
        </row>
        <row r="64">
          <cell r="A64" t="str">
            <v>1.1.1.4</v>
          </cell>
          <cell r="B64" t="str">
            <v>600mm dia. (1% of length to be gauged)</v>
          </cell>
          <cell r="C64">
            <v>28513</v>
          </cell>
          <cell r="D64" t="str">
            <v>m</v>
          </cell>
          <cell r="E64">
            <v>700</v>
          </cell>
          <cell r="F64">
            <v>19959100</v>
          </cell>
        </row>
        <row r="65">
          <cell r="A65" t="str">
            <v>1.1.1.5</v>
          </cell>
          <cell r="B65" t="str">
            <v>500mm dia. (5% of length to be gauged)</v>
          </cell>
          <cell r="C65">
            <v>6395</v>
          </cell>
          <cell r="D65" t="str">
            <v>m</v>
          </cell>
          <cell r="E65">
            <v>560</v>
          </cell>
          <cell r="F65">
            <v>3581200</v>
          </cell>
        </row>
        <row r="66">
          <cell r="A66" t="str">
            <v>1.1.1.6</v>
          </cell>
          <cell r="B66" t="str">
            <v>400mm dia. (2.5% of length to be gauged)</v>
          </cell>
          <cell r="C66">
            <v>373</v>
          </cell>
          <cell r="D66" t="str">
            <v>m</v>
          </cell>
          <cell r="E66">
            <v>450</v>
          </cell>
          <cell r="F66">
            <v>167850</v>
          </cell>
        </row>
        <row r="67">
          <cell r="A67" t="str">
            <v>1.1.1.7</v>
          </cell>
          <cell r="B67" t="str">
            <v>300mm dia.</v>
          </cell>
          <cell r="C67">
            <v>568</v>
          </cell>
          <cell r="D67" t="str">
            <v>m</v>
          </cell>
          <cell r="E67">
            <v>300</v>
          </cell>
          <cell r="F67">
            <v>170400</v>
          </cell>
        </row>
        <row r="68">
          <cell r="A68" t="str">
            <v>1.1.1.8</v>
          </cell>
          <cell r="B68" t="str">
            <v>200mm dia.</v>
          </cell>
          <cell r="C68">
            <v>210</v>
          </cell>
          <cell r="D68" t="str">
            <v>m</v>
          </cell>
          <cell r="E68">
            <v>200</v>
          </cell>
          <cell r="F68">
            <v>42000</v>
          </cell>
        </row>
        <row r="69">
          <cell r="A69" t="str">
            <v>1.1.1.9</v>
          </cell>
          <cell r="B69" t="str">
            <v>150mm dia.</v>
          </cell>
          <cell r="C69">
            <v>100</v>
          </cell>
          <cell r="D69" t="str">
            <v>m</v>
          </cell>
          <cell r="E69">
            <v>150</v>
          </cell>
          <cell r="F69">
            <v>15000</v>
          </cell>
        </row>
        <row r="70">
          <cell r="A70" t="str">
            <v>1.1.1.10</v>
          </cell>
          <cell r="B70" t="str">
            <v>100mm dia.</v>
          </cell>
          <cell r="C70">
            <v>100</v>
          </cell>
          <cell r="D70" t="str">
            <v>m</v>
          </cell>
          <cell r="E70">
            <v>130</v>
          </cell>
          <cell r="F70">
            <v>13000</v>
          </cell>
        </row>
        <row r="72">
          <cell r="B72" t="str">
            <v xml:space="preserve">Supply pipes as per Item 1.1.1 but suitable to </v>
          </cell>
        </row>
        <row r="73">
          <cell r="B73" t="str">
            <v xml:space="preserve">accommodate a mechanical restrained joint all as </v>
          </cell>
        </row>
        <row r="74">
          <cell r="B74" t="str">
            <v>specified of the following sizes:</v>
          </cell>
        </row>
        <row r="76">
          <cell r="A76" t="str">
            <v>1.1.2.1</v>
          </cell>
          <cell r="B76" t="e">
            <v>#N/A</v>
          </cell>
          <cell r="C76">
            <v>42</v>
          </cell>
          <cell r="D76" t="str">
            <v>m</v>
          </cell>
          <cell r="E76">
            <v>2200</v>
          </cell>
          <cell r="F76">
            <v>92400</v>
          </cell>
        </row>
        <row r="77">
          <cell r="A77" t="e">
            <v>#N/A</v>
          </cell>
          <cell r="B77" t="e">
            <v>#N/A</v>
          </cell>
          <cell r="C77">
            <v>32</v>
          </cell>
          <cell r="D77" t="str">
            <v>m</v>
          </cell>
          <cell r="E77">
            <v>1900</v>
          </cell>
          <cell r="F77">
            <v>60800</v>
          </cell>
        </row>
        <row r="78">
          <cell r="A78" t="e">
            <v>#N/A</v>
          </cell>
          <cell r="B78" t="e">
            <v>#N/A</v>
          </cell>
          <cell r="C78">
            <v>210</v>
          </cell>
          <cell r="D78" t="str">
            <v>m</v>
          </cell>
          <cell r="E78">
            <v>1100</v>
          </cell>
          <cell r="F78">
            <v>231000</v>
          </cell>
        </row>
        <row r="79">
          <cell r="A79" t="e">
            <v>#N/A</v>
          </cell>
          <cell r="B79" t="str">
            <v>500mm dia.</v>
          </cell>
          <cell r="C79">
            <v>53</v>
          </cell>
          <cell r="D79" t="str">
            <v>m</v>
          </cell>
          <cell r="E79">
            <v>810</v>
          </cell>
          <cell r="F79">
            <v>42930</v>
          </cell>
        </row>
        <row r="81">
          <cell r="B81" t="str">
            <v>Supply D.I. Pipes as per Item 1.1.1 but with double spigot</v>
          </cell>
        </row>
        <row r="82">
          <cell r="B82" t="str">
            <v xml:space="preserve">joints and with internal and external protection of fusion </v>
          </cell>
        </row>
        <row r="83">
          <cell r="B83" t="str">
            <v>bonded epoxy coating of the following sizes:</v>
          </cell>
        </row>
        <row r="85">
          <cell r="A85" t="str">
            <v>1.1.3.1</v>
          </cell>
          <cell r="B85" t="str">
            <v>900mm dia.  (length = 2 meters)</v>
          </cell>
          <cell r="C85">
            <v>8</v>
          </cell>
          <cell r="D85" t="str">
            <v>m</v>
          </cell>
          <cell r="E85">
            <v>6000</v>
          </cell>
          <cell r="F85">
            <v>48000</v>
          </cell>
        </row>
        <row r="86">
          <cell r="A86" t="str">
            <v>1.1.3.2</v>
          </cell>
          <cell r="B86" t="str">
            <v>800mm dia.  (length = 2 meters)</v>
          </cell>
          <cell r="C86">
            <v>14</v>
          </cell>
          <cell r="D86" t="str">
            <v>m</v>
          </cell>
          <cell r="E86">
            <v>5000</v>
          </cell>
          <cell r="F86">
            <v>70000</v>
          </cell>
        </row>
        <row r="87">
          <cell r="A87" t="str">
            <v>1.1.3.3</v>
          </cell>
          <cell r="B87" t="str">
            <v>700mm dia.  (length = 2 meters)</v>
          </cell>
          <cell r="C87">
            <v>2</v>
          </cell>
          <cell r="D87" t="str">
            <v>m</v>
          </cell>
          <cell r="E87">
            <v>4400</v>
          </cell>
          <cell r="F87">
            <v>8800</v>
          </cell>
        </row>
        <row r="88">
          <cell r="A88" t="str">
            <v>1.1.3.4</v>
          </cell>
          <cell r="B88" t="str">
            <v>600mm dia.  (length = 2 meters)</v>
          </cell>
          <cell r="C88">
            <v>70</v>
          </cell>
          <cell r="D88" t="str">
            <v>m</v>
          </cell>
          <cell r="E88">
            <v>3000</v>
          </cell>
          <cell r="F88">
            <v>210000</v>
          </cell>
        </row>
        <row r="89">
          <cell r="A89" t="str">
            <v>1.1.3.5</v>
          </cell>
          <cell r="B89" t="str">
            <v>500mm dia.  (length = 2 meters)</v>
          </cell>
          <cell r="C89">
            <v>46</v>
          </cell>
          <cell r="D89" t="str">
            <v>m</v>
          </cell>
          <cell r="E89">
            <v>2500</v>
          </cell>
          <cell r="F89">
            <v>115000</v>
          </cell>
        </row>
        <row r="90">
          <cell r="A90" t="str">
            <v>1.1.3.6</v>
          </cell>
          <cell r="B90" t="str">
            <v>400mm dia.  (length = 2 meters)</v>
          </cell>
          <cell r="C90">
            <v>78</v>
          </cell>
          <cell r="D90" t="str">
            <v>m</v>
          </cell>
          <cell r="E90">
            <v>1800</v>
          </cell>
          <cell r="F90">
            <v>140400</v>
          </cell>
        </row>
        <row r="91">
          <cell r="A91" t="str">
            <v>1.1.3.7</v>
          </cell>
          <cell r="B91" t="str">
            <v>300mm dia.  (length = 2 meters)</v>
          </cell>
          <cell r="C91">
            <v>114</v>
          </cell>
          <cell r="D91" t="str">
            <v>m</v>
          </cell>
          <cell r="E91">
            <v>1100</v>
          </cell>
          <cell r="F91">
            <v>125400</v>
          </cell>
        </row>
        <row r="92">
          <cell r="A92" t="str">
            <v>1.1.3.8</v>
          </cell>
          <cell r="B92" t="str">
            <v>200mm dia.  (length = 2 meters)</v>
          </cell>
          <cell r="C92">
            <v>24</v>
          </cell>
          <cell r="D92" t="str">
            <v>m</v>
          </cell>
          <cell r="E92">
            <v>700</v>
          </cell>
          <cell r="F92">
            <v>16800</v>
          </cell>
        </row>
        <row r="93">
          <cell r="A93" t="str">
            <v>1.1.3.9</v>
          </cell>
          <cell r="B93" t="str">
            <v>150mm dia.  (length = 2 meters)</v>
          </cell>
          <cell r="C93">
            <v>4</v>
          </cell>
          <cell r="D93" t="str">
            <v>m</v>
          </cell>
          <cell r="E93">
            <v>500</v>
          </cell>
          <cell r="F93">
            <v>2000</v>
          </cell>
        </row>
        <row r="94">
          <cell r="A94" t="str">
            <v>1.1.3.10</v>
          </cell>
          <cell r="B94" t="str">
            <v>100mm dia.  (length = 2 meters)</v>
          </cell>
          <cell r="C94">
            <v>4</v>
          </cell>
          <cell r="D94" t="str">
            <v>m</v>
          </cell>
          <cell r="E94">
            <v>300</v>
          </cell>
          <cell r="F94">
            <v>1200</v>
          </cell>
        </row>
        <row r="96">
          <cell r="B96" t="str">
            <v>Supply all materials (including locking glands,</v>
          </cell>
        </row>
        <row r="97">
          <cell r="B97" t="str">
            <v>locking ring, bolts, nuts, gaskets, etc. or retaining rings/</v>
          </cell>
        </row>
        <row r="98">
          <cell r="B98" t="str">
            <v>anchoring segments (according to the type of locking</v>
          </cell>
        </row>
        <row r="99">
          <cell r="B99" t="str">
            <v xml:space="preserve">joint being used) necessary to fabricate on site a </v>
          </cell>
        </row>
        <row r="100">
          <cell r="B100" t="str">
            <v xml:space="preserve">mechanically restrained joint between pipes suitable </v>
          </cell>
        </row>
        <row r="101">
          <cell r="B101" t="str">
            <v xml:space="preserve">(or made suitable) to accommodate restrained joints </v>
          </cell>
        </row>
        <row r="102">
          <cell r="B102" t="str">
            <v xml:space="preserve">and/or fittings (all fittings shall be suitable to </v>
          </cell>
        </row>
        <row r="103">
          <cell r="B103" t="str">
            <v>accommodate restrained joints), all to manufacturer's</v>
          </cell>
        </row>
        <row r="104">
          <cell r="B104" t="str">
            <v>recommendations</v>
          </cell>
        </row>
        <row r="106">
          <cell r="A106" t="str">
            <v>1.1.4.1</v>
          </cell>
          <cell r="B106" t="str">
            <v>900mm dia. (PN 25)</v>
          </cell>
          <cell r="C106">
            <v>11</v>
          </cell>
          <cell r="D106" t="str">
            <v>Set</v>
          </cell>
          <cell r="E106">
            <v>6700</v>
          </cell>
          <cell r="F106">
            <v>73700</v>
          </cell>
        </row>
        <row r="107">
          <cell r="A107" t="str">
            <v>1.1.4.2</v>
          </cell>
          <cell r="B107" t="e">
            <v>#N/A</v>
          </cell>
          <cell r="C107">
            <v>8</v>
          </cell>
          <cell r="D107" t="str">
            <v>Set</v>
          </cell>
          <cell r="E107">
            <v>5900</v>
          </cell>
          <cell r="F107">
            <v>47200</v>
          </cell>
        </row>
        <row r="108">
          <cell r="A108" t="str">
            <v>1.1.4.3</v>
          </cell>
          <cell r="B108" t="e">
            <v>#N/A</v>
          </cell>
          <cell r="C108">
            <v>53</v>
          </cell>
          <cell r="D108" t="str">
            <v>Set</v>
          </cell>
          <cell r="E108">
            <v>1700</v>
          </cell>
          <cell r="F108">
            <v>90100</v>
          </cell>
        </row>
        <row r="109">
          <cell r="A109" t="str">
            <v>1.1.4.4</v>
          </cell>
          <cell r="B109" t="str">
            <v>500mm dia.</v>
          </cell>
          <cell r="C109">
            <v>13</v>
          </cell>
          <cell r="D109" t="str">
            <v>Set</v>
          </cell>
          <cell r="E109">
            <v>1400</v>
          </cell>
          <cell r="F109">
            <v>18200</v>
          </cell>
        </row>
        <row r="116">
          <cell r="B116" t="str">
            <v>CARRIED FORWARD</v>
          </cell>
          <cell r="F116">
            <v>43211280</v>
          </cell>
        </row>
        <row r="117">
          <cell r="A117" t="e">
            <v>#N/A</v>
          </cell>
        </row>
        <row r="118">
          <cell r="A118" t="str">
            <v>BILL OF QUANTITIES</v>
          </cell>
        </row>
        <row r="119">
          <cell r="A119" t="str">
            <v>Item</v>
          </cell>
          <cell r="B119" t="str">
            <v>Description</v>
          </cell>
          <cell r="C119" t="str">
            <v>Quantity</v>
          </cell>
          <cell r="D119" t="str">
            <v>Unit</v>
          </cell>
          <cell r="E119" t="str">
            <v>Rate (Dhs)</v>
          </cell>
          <cell r="F119" t="str">
            <v>Amount (Dhs)</v>
          </cell>
        </row>
        <row r="121">
          <cell r="B121" t="str">
            <v>BROUGHT FORWARD</v>
          </cell>
          <cell r="F121">
            <v>43211280</v>
          </cell>
        </row>
        <row r="123">
          <cell r="B123" t="str">
            <v>Supply Class K9 ductile iron pipe with PN16 flanged</v>
          </cell>
        </row>
        <row r="124">
          <cell r="B124" t="str">
            <v>joints (variable length between 1 to 6 meters as required</v>
          </cell>
        </row>
        <row r="125">
          <cell r="B125" t="str">
            <v>by site conditions and instructed by the Engineer) with</v>
          </cell>
        </row>
        <row r="126">
          <cell r="B126" t="str">
            <v xml:space="preserve">zinc and bitumen external coating and internal cement </v>
          </cell>
        </row>
        <row r="127">
          <cell r="B127" t="str">
            <v xml:space="preserve">mortar lining including polyethylene sleeves, warning </v>
          </cell>
        </row>
        <row r="128">
          <cell r="B128" t="str">
            <v>tape, gaskets bolts, nuts, etc. and all accessories as</v>
          </cell>
        </row>
        <row r="129">
          <cell r="B129" t="str">
            <v>specified for the following pipe sizes:</v>
          </cell>
        </row>
        <row r="131">
          <cell r="A131" t="str">
            <v>1.1.5.1</v>
          </cell>
          <cell r="B131" t="str">
            <v>900mm dia. (PN 25)</v>
          </cell>
          <cell r="C131">
            <v>100</v>
          </cell>
          <cell r="D131" t="str">
            <v>m</v>
          </cell>
          <cell r="E131">
            <v>9700</v>
          </cell>
          <cell r="F131">
            <v>970000</v>
          </cell>
        </row>
        <row r="132">
          <cell r="A132" t="str">
            <v>1.1.5.2</v>
          </cell>
          <cell r="B132" t="e">
            <v>#N/A</v>
          </cell>
          <cell r="C132">
            <v>100</v>
          </cell>
          <cell r="D132" t="str">
            <v>m</v>
          </cell>
          <cell r="E132">
            <v>8200</v>
          </cell>
          <cell r="F132">
            <v>820000</v>
          </cell>
        </row>
        <row r="133">
          <cell r="A133" t="str">
            <v>1.1.5.3</v>
          </cell>
          <cell r="B133" t="str">
            <v>600mm dia. (PN 25)</v>
          </cell>
          <cell r="C133">
            <v>200</v>
          </cell>
          <cell r="D133" t="str">
            <v>m</v>
          </cell>
          <cell r="E133">
            <v>6000</v>
          </cell>
          <cell r="F133">
            <v>1200000</v>
          </cell>
        </row>
        <row r="134">
          <cell r="A134" t="str">
            <v>1.1.5.4</v>
          </cell>
          <cell r="B134" t="e">
            <v>#N/A</v>
          </cell>
          <cell r="C134">
            <v>50</v>
          </cell>
          <cell r="D134" t="str">
            <v>m</v>
          </cell>
          <cell r="E134">
            <v>5100</v>
          </cell>
          <cell r="F134">
            <v>255000</v>
          </cell>
        </row>
        <row r="135">
          <cell r="A135" t="str">
            <v>1.1.5.5</v>
          </cell>
          <cell r="B135" t="str">
            <v>500mm dia.</v>
          </cell>
          <cell r="C135">
            <v>112</v>
          </cell>
          <cell r="D135" t="str">
            <v>m</v>
          </cell>
          <cell r="E135">
            <v>3800</v>
          </cell>
          <cell r="F135">
            <v>425600</v>
          </cell>
        </row>
        <row r="136">
          <cell r="A136" t="str">
            <v>1.1.5.6</v>
          </cell>
          <cell r="B136" t="str">
            <v>400mm dia.</v>
          </cell>
          <cell r="C136">
            <v>45</v>
          </cell>
          <cell r="D136" t="str">
            <v>m</v>
          </cell>
          <cell r="E136">
            <v>3500</v>
          </cell>
          <cell r="F136">
            <v>157500</v>
          </cell>
        </row>
        <row r="137">
          <cell r="A137" t="str">
            <v>1.1.5.7</v>
          </cell>
          <cell r="B137" t="str">
            <v>300mm dia.</v>
          </cell>
          <cell r="C137">
            <v>33</v>
          </cell>
          <cell r="D137" t="str">
            <v>m</v>
          </cell>
          <cell r="E137">
            <v>3200</v>
          </cell>
          <cell r="F137">
            <v>105600</v>
          </cell>
        </row>
        <row r="138">
          <cell r="E138">
            <v>0</v>
          </cell>
        </row>
        <row r="139">
          <cell r="A139" t="str">
            <v>1.1.6.1</v>
          </cell>
          <cell r="B139" t="str">
            <v>Supply  polyethylene sleeves for pipes of any size</v>
          </cell>
          <cell r="C139">
            <v>500</v>
          </cell>
          <cell r="D139" t="str">
            <v>m</v>
          </cell>
          <cell r="E139">
            <v>20</v>
          </cell>
          <cell r="F139">
            <v>10000</v>
          </cell>
        </row>
        <row r="140">
          <cell r="A140" t="str">
            <v>1.1.6.2</v>
          </cell>
          <cell r="B140" t="str">
            <v>Supply warning tape</v>
          </cell>
          <cell r="C140">
            <v>500</v>
          </cell>
          <cell r="D140" t="str">
            <v>m</v>
          </cell>
          <cell r="E140">
            <v>20</v>
          </cell>
          <cell r="F140">
            <v>10000</v>
          </cell>
        </row>
        <row r="141">
          <cell r="E141">
            <v>0</v>
          </cell>
        </row>
        <row r="142">
          <cell r="B142" t="str">
            <v xml:space="preserve">Supply Gaskets for spigot/socket pipes or flanged </v>
          </cell>
          <cell r="E142">
            <v>0</v>
          </cell>
        </row>
        <row r="143">
          <cell r="B143" t="str">
            <v>pipes for pipes of the following sizes:</v>
          </cell>
          <cell r="E143">
            <v>0</v>
          </cell>
        </row>
        <row r="144">
          <cell r="E144">
            <v>0</v>
          </cell>
        </row>
        <row r="145">
          <cell r="A145" t="str">
            <v>1.1.6.3</v>
          </cell>
          <cell r="B145" t="str">
            <v>900 mm dia.</v>
          </cell>
          <cell r="C145">
            <v>45</v>
          </cell>
          <cell r="D145" t="str">
            <v>No.</v>
          </cell>
          <cell r="E145">
            <v>450</v>
          </cell>
          <cell r="F145">
            <v>20250</v>
          </cell>
        </row>
        <row r="146">
          <cell r="A146" t="str">
            <v>1.1.6.4</v>
          </cell>
          <cell r="B146" t="str">
            <v>800 mm dia.</v>
          </cell>
          <cell r="C146">
            <v>65</v>
          </cell>
          <cell r="D146" t="str">
            <v>No.</v>
          </cell>
          <cell r="E146">
            <v>420</v>
          </cell>
          <cell r="F146">
            <v>27300</v>
          </cell>
        </row>
        <row r="147">
          <cell r="A147" t="str">
            <v>1.1.6.5</v>
          </cell>
          <cell r="B147" t="str">
            <v>700 mm dia.</v>
          </cell>
          <cell r="C147">
            <v>2</v>
          </cell>
          <cell r="D147" t="str">
            <v>No.</v>
          </cell>
          <cell r="E147">
            <v>360</v>
          </cell>
          <cell r="F147">
            <v>720</v>
          </cell>
        </row>
        <row r="148">
          <cell r="A148" t="str">
            <v>1.1.6.6</v>
          </cell>
          <cell r="B148" t="str">
            <v>600 mm dia.</v>
          </cell>
          <cell r="C148">
            <v>100</v>
          </cell>
          <cell r="D148" t="str">
            <v>No.</v>
          </cell>
          <cell r="E148">
            <v>220</v>
          </cell>
          <cell r="F148">
            <v>22000</v>
          </cell>
        </row>
        <row r="149">
          <cell r="A149" t="str">
            <v>1.1.6.7</v>
          </cell>
          <cell r="B149" t="str">
            <v>500 mm dia.</v>
          </cell>
          <cell r="C149">
            <v>65</v>
          </cell>
          <cell r="D149" t="str">
            <v>No.</v>
          </cell>
          <cell r="E149">
            <v>200</v>
          </cell>
          <cell r="F149">
            <v>13000</v>
          </cell>
        </row>
        <row r="150">
          <cell r="A150" t="str">
            <v>1.1.6.8</v>
          </cell>
          <cell r="B150" t="str">
            <v>400 mm dia.</v>
          </cell>
          <cell r="C150">
            <v>10</v>
          </cell>
          <cell r="D150" t="str">
            <v>No.</v>
          </cell>
          <cell r="E150">
            <v>170</v>
          </cell>
          <cell r="F150">
            <v>1700</v>
          </cell>
        </row>
        <row r="151">
          <cell r="A151" t="str">
            <v>1.1.6.9</v>
          </cell>
          <cell r="B151" t="str">
            <v>300 mm dia.</v>
          </cell>
          <cell r="C151">
            <v>20</v>
          </cell>
          <cell r="D151" t="str">
            <v>No.</v>
          </cell>
          <cell r="E151">
            <v>80</v>
          </cell>
          <cell r="F151">
            <v>1600</v>
          </cell>
        </row>
        <row r="152">
          <cell r="A152" t="str">
            <v>1.1.6.10</v>
          </cell>
          <cell r="B152" t="str">
            <v>200 mm dia.</v>
          </cell>
          <cell r="C152">
            <v>10</v>
          </cell>
          <cell r="D152" t="str">
            <v>No.</v>
          </cell>
          <cell r="E152">
            <v>50</v>
          </cell>
          <cell r="F152">
            <v>500</v>
          </cell>
        </row>
        <row r="153">
          <cell r="A153" t="str">
            <v>1.1.6.11</v>
          </cell>
          <cell r="B153" t="str">
            <v>150 mm dia.</v>
          </cell>
          <cell r="C153">
            <v>5</v>
          </cell>
          <cell r="D153" t="str">
            <v>No.</v>
          </cell>
          <cell r="E153">
            <v>40</v>
          </cell>
          <cell r="F153">
            <v>200</v>
          </cell>
        </row>
        <row r="154">
          <cell r="A154" t="str">
            <v>1.1.6.12</v>
          </cell>
          <cell r="B154" t="str">
            <v>100 mm dia.</v>
          </cell>
          <cell r="C154">
            <v>5</v>
          </cell>
          <cell r="D154" t="str">
            <v>No.</v>
          </cell>
          <cell r="E154">
            <v>30</v>
          </cell>
          <cell r="F154">
            <v>150</v>
          </cell>
        </row>
        <row r="155">
          <cell r="E155">
            <v>0</v>
          </cell>
        </row>
        <row r="156">
          <cell r="B156" t="str">
            <v xml:space="preserve">Supply a complete set of bolts, nuts, washers, etc. </v>
          </cell>
          <cell r="E156">
            <v>0</v>
          </cell>
        </row>
        <row r="157">
          <cell r="B157" t="str">
            <v>required to joint flanged pipes, fitting or valves of the</v>
          </cell>
          <cell r="E157">
            <v>0</v>
          </cell>
        </row>
        <row r="158">
          <cell r="B158" t="str">
            <v>following sizes:</v>
          </cell>
          <cell r="E158">
            <v>0</v>
          </cell>
        </row>
        <row r="159">
          <cell r="E159">
            <v>0</v>
          </cell>
        </row>
        <row r="160">
          <cell r="A160" t="str">
            <v>1.1.7.13</v>
          </cell>
          <cell r="B160" t="str">
            <v>900 mm dia.</v>
          </cell>
          <cell r="C160">
            <v>13</v>
          </cell>
          <cell r="D160" t="str">
            <v>No.</v>
          </cell>
          <cell r="E160">
            <v>1500</v>
          </cell>
          <cell r="F160">
            <v>19500</v>
          </cell>
        </row>
        <row r="161">
          <cell r="A161" t="str">
            <v>1.1.7.14</v>
          </cell>
          <cell r="B161" t="str">
            <v>800 mm dia.</v>
          </cell>
          <cell r="C161">
            <v>13</v>
          </cell>
          <cell r="D161" t="str">
            <v>No.</v>
          </cell>
          <cell r="E161">
            <v>1300</v>
          </cell>
          <cell r="F161">
            <v>16900</v>
          </cell>
        </row>
        <row r="162">
          <cell r="A162" t="str">
            <v>1.1.7.15</v>
          </cell>
          <cell r="B162" t="str">
            <v>700 mm dia.</v>
          </cell>
          <cell r="C162">
            <v>2</v>
          </cell>
          <cell r="D162" t="str">
            <v>No.</v>
          </cell>
          <cell r="E162">
            <v>1100</v>
          </cell>
          <cell r="F162">
            <v>2200</v>
          </cell>
        </row>
        <row r="163">
          <cell r="A163" t="str">
            <v>1.1.7.16</v>
          </cell>
          <cell r="B163" t="str">
            <v>600 mm dia.</v>
          </cell>
          <cell r="C163">
            <v>57</v>
          </cell>
          <cell r="D163" t="str">
            <v>No.</v>
          </cell>
          <cell r="E163">
            <v>940</v>
          </cell>
          <cell r="F163">
            <v>53580</v>
          </cell>
        </row>
        <row r="164">
          <cell r="A164" t="str">
            <v>1.1.7.17</v>
          </cell>
          <cell r="B164" t="str">
            <v>500 mm dia.</v>
          </cell>
          <cell r="C164">
            <v>30</v>
          </cell>
          <cell r="D164" t="str">
            <v>No.</v>
          </cell>
          <cell r="E164">
            <v>650</v>
          </cell>
          <cell r="F164">
            <v>19500</v>
          </cell>
        </row>
        <row r="165">
          <cell r="A165" t="str">
            <v>1.1.7.18</v>
          </cell>
          <cell r="B165" t="str">
            <v>400 mm dia.</v>
          </cell>
          <cell r="C165">
            <v>43</v>
          </cell>
          <cell r="D165" t="str">
            <v>No.</v>
          </cell>
          <cell r="E165">
            <v>410</v>
          </cell>
          <cell r="F165">
            <v>17630</v>
          </cell>
        </row>
        <row r="166">
          <cell r="A166" t="str">
            <v>1.1.7.19</v>
          </cell>
          <cell r="B166" t="str">
            <v>300 mm dia.</v>
          </cell>
          <cell r="C166">
            <v>63</v>
          </cell>
          <cell r="D166" t="str">
            <v>No.</v>
          </cell>
          <cell r="E166">
            <v>190</v>
          </cell>
          <cell r="F166">
            <v>11970</v>
          </cell>
        </row>
        <row r="167">
          <cell r="A167" t="str">
            <v>1.1.7.20</v>
          </cell>
          <cell r="B167" t="str">
            <v>200 mm dia.</v>
          </cell>
          <cell r="C167">
            <v>13</v>
          </cell>
          <cell r="D167" t="str">
            <v>No.</v>
          </cell>
          <cell r="E167">
            <v>110</v>
          </cell>
          <cell r="F167">
            <v>1430</v>
          </cell>
        </row>
        <row r="168">
          <cell r="A168" t="str">
            <v>1.1.7.21</v>
          </cell>
          <cell r="B168" t="str">
            <v>150 mm dia.</v>
          </cell>
          <cell r="C168">
            <v>2</v>
          </cell>
          <cell r="D168" t="str">
            <v>No.</v>
          </cell>
          <cell r="E168">
            <v>70</v>
          </cell>
          <cell r="F168">
            <v>140</v>
          </cell>
        </row>
        <row r="169">
          <cell r="A169" t="str">
            <v>1.1.7.22</v>
          </cell>
          <cell r="B169" t="str">
            <v>100 mm dia.</v>
          </cell>
          <cell r="C169">
            <v>2</v>
          </cell>
          <cell r="D169" t="str">
            <v>No.</v>
          </cell>
          <cell r="E169">
            <v>30</v>
          </cell>
          <cell r="F169">
            <v>60</v>
          </cell>
        </row>
        <row r="181">
          <cell r="B181" t="str">
            <v>CARRIED TO SUMMARY</v>
          </cell>
          <cell r="F181">
            <v>47395310</v>
          </cell>
        </row>
        <row r="182">
          <cell r="A182" t="e">
            <v>#N/A</v>
          </cell>
        </row>
        <row r="183">
          <cell r="A183" t="str">
            <v>BILL OF QUANTITIES</v>
          </cell>
        </row>
        <row r="184">
          <cell r="A184" t="str">
            <v>Item</v>
          </cell>
          <cell r="B184" t="str">
            <v>Description</v>
          </cell>
          <cell r="C184" t="str">
            <v>Quantity</v>
          </cell>
          <cell r="D184" t="str">
            <v>Unit</v>
          </cell>
          <cell r="E184" t="str">
            <v>Rate (Dhs)</v>
          </cell>
          <cell r="F184" t="str">
            <v>Amount (Dhs)</v>
          </cell>
        </row>
        <row r="186">
          <cell r="B186" t="str">
            <v>BILL NO. 1.2</v>
          </cell>
        </row>
        <row r="187">
          <cell r="B187" t="str">
            <v>SUPPLY OF FITTINGS</v>
          </cell>
        </row>
        <row r="189">
          <cell r="B189" t="str">
            <v xml:space="preserve">Supply ductile iron pipe fittings compatible with K9 pipe </v>
          </cell>
        </row>
        <row r="190">
          <cell r="B190" t="str">
            <v xml:space="preserve">in accordance with ISO 2531 including polythene </v>
          </cell>
        </row>
        <row r="191">
          <cell r="B191" t="str">
            <v xml:space="preserve">sleeving, gaskets, bolts and nuts for flanged fittings, </v>
          </cell>
        </row>
        <row r="192">
          <cell r="B192" t="str">
            <v xml:space="preserve">and all other accessories all as specified (all fittings </v>
          </cell>
        </row>
        <row r="193">
          <cell r="B193" t="str">
            <v xml:space="preserve">shall be suitable to accept, if required, mechanically </v>
          </cell>
        </row>
        <row r="194">
          <cell r="B194" t="str">
            <v>restrained joints).</v>
          </cell>
        </row>
        <row r="195">
          <cell r="B195" t="str">
            <v>(All fittings to be rated PN 16 unless otherwise noted)</v>
          </cell>
        </row>
        <row r="197">
          <cell r="B197" t="str">
            <v>Bends - Double Socket (Bituminous/zinc coating</v>
          </cell>
        </row>
        <row r="198">
          <cell r="B198" t="str">
            <v>externally -  cement mortar internally)</v>
          </cell>
        </row>
        <row r="200">
          <cell r="A200" t="str">
            <v>1.2.1.1</v>
          </cell>
          <cell r="B200" t="str">
            <v>900mm dia. x 450</v>
          </cell>
          <cell r="C200">
            <v>19</v>
          </cell>
          <cell r="D200" t="str">
            <v>No.</v>
          </cell>
          <cell r="E200">
            <v>14000</v>
          </cell>
          <cell r="F200">
            <v>266000</v>
          </cell>
        </row>
        <row r="201">
          <cell r="A201" t="str">
            <v>1.2.1.2</v>
          </cell>
          <cell r="B201" t="e">
            <v>#N/A</v>
          </cell>
          <cell r="C201">
            <v>6</v>
          </cell>
          <cell r="D201" t="str">
            <v>No.</v>
          </cell>
          <cell r="E201">
            <v>11000</v>
          </cell>
          <cell r="F201">
            <v>66000</v>
          </cell>
        </row>
        <row r="202">
          <cell r="A202" t="str">
            <v>1.2.1.3</v>
          </cell>
          <cell r="B202" t="e">
            <v>#N/A</v>
          </cell>
          <cell r="C202">
            <v>11</v>
          </cell>
          <cell r="D202" t="str">
            <v>No.</v>
          </cell>
          <cell r="E202">
            <v>9000</v>
          </cell>
          <cell r="F202">
            <v>99000</v>
          </cell>
        </row>
        <row r="203">
          <cell r="A203" t="str">
            <v>1.2.1.4</v>
          </cell>
          <cell r="B203" t="str">
            <v>800mm dia. x 450</v>
          </cell>
          <cell r="C203">
            <v>16</v>
          </cell>
          <cell r="D203" t="str">
            <v>No.</v>
          </cell>
          <cell r="E203">
            <v>10000</v>
          </cell>
          <cell r="F203">
            <v>160000</v>
          </cell>
        </row>
        <row r="204">
          <cell r="A204" t="str">
            <v>1.2.1.5</v>
          </cell>
          <cell r="B204" t="str">
            <v>ist of 	_x0000__x0000_reinstall_x0005__x0000__x0000_Sand 6_x0000__x0000_All Flanged Tee (with Internal and External Protection_x0017__x0000__x0000_in Fusion Bonded Epoxy)_x0007__x0000__x0000_1.2.6.1_x0007__x0000__x0000_1.2.6.2_x0007__x0000__x0000_1.2.6.3_x0007__x0000__x0000_1.2.6.45_x0000__x0000_600 x 200mm dia. (level invert/drainage type) (PN 25)_x0007__x0000__x0000_1.2.6.5_x0007__x0000__x0000_1.2.6.6,_x0000__x0000_Reducers - Flanged  (Bitum</v>
          </cell>
          <cell r="C204">
            <v>10</v>
          </cell>
          <cell r="D204" t="str">
            <v>No.</v>
          </cell>
          <cell r="E204">
            <v>8000</v>
          </cell>
          <cell r="F204">
            <v>80000</v>
          </cell>
        </row>
        <row r="205">
          <cell r="A205" t="str">
            <v>1.2.1.6</v>
          </cell>
          <cell r="B205" t="e">
            <v>#N/A</v>
          </cell>
          <cell r="C205">
            <v>10</v>
          </cell>
          <cell r="D205" t="str">
            <v>No.</v>
          </cell>
          <cell r="E205">
            <v>7000</v>
          </cell>
          <cell r="F205">
            <v>70000</v>
          </cell>
        </row>
        <row r="206">
          <cell r="A206" t="str">
            <v>1.2.1.7</v>
          </cell>
          <cell r="B206" t="str">
            <v>600mm dia. x 900</v>
          </cell>
          <cell r="C206">
            <v>21</v>
          </cell>
          <cell r="D206" t="str">
            <v>No.</v>
          </cell>
          <cell r="E206">
            <v>5800</v>
          </cell>
          <cell r="F206">
            <v>121800</v>
          </cell>
        </row>
        <row r="207">
          <cell r="A207" t="str">
            <v>1.2.1.8</v>
          </cell>
          <cell r="B207" t="e">
            <v>#N/A</v>
          </cell>
          <cell r="C207">
            <v>35</v>
          </cell>
          <cell r="D207" t="str">
            <v>No.</v>
          </cell>
          <cell r="E207">
            <v>4500</v>
          </cell>
          <cell r="F207">
            <v>157500</v>
          </cell>
        </row>
        <row r="208">
          <cell r="A208" t="str">
            <v>1.2.1.9</v>
          </cell>
          <cell r="B208" t="e">
            <v>#N/A</v>
          </cell>
          <cell r="C208">
            <v>36</v>
          </cell>
          <cell r="D208" t="str">
            <v>No.</v>
          </cell>
          <cell r="E208">
            <v>3300</v>
          </cell>
          <cell r="F208">
            <v>118800</v>
          </cell>
        </row>
        <row r="209">
          <cell r="A209" t="str">
            <v>1.2.1.10</v>
          </cell>
          <cell r="B209" t="e">
            <v>#N/A</v>
          </cell>
          <cell r="C209">
            <v>41</v>
          </cell>
          <cell r="D209" t="str">
            <v>No.</v>
          </cell>
          <cell r="E209">
            <v>2800</v>
          </cell>
          <cell r="F209">
            <v>114800</v>
          </cell>
        </row>
        <row r="210">
          <cell r="A210" t="str">
            <v>1.2.1.11</v>
          </cell>
          <cell r="B210" t="e">
            <v>#N/A</v>
          </cell>
          <cell r="C210">
            <v>12</v>
          </cell>
          <cell r="D210" t="str">
            <v>No.</v>
          </cell>
          <cell r="E210">
            <v>4500</v>
          </cell>
          <cell r="F210">
            <v>54000</v>
          </cell>
        </row>
        <row r="211">
          <cell r="A211" t="str">
            <v>1.2.1.12</v>
          </cell>
          <cell r="B211" t="e">
            <v>#N/A</v>
          </cell>
          <cell r="C211">
            <v>7</v>
          </cell>
          <cell r="D211" t="str">
            <v>No.</v>
          </cell>
          <cell r="E211">
            <v>3000</v>
          </cell>
          <cell r="F211">
            <v>21000</v>
          </cell>
        </row>
        <row r="212">
          <cell r="A212" t="str">
            <v>1.2.1.13</v>
          </cell>
          <cell r="B212" t="e">
            <v>#N/A</v>
          </cell>
          <cell r="C212">
            <v>3</v>
          </cell>
          <cell r="D212" t="str">
            <v>No.</v>
          </cell>
          <cell r="E212">
            <v>2400</v>
          </cell>
          <cell r="F212">
            <v>7200</v>
          </cell>
        </row>
        <row r="213">
          <cell r="A213" t="str">
            <v>1.2.1.14</v>
          </cell>
          <cell r="B213" t="e">
            <v>#N/A</v>
          </cell>
          <cell r="C213">
            <v>8</v>
          </cell>
          <cell r="D213" t="str">
            <v>No.</v>
          </cell>
          <cell r="E213">
            <v>2200</v>
          </cell>
          <cell r="F213">
            <v>17600</v>
          </cell>
        </row>
        <row r="214">
          <cell r="A214" t="str">
            <v>1.2.1.15</v>
          </cell>
          <cell r="B214" t="e">
            <v>#N/A</v>
          </cell>
          <cell r="C214">
            <v>17</v>
          </cell>
          <cell r="D214" t="str">
            <v>No.</v>
          </cell>
          <cell r="E214">
            <v>2600</v>
          </cell>
          <cell r="F214">
            <v>44200</v>
          </cell>
        </row>
        <row r="215">
          <cell r="A215" t="str">
            <v>1.2.1.16</v>
          </cell>
          <cell r="B215" t="e">
            <v>#N/A</v>
          </cell>
          <cell r="C215">
            <v>2</v>
          </cell>
          <cell r="D215" t="str">
            <v>No.</v>
          </cell>
          <cell r="E215">
            <v>2000</v>
          </cell>
          <cell r="F215">
            <v>4000</v>
          </cell>
        </row>
        <row r="216">
          <cell r="A216" t="str">
            <v>1.2.1.17</v>
          </cell>
          <cell r="B216" t="str">
            <v>400mm dia. x 22.50</v>
          </cell>
          <cell r="C216">
            <v>1</v>
          </cell>
          <cell r="D216" t="str">
            <v>No.</v>
          </cell>
          <cell r="E216">
            <v>1800</v>
          </cell>
          <cell r="F216">
            <v>1800</v>
          </cell>
        </row>
        <row r="217">
          <cell r="A217" t="str">
            <v>1.2.1.18</v>
          </cell>
          <cell r="B217" t="e">
            <v>#N/A</v>
          </cell>
          <cell r="C217">
            <v>1</v>
          </cell>
          <cell r="D217" t="str">
            <v>No.</v>
          </cell>
          <cell r="E217">
            <v>1600</v>
          </cell>
          <cell r="F217">
            <v>1600</v>
          </cell>
        </row>
        <row r="218">
          <cell r="A218" t="str">
            <v>1.2.1.19</v>
          </cell>
          <cell r="B218" t="e">
            <v>#N/A</v>
          </cell>
          <cell r="C218">
            <v>17</v>
          </cell>
          <cell r="D218" t="str">
            <v>No.</v>
          </cell>
          <cell r="E218">
            <v>1500</v>
          </cell>
          <cell r="F218">
            <v>25500</v>
          </cell>
        </row>
        <row r="219">
          <cell r="A219" t="str">
            <v>1.2.1.20</v>
          </cell>
          <cell r="B219" t="e">
            <v>#N/A</v>
          </cell>
          <cell r="C219">
            <v>4</v>
          </cell>
          <cell r="D219" t="str">
            <v>No.</v>
          </cell>
          <cell r="E219">
            <v>1200</v>
          </cell>
          <cell r="F219">
            <v>4800</v>
          </cell>
        </row>
        <row r="220">
          <cell r="A220" t="str">
            <v>1.2.1.21</v>
          </cell>
          <cell r="B220" t="e">
            <v>#N/A</v>
          </cell>
          <cell r="C220">
            <v>2</v>
          </cell>
          <cell r="D220" t="str">
            <v>No.</v>
          </cell>
          <cell r="E220">
            <v>1100</v>
          </cell>
          <cell r="F220">
            <v>2200</v>
          </cell>
        </row>
        <row r="221">
          <cell r="A221" t="str">
            <v>1.2.1.22</v>
          </cell>
          <cell r="B221" t="e">
            <v>#N/A</v>
          </cell>
          <cell r="C221">
            <v>4</v>
          </cell>
          <cell r="D221" t="str">
            <v>No.</v>
          </cell>
          <cell r="E221">
            <v>1000</v>
          </cell>
          <cell r="F221">
            <v>4000</v>
          </cell>
        </row>
        <row r="222">
          <cell r="A222" t="str">
            <v>1.2.1.23</v>
          </cell>
          <cell r="B222" t="e">
            <v>#N/A</v>
          </cell>
          <cell r="C222">
            <v>1</v>
          </cell>
          <cell r="D222" t="str">
            <v>No.</v>
          </cell>
          <cell r="E222">
            <v>800</v>
          </cell>
          <cell r="F222">
            <v>800</v>
          </cell>
        </row>
        <row r="223">
          <cell r="A223" t="str">
            <v>1.2.1.24</v>
          </cell>
          <cell r="B223" t="e">
            <v>#N/A</v>
          </cell>
          <cell r="C223">
            <v>1</v>
          </cell>
          <cell r="D223" t="str">
            <v>No.</v>
          </cell>
          <cell r="E223">
            <v>600</v>
          </cell>
          <cell r="F223">
            <v>600</v>
          </cell>
        </row>
        <row r="224">
          <cell r="A224" t="str">
            <v>1.2.1.25</v>
          </cell>
          <cell r="B224" t="e">
            <v>#N/A</v>
          </cell>
          <cell r="C224">
            <v>1</v>
          </cell>
          <cell r="D224" t="str">
            <v>No.</v>
          </cell>
          <cell r="E224">
            <v>500</v>
          </cell>
          <cell r="F224">
            <v>500</v>
          </cell>
        </row>
        <row r="225">
          <cell r="A225" t="str">
            <v>1.2.1.26</v>
          </cell>
          <cell r="B225" t="e">
            <v>#N/A</v>
          </cell>
          <cell r="C225">
            <v>1</v>
          </cell>
          <cell r="D225" t="str">
            <v>No.</v>
          </cell>
          <cell r="E225">
            <v>500</v>
          </cell>
          <cell r="F225">
            <v>500</v>
          </cell>
        </row>
        <row r="226">
          <cell r="A226" t="str">
            <v>1.2.1.27</v>
          </cell>
          <cell r="B226" t="e">
            <v>#N/A</v>
          </cell>
          <cell r="C226">
            <v>4</v>
          </cell>
          <cell r="D226" t="str">
            <v>No.</v>
          </cell>
          <cell r="E226">
            <v>420</v>
          </cell>
          <cell r="F226">
            <v>1680</v>
          </cell>
        </row>
        <row r="227">
          <cell r="A227" t="str">
            <v>1.2.1.28</v>
          </cell>
          <cell r="B227" t="e">
            <v>#N/A</v>
          </cell>
          <cell r="C227">
            <v>4</v>
          </cell>
          <cell r="D227" t="str">
            <v>No.</v>
          </cell>
          <cell r="E227">
            <v>400</v>
          </cell>
          <cell r="F227">
            <v>1600</v>
          </cell>
        </row>
        <row r="228">
          <cell r="A228" t="str">
            <v>1.2.1.29</v>
          </cell>
          <cell r="B228" t="e">
            <v>#N/A</v>
          </cell>
          <cell r="C228">
            <v>1</v>
          </cell>
          <cell r="D228" t="str">
            <v>No.</v>
          </cell>
          <cell r="E228">
            <v>350</v>
          </cell>
          <cell r="F228">
            <v>350</v>
          </cell>
        </row>
        <row r="229">
          <cell r="A229" t="str">
            <v>1.2.1.30</v>
          </cell>
          <cell r="B229" t="str">
            <v>150mm dia. x 11.250</v>
          </cell>
          <cell r="C229">
            <v>1</v>
          </cell>
          <cell r="D229" t="str">
            <v>No.</v>
          </cell>
          <cell r="E229">
            <v>350</v>
          </cell>
          <cell r="F229">
            <v>350</v>
          </cell>
        </row>
        <row r="230">
          <cell r="A230" t="str">
            <v>1.2.1.31</v>
          </cell>
          <cell r="B230" t="e">
            <v>#N/A</v>
          </cell>
          <cell r="C230">
            <v>1</v>
          </cell>
          <cell r="D230" t="str">
            <v>No.</v>
          </cell>
          <cell r="E230">
            <v>300</v>
          </cell>
          <cell r="F230">
            <v>300</v>
          </cell>
        </row>
        <row r="231">
          <cell r="A231" t="str">
            <v>1.2.1.32</v>
          </cell>
          <cell r="B231" t="e">
            <v>#N/A</v>
          </cell>
          <cell r="C231">
            <v>1</v>
          </cell>
          <cell r="D231" t="str">
            <v>No.</v>
          </cell>
          <cell r="E231">
            <v>280</v>
          </cell>
          <cell r="F231">
            <v>280</v>
          </cell>
        </row>
        <row r="232">
          <cell r="A232" t="str">
            <v>1.2.1.33</v>
          </cell>
          <cell r="B232" t="e">
            <v>#N/A</v>
          </cell>
          <cell r="C232">
            <v>1</v>
          </cell>
          <cell r="D232" t="str">
            <v>No.</v>
          </cell>
          <cell r="E232">
            <v>260</v>
          </cell>
          <cell r="F232">
            <v>260</v>
          </cell>
        </row>
        <row r="233">
          <cell r="A233" t="str">
            <v>1.2.1.34</v>
          </cell>
          <cell r="B233" t="e">
            <v>#N/A</v>
          </cell>
          <cell r="C233">
            <v>1</v>
          </cell>
          <cell r="D233" t="str">
            <v>No.</v>
          </cell>
          <cell r="E233">
            <v>260</v>
          </cell>
          <cell r="F233">
            <v>260</v>
          </cell>
        </row>
        <row r="247">
          <cell r="B247" t="str">
            <v>CARRIED FORWARD</v>
          </cell>
          <cell r="F247">
            <v>1449280</v>
          </cell>
        </row>
        <row r="248">
          <cell r="A248" t="e">
            <v>#N/A</v>
          </cell>
        </row>
        <row r="249">
          <cell r="A249" t="str">
            <v>BILL OF QUANTITIES</v>
          </cell>
        </row>
        <row r="250">
          <cell r="A250" t="str">
            <v>Item</v>
          </cell>
          <cell r="B250" t="str">
            <v>Description</v>
          </cell>
          <cell r="C250" t="str">
            <v>Quantity</v>
          </cell>
          <cell r="D250" t="str">
            <v>Unit</v>
          </cell>
          <cell r="E250" t="str">
            <v>Rate (Dhs)</v>
          </cell>
          <cell r="F250" t="str">
            <v>Amount (Dhs)</v>
          </cell>
        </row>
        <row r="252">
          <cell r="B252" t="str">
            <v>BROUGHT FORWARD</v>
          </cell>
          <cell r="F252">
            <v>1449280</v>
          </cell>
        </row>
        <row r="254">
          <cell r="B254" t="str">
            <v>Bends - Double Flanged (Bituminous/zinc coating</v>
          </cell>
        </row>
        <row r="255">
          <cell r="B255" t="str">
            <v>externally - cement mortar internally)</v>
          </cell>
        </row>
        <row r="257">
          <cell r="A257" t="str">
            <v>1.2.2.1</v>
          </cell>
          <cell r="B257" t="e">
            <v>#N/A</v>
          </cell>
          <cell r="C257">
            <v>5</v>
          </cell>
          <cell r="D257" t="str">
            <v>No.</v>
          </cell>
          <cell r="E257">
            <v>21000</v>
          </cell>
          <cell r="F257">
            <v>105000</v>
          </cell>
        </row>
        <row r="258">
          <cell r="A258" t="str">
            <v>1.2.2.2</v>
          </cell>
          <cell r="B258" t="str">
            <v>900mm dia. x 450</v>
          </cell>
          <cell r="C258">
            <v>5</v>
          </cell>
          <cell r="D258" t="str">
            <v>No</v>
          </cell>
          <cell r="E258">
            <v>17000</v>
          </cell>
          <cell r="F258">
            <v>85000</v>
          </cell>
        </row>
        <row r="259">
          <cell r="A259" t="str">
            <v>1.2.2.3</v>
          </cell>
          <cell r="B259" t="e">
            <v>#N/A</v>
          </cell>
          <cell r="C259">
            <v>5</v>
          </cell>
          <cell r="D259" t="str">
            <v>No.</v>
          </cell>
          <cell r="E259">
            <v>17000</v>
          </cell>
          <cell r="F259">
            <v>85000</v>
          </cell>
        </row>
        <row r="260">
          <cell r="A260" t="str">
            <v>1.2.2.4</v>
          </cell>
          <cell r="B260" t="e">
            <v>#N/A</v>
          </cell>
          <cell r="C260">
            <v>5</v>
          </cell>
          <cell r="D260" t="str">
            <v>No.</v>
          </cell>
          <cell r="E260">
            <v>17000</v>
          </cell>
          <cell r="F260">
            <v>85000</v>
          </cell>
        </row>
        <row r="261">
          <cell r="A261" t="str">
            <v>1.2.2.5</v>
          </cell>
          <cell r="B261" t="e">
            <v>#N/A</v>
          </cell>
          <cell r="C261">
            <v>5</v>
          </cell>
          <cell r="D261" t="str">
            <v>No.</v>
          </cell>
          <cell r="E261">
            <v>16000</v>
          </cell>
          <cell r="F261">
            <v>80000</v>
          </cell>
        </row>
        <row r="262">
          <cell r="A262" t="str">
            <v>1.2.2.6</v>
          </cell>
          <cell r="B262" t="str">
            <v>800mm dia. x 450</v>
          </cell>
          <cell r="C262">
            <v>5</v>
          </cell>
          <cell r="D262" t="str">
            <v>No</v>
          </cell>
          <cell r="E262">
            <v>14000</v>
          </cell>
          <cell r="F262">
            <v>70000</v>
          </cell>
        </row>
        <row r="263">
          <cell r="A263" t="str">
            <v>1.2.2.7</v>
          </cell>
          <cell r="B263" t="str">
            <v>ist of 	_x0000__x0000_reinstall_x0005__x0000__x0000_Sand 6_x0000__x0000_All Flanged Tee (with Internal and External Protection_x0017__x0000__x0000_in Fusion Bonded Epoxy)_x0007__x0000__x0000_1.2.6.1_x0007__x0000__x0000_1.2.6.2_x0007__x0000__x0000_1.2.6.3_x0007__x0000__x0000_1.2.6.45_x0000__x0000_600 x 200mm dia. (level invert/drainage type) (PN 25)_x0007__x0000__x0000_1.2.6.5_x0007__x0000__x0000_1.2.6.6,_x0000__x0000_Reducers - Flanged  (Bitum</v>
          </cell>
          <cell r="C263">
            <v>5</v>
          </cell>
          <cell r="D263" t="str">
            <v>No.</v>
          </cell>
          <cell r="E263">
            <v>14000</v>
          </cell>
          <cell r="F263">
            <v>70000</v>
          </cell>
        </row>
        <row r="264">
          <cell r="A264" t="str">
            <v>1.2.2.8</v>
          </cell>
          <cell r="B264" t="e">
            <v>#N/A</v>
          </cell>
          <cell r="C264">
            <v>5</v>
          </cell>
          <cell r="D264" t="str">
            <v>No.</v>
          </cell>
          <cell r="E264">
            <v>13000</v>
          </cell>
          <cell r="F264">
            <v>65000</v>
          </cell>
        </row>
        <row r="265">
          <cell r="A265" t="str">
            <v>1.2.2.9</v>
          </cell>
          <cell r="B265" t="str">
            <v>600mm dia. x 900</v>
          </cell>
          <cell r="C265">
            <v>7</v>
          </cell>
          <cell r="D265" t="str">
            <v>No.</v>
          </cell>
          <cell r="E265">
            <v>10000</v>
          </cell>
          <cell r="F265">
            <v>70000</v>
          </cell>
        </row>
        <row r="266">
          <cell r="A266" t="str">
            <v>1.2.2.10</v>
          </cell>
          <cell r="B266" t="e">
            <v>#N/A</v>
          </cell>
          <cell r="C266">
            <v>7</v>
          </cell>
          <cell r="D266" t="str">
            <v>No.</v>
          </cell>
          <cell r="E266">
            <v>8200</v>
          </cell>
          <cell r="F266">
            <v>57400</v>
          </cell>
        </row>
        <row r="267">
          <cell r="A267" t="str">
            <v>1.2.2.11</v>
          </cell>
          <cell r="B267" t="e">
            <v>#N/A</v>
          </cell>
          <cell r="C267">
            <v>7</v>
          </cell>
          <cell r="D267" t="str">
            <v>No.</v>
          </cell>
          <cell r="E267">
            <v>7500</v>
          </cell>
          <cell r="F267">
            <v>52500</v>
          </cell>
        </row>
        <row r="268">
          <cell r="A268" t="str">
            <v>1.2.2.12</v>
          </cell>
          <cell r="B268" t="e">
            <v>#N/A</v>
          </cell>
          <cell r="C268">
            <v>7</v>
          </cell>
          <cell r="D268" t="str">
            <v>No.</v>
          </cell>
          <cell r="E268">
            <v>7300</v>
          </cell>
          <cell r="F268">
            <v>51100</v>
          </cell>
        </row>
        <row r="269">
          <cell r="A269" t="str">
            <v>1.2.2.13</v>
          </cell>
          <cell r="B269" t="e">
            <v>#N/A</v>
          </cell>
          <cell r="C269">
            <v>11</v>
          </cell>
          <cell r="D269" t="str">
            <v>No.</v>
          </cell>
          <cell r="E269">
            <v>6400</v>
          </cell>
          <cell r="F269">
            <v>70400</v>
          </cell>
        </row>
        <row r="270">
          <cell r="A270" t="str">
            <v>1.2.2.14</v>
          </cell>
          <cell r="B270" t="e">
            <v>#N/A</v>
          </cell>
          <cell r="C270">
            <v>17</v>
          </cell>
          <cell r="D270" t="str">
            <v>No</v>
          </cell>
          <cell r="E270">
            <v>8200</v>
          </cell>
          <cell r="F270">
            <v>139400</v>
          </cell>
        </row>
        <row r="271">
          <cell r="A271" t="str">
            <v>1.2.2.15</v>
          </cell>
          <cell r="B271" t="e">
            <v>#N/A</v>
          </cell>
          <cell r="C271">
            <v>13</v>
          </cell>
          <cell r="D271" t="str">
            <v>No.</v>
          </cell>
          <cell r="E271">
            <v>5800</v>
          </cell>
          <cell r="F271">
            <v>75400</v>
          </cell>
        </row>
        <row r="272">
          <cell r="A272" t="str">
            <v>1.2.2.16</v>
          </cell>
          <cell r="B272" t="e">
            <v>#N/A</v>
          </cell>
          <cell r="C272">
            <v>5</v>
          </cell>
          <cell r="D272" t="str">
            <v>No.</v>
          </cell>
          <cell r="E272">
            <v>5200</v>
          </cell>
          <cell r="F272">
            <v>26000</v>
          </cell>
        </row>
        <row r="273">
          <cell r="A273" t="str">
            <v>1.2.2.17</v>
          </cell>
          <cell r="B273" t="e">
            <v>#N/A</v>
          </cell>
          <cell r="C273">
            <v>5</v>
          </cell>
          <cell r="D273" t="str">
            <v>No.</v>
          </cell>
          <cell r="E273">
            <v>5000</v>
          </cell>
          <cell r="F273">
            <v>25000</v>
          </cell>
        </row>
        <row r="274">
          <cell r="A274" t="str">
            <v>1.2.2.18</v>
          </cell>
          <cell r="B274" t="e">
            <v>#N/A</v>
          </cell>
          <cell r="C274">
            <v>9</v>
          </cell>
          <cell r="D274" t="str">
            <v>No</v>
          </cell>
          <cell r="E274">
            <v>4000</v>
          </cell>
          <cell r="F274">
            <v>36000</v>
          </cell>
        </row>
        <row r="275">
          <cell r="A275" t="str">
            <v>1.2.2.19</v>
          </cell>
          <cell r="B275" t="e">
            <v>#N/A</v>
          </cell>
          <cell r="C275">
            <v>9</v>
          </cell>
          <cell r="D275" t="str">
            <v>No</v>
          </cell>
          <cell r="E275">
            <v>5000</v>
          </cell>
          <cell r="F275">
            <v>45000</v>
          </cell>
        </row>
        <row r="276">
          <cell r="A276" t="str">
            <v>1.2.2.20</v>
          </cell>
          <cell r="B276" t="e">
            <v>#N/A</v>
          </cell>
          <cell r="C276">
            <v>3</v>
          </cell>
          <cell r="D276" t="str">
            <v>No</v>
          </cell>
          <cell r="E276">
            <v>3500</v>
          </cell>
          <cell r="F276">
            <v>10500</v>
          </cell>
        </row>
        <row r="277">
          <cell r="A277" t="str">
            <v>1.2.2.21</v>
          </cell>
          <cell r="B277" t="str">
            <v>400mm dia. x 22.50</v>
          </cell>
          <cell r="C277">
            <v>1</v>
          </cell>
          <cell r="D277" t="str">
            <v>No</v>
          </cell>
          <cell r="E277">
            <v>3500</v>
          </cell>
          <cell r="F277">
            <v>3500</v>
          </cell>
        </row>
        <row r="278">
          <cell r="A278" t="str">
            <v>1.2.2.22</v>
          </cell>
          <cell r="B278" t="e">
            <v>#N/A</v>
          </cell>
          <cell r="C278">
            <v>1</v>
          </cell>
          <cell r="D278" t="str">
            <v>No</v>
          </cell>
          <cell r="E278">
            <v>3200</v>
          </cell>
          <cell r="F278">
            <v>3200</v>
          </cell>
        </row>
        <row r="279">
          <cell r="A279" t="str">
            <v>1.2.2.23</v>
          </cell>
          <cell r="B279" t="e">
            <v>#N/A</v>
          </cell>
          <cell r="C279">
            <v>3</v>
          </cell>
          <cell r="D279" t="str">
            <v>No</v>
          </cell>
          <cell r="E279">
            <v>2200</v>
          </cell>
          <cell r="F279">
            <v>6600</v>
          </cell>
        </row>
        <row r="280">
          <cell r="A280" t="str">
            <v>1.2.2.24</v>
          </cell>
          <cell r="B280" t="e">
            <v>#N/A</v>
          </cell>
          <cell r="C280">
            <v>4</v>
          </cell>
          <cell r="D280" t="str">
            <v>No</v>
          </cell>
          <cell r="E280">
            <v>3000</v>
          </cell>
          <cell r="F280">
            <v>12000</v>
          </cell>
        </row>
        <row r="281">
          <cell r="A281" t="str">
            <v>1.2.2.25</v>
          </cell>
          <cell r="B281" t="e">
            <v>#N/A</v>
          </cell>
          <cell r="C281">
            <v>1</v>
          </cell>
          <cell r="D281" t="str">
            <v>No</v>
          </cell>
          <cell r="E281">
            <v>2000</v>
          </cell>
          <cell r="F281">
            <v>2000</v>
          </cell>
        </row>
        <row r="282">
          <cell r="A282" t="str">
            <v>1.2.2.26</v>
          </cell>
          <cell r="B282" t="e">
            <v>#N/A</v>
          </cell>
          <cell r="C282">
            <v>1</v>
          </cell>
          <cell r="D282" t="str">
            <v>No</v>
          </cell>
          <cell r="E282">
            <v>1800</v>
          </cell>
          <cell r="F282">
            <v>1800</v>
          </cell>
        </row>
        <row r="283">
          <cell r="A283" t="str">
            <v>1.2.2.27</v>
          </cell>
          <cell r="B283" t="e">
            <v>#N/A</v>
          </cell>
          <cell r="C283">
            <v>1</v>
          </cell>
          <cell r="D283" t="str">
            <v>No</v>
          </cell>
          <cell r="E283">
            <v>1800</v>
          </cell>
          <cell r="F283">
            <v>1800</v>
          </cell>
        </row>
        <row r="284">
          <cell r="E284">
            <v>0</v>
          </cell>
        </row>
        <row r="285">
          <cell r="B285" t="str">
            <v>Tees all Socketed (Bituminous/zinc coating</v>
          </cell>
          <cell r="E285">
            <v>0</v>
          </cell>
        </row>
        <row r="286">
          <cell r="B286" t="str">
            <v>externally cement mortar internally)</v>
          </cell>
          <cell r="E286">
            <v>0</v>
          </cell>
        </row>
        <row r="287">
          <cell r="E287">
            <v>0</v>
          </cell>
        </row>
        <row r="288">
          <cell r="A288" t="str">
            <v>1.2.3.1</v>
          </cell>
          <cell r="B288" t="str">
            <v>300 x 300mm dia.</v>
          </cell>
          <cell r="C288">
            <v>8</v>
          </cell>
          <cell r="D288" t="str">
            <v>No.</v>
          </cell>
          <cell r="E288">
            <v>2500</v>
          </cell>
          <cell r="F288">
            <v>20000</v>
          </cell>
        </row>
        <row r="289">
          <cell r="A289" t="str">
            <v>1.2.3.2</v>
          </cell>
          <cell r="B289" t="str">
            <v>200 x 200mm dia.</v>
          </cell>
          <cell r="C289">
            <v>1</v>
          </cell>
          <cell r="D289" t="str">
            <v>No.</v>
          </cell>
          <cell r="E289">
            <v>1600</v>
          </cell>
          <cell r="F289">
            <v>1600</v>
          </cell>
        </row>
        <row r="290">
          <cell r="E290">
            <v>0</v>
          </cell>
        </row>
        <row r="291">
          <cell r="B291" t="str">
            <v xml:space="preserve">Tee - Double Socket Flanged Branch  (Bituminous/zinc </v>
          </cell>
          <cell r="E291">
            <v>0</v>
          </cell>
        </row>
        <row r="292">
          <cell r="B292" t="str">
            <v>coating externally - Cement mortar internally)</v>
          </cell>
          <cell r="E292">
            <v>0</v>
          </cell>
        </row>
        <row r="293">
          <cell r="E293">
            <v>0</v>
          </cell>
        </row>
        <row r="294">
          <cell r="A294" t="str">
            <v>1.2.4.1</v>
          </cell>
          <cell r="B294" t="str">
            <v>900 x 400mm dia. (PN 25)</v>
          </cell>
          <cell r="C294">
            <v>1</v>
          </cell>
          <cell r="D294" t="str">
            <v>No.</v>
          </cell>
          <cell r="E294">
            <v>14000</v>
          </cell>
          <cell r="F294">
            <v>14000</v>
          </cell>
        </row>
        <row r="295">
          <cell r="A295" t="str">
            <v>1.2.4.2</v>
          </cell>
          <cell r="B295" t="str">
            <v>900 x 200mm dia. (level invert/drainage type) (PN 25)</v>
          </cell>
          <cell r="C295">
            <v>9</v>
          </cell>
          <cell r="D295" t="str">
            <v>No.</v>
          </cell>
          <cell r="E295">
            <v>12000</v>
          </cell>
          <cell r="F295">
            <v>108000</v>
          </cell>
        </row>
        <row r="296">
          <cell r="A296" t="str">
            <v>1.2.4.3</v>
          </cell>
          <cell r="B296" t="str">
            <v>900 x 200mm dia. (PN 25)</v>
          </cell>
          <cell r="C296">
            <v>11</v>
          </cell>
          <cell r="D296" t="str">
            <v>No.</v>
          </cell>
          <cell r="E296">
            <v>12000</v>
          </cell>
          <cell r="F296">
            <v>132000</v>
          </cell>
        </row>
        <row r="297">
          <cell r="A297" t="str">
            <v>1.2.4.4</v>
          </cell>
          <cell r="B297" t="str">
            <v>800 x 800mm dia.</v>
          </cell>
          <cell r="C297">
            <v>3</v>
          </cell>
          <cell r="D297" t="str">
            <v>No.</v>
          </cell>
          <cell r="E297">
            <v>16000</v>
          </cell>
          <cell r="F297">
            <v>48000</v>
          </cell>
        </row>
        <row r="298">
          <cell r="A298" t="str">
            <v>1.2.4.5</v>
          </cell>
          <cell r="B298" t="str">
            <v>800 x 600mm dia.</v>
          </cell>
          <cell r="C298">
            <v>7</v>
          </cell>
          <cell r="D298" t="str">
            <v>No.</v>
          </cell>
          <cell r="E298">
            <v>15000</v>
          </cell>
          <cell r="F298">
            <v>105000</v>
          </cell>
        </row>
        <row r="299">
          <cell r="A299" t="str">
            <v>1.2.4.6</v>
          </cell>
          <cell r="B299" t="str">
            <v>800 x 400mm dia.</v>
          </cell>
          <cell r="C299">
            <v>7</v>
          </cell>
          <cell r="D299" t="str">
            <v>No.</v>
          </cell>
          <cell r="E299">
            <v>12000</v>
          </cell>
          <cell r="F299">
            <v>84000</v>
          </cell>
        </row>
        <row r="300">
          <cell r="A300" t="str">
            <v>1.2.4.7</v>
          </cell>
          <cell r="B300" t="str">
            <v>800 x 200mm dia. (level invert/drainage type)</v>
          </cell>
          <cell r="C300">
            <v>6</v>
          </cell>
          <cell r="D300" t="str">
            <v>No.</v>
          </cell>
          <cell r="E300">
            <v>10000</v>
          </cell>
          <cell r="F300">
            <v>60000</v>
          </cell>
        </row>
        <row r="301">
          <cell r="A301" t="str">
            <v>1.2.4.8</v>
          </cell>
          <cell r="B301" t="str">
            <v>800 x 150mm dia.</v>
          </cell>
          <cell r="C301">
            <v>8</v>
          </cell>
          <cell r="D301" t="str">
            <v>No.</v>
          </cell>
          <cell r="E301">
            <v>9300</v>
          </cell>
          <cell r="F301">
            <v>74400</v>
          </cell>
        </row>
        <row r="302">
          <cell r="A302" t="str">
            <v>1.2.4.9</v>
          </cell>
          <cell r="B302" t="str">
            <v>600 x 600mm dia.</v>
          </cell>
          <cell r="C302">
            <v>28</v>
          </cell>
          <cell r="D302" t="str">
            <v>No.</v>
          </cell>
          <cell r="E302">
            <v>7500</v>
          </cell>
          <cell r="F302">
            <v>210000</v>
          </cell>
        </row>
        <row r="303">
          <cell r="A303" t="str">
            <v>1.2.4.10</v>
          </cell>
          <cell r="B303" t="str">
            <v>600 x 500mm dia.</v>
          </cell>
          <cell r="C303">
            <v>4</v>
          </cell>
          <cell r="D303" t="str">
            <v>No.</v>
          </cell>
          <cell r="E303">
            <v>7300</v>
          </cell>
          <cell r="F303">
            <v>29200</v>
          </cell>
        </row>
        <row r="304">
          <cell r="A304" t="str">
            <v>1.2.4.11</v>
          </cell>
          <cell r="B304" t="str">
            <v>600 x 400mm dia.</v>
          </cell>
          <cell r="C304">
            <v>6</v>
          </cell>
          <cell r="D304" t="str">
            <v>No.</v>
          </cell>
          <cell r="E304">
            <v>6000</v>
          </cell>
          <cell r="F304">
            <v>36000</v>
          </cell>
        </row>
        <row r="305">
          <cell r="A305" t="str">
            <v>1.2.4.12</v>
          </cell>
          <cell r="B305" t="str">
            <v>600 x 300mm dia.</v>
          </cell>
          <cell r="C305">
            <v>8</v>
          </cell>
          <cell r="D305" t="str">
            <v>No.</v>
          </cell>
          <cell r="E305">
            <v>6000</v>
          </cell>
          <cell r="F305">
            <v>48000</v>
          </cell>
        </row>
        <row r="306">
          <cell r="A306" t="str">
            <v>1.2.4.13</v>
          </cell>
          <cell r="B306" t="str">
            <v>600 x 200mm dia.</v>
          </cell>
          <cell r="C306">
            <v>3</v>
          </cell>
          <cell r="D306" t="str">
            <v>No.</v>
          </cell>
          <cell r="E306">
            <v>5000</v>
          </cell>
          <cell r="F306">
            <v>15000</v>
          </cell>
        </row>
        <row r="307">
          <cell r="A307" t="str">
            <v>1.2.4.14</v>
          </cell>
          <cell r="B307" t="str">
            <v>600 x 200mm dia. (level invert/drainage type)</v>
          </cell>
          <cell r="C307">
            <v>19</v>
          </cell>
          <cell r="D307" t="str">
            <v>No.</v>
          </cell>
          <cell r="E307">
            <v>6000</v>
          </cell>
          <cell r="F307">
            <v>114000</v>
          </cell>
        </row>
        <row r="308">
          <cell r="A308" t="str">
            <v>1.2.4.15</v>
          </cell>
          <cell r="B308" t="str">
            <v>600 x 200mm dia. (level invert/drainage type) PN 25</v>
          </cell>
          <cell r="C308">
            <v>13</v>
          </cell>
          <cell r="D308" t="str">
            <v>No.</v>
          </cell>
          <cell r="E308">
            <v>6000</v>
          </cell>
          <cell r="F308">
            <v>78000</v>
          </cell>
        </row>
        <row r="309">
          <cell r="A309" t="str">
            <v>1.2.4.16</v>
          </cell>
          <cell r="B309" t="str">
            <v>600 x 150mm dia.</v>
          </cell>
          <cell r="C309">
            <v>22</v>
          </cell>
          <cell r="D309" t="str">
            <v>No.</v>
          </cell>
          <cell r="E309">
            <v>3500</v>
          </cell>
          <cell r="F309">
            <v>77000</v>
          </cell>
        </row>
        <row r="310">
          <cell r="A310" t="str">
            <v>1.2.4.17</v>
          </cell>
          <cell r="B310" t="str">
            <v>600 x 150mm dia. (PN 25)</v>
          </cell>
          <cell r="C310">
            <v>15</v>
          </cell>
          <cell r="D310" t="str">
            <v>No.</v>
          </cell>
          <cell r="E310">
            <v>4300</v>
          </cell>
          <cell r="F310">
            <v>64500</v>
          </cell>
        </row>
        <row r="313">
          <cell r="B313" t="str">
            <v>CARRIED FORWARD</v>
          </cell>
          <cell r="F313">
            <v>4102580</v>
          </cell>
        </row>
        <row r="314">
          <cell r="A314" t="e">
            <v>#N/A</v>
          </cell>
        </row>
        <row r="315">
          <cell r="A315" t="str">
            <v>BILL OF QUANTITIES</v>
          </cell>
        </row>
        <row r="316">
          <cell r="A316" t="str">
            <v>Item</v>
          </cell>
          <cell r="B316" t="str">
            <v>Description</v>
          </cell>
          <cell r="C316" t="str">
            <v>Quantity</v>
          </cell>
          <cell r="D316" t="str">
            <v>Unit</v>
          </cell>
          <cell r="E316" t="str">
            <v>Rate (Dhs)</v>
          </cell>
          <cell r="F316" t="str">
            <v>Amount (Dhs)</v>
          </cell>
        </row>
        <row r="318">
          <cell r="B318" t="str">
            <v>BROUGHT FORWARD</v>
          </cell>
          <cell r="F318">
            <v>4102580</v>
          </cell>
        </row>
        <row r="320">
          <cell r="A320" t="str">
            <v>1.2.4.18</v>
          </cell>
          <cell r="B320" t="str">
            <v>500 x 500mm dia.</v>
          </cell>
          <cell r="C320">
            <v>13</v>
          </cell>
          <cell r="D320" t="str">
            <v>No.</v>
          </cell>
          <cell r="E320">
            <v>5000</v>
          </cell>
          <cell r="F320">
            <v>65000</v>
          </cell>
        </row>
        <row r="321">
          <cell r="A321" t="str">
            <v>1.2.4.19</v>
          </cell>
          <cell r="B321" t="str">
            <v>500 x 500mm dia. (PN 25)</v>
          </cell>
          <cell r="C321">
            <v>2</v>
          </cell>
          <cell r="D321" t="str">
            <v>No.</v>
          </cell>
          <cell r="E321">
            <v>5700</v>
          </cell>
          <cell r="F321">
            <v>11400</v>
          </cell>
        </row>
        <row r="322">
          <cell r="A322" t="str">
            <v>1.2.4.20</v>
          </cell>
          <cell r="B322" t="str">
            <v>500 x 400mm dia.</v>
          </cell>
          <cell r="C322">
            <v>4</v>
          </cell>
          <cell r="D322" t="str">
            <v>No.</v>
          </cell>
          <cell r="E322">
            <v>4200</v>
          </cell>
          <cell r="F322">
            <v>16800</v>
          </cell>
        </row>
        <row r="323">
          <cell r="A323" t="str">
            <v>1.2.4.21</v>
          </cell>
          <cell r="B323" t="str">
            <v>500 x 300mm dia.</v>
          </cell>
          <cell r="C323">
            <v>3</v>
          </cell>
          <cell r="D323" t="str">
            <v>No.</v>
          </cell>
          <cell r="E323">
            <v>4200</v>
          </cell>
          <cell r="F323">
            <v>12600</v>
          </cell>
        </row>
        <row r="324">
          <cell r="A324" t="str">
            <v>1.2.4.22</v>
          </cell>
          <cell r="B324" t="str">
            <v>500 x 200mm dia.</v>
          </cell>
          <cell r="C324">
            <v>1</v>
          </cell>
          <cell r="D324" t="str">
            <v>No.</v>
          </cell>
          <cell r="E324">
            <v>4000</v>
          </cell>
          <cell r="F324">
            <v>4000</v>
          </cell>
        </row>
        <row r="325">
          <cell r="A325" t="str">
            <v>1.2.4.23</v>
          </cell>
          <cell r="B325" t="str">
            <v>500 x 150mm dia. (level invert/drainage type)</v>
          </cell>
          <cell r="C325">
            <v>4</v>
          </cell>
          <cell r="D325" t="str">
            <v>No.</v>
          </cell>
          <cell r="E325">
            <v>3500</v>
          </cell>
          <cell r="F325">
            <v>14000</v>
          </cell>
        </row>
        <row r="326">
          <cell r="A326" t="str">
            <v>1.2.4.24</v>
          </cell>
          <cell r="B326" t="str">
            <v>500 x 100mm dia.</v>
          </cell>
          <cell r="C326">
            <v>6</v>
          </cell>
          <cell r="D326" t="str">
            <v>No.</v>
          </cell>
          <cell r="E326">
            <v>2200</v>
          </cell>
          <cell r="F326">
            <v>13200</v>
          </cell>
        </row>
        <row r="327">
          <cell r="A327" t="str">
            <v>1.2.4.25</v>
          </cell>
          <cell r="B327" t="str">
            <v>400 x 400mm dia.</v>
          </cell>
          <cell r="C327">
            <v>8</v>
          </cell>
          <cell r="D327" t="str">
            <v>No.</v>
          </cell>
          <cell r="E327">
            <v>3000</v>
          </cell>
          <cell r="F327">
            <v>24000</v>
          </cell>
        </row>
        <row r="328">
          <cell r="A328" t="str">
            <v>1.2.4.26</v>
          </cell>
          <cell r="B328" t="str">
            <v>400 x 400mm dia. (PN 25)</v>
          </cell>
          <cell r="C328">
            <v>7</v>
          </cell>
          <cell r="D328" t="str">
            <v>No.</v>
          </cell>
          <cell r="E328">
            <v>3600</v>
          </cell>
          <cell r="F328">
            <v>25200</v>
          </cell>
        </row>
        <row r="329">
          <cell r="A329" t="str">
            <v>1.2.4.27</v>
          </cell>
          <cell r="B329" t="str">
            <v>400 x 300mm dia.</v>
          </cell>
          <cell r="C329">
            <v>1</v>
          </cell>
          <cell r="D329" t="str">
            <v>No.</v>
          </cell>
          <cell r="E329">
            <v>3000</v>
          </cell>
          <cell r="F329">
            <v>3000</v>
          </cell>
        </row>
        <row r="330">
          <cell r="A330" t="str">
            <v>1.2.4.28</v>
          </cell>
          <cell r="B330" t="str">
            <v>300 x 300mm dia.</v>
          </cell>
          <cell r="C330">
            <v>6</v>
          </cell>
          <cell r="D330" t="str">
            <v>No.</v>
          </cell>
          <cell r="E330">
            <v>2000</v>
          </cell>
          <cell r="F330">
            <v>12000</v>
          </cell>
        </row>
        <row r="331">
          <cell r="A331" t="str">
            <v>1.2.4.29</v>
          </cell>
          <cell r="B331" t="str">
            <v>300 x 100mm dia. (level invert/drainage type)</v>
          </cell>
          <cell r="C331">
            <v>2</v>
          </cell>
          <cell r="D331" t="str">
            <v>No.</v>
          </cell>
          <cell r="E331">
            <v>1500</v>
          </cell>
          <cell r="F331">
            <v>3000</v>
          </cell>
        </row>
        <row r="332">
          <cell r="E332">
            <v>0</v>
          </cell>
        </row>
        <row r="333">
          <cell r="B333" t="str">
            <v xml:space="preserve">All Flanged Tee (Bituminous/zinc coating externally - </v>
          </cell>
          <cell r="E333">
            <v>0</v>
          </cell>
        </row>
        <row r="334">
          <cell r="B334" t="str">
            <v>Cement mortar internally)</v>
          </cell>
          <cell r="E334">
            <v>0</v>
          </cell>
        </row>
        <row r="335">
          <cell r="E335">
            <v>0</v>
          </cell>
        </row>
        <row r="336">
          <cell r="A336" t="str">
            <v>1.2.5.1</v>
          </cell>
          <cell r="B336" t="str">
            <v>900 x 900mm dia. (PN 25)</v>
          </cell>
          <cell r="C336">
            <v>1</v>
          </cell>
          <cell r="D336" t="str">
            <v>No.</v>
          </cell>
          <cell r="E336">
            <v>31000</v>
          </cell>
          <cell r="F336">
            <v>31000</v>
          </cell>
        </row>
        <row r="337">
          <cell r="A337" t="str">
            <v>1.2.5.2</v>
          </cell>
          <cell r="B337" t="str">
            <v>800 x 400mm dia.</v>
          </cell>
          <cell r="C337">
            <v>2</v>
          </cell>
          <cell r="D337" t="str">
            <v>No.</v>
          </cell>
          <cell r="E337">
            <v>14000</v>
          </cell>
          <cell r="F337">
            <v>28000</v>
          </cell>
        </row>
        <row r="338">
          <cell r="A338" t="str">
            <v>1.2.5.3</v>
          </cell>
          <cell r="B338" t="str">
            <v>600 x 600mm dia.</v>
          </cell>
          <cell r="C338">
            <v>1</v>
          </cell>
          <cell r="D338" t="str">
            <v>No.</v>
          </cell>
          <cell r="E338">
            <v>13000</v>
          </cell>
          <cell r="F338">
            <v>13000</v>
          </cell>
        </row>
        <row r="339">
          <cell r="A339" t="str">
            <v>1.2.5.4</v>
          </cell>
          <cell r="B339" t="str">
            <v>600 x 400mm dia.</v>
          </cell>
          <cell r="C339">
            <v>3</v>
          </cell>
          <cell r="D339" t="str">
            <v>No.</v>
          </cell>
          <cell r="E339">
            <v>10000</v>
          </cell>
          <cell r="F339">
            <v>30000</v>
          </cell>
        </row>
        <row r="340">
          <cell r="A340" t="str">
            <v>1.2.5.5</v>
          </cell>
          <cell r="B340" t="str">
            <v>500 x 500mm dia.</v>
          </cell>
          <cell r="C340">
            <v>6</v>
          </cell>
          <cell r="D340" t="str">
            <v>No.</v>
          </cell>
          <cell r="E340">
            <v>8500</v>
          </cell>
          <cell r="F340">
            <v>51000</v>
          </cell>
        </row>
        <row r="341">
          <cell r="A341" t="str">
            <v>1.2.5.6</v>
          </cell>
          <cell r="B341" t="str">
            <v>300 x 300mm dia.</v>
          </cell>
          <cell r="C341">
            <v>2</v>
          </cell>
          <cell r="D341" t="str">
            <v>No.</v>
          </cell>
          <cell r="E341">
            <v>3500</v>
          </cell>
          <cell r="F341">
            <v>7000</v>
          </cell>
        </row>
        <row r="342">
          <cell r="E342">
            <v>0</v>
          </cell>
        </row>
        <row r="343">
          <cell r="B343" t="str">
            <v>All Flanged Tee (with Internal and External Protection</v>
          </cell>
          <cell r="E343">
            <v>0</v>
          </cell>
        </row>
        <row r="344">
          <cell r="B344" t="str">
            <v>in Fusion Bonded Epoxy)</v>
          </cell>
          <cell r="E344">
            <v>0</v>
          </cell>
        </row>
        <row r="345">
          <cell r="E345">
            <v>0</v>
          </cell>
        </row>
        <row r="346">
          <cell r="A346" t="str">
            <v>1.2.6.1</v>
          </cell>
          <cell r="B346" t="str">
            <v>900 x 200mm dia. (level invert/drainage type) (PN 25)</v>
          </cell>
          <cell r="C346">
            <v>2</v>
          </cell>
          <cell r="D346" t="str">
            <v>No.</v>
          </cell>
          <cell r="E346">
            <v>20000</v>
          </cell>
          <cell r="F346">
            <v>40000</v>
          </cell>
        </row>
        <row r="347">
          <cell r="A347" t="str">
            <v>1.2.6.2</v>
          </cell>
          <cell r="B347" t="str">
            <v>800 x 200mm dia. (level invert/drainage type)</v>
          </cell>
          <cell r="C347">
            <v>2</v>
          </cell>
          <cell r="D347" t="str">
            <v>No.</v>
          </cell>
          <cell r="E347">
            <v>13000</v>
          </cell>
          <cell r="F347">
            <v>26000</v>
          </cell>
        </row>
        <row r="348">
          <cell r="A348" t="str">
            <v>1.2.6.3</v>
          </cell>
          <cell r="B348" t="str">
            <v>600 x 200mm dia. (level invert/drainage type)</v>
          </cell>
          <cell r="C348">
            <v>7</v>
          </cell>
          <cell r="D348" t="str">
            <v>No.</v>
          </cell>
          <cell r="E348">
            <v>10000</v>
          </cell>
          <cell r="F348">
            <v>70000</v>
          </cell>
        </row>
        <row r="349">
          <cell r="A349" t="str">
            <v>1.2.6.4</v>
          </cell>
          <cell r="B349" t="str">
            <v>600 x 200mm dia. (level invert/drainage type) (PN 25)</v>
          </cell>
          <cell r="C349">
            <v>6</v>
          </cell>
          <cell r="D349" t="str">
            <v>No.</v>
          </cell>
          <cell r="E349">
            <v>12000</v>
          </cell>
          <cell r="F349">
            <v>72000</v>
          </cell>
        </row>
        <row r="350">
          <cell r="A350" t="str">
            <v>1.2.6.5</v>
          </cell>
          <cell r="B350" t="str">
            <v>500 x 150mm dia. (level invert/drainage type)</v>
          </cell>
          <cell r="C350">
            <v>2</v>
          </cell>
          <cell r="D350" t="str">
            <v>No.</v>
          </cell>
          <cell r="E350">
            <v>7000</v>
          </cell>
          <cell r="F350">
            <v>14000</v>
          </cell>
        </row>
        <row r="351">
          <cell r="A351" t="str">
            <v>1.2.6.6</v>
          </cell>
          <cell r="B351" t="str">
            <v>300 x 100mm dia. (level invert/drainage type)</v>
          </cell>
          <cell r="C351">
            <v>2</v>
          </cell>
          <cell r="D351" t="str">
            <v>No.</v>
          </cell>
          <cell r="E351">
            <v>2800</v>
          </cell>
          <cell r="F351">
            <v>5600</v>
          </cell>
        </row>
        <row r="352">
          <cell r="E352">
            <v>0</v>
          </cell>
        </row>
        <row r="353">
          <cell r="B353" t="str">
            <v>Reducers - Flanged  (Bituminous/zinc coating</v>
          </cell>
          <cell r="E353">
            <v>0</v>
          </cell>
        </row>
        <row r="354">
          <cell r="B354" t="str">
            <v>externally - Cement mortar internally)</v>
          </cell>
          <cell r="E354">
            <v>0</v>
          </cell>
        </row>
        <row r="355">
          <cell r="E355">
            <v>0</v>
          </cell>
        </row>
        <row r="356">
          <cell r="A356" t="str">
            <v>1.2.7.1</v>
          </cell>
          <cell r="B356" t="str">
            <v>900 x 700mm dia. (PN 25)</v>
          </cell>
          <cell r="C356">
            <v>2</v>
          </cell>
          <cell r="D356" t="str">
            <v>No.</v>
          </cell>
          <cell r="E356">
            <v>14000</v>
          </cell>
          <cell r="F356">
            <v>28000</v>
          </cell>
        </row>
        <row r="357">
          <cell r="A357" t="str">
            <v>1.2.7.2</v>
          </cell>
          <cell r="B357" t="str">
            <v>800 x 700mm dia.</v>
          </cell>
          <cell r="C357">
            <v>2</v>
          </cell>
          <cell r="D357" t="str">
            <v>No.</v>
          </cell>
          <cell r="E357">
            <v>12000</v>
          </cell>
          <cell r="F357">
            <v>24000</v>
          </cell>
        </row>
        <row r="358">
          <cell r="A358" t="str">
            <v>1.2.7.3</v>
          </cell>
          <cell r="B358" t="str">
            <v xml:space="preserve">800 x 600mm dia. </v>
          </cell>
          <cell r="C358">
            <v>7</v>
          </cell>
          <cell r="D358" t="str">
            <v>No.</v>
          </cell>
          <cell r="E358">
            <v>11000</v>
          </cell>
          <cell r="F358">
            <v>77000</v>
          </cell>
        </row>
        <row r="359">
          <cell r="A359" t="str">
            <v>1.2.7.4</v>
          </cell>
          <cell r="B359" t="str">
            <v>800 x 500mm dia. (PN 25)</v>
          </cell>
          <cell r="C359">
            <v>1</v>
          </cell>
          <cell r="D359" t="str">
            <v>No.</v>
          </cell>
          <cell r="E359">
            <v>13000</v>
          </cell>
          <cell r="F359">
            <v>13000</v>
          </cell>
        </row>
        <row r="360">
          <cell r="A360" t="str">
            <v>1.2.7.5</v>
          </cell>
          <cell r="B360" t="str">
            <v>700 x 500mm dia. (PN 25)</v>
          </cell>
          <cell r="C360">
            <v>2</v>
          </cell>
          <cell r="D360" t="str">
            <v>No.</v>
          </cell>
          <cell r="E360">
            <v>9000</v>
          </cell>
          <cell r="F360">
            <v>18000</v>
          </cell>
        </row>
        <row r="361">
          <cell r="A361" t="str">
            <v>1.2.7.6</v>
          </cell>
          <cell r="B361" t="str">
            <v>600 x 500mm dia.</v>
          </cell>
          <cell r="C361">
            <v>14</v>
          </cell>
          <cell r="D361" t="str">
            <v>No.</v>
          </cell>
          <cell r="E361">
            <v>6000</v>
          </cell>
          <cell r="F361">
            <v>84000</v>
          </cell>
        </row>
        <row r="362">
          <cell r="A362" t="str">
            <v>1.2.7.7</v>
          </cell>
          <cell r="B362" t="str">
            <v>600 x 400mm dia.</v>
          </cell>
          <cell r="C362">
            <v>30</v>
          </cell>
          <cell r="D362" t="str">
            <v>No.</v>
          </cell>
          <cell r="E362">
            <v>5500</v>
          </cell>
          <cell r="F362">
            <v>165000</v>
          </cell>
        </row>
        <row r="363">
          <cell r="A363" t="str">
            <v>1.2.7.8</v>
          </cell>
          <cell r="B363" t="str">
            <v>600 x 400mm dia. (PN 25)</v>
          </cell>
          <cell r="C363">
            <v>3</v>
          </cell>
          <cell r="D363" t="str">
            <v>No.</v>
          </cell>
          <cell r="E363">
            <v>6000</v>
          </cell>
          <cell r="F363">
            <v>18000</v>
          </cell>
        </row>
        <row r="364">
          <cell r="A364" t="str">
            <v>1.2.7.9</v>
          </cell>
          <cell r="B364" t="str">
            <v>500 x 400mm dia.</v>
          </cell>
          <cell r="C364">
            <v>30</v>
          </cell>
          <cell r="D364" t="str">
            <v>No.</v>
          </cell>
          <cell r="E364">
            <v>4400</v>
          </cell>
          <cell r="F364">
            <v>132000</v>
          </cell>
        </row>
        <row r="365">
          <cell r="A365" t="str">
            <v>1.2.7.10</v>
          </cell>
          <cell r="B365" t="str">
            <v>500 x 400mm dia. (PN 25)</v>
          </cell>
          <cell r="C365">
            <v>1</v>
          </cell>
          <cell r="D365" t="str">
            <v>No.</v>
          </cell>
          <cell r="E365">
            <v>5000</v>
          </cell>
          <cell r="F365">
            <v>5000</v>
          </cell>
        </row>
        <row r="366">
          <cell r="A366" t="str">
            <v>1.2.7.11</v>
          </cell>
          <cell r="B366" t="str">
            <v>400 x 300mm dia.</v>
          </cell>
          <cell r="C366">
            <v>57</v>
          </cell>
          <cell r="D366" t="str">
            <v>No.</v>
          </cell>
          <cell r="E366">
            <v>3000</v>
          </cell>
          <cell r="F366">
            <v>171000</v>
          </cell>
        </row>
        <row r="367">
          <cell r="A367" t="str">
            <v>1.2.7.12</v>
          </cell>
          <cell r="B367" t="str">
            <v>300 x 200mm dia.</v>
          </cell>
          <cell r="C367">
            <v>21</v>
          </cell>
          <cell r="D367" t="str">
            <v>No.</v>
          </cell>
          <cell r="E367">
            <v>1500</v>
          </cell>
          <cell r="F367">
            <v>31500</v>
          </cell>
        </row>
        <row r="368">
          <cell r="A368" t="str">
            <v>1.2.7.13</v>
          </cell>
          <cell r="B368" t="str">
            <v>200 x 150mm dia.</v>
          </cell>
          <cell r="C368">
            <v>2</v>
          </cell>
          <cell r="D368" t="str">
            <v>No.</v>
          </cell>
          <cell r="E368">
            <v>1000</v>
          </cell>
          <cell r="F368">
            <v>2000</v>
          </cell>
        </row>
        <row r="369">
          <cell r="A369" t="str">
            <v>1.2.7.14</v>
          </cell>
          <cell r="B369" t="str">
            <v>200 x 100mm dia.</v>
          </cell>
          <cell r="C369">
            <v>2</v>
          </cell>
          <cell r="D369" t="str">
            <v>No.</v>
          </cell>
          <cell r="E369">
            <v>1000</v>
          </cell>
          <cell r="F369">
            <v>2000</v>
          </cell>
        </row>
        <row r="380">
          <cell r="B380" t="str">
            <v>CARRIED FORWARD</v>
          </cell>
          <cell r="F380">
            <v>5464880</v>
          </cell>
        </row>
        <row r="381">
          <cell r="A381" t="e">
            <v>#N/A</v>
          </cell>
        </row>
        <row r="382">
          <cell r="A382" t="str">
            <v>BILL OF QUANTITIES</v>
          </cell>
        </row>
        <row r="383">
          <cell r="A383" t="str">
            <v>Item</v>
          </cell>
          <cell r="B383" t="str">
            <v>Description</v>
          </cell>
          <cell r="C383" t="str">
            <v>Quantity</v>
          </cell>
          <cell r="D383" t="str">
            <v>Unit</v>
          </cell>
          <cell r="E383" t="str">
            <v>Rate (Dhs)</v>
          </cell>
          <cell r="F383" t="str">
            <v>Amount (Dhs)</v>
          </cell>
        </row>
        <row r="385">
          <cell r="B385" t="str">
            <v>BROUGHT FORWARD</v>
          </cell>
          <cell r="F385">
            <v>5464880</v>
          </cell>
        </row>
        <row r="387">
          <cell r="B387" t="str">
            <v>Flanged Spigot Pieces (Bituminous/zinc coating</v>
          </cell>
        </row>
        <row r="388">
          <cell r="B388" t="str">
            <v>externally - Cement mortar internally)</v>
          </cell>
        </row>
        <row r="390">
          <cell r="A390" t="str">
            <v>1.2.8.1</v>
          </cell>
          <cell r="B390" t="str">
            <v>900mm dia. (PN 25)</v>
          </cell>
          <cell r="C390">
            <v>1</v>
          </cell>
          <cell r="D390" t="str">
            <v>No.</v>
          </cell>
          <cell r="E390">
            <v>11000</v>
          </cell>
          <cell r="F390">
            <v>11000</v>
          </cell>
        </row>
        <row r="391">
          <cell r="A391" t="str">
            <v>1.2.8.2</v>
          </cell>
          <cell r="B391" t="e">
            <v>#N/A</v>
          </cell>
          <cell r="C391">
            <v>6</v>
          </cell>
          <cell r="D391" t="str">
            <v>No.</v>
          </cell>
          <cell r="E391">
            <v>8000</v>
          </cell>
          <cell r="F391">
            <v>48000</v>
          </cell>
        </row>
        <row r="392">
          <cell r="A392" t="str">
            <v>1.2.8.3</v>
          </cell>
          <cell r="B392" t="e">
            <v>#N/A</v>
          </cell>
          <cell r="C392">
            <v>33</v>
          </cell>
          <cell r="D392" t="str">
            <v>No.</v>
          </cell>
          <cell r="E392">
            <v>4000</v>
          </cell>
          <cell r="F392">
            <v>132000</v>
          </cell>
        </row>
        <row r="393">
          <cell r="A393" t="str">
            <v>1.2.8.4</v>
          </cell>
          <cell r="B393" t="str">
            <v>500mm dia.</v>
          </cell>
          <cell r="C393">
            <v>42</v>
          </cell>
          <cell r="D393" t="str">
            <v>No.</v>
          </cell>
          <cell r="E393">
            <v>2800</v>
          </cell>
          <cell r="F393">
            <v>117600</v>
          </cell>
        </row>
        <row r="394">
          <cell r="A394" t="str">
            <v>1.2.8.5</v>
          </cell>
          <cell r="B394" t="str">
            <v>500mm dia. (PN 25)</v>
          </cell>
          <cell r="C394">
            <v>4</v>
          </cell>
          <cell r="D394" t="str">
            <v>No.</v>
          </cell>
          <cell r="E394">
            <v>3600</v>
          </cell>
          <cell r="F394">
            <v>14400</v>
          </cell>
        </row>
        <row r="395">
          <cell r="A395" t="str">
            <v>1.2.8.6</v>
          </cell>
          <cell r="B395" t="str">
            <v>400mm dia.</v>
          </cell>
          <cell r="C395">
            <v>40</v>
          </cell>
          <cell r="D395" t="str">
            <v>No.</v>
          </cell>
          <cell r="E395">
            <v>1800</v>
          </cell>
          <cell r="F395">
            <v>72000</v>
          </cell>
        </row>
        <row r="396">
          <cell r="A396" t="str">
            <v>1.2.8.7</v>
          </cell>
          <cell r="B396" t="str">
            <v>400mm dia. (PN 25)</v>
          </cell>
          <cell r="C396">
            <v>11</v>
          </cell>
          <cell r="D396" t="str">
            <v>No.</v>
          </cell>
          <cell r="E396">
            <v>2000</v>
          </cell>
          <cell r="F396">
            <v>22000</v>
          </cell>
        </row>
        <row r="397">
          <cell r="A397" t="str">
            <v>1.2.8.8</v>
          </cell>
          <cell r="B397" t="str">
            <v>300mm dia.</v>
          </cell>
          <cell r="C397">
            <v>30</v>
          </cell>
          <cell r="D397" t="str">
            <v>No.</v>
          </cell>
          <cell r="E397">
            <v>1100</v>
          </cell>
          <cell r="F397">
            <v>33000</v>
          </cell>
        </row>
        <row r="398">
          <cell r="A398" t="str">
            <v>1.2.8.9</v>
          </cell>
          <cell r="B398" t="str">
            <v>200mm dia.</v>
          </cell>
          <cell r="C398">
            <v>35</v>
          </cell>
          <cell r="D398" t="str">
            <v>No.</v>
          </cell>
          <cell r="E398">
            <v>600</v>
          </cell>
          <cell r="F398">
            <v>21000</v>
          </cell>
        </row>
        <row r="399">
          <cell r="A399" t="str">
            <v>1.2.8.10</v>
          </cell>
          <cell r="B399" t="str">
            <v>200mm dia. (PN 25)</v>
          </cell>
          <cell r="C399">
            <v>19</v>
          </cell>
          <cell r="D399" t="str">
            <v>No.</v>
          </cell>
          <cell r="E399">
            <v>700</v>
          </cell>
          <cell r="F399">
            <v>13300</v>
          </cell>
        </row>
        <row r="400">
          <cell r="A400" t="str">
            <v>1.2.8.11</v>
          </cell>
          <cell r="B400" t="str">
            <v>150mm dia.</v>
          </cell>
          <cell r="C400">
            <v>7</v>
          </cell>
          <cell r="D400" t="str">
            <v>No.</v>
          </cell>
          <cell r="E400">
            <v>500</v>
          </cell>
          <cell r="F400">
            <v>3500</v>
          </cell>
        </row>
        <row r="401">
          <cell r="A401" t="str">
            <v>1.2.8.12</v>
          </cell>
          <cell r="B401" t="str">
            <v>100mm dia.</v>
          </cell>
          <cell r="C401">
            <v>2</v>
          </cell>
          <cell r="D401" t="str">
            <v>No.</v>
          </cell>
          <cell r="E401">
            <v>300</v>
          </cell>
          <cell r="F401">
            <v>600</v>
          </cell>
        </row>
        <row r="402">
          <cell r="E402">
            <v>0</v>
          </cell>
        </row>
        <row r="403">
          <cell r="B403" t="e">
            <v>#N/A</v>
          </cell>
          <cell r="E403">
            <v>0</v>
          </cell>
        </row>
        <row r="404">
          <cell r="B404" t="e">
            <v>#N/A</v>
          </cell>
          <cell r="E404">
            <v>0</v>
          </cell>
        </row>
        <row r="405">
          <cell r="B405" t="e">
            <v>#N/A</v>
          </cell>
          <cell r="E405">
            <v>0</v>
          </cell>
        </row>
        <row r="406">
          <cell r="E406">
            <v>0</v>
          </cell>
        </row>
        <row r="407">
          <cell r="A407" t="e">
            <v>#N/A</v>
          </cell>
          <cell r="B407" t="str">
            <v>200 mm dia.</v>
          </cell>
          <cell r="C407">
            <v>44</v>
          </cell>
          <cell r="D407" t="str">
            <v>No.</v>
          </cell>
          <cell r="E407">
            <v>1000</v>
          </cell>
          <cell r="F407">
            <v>44000</v>
          </cell>
        </row>
        <row r="408">
          <cell r="A408" t="e">
            <v>#N/A</v>
          </cell>
          <cell r="B408" t="str">
            <v>200mm dia. (PN 25)</v>
          </cell>
          <cell r="C408">
            <v>13</v>
          </cell>
          <cell r="D408" t="str">
            <v>No.</v>
          </cell>
          <cell r="E408">
            <v>1200</v>
          </cell>
          <cell r="F408">
            <v>15600</v>
          </cell>
        </row>
        <row r="409">
          <cell r="A409" t="e">
            <v>#N/A</v>
          </cell>
          <cell r="B409" t="str">
            <v>150 mm dia.</v>
          </cell>
          <cell r="C409">
            <v>34</v>
          </cell>
          <cell r="D409" t="str">
            <v>No.</v>
          </cell>
          <cell r="E409">
            <v>800</v>
          </cell>
          <cell r="F409">
            <v>27200</v>
          </cell>
        </row>
        <row r="410">
          <cell r="A410" t="e">
            <v>#N/A</v>
          </cell>
          <cell r="B410" t="e">
            <v>#N/A</v>
          </cell>
          <cell r="C410">
            <v>15</v>
          </cell>
          <cell r="D410" t="str">
            <v>No.</v>
          </cell>
          <cell r="E410">
            <v>1000</v>
          </cell>
          <cell r="F410">
            <v>15000</v>
          </cell>
        </row>
        <row r="411">
          <cell r="A411" t="str">
            <v>1.2.9.5</v>
          </cell>
          <cell r="B411" t="str">
            <v>100 mm dia.</v>
          </cell>
          <cell r="C411">
            <v>8</v>
          </cell>
          <cell r="D411" t="str">
            <v>No.</v>
          </cell>
          <cell r="E411">
            <v>500</v>
          </cell>
          <cell r="F411">
            <v>4000</v>
          </cell>
        </row>
        <row r="412">
          <cell r="E412">
            <v>0</v>
          </cell>
        </row>
        <row r="413">
          <cell r="B413" t="str">
            <v>Flanged Socket Pieces (Bituminous/zinc coating</v>
          </cell>
          <cell r="E413">
            <v>0</v>
          </cell>
        </row>
        <row r="414">
          <cell r="B414" t="str">
            <v>externally - Cement mortar internally)</v>
          </cell>
          <cell r="E414">
            <v>0</v>
          </cell>
        </row>
        <row r="415">
          <cell r="E415">
            <v>0</v>
          </cell>
        </row>
        <row r="416">
          <cell r="A416" t="str">
            <v>1.2.10.1</v>
          </cell>
          <cell r="B416" t="e">
            <v>#N/A</v>
          </cell>
          <cell r="C416">
            <v>6</v>
          </cell>
          <cell r="D416" t="str">
            <v>No.</v>
          </cell>
          <cell r="E416">
            <v>8000</v>
          </cell>
          <cell r="F416">
            <v>48000</v>
          </cell>
        </row>
        <row r="417">
          <cell r="A417" t="str">
            <v>1.2.10.2</v>
          </cell>
          <cell r="B417" t="str">
            <v>800mm dia. (PN 25)</v>
          </cell>
          <cell r="C417">
            <v>1</v>
          </cell>
          <cell r="D417" t="str">
            <v>No.</v>
          </cell>
          <cell r="E417">
            <v>9000</v>
          </cell>
          <cell r="F417">
            <v>9000</v>
          </cell>
        </row>
        <row r="418">
          <cell r="A418" t="str">
            <v>1.2.10.3</v>
          </cell>
          <cell r="B418" t="str">
            <v>700mm dia.</v>
          </cell>
          <cell r="C418">
            <v>2</v>
          </cell>
          <cell r="D418" t="str">
            <v>No.</v>
          </cell>
          <cell r="E418">
            <v>5500</v>
          </cell>
          <cell r="F418">
            <v>11000</v>
          </cell>
        </row>
        <row r="419">
          <cell r="A419" t="str">
            <v>1.2.10.4</v>
          </cell>
          <cell r="B419" t="e">
            <v>#N/A</v>
          </cell>
          <cell r="C419">
            <v>14</v>
          </cell>
          <cell r="D419" t="str">
            <v>No.</v>
          </cell>
          <cell r="E419">
            <v>4000</v>
          </cell>
          <cell r="F419">
            <v>56000</v>
          </cell>
        </row>
        <row r="420">
          <cell r="A420" t="str">
            <v>1.2.10.5</v>
          </cell>
          <cell r="B420" t="str">
            <v>600mm dia. (PN 25)</v>
          </cell>
          <cell r="C420">
            <v>3</v>
          </cell>
          <cell r="D420" t="str">
            <v>No.</v>
          </cell>
          <cell r="E420">
            <v>4500</v>
          </cell>
          <cell r="F420">
            <v>13500</v>
          </cell>
        </row>
        <row r="421">
          <cell r="A421" t="str">
            <v>1.2.10.6</v>
          </cell>
          <cell r="B421" t="str">
            <v>500mm dia.</v>
          </cell>
          <cell r="C421">
            <v>23</v>
          </cell>
          <cell r="D421" t="str">
            <v>No.</v>
          </cell>
          <cell r="E421">
            <v>2500</v>
          </cell>
          <cell r="F421">
            <v>57500</v>
          </cell>
        </row>
        <row r="422">
          <cell r="A422" t="str">
            <v>1.2.10.7</v>
          </cell>
          <cell r="B422" t="str">
            <v>400mm dia.</v>
          </cell>
          <cell r="C422">
            <v>26</v>
          </cell>
          <cell r="D422" t="str">
            <v>No.</v>
          </cell>
          <cell r="E422">
            <v>1700</v>
          </cell>
          <cell r="F422">
            <v>44200</v>
          </cell>
        </row>
        <row r="423">
          <cell r="A423" t="str">
            <v>1.2.10.8</v>
          </cell>
          <cell r="B423" t="str">
            <v>400mm dia. (PN 25)</v>
          </cell>
          <cell r="C423">
            <v>1</v>
          </cell>
          <cell r="D423" t="str">
            <v>No.</v>
          </cell>
          <cell r="E423">
            <v>2000</v>
          </cell>
          <cell r="F423">
            <v>2000</v>
          </cell>
        </row>
        <row r="424">
          <cell r="A424" t="str">
            <v>1.2.10.9</v>
          </cell>
          <cell r="B424" t="str">
            <v>300mm dia.</v>
          </cell>
          <cell r="C424">
            <v>24</v>
          </cell>
          <cell r="D424" t="str">
            <v>No.</v>
          </cell>
          <cell r="E424">
            <v>1100</v>
          </cell>
          <cell r="F424">
            <v>26400</v>
          </cell>
        </row>
        <row r="425">
          <cell r="A425" t="str">
            <v>1.2.10.10</v>
          </cell>
          <cell r="B425" t="str">
            <v>200mm dia.</v>
          </cell>
          <cell r="C425">
            <v>15</v>
          </cell>
          <cell r="D425" t="str">
            <v>No.</v>
          </cell>
          <cell r="E425">
            <v>600</v>
          </cell>
          <cell r="F425">
            <v>9000</v>
          </cell>
        </row>
        <row r="426">
          <cell r="A426" t="str">
            <v>1.2.10.11</v>
          </cell>
          <cell r="B426" t="str">
            <v>150mm dia.</v>
          </cell>
          <cell r="C426">
            <v>4</v>
          </cell>
          <cell r="D426" t="str">
            <v>No.</v>
          </cell>
          <cell r="E426">
            <v>500</v>
          </cell>
          <cell r="F426">
            <v>2000</v>
          </cell>
        </row>
        <row r="427">
          <cell r="A427" t="str">
            <v>1.2.10.12</v>
          </cell>
          <cell r="B427" t="str">
            <v>100mm dia.</v>
          </cell>
          <cell r="C427">
            <v>2</v>
          </cell>
          <cell r="D427" t="str">
            <v>No.</v>
          </cell>
          <cell r="E427">
            <v>300</v>
          </cell>
          <cell r="F427">
            <v>600</v>
          </cell>
        </row>
        <row r="428">
          <cell r="E428">
            <v>0</v>
          </cell>
        </row>
        <row r="429">
          <cell r="B429" t="str">
            <v>Flanged Spigot Pieces with Factory Cast or</v>
          </cell>
          <cell r="E429">
            <v>0</v>
          </cell>
        </row>
        <row r="430">
          <cell r="B430" t="str">
            <v>Welded Thrust Flanges for Chambers as shown on</v>
          </cell>
          <cell r="E430">
            <v>0</v>
          </cell>
        </row>
        <row r="431">
          <cell r="B431" t="str">
            <v>the drawings (with external and internal protection in</v>
          </cell>
          <cell r="E431">
            <v>0</v>
          </cell>
        </row>
        <row r="432">
          <cell r="B432" t="str">
            <v>fusion bonded epoxy)</v>
          </cell>
          <cell r="E432">
            <v>0</v>
          </cell>
        </row>
        <row r="433">
          <cell r="E433">
            <v>0</v>
          </cell>
        </row>
        <row r="434">
          <cell r="A434" t="str">
            <v>1.2.11.1</v>
          </cell>
          <cell r="B434" t="str">
            <v>900mm dia. (PN 25)</v>
          </cell>
          <cell r="C434">
            <v>3</v>
          </cell>
          <cell r="D434" t="str">
            <v>No.</v>
          </cell>
          <cell r="E434">
            <v>41000</v>
          </cell>
          <cell r="F434">
            <v>123000</v>
          </cell>
        </row>
        <row r="435">
          <cell r="A435" t="str">
            <v>1.2.11.2</v>
          </cell>
          <cell r="B435" t="e">
            <v>#N/A</v>
          </cell>
          <cell r="C435">
            <v>7</v>
          </cell>
          <cell r="D435" t="str">
            <v>No.</v>
          </cell>
          <cell r="E435">
            <v>32000</v>
          </cell>
          <cell r="F435">
            <v>224000</v>
          </cell>
        </row>
        <row r="436">
          <cell r="A436" t="str">
            <v>1.2.11.3</v>
          </cell>
          <cell r="B436" t="str">
            <v>700mm dia.</v>
          </cell>
          <cell r="C436">
            <v>1</v>
          </cell>
          <cell r="D436" t="str">
            <v>No.</v>
          </cell>
          <cell r="E436">
            <v>26000</v>
          </cell>
          <cell r="F436">
            <v>26000</v>
          </cell>
        </row>
        <row r="437">
          <cell r="A437" t="str">
            <v>1.2.11.4</v>
          </cell>
          <cell r="B437" t="e">
            <v>#N/A</v>
          </cell>
          <cell r="C437">
            <v>22</v>
          </cell>
          <cell r="D437" t="str">
            <v>No.</v>
          </cell>
          <cell r="E437">
            <v>21000</v>
          </cell>
          <cell r="F437">
            <v>462000</v>
          </cell>
        </row>
        <row r="438">
          <cell r="A438" t="str">
            <v>1.2.11.5</v>
          </cell>
          <cell r="B438" t="str">
            <v>600mm dia. (PN 25)</v>
          </cell>
          <cell r="C438">
            <v>6</v>
          </cell>
          <cell r="D438" t="str">
            <v>No.</v>
          </cell>
          <cell r="E438">
            <v>21000</v>
          </cell>
          <cell r="F438">
            <v>126000</v>
          </cell>
        </row>
        <row r="439">
          <cell r="A439" t="str">
            <v>1.2.11.6</v>
          </cell>
          <cell r="B439" t="str">
            <v>500mm dia.</v>
          </cell>
          <cell r="C439">
            <v>22</v>
          </cell>
          <cell r="D439" t="str">
            <v>No.</v>
          </cell>
          <cell r="E439">
            <v>16000</v>
          </cell>
          <cell r="F439">
            <v>352000</v>
          </cell>
        </row>
        <row r="440">
          <cell r="A440" t="str">
            <v>1.2.11.7</v>
          </cell>
          <cell r="B440" t="str">
            <v>500mm dia. (PN 25)</v>
          </cell>
          <cell r="C440">
            <v>2</v>
          </cell>
          <cell r="D440" t="str">
            <v>No.</v>
          </cell>
          <cell r="E440">
            <v>16000</v>
          </cell>
          <cell r="F440">
            <v>32000</v>
          </cell>
        </row>
        <row r="441">
          <cell r="A441" t="str">
            <v>1.2.11.8</v>
          </cell>
          <cell r="B441" t="str">
            <v xml:space="preserve">400mm dia. </v>
          </cell>
          <cell r="C441">
            <v>22</v>
          </cell>
          <cell r="D441" t="str">
            <v>No.</v>
          </cell>
          <cell r="E441">
            <v>11000</v>
          </cell>
          <cell r="F441">
            <v>242000</v>
          </cell>
        </row>
        <row r="442">
          <cell r="A442" t="str">
            <v>1.2.11.9</v>
          </cell>
          <cell r="B442" t="str">
            <v>400mm dia. (PN 25)</v>
          </cell>
          <cell r="C442">
            <v>7</v>
          </cell>
          <cell r="D442" t="str">
            <v>No.</v>
          </cell>
          <cell r="E442">
            <v>12000</v>
          </cell>
          <cell r="F442">
            <v>84000</v>
          </cell>
        </row>
        <row r="443">
          <cell r="A443" t="str">
            <v>1.2.11.10</v>
          </cell>
          <cell r="B443" t="str">
            <v>300mm dia.</v>
          </cell>
          <cell r="C443">
            <v>29</v>
          </cell>
          <cell r="D443" t="str">
            <v>No.</v>
          </cell>
          <cell r="E443">
            <v>7200</v>
          </cell>
          <cell r="F443">
            <v>208800</v>
          </cell>
        </row>
        <row r="444">
          <cell r="A444" t="str">
            <v>1.2.11.11</v>
          </cell>
          <cell r="B444" t="str">
            <v>200mm dia.</v>
          </cell>
          <cell r="C444">
            <v>58</v>
          </cell>
          <cell r="D444" t="str">
            <v>No.</v>
          </cell>
          <cell r="E444">
            <v>4200</v>
          </cell>
          <cell r="F444">
            <v>243600</v>
          </cell>
        </row>
        <row r="445">
          <cell r="A445" t="str">
            <v>1.2.11.12</v>
          </cell>
          <cell r="B445" t="str">
            <v>200mm dia. (PN 25)</v>
          </cell>
          <cell r="C445">
            <v>44</v>
          </cell>
          <cell r="D445" t="str">
            <v>No.</v>
          </cell>
          <cell r="E445">
            <v>4300</v>
          </cell>
          <cell r="F445">
            <v>189200</v>
          </cell>
        </row>
        <row r="446">
          <cell r="A446" t="str">
            <v>1.2.11.13</v>
          </cell>
          <cell r="B446" t="str">
            <v>150mm dia.</v>
          </cell>
          <cell r="C446">
            <v>13</v>
          </cell>
          <cell r="D446" t="str">
            <v>No.</v>
          </cell>
          <cell r="E446">
            <v>3000</v>
          </cell>
          <cell r="F446">
            <v>39000</v>
          </cell>
        </row>
        <row r="448">
          <cell r="B448" t="str">
            <v>CARRIED FORWARD</v>
          </cell>
          <cell r="F448">
            <v>8689880</v>
          </cell>
        </row>
        <row r="449">
          <cell r="A449" t="e">
            <v>#N/A</v>
          </cell>
        </row>
        <row r="450">
          <cell r="A450" t="str">
            <v>BILL OF QUANTITIES</v>
          </cell>
        </row>
        <row r="451">
          <cell r="A451" t="str">
            <v>Item</v>
          </cell>
          <cell r="B451" t="str">
            <v>Description</v>
          </cell>
          <cell r="C451" t="str">
            <v>Quantity</v>
          </cell>
          <cell r="D451" t="str">
            <v>Unit</v>
          </cell>
          <cell r="E451" t="str">
            <v>Rate (Dhs)</v>
          </cell>
          <cell r="F451" t="str">
            <v>Amount (Dhs)</v>
          </cell>
        </row>
        <row r="453">
          <cell r="B453" t="str">
            <v>BROUGHT FORWARD</v>
          </cell>
          <cell r="F453">
            <v>8689880</v>
          </cell>
        </row>
        <row r="455">
          <cell r="B455" t="str">
            <v>Double Flanged Pieces with Factory Cast</v>
          </cell>
        </row>
        <row r="456">
          <cell r="B456" t="str">
            <v>or Welded Thrust Flanges for Chambers as shown</v>
          </cell>
        </row>
        <row r="457">
          <cell r="B457" t="str">
            <v>on the drawings (with external and internal protection in</v>
          </cell>
        </row>
        <row r="458">
          <cell r="B458" t="str">
            <v>fusion bonded epoxy)</v>
          </cell>
        </row>
        <row r="460">
          <cell r="A460" t="str">
            <v>1.2.12.1</v>
          </cell>
          <cell r="B460" t="str">
            <v>900mm dia. (PN 25)</v>
          </cell>
          <cell r="C460">
            <v>1</v>
          </cell>
          <cell r="D460" t="str">
            <v>No.</v>
          </cell>
          <cell r="E460">
            <v>47000</v>
          </cell>
          <cell r="F460">
            <v>47000</v>
          </cell>
        </row>
        <row r="461">
          <cell r="A461" t="str">
            <v>1.2.12.2</v>
          </cell>
          <cell r="B461" t="e">
            <v>#N/A</v>
          </cell>
          <cell r="C461">
            <v>1</v>
          </cell>
          <cell r="D461" t="str">
            <v>No.</v>
          </cell>
          <cell r="E461">
            <v>35000</v>
          </cell>
          <cell r="F461">
            <v>35000</v>
          </cell>
        </row>
        <row r="462">
          <cell r="A462" t="str">
            <v>1.2.12.3</v>
          </cell>
          <cell r="B462" t="e">
            <v>#N/A</v>
          </cell>
          <cell r="C462">
            <v>15</v>
          </cell>
          <cell r="D462" t="str">
            <v>No.</v>
          </cell>
          <cell r="E462">
            <v>23000</v>
          </cell>
          <cell r="F462">
            <v>345000</v>
          </cell>
        </row>
        <row r="463">
          <cell r="A463" t="str">
            <v>1.2.12.4</v>
          </cell>
          <cell r="B463" t="str">
            <v>500mm dia.</v>
          </cell>
          <cell r="C463">
            <v>6</v>
          </cell>
          <cell r="D463" t="str">
            <v>No.</v>
          </cell>
          <cell r="E463">
            <v>17000</v>
          </cell>
          <cell r="F463">
            <v>102000</v>
          </cell>
        </row>
        <row r="464">
          <cell r="A464" t="str">
            <v>1.2.12.5</v>
          </cell>
          <cell r="B464" t="str">
            <v>400mm dia.</v>
          </cell>
          <cell r="C464">
            <v>31</v>
          </cell>
          <cell r="D464" t="str">
            <v>No.</v>
          </cell>
          <cell r="E464">
            <v>12000</v>
          </cell>
          <cell r="F464">
            <v>372000</v>
          </cell>
        </row>
        <row r="465">
          <cell r="A465" t="str">
            <v>1.2.12.6</v>
          </cell>
          <cell r="B465" t="str">
            <v>300mm dia.</v>
          </cell>
          <cell r="C465">
            <v>35</v>
          </cell>
          <cell r="D465" t="str">
            <v>No.</v>
          </cell>
          <cell r="E465">
            <v>7700</v>
          </cell>
          <cell r="F465">
            <v>269500</v>
          </cell>
        </row>
        <row r="466">
          <cell r="A466" t="str">
            <v>1.2.12.7</v>
          </cell>
          <cell r="B466" t="str">
            <v>200mm dia.</v>
          </cell>
          <cell r="C466">
            <v>10</v>
          </cell>
          <cell r="D466" t="str">
            <v>No.</v>
          </cell>
          <cell r="E466">
            <v>4500</v>
          </cell>
          <cell r="F466">
            <v>45000</v>
          </cell>
        </row>
        <row r="467">
          <cell r="A467" t="str">
            <v>1.2.12.8</v>
          </cell>
          <cell r="B467" t="str">
            <v>150mm dia.</v>
          </cell>
          <cell r="C467">
            <v>1</v>
          </cell>
          <cell r="D467" t="str">
            <v>No.</v>
          </cell>
          <cell r="E467">
            <v>3200</v>
          </cell>
          <cell r="F467">
            <v>3200</v>
          </cell>
        </row>
        <row r="468">
          <cell r="A468" t="str">
            <v>1.2.12.9</v>
          </cell>
          <cell r="B468" t="str">
            <v>100mm dia.</v>
          </cell>
          <cell r="C468">
            <v>2</v>
          </cell>
          <cell r="D468" t="str">
            <v>No.</v>
          </cell>
          <cell r="E468">
            <v>2000</v>
          </cell>
          <cell r="F468">
            <v>4000</v>
          </cell>
        </row>
        <row r="469">
          <cell r="E469">
            <v>0</v>
          </cell>
        </row>
        <row r="470">
          <cell r="B470" t="str">
            <v>Flexible Couplings (Collars/Sleeves)</v>
          </cell>
          <cell r="E470">
            <v>0</v>
          </cell>
        </row>
        <row r="471">
          <cell r="E471">
            <v>0</v>
          </cell>
        </row>
        <row r="472">
          <cell r="A472" t="str">
            <v>1.2.13.1</v>
          </cell>
          <cell r="B472" t="e">
            <v>#N/A</v>
          </cell>
          <cell r="C472">
            <v>7</v>
          </cell>
          <cell r="D472" t="str">
            <v>No.</v>
          </cell>
          <cell r="E472">
            <v>9000</v>
          </cell>
          <cell r="F472">
            <v>63000</v>
          </cell>
        </row>
        <row r="473">
          <cell r="A473" t="str">
            <v>1.2.13.2</v>
          </cell>
          <cell r="B473" t="e">
            <v>#N/A</v>
          </cell>
          <cell r="C473">
            <v>15</v>
          </cell>
          <cell r="D473" t="str">
            <v>No.</v>
          </cell>
          <cell r="E473">
            <v>7200</v>
          </cell>
          <cell r="F473">
            <v>108000</v>
          </cell>
        </row>
        <row r="474">
          <cell r="A474" t="str">
            <v>1.2.13.3</v>
          </cell>
          <cell r="B474" t="str">
            <v>700mm dia.</v>
          </cell>
          <cell r="C474">
            <v>2</v>
          </cell>
          <cell r="D474" t="str">
            <v>No.</v>
          </cell>
          <cell r="E474">
            <v>5900</v>
          </cell>
          <cell r="F474">
            <v>11800</v>
          </cell>
        </row>
        <row r="475">
          <cell r="A475" t="str">
            <v>1.2.13.4</v>
          </cell>
          <cell r="B475" t="e">
            <v>#N/A</v>
          </cell>
          <cell r="C475">
            <v>83</v>
          </cell>
          <cell r="D475" t="str">
            <v>No.</v>
          </cell>
          <cell r="E475">
            <v>4300</v>
          </cell>
          <cell r="F475">
            <v>356900</v>
          </cell>
        </row>
        <row r="476">
          <cell r="A476" t="str">
            <v>1.2.13.5</v>
          </cell>
          <cell r="B476" t="str">
            <v>500mm dia.</v>
          </cell>
          <cell r="C476">
            <v>54</v>
          </cell>
          <cell r="D476" t="str">
            <v>No.</v>
          </cell>
          <cell r="E476">
            <v>3400</v>
          </cell>
          <cell r="F476">
            <v>183600</v>
          </cell>
        </row>
        <row r="477">
          <cell r="A477" t="str">
            <v>1.2.13.6</v>
          </cell>
          <cell r="B477" t="str">
            <v>400mm dia.</v>
          </cell>
          <cell r="C477">
            <v>56</v>
          </cell>
          <cell r="D477" t="str">
            <v>No.</v>
          </cell>
          <cell r="E477">
            <v>2600</v>
          </cell>
          <cell r="F477">
            <v>145600</v>
          </cell>
        </row>
        <row r="478">
          <cell r="A478" t="str">
            <v>1.2.13.7</v>
          </cell>
          <cell r="B478" t="str">
            <v>300mm dia.</v>
          </cell>
          <cell r="C478">
            <v>47</v>
          </cell>
          <cell r="D478" t="str">
            <v>No.</v>
          </cell>
          <cell r="E478">
            <v>1700</v>
          </cell>
          <cell r="F478">
            <v>79900</v>
          </cell>
        </row>
        <row r="479">
          <cell r="A479" t="str">
            <v>1.2.13.8</v>
          </cell>
          <cell r="B479" t="str">
            <v>200mm dia.</v>
          </cell>
          <cell r="C479">
            <v>96</v>
          </cell>
          <cell r="D479" t="str">
            <v>No.</v>
          </cell>
          <cell r="E479">
            <v>950</v>
          </cell>
          <cell r="F479">
            <v>91200</v>
          </cell>
        </row>
        <row r="480">
          <cell r="A480" t="str">
            <v>1.2.13.9</v>
          </cell>
          <cell r="B480" t="str">
            <v>150mm dia.</v>
          </cell>
          <cell r="C480">
            <v>11</v>
          </cell>
          <cell r="D480" t="str">
            <v>No.</v>
          </cell>
          <cell r="E480">
            <v>760</v>
          </cell>
          <cell r="F480">
            <v>8360</v>
          </cell>
        </row>
        <row r="481">
          <cell r="A481" t="str">
            <v>1.2.13.10</v>
          </cell>
          <cell r="B481" t="str">
            <v>100mm dia.</v>
          </cell>
          <cell r="C481">
            <v>4</v>
          </cell>
          <cell r="D481" t="str">
            <v>No.</v>
          </cell>
          <cell r="E481">
            <v>510</v>
          </cell>
          <cell r="F481">
            <v>2040</v>
          </cell>
        </row>
        <row r="482">
          <cell r="E482">
            <v>0</v>
          </cell>
        </row>
        <row r="483">
          <cell r="B483" t="str">
            <v>Steppled Type D.I./C.S. Couplings</v>
          </cell>
          <cell r="E483">
            <v>0</v>
          </cell>
        </row>
        <row r="484">
          <cell r="E484">
            <v>0</v>
          </cell>
        </row>
        <row r="485">
          <cell r="A485" t="str">
            <v>1.2.14</v>
          </cell>
          <cell r="B485" t="str">
            <v>500mm dia.</v>
          </cell>
          <cell r="C485">
            <v>4</v>
          </cell>
          <cell r="D485" t="str">
            <v>No.</v>
          </cell>
          <cell r="E485">
            <v>2300</v>
          </cell>
          <cell r="F485">
            <v>9200</v>
          </cell>
        </row>
        <row r="486">
          <cell r="E486">
            <v>0</v>
          </cell>
        </row>
        <row r="487">
          <cell r="B487" t="str">
            <v>Rubber gaskets and stainless steel straps</v>
          </cell>
          <cell r="E487">
            <v>0</v>
          </cell>
        </row>
        <row r="488">
          <cell r="E488">
            <v>0</v>
          </cell>
        </row>
        <row r="489">
          <cell r="B489" t="str">
            <v>Supply rubber gaskets and stainless steel strap</v>
          </cell>
          <cell r="E489">
            <v>0</v>
          </cell>
        </row>
        <row r="490">
          <cell r="B490" t="str">
            <v>necessaries for the water proofing of pipes trough</v>
          </cell>
          <cell r="E490">
            <v>0</v>
          </cell>
        </row>
        <row r="491">
          <cell r="B491" t="str">
            <v xml:space="preserve">chambers along the non anchored side as shown </v>
          </cell>
          <cell r="E491">
            <v>0</v>
          </cell>
        </row>
        <row r="492">
          <cell r="B492" t="str">
            <v>on the drawings and as per Specifications:</v>
          </cell>
          <cell r="E492">
            <v>0</v>
          </cell>
        </row>
        <row r="493">
          <cell r="E493">
            <v>0</v>
          </cell>
        </row>
        <row r="494">
          <cell r="A494" t="str">
            <v>1.2.15.1</v>
          </cell>
          <cell r="B494" t="e">
            <v>#N/A</v>
          </cell>
          <cell r="C494">
            <v>4</v>
          </cell>
          <cell r="D494" t="str">
            <v>No.</v>
          </cell>
          <cell r="E494">
            <v>1900</v>
          </cell>
          <cell r="F494">
            <v>7600</v>
          </cell>
        </row>
        <row r="495">
          <cell r="A495" t="str">
            <v>1.2.15.2</v>
          </cell>
          <cell r="B495" t="e">
            <v>#N/A</v>
          </cell>
          <cell r="C495">
            <v>8</v>
          </cell>
          <cell r="D495" t="str">
            <v>No.</v>
          </cell>
          <cell r="E495">
            <v>1700</v>
          </cell>
          <cell r="F495">
            <v>13600</v>
          </cell>
        </row>
        <row r="496">
          <cell r="A496" t="str">
            <v>1.2.15.3</v>
          </cell>
          <cell r="B496" t="str">
            <v>700mm dia.</v>
          </cell>
          <cell r="C496">
            <v>1</v>
          </cell>
          <cell r="D496" t="str">
            <v>No.</v>
          </cell>
          <cell r="E496">
            <v>760</v>
          </cell>
          <cell r="F496">
            <v>760</v>
          </cell>
        </row>
        <row r="497">
          <cell r="A497" t="str">
            <v>1.2.15.4</v>
          </cell>
          <cell r="B497" t="e">
            <v>#N/A</v>
          </cell>
          <cell r="C497">
            <v>44</v>
          </cell>
          <cell r="D497" t="str">
            <v>No.</v>
          </cell>
          <cell r="E497">
            <v>540</v>
          </cell>
          <cell r="F497">
            <v>23760</v>
          </cell>
        </row>
        <row r="498">
          <cell r="A498" t="str">
            <v>1.2.15.5</v>
          </cell>
          <cell r="B498" t="str">
            <v>500mm dia.</v>
          </cell>
          <cell r="C498">
            <v>25</v>
          </cell>
          <cell r="D498" t="str">
            <v>No.</v>
          </cell>
          <cell r="E498">
            <v>450</v>
          </cell>
          <cell r="F498">
            <v>11250</v>
          </cell>
        </row>
        <row r="499">
          <cell r="A499" t="str">
            <v>1.2.15.6</v>
          </cell>
          <cell r="B499" t="str">
            <v>400mm dia.</v>
          </cell>
          <cell r="C499">
            <v>43</v>
          </cell>
          <cell r="D499" t="str">
            <v>No.</v>
          </cell>
          <cell r="E499">
            <v>380</v>
          </cell>
          <cell r="F499">
            <v>16340</v>
          </cell>
        </row>
        <row r="500">
          <cell r="A500" t="str">
            <v>1.2.15.7</v>
          </cell>
          <cell r="B500" t="str">
            <v>300mm dia.</v>
          </cell>
          <cell r="C500">
            <v>63</v>
          </cell>
          <cell r="D500" t="str">
            <v>No.</v>
          </cell>
          <cell r="E500">
            <v>360</v>
          </cell>
          <cell r="F500">
            <v>22680</v>
          </cell>
        </row>
        <row r="501">
          <cell r="A501" t="str">
            <v>1.2.15.8</v>
          </cell>
          <cell r="B501" t="str">
            <v>200mm dia.</v>
          </cell>
          <cell r="C501">
            <v>76</v>
          </cell>
          <cell r="D501" t="str">
            <v>No.</v>
          </cell>
          <cell r="E501">
            <v>320</v>
          </cell>
          <cell r="F501">
            <v>24320</v>
          </cell>
        </row>
        <row r="502">
          <cell r="A502" t="str">
            <v>1.2.15.9</v>
          </cell>
          <cell r="B502" t="str">
            <v>150mm dia.</v>
          </cell>
          <cell r="C502">
            <v>9</v>
          </cell>
          <cell r="D502" t="str">
            <v>No.</v>
          </cell>
          <cell r="E502">
            <v>270</v>
          </cell>
          <cell r="F502">
            <v>2430</v>
          </cell>
        </row>
        <row r="503">
          <cell r="A503" t="str">
            <v>1.2.15.10</v>
          </cell>
          <cell r="B503" t="str">
            <v>100mm dia.</v>
          </cell>
          <cell r="C503">
            <v>4</v>
          </cell>
          <cell r="D503" t="str">
            <v>No.</v>
          </cell>
          <cell r="E503">
            <v>250</v>
          </cell>
          <cell r="F503">
            <v>1000</v>
          </cell>
        </row>
        <row r="504">
          <cell r="E504">
            <v>0</v>
          </cell>
        </row>
        <row r="505">
          <cell r="B505" t="str">
            <v>Blank Flanges (Bituminous/zinc coating externally and</v>
          </cell>
          <cell r="E505">
            <v>0</v>
          </cell>
        </row>
        <row r="506">
          <cell r="B506" t="str">
            <v>internally)</v>
          </cell>
          <cell r="E506">
            <v>0</v>
          </cell>
        </row>
        <row r="507">
          <cell r="E507">
            <v>0</v>
          </cell>
        </row>
        <row r="508">
          <cell r="A508" t="str">
            <v>1.2.16.1</v>
          </cell>
          <cell r="B508" t="e">
            <v>#N/A</v>
          </cell>
          <cell r="C508">
            <v>1</v>
          </cell>
          <cell r="D508" t="str">
            <v>No.</v>
          </cell>
          <cell r="E508">
            <v>4500</v>
          </cell>
          <cell r="F508">
            <v>4500</v>
          </cell>
        </row>
        <row r="509">
          <cell r="A509" t="str">
            <v>1.2.16.2</v>
          </cell>
          <cell r="B509" t="str">
            <v>300mm dia.</v>
          </cell>
          <cell r="C509">
            <v>1</v>
          </cell>
          <cell r="D509" t="str">
            <v>No.</v>
          </cell>
          <cell r="E509">
            <v>1000</v>
          </cell>
          <cell r="F509">
            <v>1000</v>
          </cell>
        </row>
        <row r="510">
          <cell r="A510" t="str">
            <v>1.2.16.3</v>
          </cell>
          <cell r="B510" t="str">
            <v>200mm dia.</v>
          </cell>
          <cell r="C510">
            <v>33</v>
          </cell>
          <cell r="D510" t="str">
            <v>No.</v>
          </cell>
          <cell r="E510">
            <v>420</v>
          </cell>
          <cell r="F510">
            <v>13860</v>
          </cell>
        </row>
        <row r="511">
          <cell r="A511" t="str">
            <v>1.2.16.4</v>
          </cell>
          <cell r="B511" t="str">
            <v>200mm dia. (PN 25)</v>
          </cell>
          <cell r="C511">
            <v>28</v>
          </cell>
          <cell r="D511" t="str">
            <v>No.</v>
          </cell>
          <cell r="E511">
            <v>500</v>
          </cell>
          <cell r="F511">
            <v>14000</v>
          </cell>
        </row>
        <row r="512">
          <cell r="A512" t="str">
            <v>1.2.16.5</v>
          </cell>
          <cell r="B512" t="str">
            <v>150mm dia.</v>
          </cell>
          <cell r="C512">
            <v>7</v>
          </cell>
          <cell r="D512" t="str">
            <v>No.</v>
          </cell>
          <cell r="E512">
            <v>300</v>
          </cell>
          <cell r="F512">
            <v>2100</v>
          </cell>
        </row>
        <row r="513">
          <cell r="A513" t="str">
            <v>1.2.16.6</v>
          </cell>
          <cell r="B513" t="str">
            <v>100mm dia.</v>
          </cell>
          <cell r="C513">
            <v>2</v>
          </cell>
          <cell r="D513" t="str">
            <v>No.</v>
          </cell>
          <cell r="E513">
            <v>200</v>
          </cell>
          <cell r="F513">
            <v>400</v>
          </cell>
        </row>
        <row r="518">
          <cell r="B518" t="str">
            <v>CARRIED FORWARD</v>
          </cell>
          <cell r="F518">
            <v>11131780</v>
          </cell>
        </row>
        <row r="519">
          <cell r="A519" t="e">
            <v>#N/A</v>
          </cell>
        </row>
        <row r="520">
          <cell r="A520" t="str">
            <v>BILL OF QUANTITIES</v>
          </cell>
        </row>
        <row r="521">
          <cell r="A521" t="str">
            <v>Item</v>
          </cell>
          <cell r="B521" t="str">
            <v>Description</v>
          </cell>
          <cell r="C521" t="str">
            <v>Quantity</v>
          </cell>
          <cell r="D521" t="str">
            <v>Unit</v>
          </cell>
          <cell r="E521" t="str">
            <v>Rate (Dhs)</v>
          </cell>
          <cell r="F521" t="str">
            <v>Amount (Dhs)</v>
          </cell>
        </row>
        <row r="523">
          <cell r="B523" t="str">
            <v>BROUGHT FORWARD</v>
          </cell>
          <cell r="F523">
            <v>11131780</v>
          </cell>
        </row>
        <row r="525">
          <cell r="B525" t="str">
            <v xml:space="preserve">Flange Adapters </v>
          </cell>
        </row>
        <row r="527">
          <cell r="A527" t="str">
            <v>1.2.17.1</v>
          </cell>
          <cell r="B527" t="str">
            <v>900mm dia. (PN 25)</v>
          </cell>
          <cell r="C527">
            <v>4</v>
          </cell>
          <cell r="D527" t="str">
            <v>No.</v>
          </cell>
          <cell r="E527">
            <v>8500</v>
          </cell>
          <cell r="F527">
            <v>34000</v>
          </cell>
        </row>
        <row r="528">
          <cell r="A528" t="str">
            <v>1.2.17.2</v>
          </cell>
          <cell r="B528" t="str">
            <v xml:space="preserve">800mm dia. </v>
          </cell>
          <cell r="C528">
            <v>13</v>
          </cell>
          <cell r="D528" t="str">
            <v>No.</v>
          </cell>
          <cell r="E528">
            <v>3500</v>
          </cell>
          <cell r="F528">
            <v>45500</v>
          </cell>
        </row>
        <row r="529">
          <cell r="A529" t="str">
            <v>1.2.17.3</v>
          </cell>
          <cell r="B529" t="str">
            <v>700mm dia.</v>
          </cell>
          <cell r="C529">
            <v>1</v>
          </cell>
          <cell r="D529" t="str">
            <v>No.</v>
          </cell>
          <cell r="E529">
            <v>3500</v>
          </cell>
          <cell r="F529">
            <v>3500</v>
          </cell>
        </row>
        <row r="530">
          <cell r="A530" t="str">
            <v>1.2.17.4</v>
          </cell>
          <cell r="B530" t="e">
            <v>#N/A</v>
          </cell>
          <cell r="C530">
            <v>39</v>
          </cell>
          <cell r="D530" t="str">
            <v>No.</v>
          </cell>
          <cell r="E530">
            <v>3000</v>
          </cell>
          <cell r="F530">
            <v>117000</v>
          </cell>
        </row>
        <row r="531">
          <cell r="A531" t="str">
            <v>1.2.17.5</v>
          </cell>
          <cell r="B531" t="str">
            <v>600mm dia. (PN 25)</v>
          </cell>
          <cell r="C531">
            <v>6</v>
          </cell>
          <cell r="D531" t="str">
            <v>No.</v>
          </cell>
          <cell r="E531">
            <v>4000</v>
          </cell>
          <cell r="F531">
            <v>24000</v>
          </cell>
        </row>
        <row r="532">
          <cell r="A532" t="str">
            <v>1.2.17.6</v>
          </cell>
          <cell r="B532" t="str">
            <v>500mm dia.</v>
          </cell>
          <cell r="C532">
            <v>31</v>
          </cell>
          <cell r="D532" t="str">
            <v>No.</v>
          </cell>
          <cell r="E532">
            <v>2000</v>
          </cell>
          <cell r="F532">
            <v>62000</v>
          </cell>
        </row>
        <row r="533">
          <cell r="A533" t="str">
            <v>1.2.17.7</v>
          </cell>
          <cell r="B533" t="str">
            <v>500mm dia. (PN 25)</v>
          </cell>
          <cell r="C533">
            <v>2</v>
          </cell>
          <cell r="D533" t="str">
            <v>No.</v>
          </cell>
          <cell r="E533">
            <v>3000</v>
          </cell>
          <cell r="F533">
            <v>6000</v>
          </cell>
        </row>
        <row r="534">
          <cell r="A534" t="str">
            <v>1.2.17.8</v>
          </cell>
          <cell r="B534" t="str">
            <v>400mm dia.</v>
          </cell>
          <cell r="C534">
            <v>40</v>
          </cell>
          <cell r="D534" t="str">
            <v>No.</v>
          </cell>
          <cell r="E534">
            <v>1500</v>
          </cell>
          <cell r="F534">
            <v>60000</v>
          </cell>
        </row>
        <row r="535">
          <cell r="A535" t="str">
            <v>1.2.17.9</v>
          </cell>
          <cell r="B535" t="str">
            <v>400mm dia. (PN 25)</v>
          </cell>
          <cell r="C535">
            <v>7</v>
          </cell>
          <cell r="D535" t="str">
            <v>No.</v>
          </cell>
          <cell r="E535">
            <v>2000</v>
          </cell>
          <cell r="F535">
            <v>14000</v>
          </cell>
        </row>
        <row r="536">
          <cell r="A536" t="str">
            <v>1.2.17.10</v>
          </cell>
          <cell r="B536" t="str">
            <v>300mm dia.</v>
          </cell>
          <cell r="C536">
            <v>62</v>
          </cell>
          <cell r="D536" t="str">
            <v>No.</v>
          </cell>
          <cell r="E536">
            <v>800</v>
          </cell>
          <cell r="F536">
            <v>49600</v>
          </cell>
        </row>
        <row r="537">
          <cell r="A537" t="str">
            <v>1.2.17.11</v>
          </cell>
          <cell r="B537" t="str">
            <v>200mm dia.</v>
          </cell>
          <cell r="C537">
            <v>46</v>
          </cell>
          <cell r="D537" t="str">
            <v>No.</v>
          </cell>
          <cell r="E537">
            <v>600</v>
          </cell>
          <cell r="F537">
            <v>27600</v>
          </cell>
        </row>
        <row r="538">
          <cell r="A538" t="str">
            <v>1.2.17.12</v>
          </cell>
          <cell r="B538" t="str">
            <v>200mm dia. (PN 25)</v>
          </cell>
          <cell r="C538">
            <v>30</v>
          </cell>
          <cell r="D538" t="str">
            <v>No.</v>
          </cell>
          <cell r="E538">
            <v>700</v>
          </cell>
          <cell r="F538">
            <v>21000</v>
          </cell>
        </row>
        <row r="539">
          <cell r="A539" t="str">
            <v>1.2.17.13</v>
          </cell>
          <cell r="B539" t="str">
            <v>150mm dia.</v>
          </cell>
          <cell r="C539">
            <v>9</v>
          </cell>
          <cell r="D539" t="str">
            <v>No.</v>
          </cell>
          <cell r="E539">
            <v>500</v>
          </cell>
          <cell r="F539">
            <v>4500</v>
          </cell>
        </row>
        <row r="540">
          <cell r="A540" t="str">
            <v>1.2.17.14</v>
          </cell>
          <cell r="B540" t="str">
            <v>100mm dia.</v>
          </cell>
          <cell r="C540">
            <v>4</v>
          </cell>
          <cell r="D540" t="str">
            <v>No.</v>
          </cell>
          <cell r="E540">
            <v>400</v>
          </cell>
          <cell r="F540">
            <v>1600</v>
          </cell>
        </row>
        <row r="541">
          <cell r="E541">
            <v>0</v>
          </cell>
        </row>
        <row r="542">
          <cell r="B542" t="str">
            <v>Dismantling Joints</v>
          </cell>
          <cell r="E542">
            <v>0</v>
          </cell>
        </row>
        <row r="543">
          <cell r="E543">
            <v>0</v>
          </cell>
        </row>
        <row r="544">
          <cell r="A544" t="e">
            <v>#N/A</v>
          </cell>
          <cell r="B544" t="str">
            <v>500mm dia.</v>
          </cell>
          <cell r="C544">
            <v>3</v>
          </cell>
          <cell r="D544" t="str">
            <v>No.</v>
          </cell>
          <cell r="E544">
            <v>5000</v>
          </cell>
          <cell r="F544">
            <v>15000</v>
          </cell>
        </row>
        <row r="545">
          <cell r="A545" t="e">
            <v>#N/A</v>
          </cell>
          <cell r="B545" t="str">
            <v>500mm dia. (PN 25)</v>
          </cell>
          <cell r="C545">
            <v>2</v>
          </cell>
          <cell r="D545" t="str">
            <v>No.</v>
          </cell>
          <cell r="E545">
            <v>6000</v>
          </cell>
          <cell r="F545">
            <v>12000</v>
          </cell>
        </row>
        <row r="546">
          <cell r="A546" t="str">
            <v>1.2.18.3</v>
          </cell>
          <cell r="B546" t="str">
            <v>400mm dia.</v>
          </cell>
          <cell r="C546">
            <v>23</v>
          </cell>
          <cell r="D546" t="str">
            <v>No.</v>
          </cell>
          <cell r="E546">
            <v>3000</v>
          </cell>
          <cell r="F546">
            <v>69000</v>
          </cell>
        </row>
        <row r="547">
          <cell r="A547" t="str">
            <v>1.2.18.4</v>
          </cell>
          <cell r="B547" t="str">
            <v>400mm dia. (PN 25)</v>
          </cell>
          <cell r="C547">
            <v>7</v>
          </cell>
          <cell r="D547" t="str">
            <v>No.</v>
          </cell>
          <cell r="E547">
            <v>5000</v>
          </cell>
          <cell r="F547">
            <v>35000</v>
          </cell>
        </row>
        <row r="548">
          <cell r="A548" t="str">
            <v>1.2.18.5</v>
          </cell>
          <cell r="B548" t="str">
            <v>300mm dia.</v>
          </cell>
          <cell r="C548">
            <v>26</v>
          </cell>
          <cell r="D548" t="str">
            <v>No.</v>
          </cell>
          <cell r="E548">
            <v>2000</v>
          </cell>
          <cell r="F548">
            <v>52000</v>
          </cell>
        </row>
        <row r="549">
          <cell r="A549" t="str">
            <v>1.2.18.6</v>
          </cell>
          <cell r="B549" t="str">
            <v>200mm dia.</v>
          </cell>
          <cell r="C549">
            <v>6</v>
          </cell>
          <cell r="D549" t="str">
            <v>No.</v>
          </cell>
          <cell r="E549">
            <v>1500</v>
          </cell>
          <cell r="F549">
            <v>9000</v>
          </cell>
        </row>
        <row r="550">
          <cell r="A550" t="str">
            <v>1.2.18.7</v>
          </cell>
          <cell r="B550" t="str">
            <v>100mm dia.</v>
          </cell>
          <cell r="C550">
            <v>2</v>
          </cell>
          <cell r="D550" t="str">
            <v>No.</v>
          </cell>
          <cell r="E550">
            <v>1000</v>
          </cell>
          <cell r="F550">
            <v>2000</v>
          </cell>
        </row>
        <row r="551">
          <cell r="E551">
            <v>0</v>
          </cell>
        </row>
        <row r="552">
          <cell r="B552" t="str">
            <v>Pipeline Insulators (Skids)</v>
          </cell>
          <cell r="E552">
            <v>0</v>
          </cell>
        </row>
        <row r="553">
          <cell r="E553">
            <v>0</v>
          </cell>
        </row>
        <row r="554">
          <cell r="B554" t="str">
            <v xml:space="preserve">Supply high density polythene insulators (skids) </v>
          </cell>
          <cell r="E554">
            <v>0</v>
          </cell>
        </row>
        <row r="555">
          <cell r="B555" t="str">
            <v>for installation of D.I. pipelines through ducts for</v>
          </cell>
          <cell r="E555">
            <v>0</v>
          </cell>
        </row>
        <row r="556">
          <cell r="B556" t="str">
            <v>pipes of following diameter:</v>
          </cell>
          <cell r="E556">
            <v>0</v>
          </cell>
        </row>
        <row r="557">
          <cell r="E557">
            <v>0</v>
          </cell>
        </row>
        <row r="558">
          <cell r="A558" t="str">
            <v>1.2.19.1</v>
          </cell>
          <cell r="B558" t="e">
            <v>#N/A</v>
          </cell>
          <cell r="C558">
            <v>18</v>
          </cell>
          <cell r="D558" t="str">
            <v>No.</v>
          </cell>
          <cell r="E558">
            <v>780</v>
          </cell>
          <cell r="F558">
            <v>14040</v>
          </cell>
        </row>
        <row r="559">
          <cell r="A559" t="str">
            <v>1.2.19.2</v>
          </cell>
          <cell r="B559" t="e">
            <v>#N/A</v>
          </cell>
          <cell r="C559">
            <v>13</v>
          </cell>
          <cell r="D559" t="str">
            <v>No.</v>
          </cell>
          <cell r="E559">
            <v>700</v>
          </cell>
          <cell r="F559">
            <v>9100</v>
          </cell>
        </row>
        <row r="560">
          <cell r="A560" t="str">
            <v>1.2.19.3</v>
          </cell>
          <cell r="B560" t="e">
            <v>#N/A</v>
          </cell>
          <cell r="C560">
            <v>88</v>
          </cell>
          <cell r="D560" t="str">
            <v>No.</v>
          </cell>
          <cell r="E560">
            <v>550</v>
          </cell>
          <cell r="F560">
            <v>48400</v>
          </cell>
        </row>
        <row r="561">
          <cell r="A561" t="str">
            <v>1.2.19.4</v>
          </cell>
          <cell r="B561" t="str">
            <v>500mm dia.</v>
          </cell>
          <cell r="C561">
            <v>22</v>
          </cell>
          <cell r="D561" t="str">
            <v>No.</v>
          </cell>
          <cell r="E561">
            <v>470</v>
          </cell>
          <cell r="F561">
            <v>10340</v>
          </cell>
        </row>
        <row r="562">
          <cell r="E562">
            <v>0</v>
          </cell>
        </row>
        <row r="563">
          <cell r="B563" t="e">
            <v>#N/A</v>
          </cell>
          <cell r="E563">
            <v>0</v>
          </cell>
        </row>
        <row r="564">
          <cell r="B564" t="e">
            <v>#N/A</v>
          </cell>
          <cell r="E564">
            <v>0</v>
          </cell>
        </row>
        <row r="565">
          <cell r="B565" t="e">
            <v>#N/A</v>
          </cell>
          <cell r="E565">
            <v>0</v>
          </cell>
        </row>
        <row r="566">
          <cell r="E566">
            <v>0</v>
          </cell>
        </row>
        <row r="567">
          <cell r="A567" t="str">
            <v>1.2.20.1</v>
          </cell>
          <cell r="B567" t="str">
            <v>500 mm dia.</v>
          </cell>
          <cell r="C567">
            <v>4</v>
          </cell>
          <cell r="D567" t="str">
            <v>No.</v>
          </cell>
          <cell r="E567">
            <v>6300</v>
          </cell>
          <cell r="F567">
            <v>25200</v>
          </cell>
        </row>
        <row r="568">
          <cell r="A568" t="str">
            <v>1.2.20.2</v>
          </cell>
          <cell r="B568" t="str">
            <v>400 mm dia.</v>
          </cell>
          <cell r="C568">
            <v>17</v>
          </cell>
          <cell r="D568" t="str">
            <v>No.</v>
          </cell>
          <cell r="E568">
            <v>4200</v>
          </cell>
          <cell r="F568">
            <v>71400</v>
          </cell>
        </row>
        <row r="569">
          <cell r="A569" t="str">
            <v>1.2.20.3</v>
          </cell>
          <cell r="B569" t="str">
            <v>300 mm dia.</v>
          </cell>
          <cell r="C569">
            <v>7</v>
          </cell>
          <cell r="D569" t="str">
            <v>No.</v>
          </cell>
          <cell r="E569">
            <v>2600</v>
          </cell>
          <cell r="F569">
            <v>18200</v>
          </cell>
        </row>
        <row r="570">
          <cell r="A570" t="str">
            <v>1.2.20.4</v>
          </cell>
          <cell r="B570" t="str">
            <v>200 mm dia.</v>
          </cell>
          <cell r="C570">
            <v>7</v>
          </cell>
          <cell r="D570" t="str">
            <v>No.</v>
          </cell>
          <cell r="E570">
            <v>1500</v>
          </cell>
          <cell r="F570">
            <v>10500</v>
          </cell>
        </row>
        <row r="571">
          <cell r="E571">
            <v>0</v>
          </cell>
        </row>
        <row r="572">
          <cell r="B572" t="str">
            <v>Steppled Type D.I./H.D.P.E. Couplings</v>
          </cell>
          <cell r="E572">
            <v>0</v>
          </cell>
        </row>
        <row r="573">
          <cell r="E573">
            <v>0</v>
          </cell>
        </row>
        <row r="574">
          <cell r="A574" t="str">
            <v>1.2.21</v>
          </cell>
          <cell r="B574" t="str">
            <v>600mm dia. D.I./630mm dia. H.D.P.E.</v>
          </cell>
          <cell r="C574">
            <v>4</v>
          </cell>
          <cell r="D574" t="str">
            <v>No.</v>
          </cell>
          <cell r="E574">
            <v>8000</v>
          </cell>
          <cell r="F574">
            <v>32000</v>
          </cell>
        </row>
        <row r="576">
          <cell r="B576" t="str">
            <v>CARRIED TO SUMMARY</v>
          </cell>
          <cell r="F576">
            <v>12035260</v>
          </cell>
        </row>
        <row r="577">
          <cell r="A577" t="e">
            <v>#N/A</v>
          </cell>
        </row>
        <row r="578">
          <cell r="A578" t="str">
            <v>BILL OF QUANTITIES</v>
          </cell>
        </row>
        <row r="579">
          <cell r="A579" t="str">
            <v>Item</v>
          </cell>
          <cell r="B579" t="str">
            <v>Description</v>
          </cell>
          <cell r="C579" t="str">
            <v>Quantity</v>
          </cell>
          <cell r="D579" t="str">
            <v>Unit</v>
          </cell>
          <cell r="E579" t="str">
            <v>Rate (Dhs)</v>
          </cell>
          <cell r="F579" t="str">
            <v>Amount (Dhs)</v>
          </cell>
        </row>
        <row r="581">
          <cell r="B581" t="e">
            <v>#N/A</v>
          </cell>
        </row>
        <row r="582">
          <cell r="B582" t="e">
            <v>#N/A</v>
          </cell>
        </row>
        <row r="584">
          <cell r="B584" t="e">
            <v>#N/A</v>
          </cell>
        </row>
        <row r="586">
          <cell r="B586" t="e">
            <v>#N/A</v>
          </cell>
        </row>
        <row r="588">
          <cell r="B588" t="str">
            <v xml:space="preserve">Supply flanged D.I. Butterfly Valves for installation </v>
          </cell>
        </row>
        <row r="589">
          <cell r="B589" t="str">
            <v xml:space="preserve">in chambers complete with valve position indicator </v>
          </cell>
        </row>
        <row r="590">
          <cell r="B590" t="str">
            <v>hand wheel together with all accessories for surface</v>
          </cell>
        </row>
        <row r="591">
          <cell r="B591" t="str">
            <v xml:space="preserve">box operation (extension spindle, end cap, etc.)   </v>
          </cell>
        </row>
        <row r="592">
          <cell r="B592" t="str">
            <v>all as per specifications:</v>
          </cell>
        </row>
        <row r="594">
          <cell r="A594" t="str">
            <v>1.3.1.1</v>
          </cell>
          <cell r="B594" t="str">
            <v>900mm dia. (PN 25)</v>
          </cell>
          <cell r="C594">
            <v>4</v>
          </cell>
          <cell r="D594" t="str">
            <v>No.</v>
          </cell>
          <cell r="E594">
            <v>70000</v>
          </cell>
          <cell r="F594">
            <v>280000</v>
          </cell>
        </row>
        <row r="595">
          <cell r="A595" t="str">
            <v>1.3.1.2</v>
          </cell>
          <cell r="B595" t="e">
            <v>#N/A</v>
          </cell>
          <cell r="C595">
            <v>8</v>
          </cell>
          <cell r="D595" t="str">
            <v>No.</v>
          </cell>
          <cell r="E595">
            <v>44000</v>
          </cell>
          <cell r="F595">
            <v>352000</v>
          </cell>
        </row>
        <row r="596">
          <cell r="A596" t="str">
            <v>1.3.1.3</v>
          </cell>
          <cell r="B596" t="str">
            <v xml:space="preserve">600mm dia. </v>
          </cell>
          <cell r="C596">
            <v>39</v>
          </cell>
          <cell r="D596" t="str">
            <v>No.</v>
          </cell>
          <cell r="E596">
            <v>26000</v>
          </cell>
          <cell r="F596">
            <v>1014000</v>
          </cell>
        </row>
        <row r="597">
          <cell r="A597" t="str">
            <v>1.3.1.4</v>
          </cell>
          <cell r="B597" t="str">
            <v>600mm dia. (PN 25)</v>
          </cell>
          <cell r="C597">
            <v>6</v>
          </cell>
          <cell r="D597" t="str">
            <v>No.</v>
          </cell>
          <cell r="E597">
            <v>31000</v>
          </cell>
          <cell r="F597">
            <v>186000</v>
          </cell>
        </row>
        <row r="598">
          <cell r="A598" t="str">
            <v>1.3.1.5</v>
          </cell>
          <cell r="B598" t="str">
            <v xml:space="preserve">500mm dia. </v>
          </cell>
          <cell r="C598">
            <v>31</v>
          </cell>
          <cell r="D598" t="str">
            <v>No.</v>
          </cell>
          <cell r="E598">
            <v>20000</v>
          </cell>
          <cell r="F598">
            <v>620000</v>
          </cell>
        </row>
        <row r="599">
          <cell r="A599" t="str">
            <v>1.3.1.6</v>
          </cell>
          <cell r="B599" t="str">
            <v>500mm dia. (PN 25)</v>
          </cell>
          <cell r="C599">
            <v>4</v>
          </cell>
          <cell r="D599" t="str">
            <v>No.</v>
          </cell>
          <cell r="E599">
            <v>24000</v>
          </cell>
          <cell r="F599">
            <v>96000</v>
          </cell>
        </row>
        <row r="600">
          <cell r="A600" t="str">
            <v>1.3.1.7</v>
          </cell>
          <cell r="B600" t="str">
            <v xml:space="preserve">400mm dia. </v>
          </cell>
          <cell r="C600">
            <v>53</v>
          </cell>
          <cell r="D600" t="str">
            <v>No.</v>
          </cell>
          <cell r="E600">
            <v>15000</v>
          </cell>
          <cell r="F600">
            <v>795000</v>
          </cell>
        </row>
        <row r="601">
          <cell r="A601" t="str">
            <v>1.3.1.8</v>
          </cell>
          <cell r="B601" t="str">
            <v>400mm dia. (PN 25)</v>
          </cell>
          <cell r="C601">
            <v>9</v>
          </cell>
          <cell r="D601" t="str">
            <v>No.</v>
          </cell>
          <cell r="E601">
            <v>18000</v>
          </cell>
          <cell r="F601">
            <v>162000</v>
          </cell>
        </row>
        <row r="602">
          <cell r="E602">
            <v>0</v>
          </cell>
        </row>
        <row r="603">
          <cell r="B603" t="str">
            <v>Gate Valves - Flanged</v>
          </cell>
          <cell r="E603">
            <v>0</v>
          </cell>
        </row>
        <row r="604">
          <cell r="E604">
            <v>0</v>
          </cell>
        </row>
        <row r="605">
          <cell r="B605" t="str">
            <v xml:space="preserve">Supply flanged D.I. Gate Valves for installation in </v>
          </cell>
          <cell r="E605">
            <v>0</v>
          </cell>
        </row>
        <row r="606">
          <cell r="B606" t="str">
            <v>chambers complete with handwheel together with</v>
          </cell>
          <cell r="E606">
            <v>0</v>
          </cell>
        </row>
        <row r="607">
          <cell r="B607" t="str">
            <v>all accessories for surface box operation (extension</v>
          </cell>
          <cell r="E607">
            <v>0</v>
          </cell>
        </row>
        <row r="608">
          <cell r="B608" t="str">
            <v xml:space="preserve"> spindle, end cap, etc.) all as per specifications:</v>
          </cell>
          <cell r="E608">
            <v>0</v>
          </cell>
        </row>
        <row r="609">
          <cell r="E609">
            <v>0</v>
          </cell>
        </row>
        <row r="610">
          <cell r="E610">
            <v>0</v>
          </cell>
        </row>
        <row r="611">
          <cell r="A611" t="str">
            <v>1.3.2.1</v>
          </cell>
          <cell r="B611" t="str">
            <v>300mm dia.</v>
          </cell>
          <cell r="C611">
            <v>77</v>
          </cell>
          <cell r="D611" t="str">
            <v>No.</v>
          </cell>
          <cell r="E611">
            <v>6000</v>
          </cell>
          <cell r="F611">
            <v>462000</v>
          </cell>
        </row>
        <row r="612">
          <cell r="A612" t="e">
            <v>#N/A</v>
          </cell>
          <cell r="B612" t="str">
            <v>200mm dia.</v>
          </cell>
          <cell r="C612">
            <v>42</v>
          </cell>
          <cell r="D612" t="str">
            <v>No.</v>
          </cell>
          <cell r="E612">
            <v>3000</v>
          </cell>
          <cell r="F612">
            <v>126000</v>
          </cell>
        </row>
        <row r="613">
          <cell r="A613" t="e">
            <v>#N/A</v>
          </cell>
          <cell r="B613" t="str">
            <v>200mm dia. (PN 25)</v>
          </cell>
          <cell r="C613">
            <v>30</v>
          </cell>
          <cell r="D613" t="str">
            <v>No.</v>
          </cell>
          <cell r="E613">
            <v>6000</v>
          </cell>
          <cell r="F613">
            <v>180000</v>
          </cell>
        </row>
        <row r="614">
          <cell r="A614" t="e">
            <v>#N/A</v>
          </cell>
          <cell r="B614" t="str">
            <v>150mm dia.</v>
          </cell>
          <cell r="C614">
            <v>9</v>
          </cell>
          <cell r="D614" t="str">
            <v>No.</v>
          </cell>
          <cell r="E614">
            <v>2500</v>
          </cell>
          <cell r="F614">
            <v>22500</v>
          </cell>
        </row>
        <row r="615">
          <cell r="A615" t="e">
            <v>#N/A</v>
          </cell>
          <cell r="B615" t="str">
            <v>100mm dia.</v>
          </cell>
          <cell r="C615">
            <v>4</v>
          </cell>
          <cell r="D615" t="str">
            <v>No.</v>
          </cell>
          <cell r="E615">
            <v>2000</v>
          </cell>
          <cell r="F615">
            <v>8000</v>
          </cell>
        </row>
        <row r="616">
          <cell r="E616">
            <v>0</v>
          </cell>
        </row>
        <row r="617">
          <cell r="B617" t="e">
            <v>#N/A</v>
          </cell>
          <cell r="E617">
            <v>0</v>
          </cell>
        </row>
        <row r="618">
          <cell r="E618">
            <v>0</v>
          </cell>
        </row>
        <row r="619">
          <cell r="B619" t="e">
            <v>#N/A</v>
          </cell>
          <cell r="E619">
            <v>0</v>
          </cell>
        </row>
        <row r="620">
          <cell r="B620" t="e">
            <v>#N/A</v>
          </cell>
          <cell r="E620">
            <v>0</v>
          </cell>
        </row>
        <row r="621">
          <cell r="E621">
            <v>0</v>
          </cell>
        </row>
        <row r="622">
          <cell r="A622" t="e">
            <v>#N/A</v>
          </cell>
          <cell r="B622" t="e">
            <v>#N/A</v>
          </cell>
          <cell r="C622">
            <v>2</v>
          </cell>
          <cell r="D622" t="str">
            <v>No.</v>
          </cell>
          <cell r="E622">
            <v>80000</v>
          </cell>
          <cell r="F622">
            <v>160000</v>
          </cell>
        </row>
        <row r="623">
          <cell r="A623" t="e">
            <v>#N/A</v>
          </cell>
          <cell r="B623" t="e">
            <v>#N/A</v>
          </cell>
          <cell r="C623">
            <v>3</v>
          </cell>
          <cell r="D623" t="str">
            <v>No.</v>
          </cell>
          <cell r="E623">
            <v>70000</v>
          </cell>
          <cell r="F623">
            <v>210000</v>
          </cell>
        </row>
        <row r="624">
          <cell r="A624" t="e">
            <v>#N/A</v>
          </cell>
          <cell r="B624" t="e">
            <v>#N/A</v>
          </cell>
          <cell r="C624">
            <v>1</v>
          </cell>
          <cell r="D624" t="str">
            <v>No.</v>
          </cell>
          <cell r="E624">
            <v>80000</v>
          </cell>
          <cell r="F624">
            <v>80000</v>
          </cell>
        </row>
        <row r="625">
          <cell r="A625" t="e">
            <v>#N/A</v>
          </cell>
          <cell r="B625" t="e">
            <v>#N/A</v>
          </cell>
          <cell r="C625">
            <v>2</v>
          </cell>
          <cell r="D625" t="str">
            <v>No.</v>
          </cell>
          <cell r="E625">
            <v>60000</v>
          </cell>
          <cell r="F625">
            <v>120000</v>
          </cell>
        </row>
        <row r="626">
          <cell r="A626" t="e">
            <v>#N/A</v>
          </cell>
          <cell r="B626" t="str">
            <v>400mm dia.(pressure reducing)</v>
          </cell>
          <cell r="C626">
            <v>7</v>
          </cell>
          <cell r="D626" t="str">
            <v>No.</v>
          </cell>
          <cell r="E626">
            <v>50000</v>
          </cell>
          <cell r="F626">
            <v>350000</v>
          </cell>
        </row>
        <row r="627">
          <cell r="A627" t="str">
            <v>1.3.3.6</v>
          </cell>
          <cell r="B627" t="str">
            <v>400mm dia.(pressure reducing) (PN 25)</v>
          </cell>
          <cell r="C627">
            <v>2</v>
          </cell>
          <cell r="D627" t="str">
            <v>No.</v>
          </cell>
          <cell r="E627">
            <v>60000</v>
          </cell>
          <cell r="F627">
            <v>120000</v>
          </cell>
        </row>
        <row r="628">
          <cell r="A628" t="str">
            <v>1.3.3.7</v>
          </cell>
          <cell r="B628" t="str">
            <v>400mm dia.(flow control)</v>
          </cell>
          <cell r="C628">
            <v>1</v>
          </cell>
          <cell r="D628" t="str">
            <v>No.</v>
          </cell>
          <cell r="E628">
            <v>50000</v>
          </cell>
          <cell r="F628">
            <v>50000</v>
          </cell>
        </row>
        <row r="629">
          <cell r="A629" t="str">
            <v>1.3.3.8</v>
          </cell>
          <cell r="B629" t="str">
            <v>400mm dia.(flow control) (PN 25)</v>
          </cell>
          <cell r="C629">
            <v>2</v>
          </cell>
          <cell r="D629" t="str">
            <v>No.</v>
          </cell>
          <cell r="E629">
            <v>60000</v>
          </cell>
          <cell r="F629">
            <v>120000</v>
          </cell>
        </row>
        <row r="630">
          <cell r="A630" t="str">
            <v>1.3.3.9</v>
          </cell>
          <cell r="B630" t="str">
            <v>300mm dia.(pressure reducing)</v>
          </cell>
          <cell r="C630">
            <v>12</v>
          </cell>
          <cell r="D630" t="str">
            <v>No.</v>
          </cell>
          <cell r="E630">
            <v>30000</v>
          </cell>
          <cell r="F630">
            <v>360000</v>
          </cell>
        </row>
        <row r="631">
          <cell r="A631" t="str">
            <v>1.3.3.10</v>
          </cell>
          <cell r="B631" t="str">
            <v>200mm dia.(pressure reducing)</v>
          </cell>
          <cell r="C631">
            <v>2</v>
          </cell>
          <cell r="D631" t="str">
            <v>No.</v>
          </cell>
          <cell r="E631">
            <v>15000</v>
          </cell>
          <cell r="F631">
            <v>30000</v>
          </cell>
        </row>
        <row r="632">
          <cell r="A632" t="str">
            <v>1.3.3.11</v>
          </cell>
          <cell r="B632" t="str">
            <v>100mm dia.(pressure reducing)</v>
          </cell>
          <cell r="C632">
            <v>2</v>
          </cell>
          <cell r="D632" t="str">
            <v>No.</v>
          </cell>
          <cell r="E632">
            <v>6000</v>
          </cell>
          <cell r="F632">
            <v>12000</v>
          </cell>
        </row>
        <row r="641">
          <cell r="B641" t="str">
            <v>CARRIED FORWARD</v>
          </cell>
          <cell r="F641">
            <v>5915500</v>
          </cell>
        </row>
        <row r="642">
          <cell r="A642" t="e">
            <v>#N/A</v>
          </cell>
        </row>
        <row r="643">
          <cell r="A643" t="str">
            <v>BILL OF QUANTITIES</v>
          </cell>
        </row>
        <row r="644">
          <cell r="A644" t="str">
            <v>Item</v>
          </cell>
          <cell r="B644" t="str">
            <v>Description</v>
          </cell>
          <cell r="C644" t="str">
            <v>Quantity</v>
          </cell>
          <cell r="D644" t="str">
            <v>Unit</v>
          </cell>
          <cell r="E644" t="str">
            <v>Rate (Dhs)</v>
          </cell>
          <cell r="F644" t="str">
            <v>Amount (Dhs)</v>
          </cell>
        </row>
        <row r="646">
          <cell r="B646" t="str">
            <v>BROUGHT FORWARD</v>
          </cell>
          <cell r="F646">
            <v>5915500</v>
          </cell>
        </row>
        <row r="648">
          <cell r="B648" t="str">
            <v xml:space="preserve">Strainers </v>
          </cell>
        </row>
        <row r="650">
          <cell r="B650" t="str">
            <v xml:space="preserve">Supply  D.I. single basket strainer with stainless steel </v>
          </cell>
        </row>
        <row r="651">
          <cell r="B651" t="str">
            <v xml:space="preserve">mesh complete with all accessories and all as per </v>
          </cell>
        </row>
        <row r="652">
          <cell r="B652" t="str">
            <v>specifications:</v>
          </cell>
        </row>
        <row r="654">
          <cell r="A654" t="str">
            <v>1.3.4.1</v>
          </cell>
          <cell r="B654" t="str">
            <v>500mm dia.</v>
          </cell>
          <cell r="C654">
            <v>1</v>
          </cell>
          <cell r="D654" t="str">
            <v>No.</v>
          </cell>
          <cell r="E654">
            <v>60000</v>
          </cell>
          <cell r="F654">
            <v>60000</v>
          </cell>
        </row>
        <row r="655">
          <cell r="A655" t="str">
            <v>1.3.4.2</v>
          </cell>
          <cell r="B655" t="str">
            <v>500mm dia. (PN 25)</v>
          </cell>
          <cell r="C655">
            <v>2</v>
          </cell>
          <cell r="D655" t="str">
            <v>No.</v>
          </cell>
          <cell r="E655">
            <v>70000</v>
          </cell>
          <cell r="F655">
            <v>140000</v>
          </cell>
        </row>
        <row r="656">
          <cell r="A656" t="str">
            <v>1.3.4.3</v>
          </cell>
          <cell r="B656" t="str">
            <v>400mm dia.</v>
          </cell>
          <cell r="C656">
            <v>4</v>
          </cell>
          <cell r="D656" t="str">
            <v>No.</v>
          </cell>
          <cell r="E656">
            <v>30000</v>
          </cell>
          <cell r="F656">
            <v>120000</v>
          </cell>
        </row>
        <row r="657">
          <cell r="A657" t="str">
            <v>1.3.4.4</v>
          </cell>
          <cell r="B657" t="str">
            <v>400mm dia. (PN 25)</v>
          </cell>
          <cell r="C657">
            <v>7</v>
          </cell>
          <cell r="D657" t="str">
            <v>No.</v>
          </cell>
          <cell r="E657">
            <v>36000</v>
          </cell>
          <cell r="F657">
            <v>252000</v>
          </cell>
        </row>
        <row r="658">
          <cell r="A658" t="str">
            <v>1.3.4.5</v>
          </cell>
          <cell r="B658" t="str">
            <v>300mm dia.</v>
          </cell>
          <cell r="C658">
            <v>8</v>
          </cell>
          <cell r="D658" t="str">
            <v>No.</v>
          </cell>
          <cell r="E658">
            <v>20000</v>
          </cell>
          <cell r="F658">
            <v>160000</v>
          </cell>
        </row>
        <row r="659">
          <cell r="E659">
            <v>0</v>
          </cell>
        </row>
        <row r="660">
          <cell r="B660" t="str">
            <v>Pressure Gauge</v>
          </cell>
          <cell r="E660">
            <v>0</v>
          </cell>
        </row>
        <row r="661">
          <cell r="E661">
            <v>0</v>
          </cell>
        </row>
        <row r="662">
          <cell r="A662" t="str">
            <v>1.3.5</v>
          </cell>
          <cell r="B662" t="str">
            <v>Supply pressure gauge after and before each pressure</v>
          </cell>
          <cell r="E662">
            <v>0</v>
          </cell>
        </row>
        <row r="663">
          <cell r="B663" t="str">
            <v>reducing valves including copper piping, saddle straps</v>
          </cell>
          <cell r="E663">
            <v>0</v>
          </cell>
        </row>
        <row r="664">
          <cell r="B664" t="str">
            <v>and isolation cock</v>
          </cell>
          <cell r="C664">
            <v>57</v>
          </cell>
          <cell r="D664" t="str">
            <v>No.</v>
          </cell>
          <cell r="E664">
            <v>820</v>
          </cell>
          <cell r="F664">
            <v>46740</v>
          </cell>
        </row>
        <row r="665">
          <cell r="E665">
            <v>0</v>
          </cell>
        </row>
        <row r="666">
          <cell r="B666" t="str">
            <v>Small Pressure Relief Valves</v>
          </cell>
          <cell r="E666">
            <v>0</v>
          </cell>
        </row>
        <row r="667">
          <cell r="E667">
            <v>0</v>
          </cell>
        </row>
        <row r="668">
          <cell r="A668" t="str">
            <v>1.3.6</v>
          </cell>
          <cell r="B668" t="str">
            <v>Supply 3/4" pressure relief valves including saddle</v>
          </cell>
          <cell r="E668">
            <v>0</v>
          </cell>
        </row>
        <row r="669">
          <cell r="B669" t="str">
            <v>straps and copper piping</v>
          </cell>
          <cell r="C669">
            <v>22</v>
          </cell>
          <cell r="D669" t="str">
            <v>No.</v>
          </cell>
          <cell r="E669">
            <v>1100</v>
          </cell>
          <cell r="F669">
            <v>24200</v>
          </cell>
        </row>
        <row r="670">
          <cell r="E670">
            <v>0</v>
          </cell>
        </row>
        <row r="671">
          <cell r="B671" t="str">
            <v xml:space="preserve">Air Valves </v>
          </cell>
          <cell r="E671">
            <v>0</v>
          </cell>
        </row>
        <row r="672">
          <cell r="E672">
            <v>0</v>
          </cell>
        </row>
        <row r="673">
          <cell r="B673" t="str">
            <v>Supply D.I. Air Valves plus geared isolating gate valve</v>
          </cell>
          <cell r="E673">
            <v>0</v>
          </cell>
        </row>
        <row r="674">
          <cell r="B674" t="str">
            <v>and hand wheel complete with all accessories and</v>
          </cell>
          <cell r="E674">
            <v>0</v>
          </cell>
        </row>
        <row r="675">
          <cell r="B675" t="str">
            <v>all as specifications:</v>
          </cell>
          <cell r="E675">
            <v>0</v>
          </cell>
        </row>
        <row r="676">
          <cell r="E676">
            <v>0</v>
          </cell>
        </row>
        <row r="677">
          <cell r="A677" t="str">
            <v>1.3.7.1</v>
          </cell>
          <cell r="B677" t="str">
            <v>200mm dia. (PN 25)</v>
          </cell>
          <cell r="C677">
            <v>11</v>
          </cell>
          <cell r="D677" t="str">
            <v>No.</v>
          </cell>
          <cell r="E677">
            <v>15000</v>
          </cell>
          <cell r="F677">
            <v>165000</v>
          </cell>
        </row>
        <row r="678">
          <cell r="A678" t="str">
            <v>1.3.7.2</v>
          </cell>
          <cell r="B678" t="str">
            <v>150mm dia.</v>
          </cell>
          <cell r="C678">
            <v>30</v>
          </cell>
          <cell r="D678" t="str">
            <v>No.</v>
          </cell>
          <cell r="E678">
            <v>10000</v>
          </cell>
          <cell r="F678">
            <v>300000</v>
          </cell>
        </row>
        <row r="679">
          <cell r="A679" t="str">
            <v>1.3.7.3</v>
          </cell>
          <cell r="B679" t="e">
            <v>#N/A</v>
          </cell>
          <cell r="C679">
            <v>15</v>
          </cell>
          <cell r="D679" t="str">
            <v>No.</v>
          </cell>
          <cell r="E679">
            <v>12000</v>
          </cell>
          <cell r="F679">
            <v>180000</v>
          </cell>
        </row>
        <row r="680">
          <cell r="A680" t="str">
            <v>1.3.7.4</v>
          </cell>
          <cell r="B680" t="str">
            <v>100mm dia.</v>
          </cell>
          <cell r="C680">
            <v>6</v>
          </cell>
          <cell r="D680" t="str">
            <v>No.</v>
          </cell>
          <cell r="E680">
            <v>8000</v>
          </cell>
          <cell r="F680">
            <v>48000</v>
          </cell>
        </row>
        <row r="682">
          <cell r="B682" t="str">
            <v>Valve Operating Keys</v>
          </cell>
        </row>
        <row r="684">
          <cell r="A684" t="str">
            <v>1.3.8</v>
          </cell>
          <cell r="B684" t="str">
            <v>Supply valve operating T-key to ADWEA</v>
          </cell>
        </row>
        <row r="685">
          <cell r="B685" t="str">
            <v xml:space="preserve">requirements suitable for surface chamber </v>
          </cell>
        </row>
        <row r="686">
          <cell r="B686" t="str">
            <v>covers:</v>
          </cell>
          <cell r="C686">
            <v>20</v>
          </cell>
          <cell r="D686" t="str">
            <v>No.</v>
          </cell>
          <cell r="E686">
            <v>220</v>
          </cell>
          <cell r="F686">
            <v>4400</v>
          </cell>
        </row>
        <row r="707">
          <cell r="B707" t="str">
            <v>CARRIED TO SUMMARY</v>
          </cell>
          <cell r="F707">
            <v>7415840</v>
          </cell>
        </row>
        <row r="708">
          <cell r="A708" t="e">
            <v>#N/A</v>
          </cell>
        </row>
        <row r="709">
          <cell r="A709" t="str">
            <v>BILL OF QUANTITIES</v>
          </cell>
        </row>
        <row r="710">
          <cell r="A710" t="str">
            <v>Item</v>
          </cell>
          <cell r="B710" t="str">
            <v>Description</v>
          </cell>
          <cell r="C710" t="str">
            <v>Quantity</v>
          </cell>
          <cell r="D710" t="str">
            <v>Unit</v>
          </cell>
          <cell r="E710" t="str">
            <v>Rate (Dhs)</v>
          </cell>
          <cell r="F710" t="str">
            <v>Amount (Dhs)</v>
          </cell>
        </row>
        <row r="712">
          <cell r="B712" t="e">
            <v>#N/A</v>
          </cell>
        </row>
        <row r="713">
          <cell r="B713" t="e">
            <v>#N/A</v>
          </cell>
        </row>
        <row r="715">
          <cell r="B715" t="e">
            <v>#N/A</v>
          </cell>
        </row>
        <row r="717">
          <cell r="B717" t="e">
            <v>#N/A</v>
          </cell>
        </row>
        <row r="718">
          <cell r="B718" t="e">
            <v>#N/A</v>
          </cell>
        </row>
        <row r="719">
          <cell r="B719" t="str">
            <v xml:space="preserve">all as per Specifications and drawings and supplied with </v>
          </cell>
        </row>
        <row r="720">
          <cell r="B720" t="str">
            <v>opening/lifting keys as specified:</v>
          </cell>
        </row>
        <row r="722">
          <cell r="A722" t="str">
            <v>1.4.1</v>
          </cell>
          <cell r="B722" t="str">
            <v xml:space="preserve">Medium duty clear opening 600mm dia. round, marked </v>
          </cell>
        </row>
        <row r="723">
          <cell r="B723" t="str">
            <v>as noted in the drawing for valve</v>
          </cell>
          <cell r="C723">
            <v>305</v>
          </cell>
          <cell r="D723" t="str">
            <v>No.</v>
          </cell>
          <cell r="E723">
            <v>600</v>
          </cell>
          <cell r="F723">
            <v>183000</v>
          </cell>
        </row>
        <row r="724">
          <cell r="E724">
            <v>0</v>
          </cell>
        </row>
        <row r="725">
          <cell r="A725" t="str">
            <v>1.4.2</v>
          </cell>
          <cell r="B725" t="str">
            <v xml:space="preserve">Heavy duty clear opening 600mm dia. round, marked </v>
          </cell>
          <cell r="E725">
            <v>0</v>
          </cell>
        </row>
        <row r="726">
          <cell r="B726" t="str">
            <v>as noted in the drawing for valve chambers.</v>
          </cell>
          <cell r="C726">
            <v>34</v>
          </cell>
          <cell r="D726" t="str">
            <v>No.</v>
          </cell>
          <cell r="E726">
            <v>1000</v>
          </cell>
          <cell r="F726">
            <v>34000</v>
          </cell>
        </row>
        <row r="727">
          <cell r="E727">
            <v>0</v>
          </cell>
        </row>
        <row r="728">
          <cell r="A728" t="str">
            <v>1.4.3</v>
          </cell>
          <cell r="B728" t="str">
            <v xml:space="preserve">Aluminium surface box marked "WATER" as noted </v>
          </cell>
          <cell r="E728">
            <v>0</v>
          </cell>
        </row>
        <row r="729">
          <cell r="B729" t="str">
            <v>in the drawing for either surface operation of buried</v>
          </cell>
          <cell r="E729">
            <v>0</v>
          </cell>
        </row>
        <row r="730">
          <cell r="B730" t="str">
            <v>valves or valves in chambers</v>
          </cell>
          <cell r="C730">
            <v>323</v>
          </cell>
          <cell r="D730" t="str">
            <v>No.</v>
          </cell>
          <cell r="E730">
            <v>300</v>
          </cell>
          <cell r="F730">
            <v>96900</v>
          </cell>
        </row>
        <row r="731">
          <cell r="E731">
            <v>0</v>
          </cell>
        </row>
        <row r="732">
          <cell r="A732" t="str">
            <v>1.4.4</v>
          </cell>
          <cell r="B732" t="str">
            <v>Medium duty clear opening 300mm dia, round marked</v>
          </cell>
          <cell r="E732">
            <v>0</v>
          </cell>
        </row>
        <row r="733">
          <cell r="B733" t="str">
            <v>as noted in the drawing for flow meter chambers</v>
          </cell>
          <cell r="C733">
            <v>19</v>
          </cell>
          <cell r="D733" t="str">
            <v>No.</v>
          </cell>
          <cell r="E733">
            <v>1000</v>
          </cell>
          <cell r="F733">
            <v>19000</v>
          </cell>
        </row>
        <row r="734">
          <cell r="E734">
            <v>0</v>
          </cell>
        </row>
        <row r="735">
          <cell r="A735" t="str">
            <v>1.4.5</v>
          </cell>
          <cell r="B735" t="str">
            <v>Bronze Indicator Plates</v>
          </cell>
          <cell r="C735">
            <v>306</v>
          </cell>
          <cell r="D735" t="str">
            <v>No.</v>
          </cell>
          <cell r="E735">
            <v>120</v>
          </cell>
          <cell r="F735">
            <v>36720</v>
          </cell>
        </row>
        <row r="771">
          <cell r="B771" t="str">
            <v>CARRIED TO SUMMARY</v>
          </cell>
          <cell r="F771">
            <v>369620</v>
          </cell>
        </row>
        <row r="772">
          <cell r="A772" t="e">
            <v>#N/A</v>
          </cell>
        </row>
        <row r="773">
          <cell r="A773" t="str">
            <v>BILL OF QUANTITIES</v>
          </cell>
        </row>
        <row r="774">
          <cell r="A774" t="str">
            <v>Item</v>
          </cell>
          <cell r="B774" t="str">
            <v>Description</v>
          </cell>
          <cell r="C774" t="str">
            <v>Quantity</v>
          </cell>
          <cell r="D774" t="str">
            <v>Unit</v>
          </cell>
          <cell r="E774" t="str">
            <v>Rate (Dhs)</v>
          </cell>
          <cell r="F774" t="str">
            <v>Amount (Dhs)</v>
          </cell>
        </row>
        <row r="776">
          <cell r="B776" t="str">
            <v>BILL NO. 1.5</v>
          </cell>
        </row>
        <row r="777">
          <cell r="B777" t="str">
            <v xml:space="preserve">SUPPLY OF STEEL WATER TANKS </v>
          </cell>
        </row>
        <row r="778">
          <cell r="B778" t="str">
            <v>MATERIALS - SIR BANIYAS</v>
          </cell>
        </row>
        <row r="779">
          <cell r="B779" t="str">
            <v>ISLAND UPPER HILL</v>
          </cell>
        </row>
        <row r="781">
          <cell r="B781" t="str">
            <v xml:space="preserve">Supply all DI epoxy coated pipework system for the Water </v>
          </cell>
        </row>
        <row r="782">
          <cell r="B782" t="e">
            <v>#N/A</v>
          </cell>
        </row>
        <row r="783">
          <cell r="B783" t="e">
            <v>#N/A</v>
          </cell>
        </row>
        <row r="784">
          <cell r="B784" t="str">
            <v xml:space="preserve">overflow pipes including valves, fittings, couplings, </v>
          </cell>
        </row>
        <row r="785">
          <cell r="B785" t="str">
            <v xml:space="preserve">adapters, supports, bends and accessories complete </v>
          </cell>
        </row>
        <row r="786">
          <cell r="B786" t="str">
            <v xml:space="preserve">with gaskets, bolts, nuts and washers all complete as </v>
          </cell>
        </row>
        <row r="787">
          <cell r="B787" t="str">
            <v>per Specifications and drawings.</v>
          </cell>
        </row>
        <row r="789">
          <cell r="A789" t="str">
            <v>1.5.1.1</v>
          </cell>
          <cell r="B789" t="str">
            <v>Tank No. 1</v>
          </cell>
          <cell r="C789">
            <v>1</v>
          </cell>
          <cell r="D789" t="str">
            <v>L.S.</v>
          </cell>
          <cell r="E789">
            <v>260000</v>
          </cell>
          <cell r="F789">
            <v>260000</v>
          </cell>
        </row>
        <row r="790">
          <cell r="A790" t="str">
            <v>1.5.1.2</v>
          </cell>
          <cell r="B790" t="str">
            <v>Tank No. 2</v>
          </cell>
          <cell r="C790">
            <v>1</v>
          </cell>
          <cell r="D790" t="str">
            <v>L.S.</v>
          </cell>
          <cell r="E790">
            <v>260000</v>
          </cell>
          <cell r="F790">
            <v>260000</v>
          </cell>
        </row>
        <row r="791">
          <cell r="A791" t="str">
            <v>1.5.1.3</v>
          </cell>
          <cell r="B791" t="str">
            <v>Tank No. 3</v>
          </cell>
          <cell r="C791">
            <v>1</v>
          </cell>
          <cell r="D791" t="str">
            <v>L.S.</v>
          </cell>
          <cell r="E791">
            <v>260000</v>
          </cell>
          <cell r="F791">
            <v>260000</v>
          </cell>
        </row>
        <row r="792">
          <cell r="E792">
            <v>0</v>
          </cell>
        </row>
        <row r="793">
          <cell r="B793" t="str">
            <v xml:space="preserve">Supply all the instruments complete of all signal </v>
          </cell>
          <cell r="E793">
            <v>0</v>
          </cell>
        </row>
        <row r="794">
          <cell r="B794" t="str">
            <v>cables and mounting and fixing accessories as</v>
          </cell>
          <cell r="E794">
            <v>0</v>
          </cell>
        </row>
        <row r="795">
          <cell r="B795" t="str">
            <v>described in the Particular Specifications</v>
          </cell>
          <cell r="E795">
            <v>0</v>
          </cell>
        </row>
        <row r="796">
          <cell r="E796">
            <v>0</v>
          </cell>
        </row>
        <row r="797">
          <cell r="A797" t="str">
            <v>1.5.2.1</v>
          </cell>
          <cell r="B797" t="str">
            <v>Tank No. 1</v>
          </cell>
          <cell r="C797">
            <v>1</v>
          </cell>
          <cell r="D797" t="str">
            <v>L.S.</v>
          </cell>
          <cell r="E797">
            <v>20000</v>
          </cell>
          <cell r="F797">
            <v>20000</v>
          </cell>
        </row>
        <row r="798">
          <cell r="A798" t="str">
            <v>1.5.2.2</v>
          </cell>
          <cell r="B798" t="str">
            <v>Tank No. 2</v>
          </cell>
          <cell r="C798">
            <v>1</v>
          </cell>
          <cell r="D798" t="str">
            <v>L.S.</v>
          </cell>
          <cell r="E798">
            <v>20000</v>
          </cell>
          <cell r="F798">
            <v>20000</v>
          </cell>
        </row>
        <row r="799">
          <cell r="A799" t="str">
            <v>1.5.2.3</v>
          </cell>
          <cell r="B799" t="str">
            <v>Tank No. 3</v>
          </cell>
          <cell r="C799">
            <v>1</v>
          </cell>
          <cell r="D799" t="str">
            <v>L.S.</v>
          </cell>
          <cell r="E799">
            <v>20000</v>
          </cell>
          <cell r="F799">
            <v>20000</v>
          </cell>
        </row>
        <row r="800">
          <cell r="E800">
            <v>0</v>
          </cell>
        </row>
        <row r="801">
          <cell r="B801" t="str">
            <v>Supply lightning protection system, complete</v>
          </cell>
          <cell r="E801">
            <v>0</v>
          </cell>
        </row>
        <row r="802">
          <cell r="E802">
            <v>0</v>
          </cell>
        </row>
        <row r="803">
          <cell r="A803" t="str">
            <v>1.5.3.1</v>
          </cell>
          <cell r="B803" t="str">
            <v>Tank No. 1</v>
          </cell>
          <cell r="C803">
            <v>1</v>
          </cell>
          <cell r="D803" t="str">
            <v>L.S.</v>
          </cell>
          <cell r="E803">
            <v>12000</v>
          </cell>
          <cell r="F803">
            <v>12000</v>
          </cell>
        </row>
        <row r="804">
          <cell r="A804" t="str">
            <v>1.5.3.2</v>
          </cell>
          <cell r="B804" t="str">
            <v>Tank No. 2</v>
          </cell>
          <cell r="C804">
            <v>1</v>
          </cell>
          <cell r="D804" t="str">
            <v>L.S.</v>
          </cell>
          <cell r="E804">
            <v>12000</v>
          </cell>
          <cell r="F804">
            <v>12000</v>
          </cell>
        </row>
        <row r="805">
          <cell r="A805" t="str">
            <v>1.5.3.3</v>
          </cell>
          <cell r="B805" t="str">
            <v>Tank No. 3</v>
          </cell>
          <cell r="C805">
            <v>1</v>
          </cell>
          <cell r="D805" t="str">
            <v>L.S.</v>
          </cell>
          <cell r="E805">
            <v>12000</v>
          </cell>
          <cell r="F805">
            <v>12000</v>
          </cell>
        </row>
        <row r="806">
          <cell r="E806">
            <v>0</v>
          </cell>
        </row>
        <row r="807">
          <cell r="B807" t="str">
            <v xml:space="preserve">Supply all materials required for grounding of </v>
          </cell>
          <cell r="E807">
            <v>0</v>
          </cell>
        </row>
        <row r="808">
          <cell r="B808" t="str">
            <v>all equipment, complete</v>
          </cell>
          <cell r="E808">
            <v>0</v>
          </cell>
        </row>
        <row r="809">
          <cell r="E809">
            <v>0</v>
          </cell>
        </row>
        <row r="810">
          <cell r="A810" t="str">
            <v>1.5.4.1</v>
          </cell>
          <cell r="B810" t="str">
            <v>Tank No. 1</v>
          </cell>
          <cell r="C810">
            <v>1</v>
          </cell>
          <cell r="D810" t="str">
            <v>L.S.</v>
          </cell>
          <cell r="E810">
            <v>3500</v>
          </cell>
          <cell r="F810">
            <v>3500</v>
          </cell>
        </row>
        <row r="811">
          <cell r="A811" t="str">
            <v>1.5.4.2</v>
          </cell>
          <cell r="B811" t="str">
            <v>Tank No. 2</v>
          </cell>
          <cell r="C811">
            <v>1</v>
          </cell>
          <cell r="D811" t="str">
            <v>L.S.</v>
          </cell>
          <cell r="E811">
            <v>3500</v>
          </cell>
          <cell r="F811">
            <v>3500</v>
          </cell>
        </row>
        <row r="812">
          <cell r="A812" t="str">
            <v>1.5.4.3</v>
          </cell>
          <cell r="B812" t="str">
            <v>Tank No. 3</v>
          </cell>
          <cell r="C812">
            <v>1</v>
          </cell>
          <cell r="D812" t="str">
            <v>L.S.</v>
          </cell>
          <cell r="E812">
            <v>3500</v>
          </cell>
          <cell r="F812">
            <v>3500</v>
          </cell>
        </row>
        <row r="834">
          <cell r="B834" t="str">
            <v>CARRIED TO SUMMARY</v>
          </cell>
          <cell r="F834">
            <v>886500</v>
          </cell>
        </row>
        <row r="835">
          <cell r="A835" t="e">
            <v>#N/A</v>
          </cell>
        </row>
        <row r="836">
          <cell r="A836" t="str">
            <v>BILL OF QUANTITIES</v>
          </cell>
        </row>
        <row r="837">
          <cell r="A837" t="str">
            <v>Item</v>
          </cell>
          <cell r="B837" t="str">
            <v>Description</v>
          </cell>
          <cell r="C837" t="str">
            <v>Quantity</v>
          </cell>
          <cell r="D837" t="str">
            <v>Unit</v>
          </cell>
          <cell r="E837" t="str">
            <v>Rate (Dhs)</v>
          </cell>
          <cell r="F837" t="str">
            <v>Amount (Dhs)</v>
          </cell>
        </row>
        <row r="839">
          <cell r="B839" t="str">
            <v>BILL NO. 1.6</v>
          </cell>
        </row>
        <row r="840">
          <cell r="B840" t="e">
            <v>#N/A</v>
          </cell>
        </row>
        <row r="907">
          <cell r="B907" t="str">
            <v>CARRIED TO SUMMARY</v>
          </cell>
          <cell r="F907">
            <v>0</v>
          </cell>
        </row>
        <row r="908">
          <cell r="A908" t="e">
            <v>#N/A</v>
          </cell>
        </row>
        <row r="909">
          <cell r="A909" t="str">
            <v>BILL OF QUANTITIES</v>
          </cell>
        </row>
        <row r="910">
          <cell r="A910" t="str">
            <v>Item</v>
          </cell>
          <cell r="B910" t="str">
            <v>Description</v>
          </cell>
          <cell r="C910" t="str">
            <v>Quantity</v>
          </cell>
          <cell r="D910" t="str">
            <v>Unit</v>
          </cell>
          <cell r="E910" t="str">
            <v>Rate (Dhs)</v>
          </cell>
          <cell r="F910" t="str">
            <v>Amount (Dhs)</v>
          </cell>
        </row>
        <row r="912">
          <cell r="B912" t="str">
            <v>BILL NO. 1.7</v>
          </cell>
        </row>
        <row r="913">
          <cell r="B913" t="e">
            <v>#N/A</v>
          </cell>
        </row>
        <row r="981">
          <cell r="B981" t="str">
            <v>CARRIED TO SUMMARY</v>
          </cell>
          <cell r="F981">
            <v>0</v>
          </cell>
        </row>
        <row r="982">
          <cell r="A982" t="e">
            <v>#N/A</v>
          </cell>
        </row>
        <row r="983">
          <cell r="A983" t="str">
            <v>BILL OF QUANTITIES</v>
          </cell>
        </row>
        <row r="984">
          <cell r="A984" t="str">
            <v>Item</v>
          </cell>
          <cell r="B984" t="str">
            <v>Description</v>
          </cell>
          <cell r="C984" t="str">
            <v>Quantity</v>
          </cell>
          <cell r="D984" t="str">
            <v>Unit</v>
          </cell>
          <cell r="E984" t="str">
            <v>Rate (Dhs)</v>
          </cell>
          <cell r="F984" t="str">
            <v>Amount (Dhs)</v>
          </cell>
        </row>
        <row r="986">
          <cell r="B986" t="str">
            <v>BILL NO. 1.8</v>
          </cell>
        </row>
        <row r="987">
          <cell r="B987" t="e">
            <v>#N/A</v>
          </cell>
        </row>
        <row r="1058">
          <cell r="B1058" t="str">
            <v>CARRIED TO SUMMARY</v>
          </cell>
          <cell r="F1058">
            <v>0</v>
          </cell>
        </row>
        <row r="1059">
          <cell r="A1059" t="e">
            <v>#N/A</v>
          </cell>
        </row>
        <row r="1060">
          <cell r="A1060" t="str">
            <v>BILL OF QUANTITIES</v>
          </cell>
        </row>
        <row r="1061">
          <cell r="A1061" t="str">
            <v>Item</v>
          </cell>
          <cell r="B1061" t="str">
            <v>Description</v>
          </cell>
          <cell r="C1061" t="str">
            <v>Quantity</v>
          </cell>
          <cell r="D1061" t="str">
            <v>Unit</v>
          </cell>
          <cell r="E1061" t="str">
            <v>Rate (Dhs)</v>
          </cell>
          <cell r="F1061" t="str">
            <v>Amount (Dhs)</v>
          </cell>
        </row>
        <row r="1063">
          <cell r="B1063" t="str">
            <v>BILL NO. 1.9</v>
          </cell>
        </row>
        <row r="1064">
          <cell r="B1064" t="e">
            <v>#N/A</v>
          </cell>
        </row>
        <row r="1132">
          <cell r="B1132" t="str">
            <v>CARRIED TO SUMMARY</v>
          </cell>
          <cell r="F1132">
            <v>0</v>
          </cell>
        </row>
        <row r="1133">
          <cell r="A1133" t="e">
            <v>#N/A</v>
          </cell>
        </row>
        <row r="1134">
          <cell r="A1134" t="str">
            <v>BILL OF QUANTITIES</v>
          </cell>
        </row>
        <row r="1135">
          <cell r="A1135" t="str">
            <v>Item</v>
          </cell>
          <cell r="B1135" t="str">
            <v>Description</v>
          </cell>
          <cell r="C1135" t="str">
            <v>Quantity</v>
          </cell>
          <cell r="D1135" t="str">
            <v>Unit</v>
          </cell>
          <cell r="E1135" t="str">
            <v>Rate (Dhs)</v>
          </cell>
          <cell r="F1135" t="str">
            <v>Amount (Dhs)</v>
          </cell>
        </row>
        <row r="1137">
          <cell r="B1137" t="str">
            <v>BILL NO. 1.10</v>
          </cell>
        </row>
        <row r="1138">
          <cell r="B1138" t="str">
            <v>SUPPLY OF CONTROL ROOM</v>
          </cell>
        </row>
        <row r="1139">
          <cell r="B1139" t="str">
            <v>MATERIALS - SIR BANIYAS</v>
          </cell>
        </row>
        <row r="1140">
          <cell r="B1140" t="str">
            <v>ISLAND UPPER HILL</v>
          </cell>
        </row>
        <row r="1142">
          <cell r="A1142" t="str">
            <v>1.10.1</v>
          </cell>
          <cell r="B1142" t="str">
            <v>Supply ventilation system including all fans (EF-11)</v>
          </cell>
        </row>
        <row r="1143">
          <cell r="B1143" t="str">
            <v>all ducts, supports, hoods etc, complete with all</v>
          </cell>
        </row>
        <row r="1144">
          <cell r="B1144" t="str">
            <v xml:space="preserve"> accessories.</v>
          </cell>
          <cell r="C1144">
            <v>1</v>
          </cell>
          <cell r="D1144" t="str">
            <v>L.S.</v>
          </cell>
          <cell r="E1144">
            <v>5000</v>
          </cell>
          <cell r="F1144">
            <v>5000</v>
          </cell>
        </row>
        <row r="1145">
          <cell r="E1145">
            <v>0</v>
          </cell>
        </row>
        <row r="1146">
          <cell r="A1146" t="str">
            <v>1.10.2</v>
          </cell>
          <cell r="B1146" t="str">
            <v>Supply split air-conditioning units (split and condensing</v>
          </cell>
          <cell r="E1146">
            <v>0</v>
          </cell>
        </row>
        <row r="1147">
          <cell r="B1147" t="str">
            <v xml:space="preserve">unit 1 and 2) including all piping, supports and </v>
          </cell>
          <cell r="E1147">
            <v>0</v>
          </cell>
        </row>
        <row r="1148">
          <cell r="B1148" t="str">
            <v>accessories, complete.</v>
          </cell>
          <cell r="C1148">
            <v>1</v>
          </cell>
          <cell r="D1148" t="str">
            <v>L.S.</v>
          </cell>
          <cell r="E1148">
            <v>18000</v>
          </cell>
          <cell r="F1148">
            <v>18000</v>
          </cell>
        </row>
        <row r="1149">
          <cell r="E1149">
            <v>0</v>
          </cell>
        </row>
        <row r="1150">
          <cell r="A1150" t="str">
            <v>1.10.3</v>
          </cell>
          <cell r="B1150" t="str">
            <v>Supply  mimic/instrumentation/control panel and all</v>
          </cell>
          <cell r="E1150">
            <v>0</v>
          </cell>
        </row>
        <row r="1151">
          <cell r="B1151" t="str">
            <v xml:space="preserve">instruments as described in P.S. complete for </v>
          </cell>
          <cell r="E1151">
            <v>0</v>
          </cell>
        </row>
        <row r="1152">
          <cell r="B1152" t="str">
            <v>operation of all equipment as shown on the drawings</v>
          </cell>
          <cell r="C1152">
            <v>1</v>
          </cell>
          <cell r="D1152" t="str">
            <v>L.S.</v>
          </cell>
          <cell r="E1152">
            <v>710000</v>
          </cell>
          <cell r="F1152">
            <v>710000</v>
          </cell>
        </row>
        <row r="1153">
          <cell r="E1153">
            <v>0</v>
          </cell>
        </row>
        <row r="1154">
          <cell r="A1154" t="str">
            <v>1.10.4</v>
          </cell>
          <cell r="B1154" t="str">
            <v>Supply all  instrumentation cables and cable trays</v>
          </cell>
          <cell r="E1154">
            <v>0</v>
          </cell>
        </row>
        <row r="1155">
          <cell r="B1155" t="str">
            <v>between all equipment and instrumentation panel,</v>
          </cell>
          <cell r="E1155">
            <v>0</v>
          </cell>
        </row>
        <row r="1156">
          <cell r="B1156" t="str">
            <v>complete.</v>
          </cell>
          <cell r="C1156">
            <v>1</v>
          </cell>
          <cell r="D1156" t="str">
            <v>L.S.</v>
          </cell>
          <cell r="E1156">
            <v>10000</v>
          </cell>
          <cell r="F1156">
            <v>10000</v>
          </cell>
        </row>
        <row r="1157">
          <cell r="E1157">
            <v>0</v>
          </cell>
        </row>
        <row r="1158">
          <cell r="A1158" t="str">
            <v>1.10.5</v>
          </cell>
          <cell r="B1158" t="str">
            <v>Supply distribution board including all</v>
          </cell>
          <cell r="E1158">
            <v>0</v>
          </cell>
        </row>
        <row r="1159">
          <cell r="B1159" t="str">
            <v>cabling and grounding, complete</v>
          </cell>
          <cell r="C1159">
            <v>1</v>
          </cell>
          <cell r="D1159" t="str">
            <v>L.S.</v>
          </cell>
          <cell r="E1159">
            <v>10000</v>
          </cell>
          <cell r="F1159">
            <v>10000</v>
          </cell>
        </row>
        <row r="1160">
          <cell r="E1160">
            <v>0</v>
          </cell>
        </row>
        <row r="1161">
          <cell r="A1161" t="str">
            <v>1.10.6</v>
          </cell>
          <cell r="B1161" t="str">
            <v>Supply fire extinguisher, complete of all</v>
          </cell>
          <cell r="E1161">
            <v>0</v>
          </cell>
        </row>
        <row r="1162">
          <cell r="B1162" t="str">
            <v>accessories</v>
          </cell>
          <cell r="C1162">
            <v>2</v>
          </cell>
          <cell r="D1162" t="str">
            <v>No.</v>
          </cell>
          <cell r="E1162">
            <v>1500</v>
          </cell>
          <cell r="F1162">
            <v>3000</v>
          </cell>
        </row>
        <row r="1163">
          <cell r="E1163">
            <v>0</v>
          </cell>
        </row>
        <row r="1164">
          <cell r="A1164" t="str">
            <v>1.10.7</v>
          </cell>
          <cell r="B1164" t="str">
            <v xml:space="preserve">Supply lighting fixtures and power/convenience sockets </v>
          </cell>
          <cell r="E1164">
            <v>0</v>
          </cell>
        </row>
        <row r="1165">
          <cell r="B1165" t="str">
            <v>including all cabling, etc. complete</v>
          </cell>
          <cell r="C1165">
            <v>1</v>
          </cell>
          <cell r="D1165" t="str">
            <v>L.S.</v>
          </cell>
          <cell r="E1165">
            <v>11000</v>
          </cell>
          <cell r="F1165">
            <v>11000</v>
          </cell>
        </row>
        <row r="1166">
          <cell r="E1166">
            <v>0</v>
          </cell>
        </row>
        <row r="1167">
          <cell r="A1167" t="str">
            <v>1.10.8</v>
          </cell>
          <cell r="B1167" t="str">
            <v>Supply lightning protection system, complete</v>
          </cell>
          <cell r="C1167">
            <v>1</v>
          </cell>
          <cell r="D1167" t="str">
            <v>L.S.</v>
          </cell>
          <cell r="E1167">
            <v>10000</v>
          </cell>
          <cell r="F1167">
            <v>10000</v>
          </cell>
        </row>
        <row r="1168">
          <cell r="E1168">
            <v>0</v>
          </cell>
        </row>
        <row r="1169">
          <cell r="A1169" t="str">
            <v>1.10.9</v>
          </cell>
          <cell r="B1169" t="str">
            <v>Supply fire alarm system, complete</v>
          </cell>
          <cell r="C1169">
            <v>1</v>
          </cell>
          <cell r="D1169" t="str">
            <v>L.S.</v>
          </cell>
          <cell r="E1169">
            <v>10000</v>
          </cell>
          <cell r="F1169">
            <v>10000</v>
          </cell>
        </row>
        <row r="1170">
          <cell r="E1170">
            <v>0</v>
          </cell>
        </row>
        <row r="1171">
          <cell r="A1171" t="str">
            <v>1.10.10</v>
          </cell>
          <cell r="B1171" t="str">
            <v xml:space="preserve">Supply telephone system including telephones, </v>
          </cell>
          <cell r="E1171">
            <v>0</v>
          </cell>
        </row>
        <row r="1172">
          <cell r="B1172" t="str">
            <v xml:space="preserve">telephone outlets,junction box,cables and cableways, </v>
          </cell>
          <cell r="E1172">
            <v>0</v>
          </cell>
        </row>
        <row r="1173">
          <cell r="B1173" t="str">
            <v>etc. complete.</v>
          </cell>
          <cell r="C1173">
            <v>1</v>
          </cell>
          <cell r="D1173" t="str">
            <v>L.S.</v>
          </cell>
          <cell r="E1173">
            <v>10000</v>
          </cell>
          <cell r="F1173">
            <v>10000</v>
          </cell>
        </row>
        <row r="1200">
          <cell r="B1200" t="str">
            <v>CARRIED TO SUMMARY</v>
          </cell>
          <cell r="F1200">
            <v>797000</v>
          </cell>
        </row>
        <row r="1201">
          <cell r="A1201" t="e">
            <v>#N/A</v>
          </cell>
        </row>
        <row r="1202">
          <cell r="A1202" t="str">
            <v>BILL OF QUANTITIES</v>
          </cell>
        </row>
        <row r="1203">
          <cell r="A1203" t="str">
            <v>Item</v>
          </cell>
          <cell r="B1203" t="str">
            <v>Description</v>
          </cell>
          <cell r="C1203" t="str">
            <v>Quantity</v>
          </cell>
          <cell r="D1203" t="str">
            <v>Unit</v>
          </cell>
          <cell r="E1203" t="str">
            <v>Rate (Dhs)</v>
          </cell>
          <cell r="F1203" t="str">
            <v>Amount (Dhs)</v>
          </cell>
        </row>
        <row r="1205">
          <cell r="B1205" t="str">
            <v>BILL NO. 1.11</v>
          </cell>
        </row>
        <row r="1206">
          <cell r="B1206" t="str">
            <v>SUPPLY OF CONTROL ROOM</v>
          </cell>
        </row>
        <row r="1207">
          <cell r="B1207" t="str">
            <v>MATERIALS - DALMA ISLAND</v>
          </cell>
        </row>
        <row r="1208">
          <cell r="B1208" t="str">
            <v>UPPER HILL</v>
          </cell>
        </row>
        <row r="1210">
          <cell r="A1210" t="str">
            <v>1.11.1</v>
          </cell>
          <cell r="B1210" t="str">
            <v>Supply ventilation system including all fans (EF-12)</v>
          </cell>
        </row>
        <row r="1211">
          <cell r="B1211" t="str">
            <v>all ducts, supports, hoods etc, complete with all</v>
          </cell>
        </row>
        <row r="1212">
          <cell r="B1212" t="str">
            <v xml:space="preserve"> accessories.</v>
          </cell>
          <cell r="C1212">
            <v>1</v>
          </cell>
          <cell r="D1212" t="str">
            <v>L.S.</v>
          </cell>
          <cell r="E1212">
            <v>5000</v>
          </cell>
          <cell r="F1212">
            <v>5000</v>
          </cell>
        </row>
        <row r="1213">
          <cell r="E1213">
            <v>0</v>
          </cell>
        </row>
        <row r="1214">
          <cell r="A1214" t="str">
            <v>1.11.2</v>
          </cell>
          <cell r="B1214" t="str">
            <v>Supply split air-conditioning units (split and condensing</v>
          </cell>
          <cell r="E1214">
            <v>0</v>
          </cell>
        </row>
        <row r="1215">
          <cell r="B1215" t="str">
            <v xml:space="preserve">unit 3 and 4) including all piping, supports and </v>
          </cell>
          <cell r="E1215">
            <v>0</v>
          </cell>
        </row>
        <row r="1216">
          <cell r="B1216" t="str">
            <v>accessories, complete.</v>
          </cell>
          <cell r="C1216">
            <v>1</v>
          </cell>
          <cell r="D1216" t="str">
            <v>L.S.</v>
          </cell>
          <cell r="E1216">
            <v>18000</v>
          </cell>
          <cell r="F1216">
            <v>18000</v>
          </cell>
        </row>
        <row r="1217">
          <cell r="E1217">
            <v>0</v>
          </cell>
        </row>
        <row r="1218">
          <cell r="A1218" t="str">
            <v>1.11.3</v>
          </cell>
          <cell r="B1218" t="str">
            <v>Supply  mimic/instrumentation/control panel and all</v>
          </cell>
          <cell r="E1218">
            <v>0</v>
          </cell>
        </row>
        <row r="1219">
          <cell r="B1219" t="str">
            <v xml:space="preserve">instruments as described in P.S. complete for </v>
          </cell>
          <cell r="E1219">
            <v>0</v>
          </cell>
        </row>
        <row r="1220">
          <cell r="B1220" t="str">
            <v>operation of all equipment as shown on the drawings</v>
          </cell>
          <cell r="C1220">
            <v>1</v>
          </cell>
          <cell r="D1220" t="str">
            <v>L.S.</v>
          </cell>
          <cell r="E1220">
            <v>710000</v>
          </cell>
          <cell r="F1220">
            <v>710000</v>
          </cell>
        </row>
        <row r="1221">
          <cell r="E1221">
            <v>0</v>
          </cell>
        </row>
        <row r="1222">
          <cell r="A1222" t="str">
            <v>1.11.4</v>
          </cell>
          <cell r="B1222" t="str">
            <v>Supply all  instrumentation cables and cable trays</v>
          </cell>
          <cell r="E1222">
            <v>0</v>
          </cell>
        </row>
        <row r="1223">
          <cell r="B1223" t="str">
            <v>between all equipment and instrumentation panel</v>
          </cell>
          <cell r="E1223">
            <v>0</v>
          </cell>
        </row>
        <row r="1224">
          <cell r="B1224" t="str">
            <v>complete.</v>
          </cell>
          <cell r="C1224">
            <v>1</v>
          </cell>
          <cell r="D1224" t="str">
            <v>L.S.</v>
          </cell>
          <cell r="E1224">
            <v>10000</v>
          </cell>
          <cell r="F1224">
            <v>10000</v>
          </cell>
        </row>
        <row r="1225">
          <cell r="E1225">
            <v>0</v>
          </cell>
        </row>
        <row r="1226">
          <cell r="A1226" t="str">
            <v>1.11.5</v>
          </cell>
          <cell r="B1226" t="str">
            <v>Supply distribution board including all</v>
          </cell>
          <cell r="E1226">
            <v>0</v>
          </cell>
        </row>
        <row r="1227">
          <cell r="B1227" t="str">
            <v>cabling and grounding, complete</v>
          </cell>
          <cell r="C1227">
            <v>1</v>
          </cell>
          <cell r="D1227" t="str">
            <v>L.S.</v>
          </cell>
          <cell r="E1227">
            <v>10000</v>
          </cell>
          <cell r="F1227">
            <v>10000</v>
          </cell>
        </row>
        <row r="1228">
          <cell r="E1228">
            <v>0</v>
          </cell>
        </row>
        <row r="1229">
          <cell r="A1229" t="str">
            <v>1.11.6</v>
          </cell>
          <cell r="B1229" t="str">
            <v>Supply fire extinguisher, complete of all</v>
          </cell>
          <cell r="E1229">
            <v>0</v>
          </cell>
        </row>
        <row r="1230">
          <cell r="B1230" t="str">
            <v>accessories</v>
          </cell>
          <cell r="C1230">
            <v>2</v>
          </cell>
          <cell r="D1230" t="str">
            <v>No.</v>
          </cell>
          <cell r="E1230">
            <v>1500</v>
          </cell>
          <cell r="F1230">
            <v>3000</v>
          </cell>
        </row>
        <row r="1231">
          <cell r="E1231">
            <v>0</v>
          </cell>
        </row>
        <row r="1232">
          <cell r="A1232" t="str">
            <v>1.11.7</v>
          </cell>
          <cell r="B1232" t="str">
            <v xml:space="preserve">Supply lighting fixtures and power/convenience sockets </v>
          </cell>
          <cell r="E1232">
            <v>0</v>
          </cell>
        </row>
        <row r="1233">
          <cell r="B1233" t="str">
            <v>including all cabling, etc. complete</v>
          </cell>
          <cell r="C1233">
            <v>1</v>
          </cell>
          <cell r="D1233" t="str">
            <v>L.S.</v>
          </cell>
          <cell r="E1233">
            <v>11000</v>
          </cell>
          <cell r="F1233">
            <v>11000</v>
          </cell>
        </row>
        <row r="1234">
          <cell r="E1234">
            <v>0</v>
          </cell>
        </row>
        <row r="1235">
          <cell r="A1235" t="str">
            <v>1.11.8</v>
          </cell>
          <cell r="B1235" t="str">
            <v>Supply lightning protection system, complete</v>
          </cell>
          <cell r="C1235">
            <v>1</v>
          </cell>
          <cell r="D1235" t="str">
            <v>L.S.</v>
          </cell>
          <cell r="E1235">
            <v>10000</v>
          </cell>
          <cell r="F1235">
            <v>10000</v>
          </cell>
        </row>
        <row r="1236">
          <cell r="E1236">
            <v>0</v>
          </cell>
        </row>
        <row r="1237">
          <cell r="A1237" t="str">
            <v>1.11.9</v>
          </cell>
          <cell r="B1237" t="str">
            <v>Supply fire alarm system, complete</v>
          </cell>
          <cell r="C1237">
            <v>1</v>
          </cell>
          <cell r="D1237" t="str">
            <v>L.S.</v>
          </cell>
          <cell r="E1237">
            <v>10000</v>
          </cell>
          <cell r="F1237">
            <v>10000</v>
          </cell>
        </row>
        <row r="1238">
          <cell r="E1238">
            <v>0</v>
          </cell>
        </row>
        <row r="1239">
          <cell r="A1239" t="str">
            <v>1.11.10</v>
          </cell>
          <cell r="B1239" t="str">
            <v xml:space="preserve">Supply telephone system including telephones, </v>
          </cell>
          <cell r="E1239">
            <v>0</v>
          </cell>
        </row>
        <row r="1240">
          <cell r="B1240" t="str">
            <v xml:space="preserve">telephone outlets,junction box,cables and cableways, </v>
          </cell>
          <cell r="E1240">
            <v>0</v>
          </cell>
        </row>
        <row r="1241">
          <cell r="B1241" t="str">
            <v>etc. complete.</v>
          </cell>
          <cell r="C1241">
            <v>1</v>
          </cell>
          <cell r="D1241" t="str">
            <v>L.S.</v>
          </cell>
          <cell r="E1241">
            <v>10000</v>
          </cell>
          <cell r="F1241">
            <v>10000</v>
          </cell>
        </row>
        <row r="1272">
          <cell r="B1272" t="str">
            <v>CARRIED TO SUMMARY</v>
          </cell>
          <cell r="F1272">
            <v>797000</v>
          </cell>
        </row>
        <row r="1273">
          <cell r="A1273" t="e">
            <v>#N/A</v>
          </cell>
        </row>
        <row r="1274">
          <cell r="A1274" t="str">
            <v>BILL OF QUANTITIES</v>
          </cell>
        </row>
        <row r="1275">
          <cell r="A1275" t="str">
            <v>Item</v>
          </cell>
          <cell r="B1275" t="str">
            <v>Description</v>
          </cell>
          <cell r="C1275" t="str">
            <v>Quantity</v>
          </cell>
          <cell r="D1275" t="str">
            <v>Unit</v>
          </cell>
          <cell r="E1275" t="str">
            <v>Rate (Dhs)</v>
          </cell>
          <cell r="F1275" t="str">
            <v>Amount (Dhs)</v>
          </cell>
        </row>
        <row r="1277">
          <cell r="B1277" t="str">
            <v>BILL NO. 1.12</v>
          </cell>
        </row>
        <row r="1278">
          <cell r="B1278" t="str">
            <v xml:space="preserve"> SUPPLY OF SITE WORKS, YARD PIPING</v>
          </cell>
        </row>
        <row r="1279">
          <cell r="B1279" t="str">
            <v>AND CHAMBERS MATERIALS - SIR</v>
          </cell>
        </row>
        <row r="1280">
          <cell r="B1280" t="str">
            <v>BANIYAS ISLAND UPPER HILL</v>
          </cell>
        </row>
        <row r="1282">
          <cell r="B1282" t="str">
            <v>Supply uPVC pipe (NP 4) for sewerage and stormwater</v>
          </cell>
        </row>
        <row r="1283">
          <cell r="B1283" t="str">
            <v>including fittings, couplings, adapters, supports,</v>
          </cell>
        </row>
        <row r="1284">
          <cell r="B1284" t="str">
            <v>gaskets etc complete to realize the yard piping as</v>
          </cell>
        </row>
        <row r="1285">
          <cell r="B1285" t="str">
            <v>shown on the Drawings of the following sizes</v>
          </cell>
        </row>
        <row r="1286">
          <cell r="B1286" t="str">
            <v>(Supply of D.I yard pipes, fittings and valves, to be</v>
          </cell>
        </row>
        <row r="1287">
          <cell r="B1287" t="str">
            <v>paid under Bill No 1.1, 1.2 and 1.3):</v>
          </cell>
        </row>
        <row r="1289">
          <cell r="A1289" t="str">
            <v>1.12.1</v>
          </cell>
          <cell r="B1289" t="str">
            <v>100 mm</v>
          </cell>
          <cell r="C1289">
            <v>50</v>
          </cell>
          <cell r="D1289" t="str">
            <v>m.</v>
          </cell>
          <cell r="E1289">
            <v>130</v>
          </cell>
          <cell r="F1289">
            <v>6500</v>
          </cell>
        </row>
        <row r="1290">
          <cell r="E1290">
            <v>0</v>
          </cell>
        </row>
        <row r="1291">
          <cell r="B1291" t="str">
            <v>Supply double-flanged  electromagnetic type</v>
          </cell>
          <cell r="E1291">
            <v>0</v>
          </cell>
        </row>
        <row r="1292">
          <cell r="B1292" t="str">
            <v>flowmeter and transmitter, complete of</v>
          </cell>
          <cell r="E1292">
            <v>0</v>
          </cell>
        </row>
        <row r="1293">
          <cell r="B1293" t="str">
            <v>gauge/air vent sample-drain valve assemblies</v>
          </cell>
          <cell r="E1293">
            <v>0</v>
          </cell>
        </row>
        <row r="1294">
          <cell r="B1294" t="str">
            <v>saddle straps, copper piping, complete</v>
          </cell>
          <cell r="E1294">
            <v>0</v>
          </cell>
        </row>
        <row r="1295">
          <cell r="B1295" t="str">
            <v xml:space="preserve"> of the following sizes:</v>
          </cell>
          <cell r="E1295">
            <v>0</v>
          </cell>
        </row>
        <row r="1296">
          <cell r="E1296">
            <v>0</v>
          </cell>
        </row>
        <row r="1297">
          <cell r="A1297" t="str">
            <v>1.12.2.1</v>
          </cell>
          <cell r="B1297" t="str">
            <v>700 mm dia</v>
          </cell>
          <cell r="C1297">
            <v>1</v>
          </cell>
          <cell r="D1297" t="str">
            <v>No.</v>
          </cell>
          <cell r="E1297">
            <v>50000</v>
          </cell>
          <cell r="F1297">
            <v>50000</v>
          </cell>
        </row>
        <row r="1298">
          <cell r="A1298" t="str">
            <v>1.12.2.2</v>
          </cell>
          <cell r="B1298" t="str">
            <v>500 mm dia</v>
          </cell>
          <cell r="C1298">
            <v>2</v>
          </cell>
          <cell r="D1298" t="str">
            <v>No.</v>
          </cell>
          <cell r="E1298">
            <v>40000</v>
          </cell>
          <cell r="F1298">
            <v>80000</v>
          </cell>
        </row>
        <row r="1299">
          <cell r="A1299" t="str">
            <v>1.12.2.3</v>
          </cell>
          <cell r="B1299" t="str">
            <v>300 mm dia</v>
          </cell>
          <cell r="C1299">
            <v>3</v>
          </cell>
          <cell r="D1299" t="str">
            <v>No.</v>
          </cell>
          <cell r="E1299">
            <v>25000</v>
          </cell>
          <cell r="F1299">
            <v>75000</v>
          </cell>
        </row>
        <row r="1300">
          <cell r="A1300" t="str">
            <v>1.12.2.4</v>
          </cell>
          <cell r="B1300" t="str">
            <v>200 mm dia</v>
          </cell>
          <cell r="C1300">
            <v>2</v>
          </cell>
          <cell r="D1300" t="str">
            <v>No.</v>
          </cell>
          <cell r="E1300">
            <v>20000</v>
          </cell>
          <cell r="F1300">
            <v>40000</v>
          </cell>
        </row>
        <row r="1301">
          <cell r="E1301">
            <v>0</v>
          </cell>
        </row>
        <row r="1302">
          <cell r="B1302" t="str">
            <v>Supply Pilot Operated Altitude Valves for one way flow</v>
          </cell>
          <cell r="E1302">
            <v>0</v>
          </cell>
        </row>
        <row r="1303">
          <cell r="B1303" t="str">
            <v xml:space="preserve">with flow control option, complete as specified of the </v>
          </cell>
          <cell r="E1303">
            <v>0</v>
          </cell>
        </row>
        <row r="1304">
          <cell r="B1304" t="str">
            <v>following sizes:</v>
          </cell>
          <cell r="E1304">
            <v>0</v>
          </cell>
        </row>
        <row r="1305">
          <cell r="E1305">
            <v>0</v>
          </cell>
        </row>
        <row r="1306">
          <cell r="A1306" t="str">
            <v>1.12.3.1</v>
          </cell>
          <cell r="B1306" t="str">
            <v>400 mm dia.</v>
          </cell>
          <cell r="C1306">
            <v>6</v>
          </cell>
          <cell r="D1306" t="str">
            <v>No.</v>
          </cell>
          <cell r="E1306">
            <v>56000</v>
          </cell>
          <cell r="F1306">
            <v>336000</v>
          </cell>
        </row>
        <row r="1307">
          <cell r="A1307" t="str">
            <v>1.12.3.2</v>
          </cell>
          <cell r="B1307" t="str">
            <v xml:space="preserve">300 mm dia. </v>
          </cell>
          <cell r="C1307">
            <v>4</v>
          </cell>
          <cell r="D1307" t="str">
            <v>No.</v>
          </cell>
          <cell r="E1307">
            <v>40000</v>
          </cell>
          <cell r="F1307">
            <v>160000</v>
          </cell>
        </row>
        <row r="1308">
          <cell r="E1308">
            <v>0</v>
          </cell>
        </row>
        <row r="1309">
          <cell r="B1309" t="str">
            <v>Supply Pilot Operated Altitude Valves for one way flow,</v>
          </cell>
          <cell r="E1309">
            <v>0</v>
          </cell>
        </row>
        <row r="1310">
          <cell r="B1310" t="str">
            <v>complete as specified of the following sizes:</v>
          </cell>
          <cell r="E1310">
            <v>0</v>
          </cell>
        </row>
        <row r="1311">
          <cell r="E1311">
            <v>0</v>
          </cell>
        </row>
        <row r="1312">
          <cell r="A1312" t="str">
            <v>1.12.4</v>
          </cell>
          <cell r="B1312" t="str">
            <v>300 mm dia.</v>
          </cell>
          <cell r="C1312">
            <v>4</v>
          </cell>
          <cell r="D1312" t="str">
            <v>No.</v>
          </cell>
          <cell r="E1312">
            <v>40000</v>
          </cell>
          <cell r="F1312">
            <v>160000</v>
          </cell>
        </row>
        <row r="1313">
          <cell r="E1313">
            <v>0</v>
          </cell>
        </row>
        <row r="1314">
          <cell r="B1314" t="str">
            <v>Supply electronic controlled Pilot Operated Valve</v>
          </cell>
          <cell r="E1314">
            <v>0</v>
          </cell>
        </row>
        <row r="1315">
          <cell r="B1315" t="str">
            <v xml:space="preserve">with solenoid close and open control and electronic </v>
          </cell>
          <cell r="E1315">
            <v>0</v>
          </cell>
        </row>
        <row r="1316">
          <cell r="B1316" t="str">
            <v xml:space="preserve">controller and IP 56 protective housing, complete as </v>
          </cell>
          <cell r="E1316">
            <v>0</v>
          </cell>
        </row>
        <row r="1317">
          <cell r="B1317" t="str">
            <v>specified of the following sizes:</v>
          </cell>
          <cell r="E1317">
            <v>0</v>
          </cell>
        </row>
        <row r="1318">
          <cell r="E1318">
            <v>0</v>
          </cell>
        </row>
        <row r="1319">
          <cell r="A1319" t="str">
            <v>1.12.5.1</v>
          </cell>
          <cell r="B1319" t="str">
            <v>400 mm dia.</v>
          </cell>
          <cell r="C1319">
            <v>6</v>
          </cell>
          <cell r="D1319" t="str">
            <v>No.</v>
          </cell>
          <cell r="E1319">
            <v>60000</v>
          </cell>
          <cell r="F1319">
            <v>360000</v>
          </cell>
        </row>
        <row r="1320">
          <cell r="A1320" t="str">
            <v>1.12.5.2</v>
          </cell>
          <cell r="B1320" t="str">
            <v xml:space="preserve">300 mm dia. </v>
          </cell>
          <cell r="C1320">
            <v>4</v>
          </cell>
          <cell r="D1320" t="str">
            <v>No.</v>
          </cell>
          <cell r="E1320">
            <v>44000</v>
          </cell>
          <cell r="F1320">
            <v>176000</v>
          </cell>
        </row>
        <row r="1321">
          <cell r="E1321">
            <v>0</v>
          </cell>
        </row>
        <row r="1322">
          <cell r="A1322" t="str">
            <v>1.12.6</v>
          </cell>
          <cell r="B1322" t="str">
            <v xml:space="preserve">Supply all  electrical cables, cableways including uPVC </v>
          </cell>
          <cell r="E1322">
            <v>0</v>
          </cell>
        </row>
        <row r="1323">
          <cell r="B1323" t="str">
            <v xml:space="preserve">ducts, connectors and all materials for site electrical </v>
          </cell>
          <cell r="E1323">
            <v>0</v>
          </cell>
        </row>
        <row r="1324">
          <cell r="B1324" t="str">
            <v>system, complete</v>
          </cell>
          <cell r="C1324">
            <v>1</v>
          </cell>
          <cell r="D1324" t="str">
            <v>L.S.</v>
          </cell>
          <cell r="E1324">
            <v>22000</v>
          </cell>
          <cell r="F1324">
            <v>22000</v>
          </cell>
        </row>
        <row r="1325">
          <cell r="E1325">
            <v>0</v>
          </cell>
        </row>
        <row r="1326">
          <cell r="A1326" t="str">
            <v>1.12.7</v>
          </cell>
          <cell r="B1326" t="str">
            <v xml:space="preserve">Supply all cables, ground conductors, </v>
          </cell>
          <cell r="E1326">
            <v>0</v>
          </cell>
        </row>
        <row r="1327">
          <cell r="B1327" t="str">
            <v>cad welded connectors and grounding rod</v>
          </cell>
          <cell r="E1327">
            <v>0</v>
          </cell>
        </row>
        <row r="1328">
          <cell r="B1328" t="str">
            <v xml:space="preserve">with pit and all materials for complete </v>
          </cell>
          <cell r="E1328">
            <v>0</v>
          </cell>
        </row>
        <row r="1329">
          <cell r="B1329" t="str">
            <v>grounding system to site, complete</v>
          </cell>
          <cell r="C1329">
            <v>1</v>
          </cell>
          <cell r="D1329" t="str">
            <v>L.S.</v>
          </cell>
          <cell r="E1329">
            <v>10000</v>
          </cell>
          <cell r="F1329">
            <v>10000</v>
          </cell>
        </row>
        <row r="1330">
          <cell r="E1330">
            <v>0</v>
          </cell>
        </row>
        <row r="1331">
          <cell r="A1331" t="str">
            <v>1.12.8</v>
          </cell>
          <cell r="B1331" t="str">
            <v>Supply all instrumentation and  monitoring</v>
          </cell>
          <cell r="E1331">
            <v>0</v>
          </cell>
        </row>
        <row r="1332">
          <cell r="B1332" t="str">
            <v>cables  to site including uPVC ducts, complete</v>
          </cell>
          <cell r="C1332">
            <v>1</v>
          </cell>
          <cell r="D1332" t="str">
            <v>L.S.</v>
          </cell>
          <cell r="E1332">
            <v>65000</v>
          </cell>
          <cell r="F1332">
            <v>65000</v>
          </cell>
        </row>
        <row r="1333">
          <cell r="E1333">
            <v>0</v>
          </cell>
        </row>
        <row r="1334">
          <cell r="A1334" t="str">
            <v>1.12.9</v>
          </cell>
          <cell r="B1334" t="str">
            <v xml:space="preserve">Supply 54D telephone uPVC ducts, in accordance to </v>
          </cell>
          <cell r="E1334">
            <v>0</v>
          </cell>
        </row>
        <row r="1335">
          <cell r="B1335" t="str">
            <v>Etisalat specification with pulling rope, warning tap _x000E__x0000_</v>
          </cell>
          <cell r="E1335">
            <v>0</v>
          </cell>
        </row>
        <row r="1336">
          <cell r="B1336" t="str">
            <v>complete_x0007__x0000__x0000_1.12.10*_x0000__x0000_armoured PVC served copper conductor cable7_x0000__x0000_including warning tape, concrete cable cover tiles and _x0015__x0000__x0000_accessories, complete_x0007__x0000__x0000_1.12.11_x0013__x0000__x0000_per specifications:_x0005__x0000__x0000_2.5.3_x0008__x0000__x0000_1.2.18.1_x0008__x0000__x0000_1.2.18.2_x0008__x0000__x0000_1.2.18.3_x0008__x0000__x0000_1.2.18.4_x0008__x0000__x0000_1.2.18.5_x0008__x0000__x0000_1.2.18.6_x001E__x0000__x0000_M</v>
          </cell>
          <cell r="C1336">
            <v>1000</v>
          </cell>
          <cell r="D1336" t="str">
            <v>m.</v>
          </cell>
          <cell r="E1336">
            <v>20</v>
          </cell>
          <cell r="F1336">
            <v>20000</v>
          </cell>
        </row>
        <row r="1345">
          <cell r="B1345" t="str">
            <v>CARRIED FORWARD</v>
          </cell>
          <cell r="F1345">
            <v>1560500</v>
          </cell>
        </row>
        <row r="1346">
          <cell r="A1346" t="e">
            <v>#N/A</v>
          </cell>
        </row>
        <row r="1347">
          <cell r="A1347" t="str">
            <v>BILL OF QUANTITIES</v>
          </cell>
        </row>
        <row r="1348">
          <cell r="A1348" t="str">
            <v>Item</v>
          </cell>
          <cell r="B1348" t="str">
            <v>Description</v>
          </cell>
          <cell r="C1348" t="str">
            <v>Quantity</v>
          </cell>
          <cell r="D1348" t="str">
            <v>Unit</v>
          </cell>
          <cell r="E1348" t="str">
            <v>Rate (Dhs)</v>
          </cell>
          <cell r="F1348" t="str">
            <v>Amount (Dhs)</v>
          </cell>
        </row>
        <row r="1350">
          <cell r="B1350" t="str">
            <v>BROUGHT FORWARD</v>
          </cell>
          <cell r="F1350">
            <v>1560500</v>
          </cell>
        </row>
        <row r="1352">
          <cell r="A1352" t="e">
            <v>#N/A</v>
          </cell>
          <cell r="B1352" t="str">
            <v xml:space="preserve">Supply 11 kV, 3 Core, 95mm² (minimum), XLPE Insulator </v>
          </cell>
        </row>
        <row r="1353">
          <cell r="B1353" t="str">
            <v>steel armoured PVC served copper conductor cable</v>
          </cell>
        </row>
        <row r="1354">
          <cell r="B1354" t="e">
            <v>#N/A</v>
          </cell>
        </row>
        <row r="1355">
          <cell r="B1355" t="e">
            <v>#N/A</v>
          </cell>
          <cell r="C1355">
            <v>1000</v>
          </cell>
          <cell r="D1355" t="str">
            <v>m</v>
          </cell>
          <cell r="E1355">
            <v>150</v>
          </cell>
          <cell r="F1355">
            <v>150000</v>
          </cell>
        </row>
        <row r="1356">
          <cell r="E1356">
            <v>0</v>
          </cell>
        </row>
        <row r="1357">
          <cell r="A1357" t="e">
            <v>#N/A</v>
          </cell>
          <cell r="B1357" t="str">
            <v>Supply 415V, 1C X 50mm2 XLPE/SWA/PVC cable</v>
          </cell>
          <cell r="E1357">
            <v>0</v>
          </cell>
        </row>
        <row r="1358">
          <cell r="B1358" t="str">
            <v>including concrete cover tiles, warning tape, shrinkable</v>
          </cell>
          <cell r="E1358">
            <v>0</v>
          </cell>
        </row>
        <row r="1359">
          <cell r="B1359" t="str">
            <v>straight trough joints, end termination kits and other</v>
          </cell>
          <cell r="E1359">
            <v>0</v>
          </cell>
        </row>
        <row r="1360">
          <cell r="B1360" t="str">
            <v>required accessories to connect existing feeder pillar</v>
          </cell>
          <cell r="E1360">
            <v>0</v>
          </cell>
        </row>
        <row r="1361">
          <cell r="B1361" t="str">
            <v>to distribution board, complete.</v>
          </cell>
          <cell r="C1361">
            <v>1000</v>
          </cell>
          <cell r="D1361" t="str">
            <v>m</v>
          </cell>
          <cell r="E1361">
            <v>40</v>
          </cell>
          <cell r="F1361">
            <v>40000</v>
          </cell>
        </row>
        <row r="1362">
          <cell r="E1362">
            <v>0</v>
          </cell>
        </row>
        <row r="1363">
          <cell r="A1363" t="str">
            <v>1.12.12</v>
          </cell>
          <cell r="B1363" t="str">
            <v>Supply 200 KVA Transformer in accordance to</v>
          </cell>
          <cell r="E1363">
            <v>0</v>
          </cell>
        </row>
        <row r="1364">
          <cell r="B1364" t="str">
            <v>ADWEA electrical distribution section specifications</v>
          </cell>
          <cell r="E1364">
            <v>0</v>
          </cell>
        </row>
        <row r="1365">
          <cell r="B1365" t="str">
            <v>and approved manufacturers including all cables,</v>
          </cell>
          <cell r="E1365">
            <v>0</v>
          </cell>
        </row>
        <row r="1366">
          <cell r="B1366" t="str">
            <v>cableways, connectors required to connect the</v>
          </cell>
          <cell r="E1366">
            <v>0</v>
          </cell>
        </row>
        <row r="1367">
          <cell r="B1367" t="str">
            <v>transformer to the distribution board, complete.</v>
          </cell>
          <cell r="C1367">
            <v>1</v>
          </cell>
          <cell r="D1367" t="str">
            <v>L.S.</v>
          </cell>
          <cell r="E1367">
            <v>45000</v>
          </cell>
          <cell r="F1367">
            <v>45000</v>
          </cell>
        </row>
        <row r="1368">
          <cell r="E1368">
            <v>0</v>
          </cell>
        </row>
        <row r="1369">
          <cell r="A1369" t="str">
            <v>1.12.13</v>
          </cell>
          <cell r="B1369" t="str">
            <v>Supply TRM unit complete as per A.D.D.C.</v>
          </cell>
          <cell r="E1369">
            <v>0</v>
          </cell>
        </row>
        <row r="1370">
          <cell r="B1370" t="str">
            <v>specifications.</v>
          </cell>
          <cell r="C1370">
            <v>1</v>
          </cell>
          <cell r="D1370" t="str">
            <v>No.</v>
          </cell>
          <cell r="E1370">
            <v>60000</v>
          </cell>
          <cell r="F1370">
            <v>60000</v>
          </cell>
        </row>
        <row r="1371">
          <cell r="E1371">
            <v>0</v>
          </cell>
        </row>
        <row r="1372">
          <cell r="A1372" t="str">
            <v>1.12.14</v>
          </cell>
          <cell r="B1372" t="str">
            <v>Supply outdoor termination kits and other accessories</v>
          </cell>
          <cell r="E1372">
            <v>0</v>
          </cell>
        </row>
        <row r="1373">
          <cell r="B1373" t="str">
            <v>required to connect the 11 kV cables to the TRM/</v>
          </cell>
          <cell r="E1373">
            <v>0</v>
          </cell>
        </row>
        <row r="1374">
          <cell r="B1374" t="str">
            <v>Transformer</v>
          </cell>
          <cell r="C1374">
            <v>4</v>
          </cell>
          <cell r="D1374" t="str">
            <v>No.</v>
          </cell>
          <cell r="E1374">
            <v>2500</v>
          </cell>
          <cell r="F1374">
            <v>10000</v>
          </cell>
        </row>
        <row r="1375">
          <cell r="E1375">
            <v>0</v>
          </cell>
        </row>
        <row r="1376">
          <cell r="A1376" t="str">
            <v>1.12.15</v>
          </cell>
          <cell r="B1376" t="str">
            <v>Supply 11kv straight joints kits</v>
          </cell>
          <cell r="C1376">
            <v>2</v>
          </cell>
          <cell r="D1376" t="str">
            <v>No.</v>
          </cell>
          <cell r="E1376">
            <v>2500</v>
          </cell>
          <cell r="F1376">
            <v>5000</v>
          </cell>
        </row>
        <row r="1412">
          <cell r="B1412" t="str">
            <v>CARRIED TO SUMMARY</v>
          </cell>
          <cell r="F1412">
            <v>1870500</v>
          </cell>
        </row>
        <row r="1413">
          <cell r="A1413" t="e">
            <v>#N/A</v>
          </cell>
        </row>
        <row r="1414">
          <cell r="A1414" t="str">
            <v>BILL OF QUANTITIES</v>
          </cell>
        </row>
        <row r="1415">
          <cell r="A1415" t="str">
            <v>Item</v>
          </cell>
          <cell r="B1415" t="str">
            <v>Description</v>
          </cell>
          <cell r="C1415" t="str">
            <v>Quantity</v>
          </cell>
          <cell r="D1415" t="str">
            <v>Unit</v>
          </cell>
          <cell r="E1415" t="str">
            <v>Rate (Dhs)</v>
          </cell>
          <cell r="F1415" t="str">
            <v>Amount (Dhs)</v>
          </cell>
        </row>
        <row r="1417">
          <cell r="B1417" t="str">
            <v>BILL NO. 1.13</v>
          </cell>
        </row>
        <row r="1418">
          <cell r="B1418" t="e">
            <v>#N/A</v>
          </cell>
        </row>
        <row r="1485">
          <cell r="B1485" t="str">
            <v>CARRIED TO SUMMARY</v>
          </cell>
          <cell r="F1485">
            <v>0</v>
          </cell>
        </row>
        <row r="1486">
          <cell r="A1486" t="e">
            <v>#N/A</v>
          </cell>
        </row>
        <row r="1487">
          <cell r="A1487" t="str">
            <v>BILL OF QUANTITIES</v>
          </cell>
        </row>
        <row r="1488">
          <cell r="A1488" t="str">
            <v>Item</v>
          </cell>
          <cell r="B1488" t="str">
            <v>Description</v>
          </cell>
          <cell r="C1488" t="str">
            <v>Quantity</v>
          </cell>
          <cell r="D1488" t="str">
            <v>Unit</v>
          </cell>
          <cell r="E1488" t="str">
            <v>Rate (Dhs)</v>
          </cell>
          <cell r="F1488" t="str">
            <v>Amount (Dhs)</v>
          </cell>
        </row>
        <row r="1490">
          <cell r="B1490" t="str">
            <v>BILL NO. 1.14</v>
          </cell>
        </row>
        <row r="1491">
          <cell r="B1491" t="e">
            <v>#N/A</v>
          </cell>
        </row>
        <row r="1558">
          <cell r="B1558" t="str">
            <v>CARRIED TO SUMMARY</v>
          </cell>
          <cell r="F1558">
            <v>0</v>
          </cell>
        </row>
        <row r="1559">
          <cell r="A1559" t="e">
            <v>#N/A</v>
          </cell>
        </row>
        <row r="1560">
          <cell r="A1560" t="str">
            <v>BILL OF QUANTITIES</v>
          </cell>
        </row>
        <row r="1561">
          <cell r="A1561" t="str">
            <v>Item</v>
          </cell>
          <cell r="B1561" t="str">
            <v>Description</v>
          </cell>
          <cell r="C1561" t="str">
            <v>Quantity</v>
          </cell>
          <cell r="D1561" t="str">
            <v>Unit</v>
          </cell>
          <cell r="E1561" t="str">
            <v>Rate (Dhs)</v>
          </cell>
          <cell r="F1561" t="str">
            <v>Amount (Dhs)</v>
          </cell>
        </row>
        <row r="1563">
          <cell r="B1563" t="str">
            <v>BILL NO. 1.15</v>
          </cell>
        </row>
        <row r="1564">
          <cell r="B1564" t="e">
            <v>#N/A</v>
          </cell>
        </row>
        <row r="1631">
          <cell r="B1631" t="str">
            <v>CARRIED TO SUMMARY</v>
          </cell>
          <cell r="F1631">
            <v>0</v>
          </cell>
        </row>
        <row r="1632">
          <cell r="A1632" t="e">
            <v>#N/A</v>
          </cell>
        </row>
        <row r="1633">
          <cell r="A1633" t="str">
            <v>BILL OF QUANTITIES</v>
          </cell>
        </row>
        <row r="1634">
          <cell r="A1634" t="str">
            <v>Item</v>
          </cell>
          <cell r="B1634" t="str">
            <v>Description</v>
          </cell>
          <cell r="C1634" t="str">
            <v>Quantity</v>
          </cell>
          <cell r="D1634" t="str">
            <v>Unit</v>
          </cell>
          <cell r="E1634" t="str">
            <v>Rate (Dhs)</v>
          </cell>
          <cell r="F1634" t="str">
            <v>Amount (Dhs)</v>
          </cell>
        </row>
        <row r="1636">
          <cell r="B1636" t="str">
            <v>BILL NO. 1.16</v>
          </cell>
        </row>
        <row r="1637">
          <cell r="B1637" t="e">
            <v>#N/A</v>
          </cell>
        </row>
        <row r="1704">
          <cell r="B1704" t="str">
            <v>CARRIED TO SUMMARY</v>
          </cell>
          <cell r="F1704">
            <v>0</v>
          </cell>
        </row>
        <row r="1705">
          <cell r="A1705" t="e">
            <v>#N/A</v>
          </cell>
        </row>
        <row r="1706">
          <cell r="A1706" t="str">
            <v>BILL OF QUANTITIES</v>
          </cell>
        </row>
        <row r="1707">
          <cell r="A1707" t="str">
            <v>Item</v>
          </cell>
          <cell r="B1707" t="str">
            <v>Description</v>
          </cell>
          <cell r="C1707" t="str">
            <v>Quantity</v>
          </cell>
          <cell r="D1707" t="str">
            <v>Unit</v>
          </cell>
          <cell r="E1707" t="str">
            <v>Rate (Dhs)</v>
          </cell>
          <cell r="F1707" t="str">
            <v>Amount (Dhs)</v>
          </cell>
        </row>
        <row r="1709">
          <cell r="B1709" t="str">
            <v>BILL NO. 1.17</v>
          </cell>
        </row>
        <row r="1710">
          <cell r="B1710" t="str">
            <v xml:space="preserve"> SUPPLY OF SITE WORKS, YARD PIPING</v>
          </cell>
        </row>
        <row r="1711">
          <cell r="B1711" t="str">
            <v>AND CHAMBERS MATERIALS</v>
          </cell>
        </row>
        <row r="1712">
          <cell r="B1712" t="str">
            <v>DALMA ISLAND UPPER HILL</v>
          </cell>
        </row>
        <row r="1714">
          <cell r="B1714" t="str">
            <v>Supply uPVC pipe (NP 4) for sewerage and stormwater</v>
          </cell>
        </row>
        <row r="1715">
          <cell r="B1715" t="str">
            <v>including fittings, couplings, adapters, supports, .</v>
          </cell>
        </row>
        <row r="1716">
          <cell r="B1716" t="str">
            <v>gaskets etc complete to realize the yard piping as</v>
          </cell>
        </row>
        <row r="1717">
          <cell r="B1717" t="str">
            <v>shown on the Drawings of the following sizes</v>
          </cell>
        </row>
        <row r="1718">
          <cell r="B1718" t="str">
            <v>(Supply of D.I yard pipes, fittings and valves,</v>
          </cell>
        </row>
        <row r="1719">
          <cell r="B1719" t="str">
            <v>to be paid under Bill No 1.1, 1.2 and 1.3):</v>
          </cell>
        </row>
        <row r="1721">
          <cell r="A1721" t="str">
            <v>1.17.1</v>
          </cell>
          <cell r="B1721" t="str">
            <v>100 mm</v>
          </cell>
          <cell r="C1721">
            <v>50</v>
          </cell>
          <cell r="D1721" t="str">
            <v>m.</v>
          </cell>
          <cell r="E1721">
            <v>130</v>
          </cell>
          <cell r="F1721">
            <v>6500</v>
          </cell>
        </row>
        <row r="1722">
          <cell r="E1722">
            <v>0</v>
          </cell>
        </row>
        <row r="1723">
          <cell r="B1723" t="str">
            <v>Supply double-flanged  electromagnetic type</v>
          </cell>
          <cell r="E1723">
            <v>0</v>
          </cell>
        </row>
        <row r="1724">
          <cell r="B1724" t="str">
            <v>flowmeter and transmitter, complete of</v>
          </cell>
          <cell r="E1724">
            <v>0</v>
          </cell>
        </row>
        <row r="1725">
          <cell r="B1725" t="str">
            <v>gauge/air vent sample-drain valve assemblies</v>
          </cell>
          <cell r="E1725">
            <v>0</v>
          </cell>
        </row>
        <row r="1726">
          <cell r="B1726" t="str">
            <v>saddle straps, copper piping, complete</v>
          </cell>
          <cell r="E1726">
            <v>0</v>
          </cell>
        </row>
        <row r="1727">
          <cell r="B1727" t="str">
            <v xml:space="preserve"> of the following sizes:</v>
          </cell>
          <cell r="E1727">
            <v>0</v>
          </cell>
        </row>
        <row r="1728">
          <cell r="E1728">
            <v>0</v>
          </cell>
        </row>
        <row r="1729">
          <cell r="A1729" t="str">
            <v>1.17.2.1</v>
          </cell>
          <cell r="B1729" t="str">
            <v>500 mm dia</v>
          </cell>
          <cell r="C1729">
            <v>1</v>
          </cell>
          <cell r="D1729" t="str">
            <v>No.</v>
          </cell>
          <cell r="E1729">
            <v>40000</v>
          </cell>
          <cell r="F1729">
            <v>40000</v>
          </cell>
        </row>
        <row r="1730">
          <cell r="A1730" t="str">
            <v>1.17.2.2</v>
          </cell>
          <cell r="B1730" t="str">
            <v>400 mm dia</v>
          </cell>
          <cell r="C1730">
            <v>4</v>
          </cell>
          <cell r="D1730" t="str">
            <v>No.</v>
          </cell>
          <cell r="E1730">
            <v>30000</v>
          </cell>
          <cell r="F1730">
            <v>120000</v>
          </cell>
        </row>
        <row r="1731">
          <cell r="A1731" t="e">
            <v>#N/A</v>
          </cell>
          <cell r="B1731" t="str">
            <v>200 mm dia</v>
          </cell>
          <cell r="C1731">
            <v>4</v>
          </cell>
          <cell r="D1731" t="str">
            <v>No.</v>
          </cell>
          <cell r="E1731">
            <v>20000</v>
          </cell>
          <cell r="F1731">
            <v>80000</v>
          </cell>
        </row>
        <row r="1732">
          <cell r="E1732">
            <v>0</v>
          </cell>
        </row>
        <row r="1733">
          <cell r="B1733" t="str">
            <v>Supply Pilot Operated Altitude Valves for one way flow</v>
          </cell>
          <cell r="E1733">
            <v>0</v>
          </cell>
        </row>
        <row r="1734">
          <cell r="B1734" t="str">
            <v xml:space="preserve">with flow control option, complete as specified of the </v>
          </cell>
          <cell r="E1734">
            <v>0</v>
          </cell>
        </row>
        <row r="1735">
          <cell r="B1735" t="str">
            <v>following sizes:</v>
          </cell>
          <cell r="E1735">
            <v>0</v>
          </cell>
        </row>
        <row r="1736">
          <cell r="E1736">
            <v>0</v>
          </cell>
        </row>
        <row r="1737">
          <cell r="A1737" t="e">
            <v>#N/A</v>
          </cell>
          <cell r="B1737" t="str">
            <v xml:space="preserve">300 mm dia. </v>
          </cell>
          <cell r="C1737">
            <v>3</v>
          </cell>
          <cell r="D1737" t="str">
            <v>No.</v>
          </cell>
          <cell r="E1737">
            <v>40000</v>
          </cell>
          <cell r="F1737">
            <v>120000</v>
          </cell>
        </row>
        <row r="1738">
          <cell r="E1738">
            <v>0</v>
          </cell>
        </row>
        <row r="1739">
          <cell r="B1739" t="str">
            <v>Supply electronic controlled Pilot Operated Valve</v>
          </cell>
          <cell r="E1739">
            <v>0</v>
          </cell>
        </row>
        <row r="1740">
          <cell r="B1740" t="str">
            <v xml:space="preserve">with solenoid close and open control and electronic </v>
          </cell>
          <cell r="E1740">
            <v>0</v>
          </cell>
        </row>
        <row r="1741">
          <cell r="B1741" t="str">
            <v xml:space="preserve">controller and IP 56 protective housing, complete as </v>
          </cell>
          <cell r="E1741">
            <v>0</v>
          </cell>
        </row>
        <row r="1742">
          <cell r="B1742" t="str">
            <v>specified of the following sizes:</v>
          </cell>
          <cell r="E1742">
            <v>0</v>
          </cell>
        </row>
        <row r="1743">
          <cell r="E1743">
            <v>0</v>
          </cell>
        </row>
        <row r="1744">
          <cell r="A1744" t="e">
            <v>#N/A</v>
          </cell>
          <cell r="B1744" t="str">
            <v>400 mm dia.</v>
          </cell>
          <cell r="C1744">
            <v>3</v>
          </cell>
          <cell r="D1744" t="str">
            <v>No.</v>
          </cell>
          <cell r="E1744">
            <v>60000</v>
          </cell>
          <cell r="F1744">
            <v>180000</v>
          </cell>
        </row>
        <row r="1745">
          <cell r="E1745">
            <v>0</v>
          </cell>
        </row>
        <row r="1746">
          <cell r="A1746" t="e">
            <v>#N/A</v>
          </cell>
          <cell r="B1746" t="str">
            <v xml:space="preserve">Supply all  electrical cables, cableways including uPVC </v>
          </cell>
          <cell r="E1746">
            <v>0</v>
          </cell>
        </row>
        <row r="1747">
          <cell r="B1747" t="str">
            <v xml:space="preserve">ducts, connectors and all materials for site electrical </v>
          </cell>
          <cell r="E1747">
            <v>0</v>
          </cell>
        </row>
        <row r="1748">
          <cell r="B1748" t="str">
            <v>system, complete</v>
          </cell>
          <cell r="C1748">
            <v>1</v>
          </cell>
          <cell r="D1748" t="str">
            <v>L.S.</v>
          </cell>
          <cell r="E1748">
            <v>20000</v>
          </cell>
          <cell r="F1748">
            <v>20000</v>
          </cell>
        </row>
        <row r="1749">
          <cell r="E1749">
            <v>0</v>
          </cell>
        </row>
        <row r="1750">
          <cell r="A1750" t="e">
            <v>#N/A</v>
          </cell>
          <cell r="B1750" t="str">
            <v xml:space="preserve">Supply all cables, ground conductors, </v>
          </cell>
          <cell r="E1750">
            <v>0</v>
          </cell>
        </row>
        <row r="1751">
          <cell r="B1751" t="str">
            <v>cad welded connectors and grounding rod</v>
          </cell>
          <cell r="E1751">
            <v>0</v>
          </cell>
        </row>
        <row r="1752">
          <cell r="B1752" t="str">
            <v xml:space="preserve">with pit and all materials for complete </v>
          </cell>
          <cell r="E1752">
            <v>0</v>
          </cell>
        </row>
        <row r="1753">
          <cell r="B1753" t="str">
            <v>grounding system to site, complete</v>
          </cell>
          <cell r="C1753">
            <v>1</v>
          </cell>
          <cell r="D1753" t="str">
            <v>L.S.</v>
          </cell>
          <cell r="E1753">
            <v>10000</v>
          </cell>
          <cell r="F1753">
            <v>10000</v>
          </cell>
        </row>
        <row r="1754">
          <cell r="E1754">
            <v>0</v>
          </cell>
        </row>
        <row r="1755">
          <cell r="A1755" t="e">
            <v>#N/A</v>
          </cell>
          <cell r="B1755" t="str">
            <v>Supply all instrumentation and  monitoring</v>
          </cell>
          <cell r="E1755">
            <v>0</v>
          </cell>
        </row>
        <row r="1756">
          <cell r="B1756" t="str">
            <v>cables  to site including uPVC ducts, complete</v>
          </cell>
          <cell r="C1756">
            <v>1</v>
          </cell>
          <cell r="D1756" t="str">
            <v>L.S.</v>
          </cell>
          <cell r="E1756">
            <v>20000</v>
          </cell>
          <cell r="F1756">
            <v>20000</v>
          </cell>
        </row>
        <row r="1757">
          <cell r="E1757">
            <v>0</v>
          </cell>
        </row>
        <row r="1758">
          <cell r="A1758" t="e">
            <v>#N/A</v>
          </cell>
          <cell r="B1758" t="str">
            <v xml:space="preserve">Supply 54D telephone uPVC ducts, in accordance to </v>
          </cell>
          <cell r="E1758">
            <v>0</v>
          </cell>
        </row>
        <row r="1759">
          <cell r="B1759" t="str">
            <v>Etisalat specification with pulling rope, warning tap _x000E__x0000_</v>
          </cell>
          <cell r="E1759">
            <v>0</v>
          </cell>
        </row>
        <row r="1760">
          <cell r="B1760" t="str">
            <v>etc., complete.</v>
          </cell>
          <cell r="C1760">
            <v>1000</v>
          </cell>
          <cell r="D1760" t="str">
            <v>m.</v>
          </cell>
          <cell r="E1760">
            <v>20</v>
          </cell>
          <cell r="F1760">
            <v>20000</v>
          </cell>
        </row>
        <row r="1761">
          <cell r="E1761">
            <v>0</v>
          </cell>
        </row>
        <row r="1762">
          <cell r="A1762" t="str">
            <v>1.17.9</v>
          </cell>
          <cell r="B1762" t="str">
            <v>Supply 11 kV, 3 Core, 95mm², XLPE Insulator steel</v>
          </cell>
          <cell r="E1762">
            <v>0</v>
          </cell>
        </row>
        <row r="1763">
          <cell r="B1763" t="e">
            <v>#N/A</v>
          </cell>
          <cell r="E1763">
            <v>0</v>
          </cell>
        </row>
        <row r="1764">
          <cell r="B1764" t="e">
            <v>#N/A</v>
          </cell>
          <cell r="E1764">
            <v>0</v>
          </cell>
        </row>
        <row r="1765">
          <cell r="B1765" t="e">
            <v>#N/A</v>
          </cell>
          <cell r="C1765">
            <v>1000</v>
          </cell>
          <cell r="D1765" t="str">
            <v>m</v>
          </cell>
          <cell r="E1765">
            <v>150</v>
          </cell>
          <cell r="F1765">
            <v>150000</v>
          </cell>
        </row>
        <row r="1766">
          <cell r="E1766">
            <v>0</v>
          </cell>
        </row>
        <row r="1767">
          <cell r="A1767" t="str">
            <v>1.17.10</v>
          </cell>
          <cell r="B1767" t="str">
            <v>Supply 415V, 1C X 50mm2 XLPE/SWA/PVC cable</v>
          </cell>
          <cell r="E1767">
            <v>0</v>
          </cell>
        </row>
        <row r="1768">
          <cell r="B1768" t="str">
            <v>including concrete cover tiles, warning tape, shrinkable</v>
          </cell>
          <cell r="E1768">
            <v>0</v>
          </cell>
        </row>
        <row r="1769">
          <cell r="B1769" t="str">
            <v>straight trough joints, end termination kits and other</v>
          </cell>
          <cell r="E1769">
            <v>0</v>
          </cell>
        </row>
        <row r="1770">
          <cell r="B1770" t="str">
            <v>required accessories to connect existing feeder pillar</v>
          </cell>
          <cell r="E1770">
            <v>0</v>
          </cell>
        </row>
        <row r="1771">
          <cell r="B1771" t="str">
            <v>to distribution board, complete.</v>
          </cell>
          <cell r="C1771">
            <v>1000</v>
          </cell>
          <cell r="D1771" t="str">
            <v>m</v>
          </cell>
          <cell r="E1771">
            <v>40</v>
          </cell>
          <cell r="F1771">
            <v>40000</v>
          </cell>
        </row>
        <row r="1775">
          <cell r="B1775" t="str">
            <v>CARRIED FORWARD</v>
          </cell>
          <cell r="F1775">
            <v>806500</v>
          </cell>
        </row>
        <row r="1776">
          <cell r="A1776" t="e">
            <v>#N/A</v>
          </cell>
        </row>
        <row r="1777">
          <cell r="A1777" t="str">
            <v>BILL OF QUANTITIES</v>
          </cell>
        </row>
        <row r="1778">
          <cell r="A1778" t="str">
            <v>Item</v>
          </cell>
          <cell r="B1778" t="str">
            <v>Description</v>
          </cell>
          <cell r="C1778" t="str">
            <v>Quantity</v>
          </cell>
          <cell r="D1778" t="str">
            <v>Unit</v>
          </cell>
          <cell r="E1778" t="str">
            <v>Rate (Dhs)</v>
          </cell>
          <cell r="F1778" t="str">
            <v>Amount (Dhs)</v>
          </cell>
        </row>
        <row r="1780">
          <cell r="B1780" t="str">
            <v>BROUGHT FORWARD</v>
          </cell>
          <cell r="F1780">
            <v>806500</v>
          </cell>
        </row>
        <row r="1782">
          <cell r="A1782" t="str">
            <v>1.17.11</v>
          </cell>
          <cell r="B1782" t="str">
            <v>Supply 200 KVA Transformer in accordance to</v>
          </cell>
        </row>
        <row r="1783">
          <cell r="B1783" t="str">
            <v>ADWEA electrical distribution section specifications</v>
          </cell>
        </row>
        <row r="1784">
          <cell r="B1784" t="str">
            <v>and approved manufacturers including all cables,</v>
          </cell>
        </row>
        <row r="1785">
          <cell r="B1785" t="str">
            <v>cableways, connectors required to connect the</v>
          </cell>
        </row>
        <row r="1786">
          <cell r="B1786" t="str">
            <v>transformer to the distribution board, complete.</v>
          </cell>
          <cell r="C1786">
            <v>1</v>
          </cell>
          <cell r="D1786" t="str">
            <v>L.S.</v>
          </cell>
          <cell r="E1786">
            <v>45000</v>
          </cell>
          <cell r="F1786">
            <v>45000</v>
          </cell>
        </row>
        <row r="1787">
          <cell r="E1787">
            <v>0</v>
          </cell>
        </row>
        <row r="1788">
          <cell r="A1788" t="str">
            <v>1.17.12</v>
          </cell>
          <cell r="B1788" t="str">
            <v>Supply TRM unit complete as per A.D.D.C.</v>
          </cell>
          <cell r="E1788">
            <v>0</v>
          </cell>
        </row>
        <row r="1789">
          <cell r="B1789" t="str">
            <v>specifications.</v>
          </cell>
          <cell r="C1789">
            <v>1</v>
          </cell>
          <cell r="D1789" t="str">
            <v>No.</v>
          </cell>
          <cell r="E1789">
            <v>60000</v>
          </cell>
          <cell r="F1789">
            <v>60000</v>
          </cell>
        </row>
        <row r="1790">
          <cell r="E1790">
            <v>0</v>
          </cell>
        </row>
        <row r="1791">
          <cell r="A1791" t="str">
            <v>1.17.13</v>
          </cell>
          <cell r="B1791" t="str">
            <v>Supply outdoor termination kits and other accessories</v>
          </cell>
          <cell r="E1791">
            <v>0</v>
          </cell>
        </row>
        <row r="1792">
          <cell r="B1792" t="str">
            <v>required to connect the 11 kV cables to the TRM/</v>
          </cell>
          <cell r="E1792">
            <v>0</v>
          </cell>
        </row>
        <row r="1793">
          <cell r="B1793" t="str">
            <v>Transformer</v>
          </cell>
          <cell r="C1793">
            <v>4</v>
          </cell>
          <cell r="D1793" t="str">
            <v>No.</v>
          </cell>
          <cell r="E1793">
            <v>2500</v>
          </cell>
          <cell r="F1793">
            <v>10000</v>
          </cell>
        </row>
        <row r="1794">
          <cell r="E1794">
            <v>0</v>
          </cell>
        </row>
        <row r="1795">
          <cell r="A1795" t="str">
            <v>1.17.14</v>
          </cell>
          <cell r="B1795" t="str">
            <v>Supply 11kv straight joints kits</v>
          </cell>
          <cell r="C1795">
            <v>2</v>
          </cell>
          <cell r="D1795" t="str">
            <v>No.</v>
          </cell>
          <cell r="E1795">
            <v>2500</v>
          </cell>
          <cell r="F1795">
            <v>5000</v>
          </cell>
        </row>
        <row r="1836">
          <cell r="B1836" t="str">
            <v>CARRIED TO SUMMARY</v>
          </cell>
          <cell r="F1836">
            <v>926500</v>
          </cell>
        </row>
        <row r="1837">
          <cell r="A1837" t="e">
            <v>#N/A</v>
          </cell>
        </row>
        <row r="1838">
          <cell r="A1838" t="str">
            <v>BILL OF QUANTITIES</v>
          </cell>
        </row>
        <row r="1839">
          <cell r="A1839" t="str">
            <v>Item</v>
          </cell>
          <cell r="B1839" t="str">
            <v>Description</v>
          </cell>
          <cell r="C1839" t="str">
            <v>Quantity</v>
          </cell>
          <cell r="D1839" t="str">
            <v>Unit</v>
          </cell>
          <cell r="E1839" t="str">
            <v>Rate (Dhs)</v>
          </cell>
          <cell r="F1839" t="str">
            <v>Amount (Dhs)</v>
          </cell>
        </row>
        <row r="1841">
          <cell r="B1841" t="str">
            <v>BILL NO. 1.18</v>
          </cell>
        </row>
        <row r="1842">
          <cell r="B1842" t="str">
            <v xml:space="preserve"> SUPPLY OF SITE WORKS, YARD PIPING</v>
          </cell>
        </row>
        <row r="1843">
          <cell r="B1843" t="str">
            <v>AND CHAMBERS MATERIALS</v>
          </cell>
        </row>
        <row r="1844">
          <cell r="B1844" t="str">
            <v>DALMA ISLAND DESALINATION PLANT</v>
          </cell>
        </row>
        <row r="1846">
          <cell r="B1846" t="str">
            <v>Supply Pilot Operated Altitude Valves for one way flow</v>
          </cell>
        </row>
        <row r="1847">
          <cell r="B1847" t="str">
            <v xml:space="preserve">with flow control option, complete as specified of the </v>
          </cell>
        </row>
        <row r="1848">
          <cell r="B1848" t="str">
            <v>following sizes:</v>
          </cell>
        </row>
        <row r="1850">
          <cell r="A1850" t="str">
            <v>1.18.1</v>
          </cell>
          <cell r="B1850" t="str">
            <v xml:space="preserve">200 mm dia. </v>
          </cell>
          <cell r="C1850">
            <v>3</v>
          </cell>
          <cell r="D1850" t="str">
            <v>No.</v>
          </cell>
          <cell r="E1850">
            <v>25000</v>
          </cell>
          <cell r="F1850">
            <v>75000</v>
          </cell>
        </row>
        <row r="1903">
          <cell r="B1903" t="str">
            <v>CARRIED TO SUMMARY</v>
          </cell>
          <cell r="F1903">
            <v>75000</v>
          </cell>
        </row>
        <row r="1904">
          <cell r="A1904" t="e">
            <v>#N/A</v>
          </cell>
        </row>
        <row r="1905">
          <cell r="A1905" t="str">
            <v>BILL OF QUANTITIES</v>
          </cell>
        </row>
        <row r="1906">
          <cell r="A1906" t="str">
            <v>Item</v>
          </cell>
          <cell r="B1906" t="str">
            <v>Description</v>
          </cell>
          <cell r="C1906" t="str">
            <v>Quantity</v>
          </cell>
          <cell r="D1906" t="str">
            <v>Unit</v>
          </cell>
          <cell r="E1906" t="str">
            <v>Rate (Dhs)</v>
          </cell>
          <cell r="F1906" t="str">
            <v>Amount (Dhs)</v>
          </cell>
        </row>
        <row r="1908">
          <cell r="B1908" t="str">
            <v>BILL NO. 1.19</v>
          </cell>
        </row>
        <row r="1909">
          <cell r="B1909" t="str">
            <v xml:space="preserve"> SUPPLY OF SITE WORKS, YARD PIPING</v>
          </cell>
        </row>
        <row r="1910">
          <cell r="B1910" t="str">
            <v>AND CHAMBERS MATERIALS</v>
          </cell>
        </row>
        <row r="1911">
          <cell r="B1911" t="str">
            <v>DALMA ISLAND</v>
          </cell>
        </row>
        <row r="1912">
          <cell r="B1912" t="str">
            <v>(11 MILLION GALLON TANK)</v>
          </cell>
        </row>
        <row r="1914">
          <cell r="B1914" t="str">
            <v>Supply Pilot Operated Altitude Valves for one way flow,</v>
          </cell>
        </row>
        <row r="1915">
          <cell r="B1915" t="str">
            <v>complete as specified of the following sizes:</v>
          </cell>
        </row>
        <row r="1917">
          <cell r="A1917" t="str">
            <v>1.19.1</v>
          </cell>
          <cell r="B1917" t="str">
            <v xml:space="preserve">300 mm dia. </v>
          </cell>
          <cell r="C1917">
            <v>1</v>
          </cell>
          <cell r="D1917" t="str">
            <v>No.</v>
          </cell>
          <cell r="E1917">
            <v>40000</v>
          </cell>
          <cell r="F1917">
            <v>40000</v>
          </cell>
        </row>
        <row r="1918">
          <cell r="E1918">
            <v>0</v>
          </cell>
        </row>
        <row r="1919">
          <cell r="A1919" t="str">
            <v>1.19.2</v>
          </cell>
          <cell r="B1919" t="str">
            <v>Supply Hydrostatic Level Sensor with transmitter</v>
          </cell>
          <cell r="C1919">
            <v>1</v>
          </cell>
          <cell r="D1919" t="str">
            <v>No.</v>
          </cell>
          <cell r="E1919">
            <v>10000</v>
          </cell>
          <cell r="F1919">
            <v>10000</v>
          </cell>
        </row>
        <row r="1920">
          <cell r="E1920">
            <v>0</v>
          </cell>
        </row>
        <row r="1921">
          <cell r="A1921" t="str">
            <v>1.19.3</v>
          </cell>
          <cell r="B1921" t="str">
            <v xml:space="preserve">Supply all  electrical cables, cableways including uPVC </v>
          </cell>
          <cell r="E1921">
            <v>0</v>
          </cell>
        </row>
        <row r="1922">
          <cell r="B1922" t="str">
            <v>ducts, connectors and all materials system to supply</v>
          </cell>
          <cell r="E1922">
            <v>0</v>
          </cell>
        </row>
        <row r="1923">
          <cell r="B1923" t="str">
            <v>power from the 3 x 1 MG. tanks control room D.B. to</v>
          </cell>
          <cell r="E1923">
            <v>0</v>
          </cell>
        </row>
        <row r="1924">
          <cell r="B1924" t="str">
            <v>the altitude valve solenoid and to the hydrostatic level</v>
          </cell>
          <cell r="E1924">
            <v>0</v>
          </cell>
        </row>
        <row r="1925">
          <cell r="B1925" t="str">
            <v>sensor, complete</v>
          </cell>
          <cell r="C1925">
            <v>1</v>
          </cell>
          <cell r="D1925" t="str">
            <v>L.S.</v>
          </cell>
          <cell r="E1925">
            <v>20000</v>
          </cell>
          <cell r="F1925">
            <v>20000</v>
          </cell>
        </row>
        <row r="1926">
          <cell r="E1926">
            <v>0</v>
          </cell>
        </row>
        <row r="1927">
          <cell r="A1927" t="str">
            <v>1.19.4</v>
          </cell>
          <cell r="B1927" t="str">
            <v>Supply all instrumentation and  monitoring cables to</v>
          </cell>
          <cell r="E1927">
            <v>0</v>
          </cell>
        </row>
        <row r="1928">
          <cell r="B1928" t="str">
            <v>site including uPVC ducts to transmit back to the</v>
          </cell>
          <cell r="E1928">
            <v>0</v>
          </cell>
        </row>
        <row r="1929">
          <cell r="B1929" t="e">
            <v>#N/A</v>
          </cell>
          <cell r="E1929">
            <v>0</v>
          </cell>
        </row>
        <row r="1930">
          <cell r="B1930" t="e">
            <v>#N/A</v>
          </cell>
          <cell r="E1930">
            <v>0</v>
          </cell>
        </row>
        <row r="1931">
          <cell r="B1931" t="str">
            <v>complete</v>
          </cell>
          <cell r="C1931">
            <v>1</v>
          </cell>
          <cell r="D1931" t="str">
            <v>L.S.</v>
          </cell>
          <cell r="E1931">
            <v>30000</v>
          </cell>
          <cell r="F1931">
            <v>30000</v>
          </cell>
        </row>
        <row r="1961">
          <cell r="B1961" t="str">
            <v>CARRIED TO SUMMARY</v>
          </cell>
          <cell r="F1961">
            <v>100000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C Register "/>
      <sheetName val="Monthly Scorecard"/>
      <sheetName val="Lists"/>
      <sheetName val="Dashboard"/>
      <sheetName val="Data"/>
    </sheetNames>
    <sheetDataSet>
      <sheetData sheetId="0">
        <row r="3">
          <cell r="E3">
            <v>0</v>
          </cell>
        </row>
        <row r="4">
          <cell r="E4">
            <v>0</v>
          </cell>
        </row>
        <row r="5">
          <cell r="E5" t="str">
            <v>* Legends</v>
          </cell>
        </row>
        <row r="6">
          <cell r="E6">
            <v>0</v>
          </cell>
        </row>
        <row r="7">
          <cell r="E7">
            <v>0</v>
          </cell>
        </row>
        <row r="8">
          <cell r="E8">
            <v>0</v>
          </cell>
        </row>
      </sheetData>
      <sheetData sheetId="1"/>
      <sheetData sheetId="2">
        <row r="3">
          <cell r="E3" t="str">
            <v>COSHH</v>
          </cell>
        </row>
      </sheetData>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2groupcode"/>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25"/>
      <sheetName val="Sheet4"/>
      <sheetName val="PLAN_FEB97"/>
    </sheetNames>
    <sheetDataSet>
      <sheetData sheetId="0" refreshError="1"/>
      <sheetData sheetId="1" refreshError="1"/>
      <sheetData sheetId="2" refreshError="1">
        <row r="2">
          <cell r="A2">
            <v>100000</v>
          </cell>
        </row>
      </sheetData>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M Sheet"/>
      <sheetName val="Deff"/>
      <sheetName val="PL"/>
      <sheetName val="Surr"/>
      <sheetName val="Sheet1"/>
      <sheetName val="FORM F-1"/>
      <sheetName val="FORM  F-2"/>
      <sheetName val=" Form F-3"/>
      <sheetName val="MH-FORM F-4"/>
      <sheetName val="GRAVITY SEWER FORM F-5 "/>
      <sheetName val="Force Main F-6"/>
      <sheetName val="MH-2000mm "/>
      <sheetName val=" Form F-7 Structure"/>
      <sheetName val=" NDM Pipelines Form F-8"/>
      <sheetName val="NDM Pit Form F-9"/>
      <sheetName val="M &amp; E Works Form F-10"/>
      <sheetName val="Gravity  Mains Summary F-11"/>
      <sheetName val="Manhole summary F-12"/>
      <sheetName val="TYPE FLOW CHART TYPE FORM"/>
      <sheetName val="Reference"/>
      <sheetName val="Risk Register"/>
      <sheetName val="Plant"/>
    </sheetNames>
    <sheetDataSet>
      <sheetData sheetId="0" refreshError="1">
        <row r="8">
          <cell r="A8" t="str">
            <v>B.O.Q Item No.</v>
          </cell>
          <cell r="AL8" t="str">
            <v>New</v>
          </cell>
          <cell r="AM8" t="str">
            <v>B2/1</v>
          </cell>
          <cell r="AN8" t="str">
            <v>B2/2</v>
          </cell>
          <cell r="AO8" t="str">
            <v>B2/3</v>
          </cell>
          <cell r="AP8" t="str">
            <v>B2/4</v>
          </cell>
          <cell r="AQ8" t="str">
            <v>B2/5</v>
          </cell>
        </row>
        <row r="9">
          <cell r="A9">
            <v>3</v>
          </cell>
          <cell r="B9" t="str">
            <v>Discharg Chamber</v>
          </cell>
          <cell r="C9">
            <v>19.739999999999998</v>
          </cell>
          <cell r="D9" t="str">
            <v>Duct start</v>
          </cell>
          <cell r="E9">
            <v>44.57</v>
          </cell>
          <cell r="F9" t="str">
            <v>L</v>
          </cell>
          <cell r="G9">
            <v>24.830000000000002</v>
          </cell>
          <cell r="J9">
            <v>0</v>
          </cell>
          <cell r="K9">
            <v>0</v>
          </cell>
          <cell r="L9">
            <v>0</v>
          </cell>
          <cell r="M9">
            <v>118.4</v>
          </cell>
          <cell r="N9">
            <v>118.4</v>
          </cell>
          <cell r="O9">
            <v>118.4</v>
          </cell>
          <cell r="P9">
            <v>19.739999999999998</v>
          </cell>
          <cell r="Q9">
            <v>20</v>
          </cell>
          <cell r="R9">
            <v>30</v>
          </cell>
          <cell r="S9">
            <v>40</v>
          </cell>
          <cell r="AA9">
            <v>44.57</v>
          </cell>
          <cell r="AB9">
            <v>129.71833333333333</v>
          </cell>
          <cell r="AG9">
            <v>0</v>
          </cell>
          <cell r="AI9">
            <v>0</v>
          </cell>
          <cell r="AJ9">
            <v>0</v>
          </cell>
          <cell r="AL9" t="str">
            <v>--</v>
          </cell>
          <cell r="AM9" t="str">
            <v>--</v>
          </cell>
          <cell r="AN9" t="str">
            <v>--</v>
          </cell>
          <cell r="AO9" t="str">
            <v>--</v>
          </cell>
          <cell r="AP9" t="str">
            <v>--</v>
          </cell>
          <cell r="AQ9" t="str">
            <v>--</v>
          </cell>
          <cell r="AU9">
            <v>0</v>
          </cell>
          <cell r="AV9">
            <v>129.738</v>
          </cell>
          <cell r="AW9">
            <v>129.74600000000001</v>
          </cell>
          <cell r="AX9">
            <v>129.67099999999999</v>
          </cell>
          <cell r="AY9">
            <v>0</v>
          </cell>
          <cell r="AZ9">
            <v>0</v>
          </cell>
          <cell r="BA9">
            <v>0</v>
          </cell>
          <cell r="BB9">
            <v>0</v>
          </cell>
          <cell r="BC9">
            <v>0</v>
          </cell>
          <cell r="BD9">
            <v>0</v>
          </cell>
          <cell r="BE9">
            <v>0</v>
          </cell>
          <cell r="BF9">
            <v>0</v>
          </cell>
          <cell r="BI9">
            <v>0</v>
          </cell>
        </row>
        <row r="10">
          <cell r="F10" t="str">
            <v>R</v>
          </cell>
          <cell r="Q10">
            <v>129.738</v>
          </cell>
          <cell r="R10">
            <v>129.74600000000001</v>
          </cell>
          <cell r="S10">
            <v>129.67099999999999</v>
          </cell>
          <cell r="AG10">
            <v>0</v>
          </cell>
          <cell r="AI10">
            <v>0</v>
          </cell>
          <cell r="AJ10">
            <v>0</v>
          </cell>
          <cell r="AL10" t="str">
            <v>--</v>
          </cell>
          <cell r="AM10" t="str">
            <v>--</v>
          </cell>
          <cell r="AN10" t="str">
            <v>--</v>
          </cell>
          <cell r="AO10" t="str">
            <v>--</v>
          </cell>
          <cell r="AP10" t="str">
            <v>--</v>
          </cell>
          <cell r="AQ10" t="str">
            <v>--</v>
          </cell>
        </row>
        <row r="11">
          <cell r="A11">
            <v>4</v>
          </cell>
          <cell r="B11" t="str">
            <v>Duct end</v>
          </cell>
          <cell r="C11">
            <v>144.26</v>
          </cell>
          <cell r="D11" t="str">
            <v>--</v>
          </cell>
          <cell r="E11">
            <v>150.61000000000001</v>
          </cell>
          <cell r="F11" t="str">
            <v>L</v>
          </cell>
          <cell r="G11">
            <v>6.3500000000000227</v>
          </cell>
          <cell r="J11">
            <v>0</v>
          </cell>
          <cell r="K11">
            <v>19.651968503936939</v>
          </cell>
          <cell r="L11">
            <v>-19.651968503936939</v>
          </cell>
          <cell r="M11">
            <v>124.79</v>
          </cell>
          <cell r="N11">
            <v>0</v>
          </cell>
          <cell r="O11">
            <v>124.79</v>
          </cell>
          <cell r="P11">
            <v>144.26</v>
          </cell>
          <cell r="AA11">
            <v>150.61000000000001</v>
          </cell>
          <cell r="AB11" t="e">
            <v>#DIV/0!</v>
          </cell>
          <cell r="AG11">
            <v>0</v>
          </cell>
          <cell r="AI11">
            <v>0</v>
          </cell>
          <cell r="AJ11">
            <v>0</v>
          </cell>
          <cell r="AL11" t="str">
            <v>--</v>
          </cell>
          <cell r="AM11" t="str">
            <v>--</v>
          </cell>
          <cell r="AN11" t="str">
            <v>--</v>
          </cell>
          <cell r="AO11" t="str">
            <v>--</v>
          </cell>
          <cell r="AP11" t="str">
            <v>--</v>
          </cell>
          <cell r="AQ11" t="str">
            <v>--</v>
          </cell>
          <cell r="AU11">
            <v>0</v>
          </cell>
          <cell r="AV11">
            <v>0</v>
          </cell>
          <cell r="AW11">
            <v>0</v>
          </cell>
          <cell r="AX11">
            <v>0</v>
          </cell>
          <cell r="AY11">
            <v>0</v>
          </cell>
          <cell r="AZ11">
            <v>0</v>
          </cell>
          <cell r="BA11">
            <v>0</v>
          </cell>
          <cell r="BB11">
            <v>0</v>
          </cell>
          <cell r="BC11">
            <v>0</v>
          </cell>
          <cell r="BD11">
            <v>0</v>
          </cell>
          <cell r="BE11">
            <v>0</v>
          </cell>
          <cell r="BF11">
            <v>0</v>
          </cell>
          <cell r="BI11">
            <v>0</v>
          </cell>
        </row>
        <row r="12">
          <cell r="F12" t="str">
            <v>R</v>
          </cell>
          <cell r="AG12">
            <v>0</v>
          </cell>
          <cell r="AI12">
            <v>0</v>
          </cell>
          <cell r="AJ12">
            <v>0</v>
          </cell>
          <cell r="AL12" t="str">
            <v>--</v>
          </cell>
          <cell r="AM12" t="str">
            <v>--</v>
          </cell>
          <cell r="AN12" t="str">
            <v>--</v>
          </cell>
          <cell r="AO12" t="str">
            <v>--</v>
          </cell>
          <cell r="AP12" t="str">
            <v>--</v>
          </cell>
          <cell r="AQ12" t="str">
            <v>--</v>
          </cell>
        </row>
        <row r="13">
          <cell r="A13">
            <v>5</v>
          </cell>
          <cell r="B13" t="str">
            <v>--</v>
          </cell>
          <cell r="C13">
            <v>150.61000000000001</v>
          </cell>
          <cell r="D13" t="str">
            <v>--</v>
          </cell>
          <cell r="E13">
            <v>250.61</v>
          </cell>
          <cell r="F13" t="str">
            <v>L</v>
          </cell>
          <cell r="G13">
            <v>100</v>
          </cell>
          <cell r="J13">
            <v>1.324E-2</v>
          </cell>
          <cell r="K13">
            <v>0</v>
          </cell>
          <cell r="L13">
            <v>1.324E-2</v>
          </cell>
          <cell r="O13">
            <v>0</v>
          </cell>
          <cell r="P13">
            <v>150.61000000000001</v>
          </cell>
          <cell r="Q13">
            <v>160</v>
          </cell>
          <cell r="R13">
            <v>170</v>
          </cell>
          <cell r="S13">
            <v>180</v>
          </cell>
          <cell r="T13">
            <v>190</v>
          </cell>
          <cell r="U13">
            <v>200</v>
          </cell>
          <cell r="V13">
            <v>210</v>
          </cell>
          <cell r="W13">
            <v>220</v>
          </cell>
          <cell r="X13">
            <v>230</v>
          </cell>
          <cell r="Y13">
            <v>240</v>
          </cell>
          <cell r="Z13">
            <v>250</v>
          </cell>
          <cell r="AA13">
            <v>250.61</v>
          </cell>
          <cell r="AB13">
            <v>126.60420000000002</v>
          </cell>
          <cell r="AG13">
            <v>0</v>
          </cell>
          <cell r="AI13">
            <v>0</v>
          </cell>
          <cell r="AJ13">
            <v>0</v>
          </cell>
          <cell r="AL13" t="str">
            <v>--</v>
          </cell>
          <cell r="AM13" t="str">
            <v>--</v>
          </cell>
          <cell r="AN13" t="str">
            <v>--</v>
          </cell>
          <cell r="AO13" t="str">
            <v>--</v>
          </cell>
          <cell r="AP13" t="str">
            <v>--</v>
          </cell>
          <cell r="AQ13" t="str">
            <v>--</v>
          </cell>
          <cell r="AU13">
            <v>0</v>
          </cell>
          <cell r="AV13">
            <v>127.048</v>
          </cell>
          <cell r="AW13">
            <v>127.003</v>
          </cell>
          <cell r="AX13">
            <v>126.706</v>
          </cell>
          <cell r="AY13">
            <v>126.74</v>
          </cell>
          <cell r="AZ13">
            <v>126.137</v>
          </cell>
          <cell r="BA13">
            <v>126.389</v>
          </cell>
          <cell r="BB13">
            <v>126.563</v>
          </cell>
          <cell r="BC13">
            <v>126.58199999999999</v>
          </cell>
          <cell r="BD13">
            <v>126.38800000000001</v>
          </cell>
          <cell r="BE13">
            <v>126.486</v>
          </cell>
          <cell r="BF13">
            <v>0</v>
          </cell>
          <cell r="BI13">
            <v>0</v>
          </cell>
        </row>
        <row r="14">
          <cell r="F14" t="str">
            <v>R</v>
          </cell>
          <cell r="Q14">
            <v>127.048</v>
          </cell>
          <cell r="R14">
            <v>127.003</v>
          </cell>
          <cell r="S14">
            <v>126.706</v>
          </cell>
          <cell r="T14">
            <v>126.74</v>
          </cell>
          <cell r="U14">
            <v>126.137</v>
          </cell>
          <cell r="V14">
            <v>126.389</v>
          </cell>
          <cell r="W14">
            <v>126.563</v>
          </cell>
          <cell r="X14">
            <v>126.58199999999999</v>
          </cell>
          <cell r="Y14">
            <v>126.38800000000001</v>
          </cell>
          <cell r="Z14">
            <v>126.486</v>
          </cell>
          <cell r="AC14">
            <v>2.72</v>
          </cell>
          <cell r="AG14">
            <v>0</v>
          </cell>
          <cell r="AI14">
            <v>0</v>
          </cell>
          <cell r="AJ14">
            <v>0</v>
          </cell>
          <cell r="AL14" t="str">
            <v>--</v>
          </cell>
          <cell r="AM14" t="str">
            <v>--</v>
          </cell>
          <cell r="AN14" t="str">
            <v>--</v>
          </cell>
          <cell r="AO14" t="str">
            <v>--</v>
          </cell>
          <cell r="AP14" t="str">
            <v>--</v>
          </cell>
          <cell r="AQ14" t="str">
            <v>--</v>
          </cell>
        </row>
        <row r="15">
          <cell r="A15">
            <v>6</v>
          </cell>
          <cell r="B15" t="str">
            <v>--</v>
          </cell>
          <cell r="C15">
            <v>250.61</v>
          </cell>
          <cell r="D15" t="str">
            <v>--</v>
          </cell>
          <cell r="E15">
            <v>282</v>
          </cell>
          <cell r="F15" t="str">
            <v>L</v>
          </cell>
          <cell r="G15">
            <v>31.389999999999986</v>
          </cell>
          <cell r="J15">
            <v>5.0000000000000001E-4</v>
          </cell>
          <cell r="K15">
            <v>0</v>
          </cell>
          <cell r="L15">
            <v>5.0000000000000001E-4</v>
          </cell>
          <cell r="O15">
            <v>0</v>
          </cell>
          <cell r="P15">
            <v>250.61</v>
          </cell>
          <cell r="Q15">
            <v>260</v>
          </cell>
          <cell r="R15">
            <v>270</v>
          </cell>
          <cell r="S15">
            <v>280</v>
          </cell>
          <cell r="AA15">
            <v>282</v>
          </cell>
          <cell r="AB15">
            <v>126.52266666666667</v>
          </cell>
          <cell r="AC15">
            <v>126.52266666666667</v>
          </cell>
          <cell r="AD15">
            <v>0</v>
          </cell>
          <cell r="AE15">
            <v>0</v>
          </cell>
          <cell r="AF15" t="e">
            <v>#REF!</v>
          </cell>
          <cell r="AG15" t="e">
            <v>#REF!</v>
          </cell>
          <cell r="AI15">
            <v>0</v>
          </cell>
          <cell r="AJ15" t="e">
            <v>#REF!</v>
          </cell>
          <cell r="AL15" t="str">
            <v>--</v>
          </cell>
          <cell r="AM15" t="str">
            <v>--</v>
          </cell>
          <cell r="AN15" t="str">
            <v>--</v>
          </cell>
          <cell r="AO15" t="str">
            <v>--</v>
          </cell>
          <cell r="AP15" t="str">
            <v>--</v>
          </cell>
          <cell r="AQ15" t="str">
            <v>--</v>
          </cell>
          <cell r="AU15">
            <v>0</v>
          </cell>
          <cell r="AV15">
            <v>126.58499999999999</v>
          </cell>
          <cell r="AW15">
            <v>126.565</v>
          </cell>
          <cell r="AX15">
            <v>126.41800000000001</v>
          </cell>
          <cell r="AY15">
            <v>0</v>
          </cell>
          <cell r="AZ15">
            <v>0</v>
          </cell>
          <cell r="BA15">
            <v>0</v>
          </cell>
          <cell r="BB15">
            <v>0</v>
          </cell>
          <cell r="BC15">
            <v>0</v>
          </cell>
          <cell r="BD15">
            <v>0</v>
          </cell>
          <cell r="BE15">
            <v>0</v>
          </cell>
          <cell r="BF15">
            <v>0</v>
          </cell>
          <cell r="BI15" t="e">
            <v>#REF!</v>
          </cell>
        </row>
        <row r="16">
          <cell r="F16" t="str">
            <v>R</v>
          </cell>
          <cell r="Q16">
            <v>126.58499999999999</v>
          </cell>
          <cell r="R16">
            <v>126.565</v>
          </cell>
          <cell r="S16">
            <v>126.41800000000001</v>
          </cell>
          <cell r="AC16">
            <v>1.43</v>
          </cell>
          <cell r="AD16">
            <v>0</v>
          </cell>
          <cell r="AE16">
            <v>0</v>
          </cell>
          <cell r="AF16" t="e">
            <v>#REF!</v>
          </cell>
          <cell r="AG16" t="e">
            <v>#REF!</v>
          </cell>
          <cell r="AI16">
            <v>0</v>
          </cell>
          <cell r="AJ16" t="e">
            <v>#REF!</v>
          </cell>
          <cell r="AL16" t="str">
            <v>--</v>
          </cell>
          <cell r="AM16" t="str">
            <v>--</v>
          </cell>
          <cell r="AN16" t="str">
            <v>--</v>
          </cell>
          <cell r="AO16" t="str">
            <v>--</v>
          </cell>
          <cell r="AP16" t="str">
            <v>--</v>
          </cell>
          <cell r="AQ16" t="str">
            <v>--</v>
          </cell>
        </row>
        <row r="17">
          <cell r="A17">
            <v>7</v>
          </cell>
          <cell r="B17" t="str">
            <v>--</v>
          </cell>
          <cell r="C17">
            <v>282</v>
          </cell>
          <cell r="D17" t="str">
            <v>Duct start</v>
          </cell>
          <cell r="E17">
            <v>289.72000000000003</v>
          </cell>
          <cell r="F17" t="str">
            <v>L</v>
          </cell>
          <cell r="G17">
            <v>7.7200000000000273</v>
          </cell>
          <cell r="J17">
            <v>1.3500000000000001E-3</v>
          </cell>
          <cell r="K17">
            <v>0</v>
          </cell>
          <cell r="L17">
            <v>1.3500000000000001E-3</v>
          </cell>
          <cell r="O17">
            <v>0</v>
          </cell>
          <cell r="P17">
            <v>282</v>
          </cell>
          <cell r="AA17">
            <v>289.72000000000003</v>
          </cell>
          <cell r="AB17" t="e">
            <v>#DIV/0!</v>
          </cell>
          <cell r="AC17" t="e">
            <v>#DIV/0!</v>
          </cell>
          <cell r="AD17">
            <v>0</v>
          </cell>
          <cell r="AE17">
            <v>48</v>
          </cell>
          <cell r="AF17" t="e">
            <v>#REF!</v>
          </cell>
          <cell r="AG17" t="e">
            <v>#REF!</v>
          </cell>
          <cell r="AI17">
            <v>0</v>
          </cell>
          <cell r="AJ17" t="e">
            <v>#REF!</v>
          </cell>
          <cell r="AK17" t="e">
            <v>#REF!</v>
          </cell>
          <cell r="AL17" t="e">
            <v>#DIV/0!</v>
          </cell>
          <cell r="AM17" t="e">
            <v>#DIV/0!</v>
          </cell>
          <cell r="AN17" t="e">
            <v>#DIV/0!</v>
          </cell>
          <cell r="AO17" t="e">
            <v>#DIV/0!</v>
          </cell>
          <cell r="AP17" t="e">
            <v>#DIV/0!</v>
          </cell>
          <cell r="AQ17" t="e">
            <v>#DIV/0!</v>
          </cell>
          <cell r="AU17">
            <v>0</v>
          </cell>
          <cell r="AV17">
            <v>0</v>
          </cell>
          <cell r="AW17">
            <v>0</v>
          </cell>
          <cell r="AX17">
            <v>0</v>
          </cell>
          <cell r="AY17">
            <v>0</v>
          </cell>
          <cell r="AZ17">
            <v>0</v>
          </cell>
          <cell r="BA17">
            <v>0</v>
          </cell>
          <cell r="BB17">
            <v>0</v>
          </cell>
          <cell r="BC17">
            <v>0</v>
          </cell>
          <cell r="BD17">
            <v>0</v>
          </cell>
          <cell r="BE17">
            <v>0</v>
          </cell>
          <cell r="BF17">
            <v>0</v>
          </cell>
          <cell r="BI17" t="e">
            <v>#REF!</v>
          </cell>
        </row>
        <row r="18">
          <cell r="F18" t="str">
            <v>R</v>
          </cell>
          <cell r="AC18">
            <v>2.35</v>
          </cell>
          <cell r="AD18">
            <v>0</v>
          </cell>
          <cell r="AE18">
            <v>68.12</v>
          </cell>
          <cell r="AF18" t="e">
            <v>#REF!</v>
          </cell>
          <cell r="AG18" t="e">
            <v>#REF!</v>
          </cell>
          <cell r="AI18">
            <v>0</v>
          </cell>
          <cell r="AJ18" t="e">
            <v>#REF!</v>
          </cell>
          <cell r="AK18" t="e">
            <v>#REF!</v>
          </cell>
          <cell r="AL18" t="e">
            <v>#DIV/0!</v>
          </cell>
          <cell r="AM18" t="e">
            <v>#DIV/0!</v>
          </cell>
          <cell r="AN18" t="e">
            <v>#DIV/0!</v>
          </cell>
          <cell r="AO18" t="e">
            <v>#DIV/0!</v>
          </cell>
          <cell r="AP18" t="e">
            <v>#DIV/0!</v>
          </cell>
          <cell r="AQ18" t="e">
            <v>#DIV/0!</v>
          </cell>
        </row>
        <row r="19">
          <cell r="A19">
            <v>8</v>
          </cell>
          <cell r="B19" t="str">
            <v>Duct end</v>
          </cell>
          <cell r="C19">
            <v>409.72</v>
          </cell>
          <cell r="D19" t="str">
            <v>--</v>
          </cell>
          <cell r="E19">
            <v>427</v>
          </cell>
          <cell r="F19" t="str">
            <v>L</v>
          </cell>
          <cell r="G19">
            <v>17.279999999999973</v>
          </cell>
          <cell r="H19">
            <v>0</v>
          </cell>
          <cell r="I19">
            <v>17.279999999999973</v>
          </cell>
          <cell r="J19">
            <v>0</v>
          </cell>
          <cell r="K19">
            <v>5.7870370370317827E-4</v>
          </cell>
          <cell r="L19">
            <v>-5.7870370370317827E-4</v>
          </cell>
          <cell r="M19">
            <v>122.99</v>
          </cell>
          <cell r="N19">
            <v>122.98</v>
          </cell>
          <cell r="O19">
            <v>122.985</v>
          </cell>
          <cell r="P19">
            <v>409.72</v>
          </cell>
          <cell r="Q19">
            <v>410</v>
          </cell>
          <cell r="R19">
            <v>420</v>
          </cell>
          <cell r="AA19">
            <v>427</v>
          </cell>
          <cell r="AB19">
            <v>124.443</v>
          </cell>
          <cell r="AC19">
            <v>1.4579999999999984</v>
          </cell>
          <cell r="AD19">
            <v>0</v>
          </cell>
          <cell r="AE19">
            <v>6.0599999999999454</v>
          </cell>
          <cell r="AF19">
            <v>0</v>
          </cell>
          <cell r="AG19">
            <v>0</v>
          </cell>
          <cell r="AI19">
            <v>0</v>
          </cell>
          <cell r="AJ19">
            <v>0</v>
          </cell>
          <cell r="AK19">
            <v>0</v>
          </cell>
          <cell r="AL19" t="str">
            <v>--</v>
          </cell>
          <cell r="AM19" t="str">
            <v>--</v>
          </cell>
          <cell r="AN19" t="str">
            <v>--</v>
          </cell>
          <cell r="AO19" t="str">
            <v>--</v>
          </cell>
          <cell r="AP19" t="str">
            <v>--</v>
          </cell>
          <cell r="AQ19" t="str">
            <v>--</v>
          </cell>
          <cell r="AS19">
            <v>0</v>
          </cell>
          <cell r="AU19">
            <v>124.38200000000001</v>
          </cell>
          <cell r="AV19">
            <v>124.38500000000001</v>
          </cell>
          <cell r="AW19">
            <v>124.51300000000001</v>
          </cell>
          <cell r="AX19">
            <v>0</v>
          </cell>
          <cell r="AY19">
            <v>0</v>
          </cell>
          <cell r="AZ19">
            <v>0</v>
          </cell>
          <cell r="BA19">
            <v>0</v>
          </cell>
          <cell r="BB19">
            <v>0</v>
          </cell>
          <cell r="BC19">
            <v>0</v>
          </cell>
          <cell r="BD19">
            <v>0</v>
          </cell>
          <cell r="BE19">
            <v>0</v>
          </cell>
          <cell r="BF19">
            <v>124.492</v>
          </cell>
          <cell r="BI19">
            <v>0</v>
          </cell>
        </row>
        <row r="20">
          <cell r="F20" t="str">
            <v>R</v>
          </cell>
          <cell r="P20">
            <v>124.38200000000001</v>
          </cell>
          <cell r="Q20">
            <v>124.38500000000001</v>
          </cell>
          <cell r="R20">
            <v>124.51300000000001</v>
          </cell>
          <cell r="AA20">
            <v>124.492</v>
          </cell>
          <cell r="AC20">
            <v>3.51</v>
          </cell>
          <cell r="AD20">
            <v>0</v>
          </cell>
          <cell r="AE20">
            <v>7.8599999999999</v>
          </cell>
          <cell r="AF20">
            <v>0</v>
          </cell>
          <cell r="AG20">
            <v>0</v>
          </cell>
          <cell r="AI20">
            <v>0</v>
          </cell>
          <cell r="AJ20">
            <v>0</v>
          </cell>
          <cell r="AK20">
            <v>0</v>
          </cell>
          <cell r="AL20" t="str">
            <v>--</v>
          </cell>
          <cell r="AM20" t="str">
            <v>--</v>
          </cell>
          <cell r="AN20" t="str">
            <v>--</v>
          </cell>
          <cell r="AO20" t="str">
            <v>--</v>
          </cell>
          <cell r="AP20" t="str">
            <v>--</v>
          </cell>
          <cell r="AQ20" t="str">
            <v>--</v>
          </cell>
          <cell r="AS20">
            <v>0</v>
          </cell>
        </row>
        <row r="21">
          <cell r="A21">
            <v>9</v>
          </cell>
          <cell r="B21" t="str">
            <v>--</v>
          </cell>
          <cell r="C21">
            <v>427</v>
          </cell>
          <cell r="D21" t="str">
            <v>Bend (TB-5A)</v>
          </cell>
          <cell r="E21">
            <v>518.12</v>
          </cell>
          <cell r="F21" t="str">
            <v>L</v>
          </cell>
          <cell r="G21">
            <v>91.12</v>
          </cell>
          <cell r="H21">
            <v>0</v>
          </cell>
          <cell r="I21">
            <v>91.12</v>
          </cell>
          <cell r="J21">
            <v>3.2899999999999999E-2</v>
          </cell>
          <cell r="K21">
            <v>1.349868305531172E-2</v>
          </cell>
          <cell r="L21">
            <v>1.9401316944688281E-2</v>
          </cell>
          <cell r="M21">
            <v>122.98</v>
          </cell>
          <cell r="N21">
            <v>121.75</v>
          </cell>
          <cell r="O21">
            <v>122.36500000000001</v>
          </cell>
          <cell r="P21">
            <v>427</v>
          </cell>
          <cell r="Q21">
            <v>430</v>
          </cell>
          <cell r="R21">
            <v>440</v>
          </cell>
          <cell r="S21">
            <v>450</v>
          </cell>
          <cell r="T21">
            <v>460</v>
          </cell>
          <cell r="U21">
            <v>470</v>
          </cell>
          <cell r="V21">
            <v>480</v>
          </cell>
          <cell r="W21">
            <v>490</v>
          </cell>
          <cell r="X21">
            <v>500</v>
          </cell>
          <cell r="Y21">
            <v>510</v>
          </cell>
          <cell r="AA21">
            <v>518.12</v>
          </cell>
          <cell r="AB21" t="str">
            <v>124.78</v>
          </cell>
          <cell r="AC21">
            <v>2.414999999999992</v>
          </cell>
          <cell r="AD21">
            <v>0</v>
          </cell>
          <cell r="AE21">
            <v>207.93000000000006</v>
          </cell>
          <cell r="AF21">
            <v>60</v>
          </cell>
          <cell r="AG21">
            <v>0.7</v>
          </cell>
          <cell r="AI21">
            <v>0</v>
          </cell>
          <cell r="AJ21">
            <v>0.7</v>
          </cell>
          <cell r="AK21">
            <v>42</v>
          </cell>
          <cell r="AL21" t="str">
            <v>--</v>
          </cell>
          <cell r="AM21">
            <v>42</v>
          </cell>
          <cell r="AN21" t="str">
            <v>--</v>
          </cell>
          <cell r="AO21" t="str">
            <v>--</v>
          </cell>
          <cell r="AP21" t="str">
            <v>--</v>
          </cell>
          <cell r="AQ21" t="str">
            <v>--</v>
          </cell>
          <cell r="AS21">
            <v>42</v>
          </cell>
          <cell r="AU21">
            <v>124.492</v>
          </cell>
          <cell r="AV21">
            <v>124.483</v>
          </cell>
          <cell r="AW21">
            <v>124.548</v>
          </cell>
          <cell r="AX21">
            <v>124.55800000000001</v>
          </cell>
          <cell r="AY21">
            <v>124.438</v>
          </cell>
          <cell r="AZ21">
            <v>124.378</v>
          </cell>
          <cell r="BA21">
            <v>124.208</v>
          </cell>
          <cell r="BB21">
            <v>124.31</v>
          </cell>
          <cell r="BC21">
            <v>125.249</v>
          </cell>
          <cell r="BD21">
            <v>126.28400000000001</v>
          </cell>
          <cell r="BE21">
            <v>0</v>
          </cell>
          <cell r="BF21">
            <v>125.66200000000001</v>
          </cell>
          <cell r="BI21">
            <v>60</v>
          </cell>
        </row>
        <row r="22">
          <cell r="F22" t="str">
            <v>R</v>
          </cell>
          <cell r="P22">
            <v>124.492</v>
          </cell>
          <cell r="Q22">
            <v>124.483</v>
          </cell>
          <cell r="R22">
            <v>124.548</v>
          </cell>
          <cell r="S22">
            <v>124.55800000000001</v>
          </cell>
          <cell r="T22">
            <v>124.438</v>
          </cell>
          <cell r="U22">
            <v>124.378</v>
          </cell>
          <cell r="V22">
            <v>124.208</v>
          </cell>
          <cell r="W22">
            <v>124.31</v>
          </cell>
          <cell r="X22">
            <v>125.249</v>
          </cell>
          <cell r="Y22">
            <v>126.28400000000001</v>
          </cell>
          <cell r="AA22">
            <v>125.66200000000001</v>
          </cell>
          <cell r="AC22">
            <v>4.51</v>
          </cell>
          <cell r="AD22">
            <v>0</v>
          </cell>
          <cell r="AE22">
            <v>207.93000000000006</v>
          </cell>
          <cell r="AF22">
            <v>60</v>
          </cell>
          <cell r="AG22">
            <v>0.7</v>
          </cell>
          <cell r="AI22">
            <v>0</v>
          </cell>
          <cell r="AJ22">
            <v>0.7</v>
          </cell>
          <cell r="AK22">
            <v>42</v>
          </cell>
          <cell r="AL22" t="str">
            <v>--</v>
          </cell>
          <cell r="AM22">
            <v>42</v>
          </cell>
          <cell r="AN22" t="str">
            <v>--</v>
          </cell>
          <cell r="AO22" t="str">
            <v>--</v>
          </cell>
          <cell r="AP22" t="str">
            <v>--</v>
          </cell>
          <cell r="AQ22" t="str">
            <v>--</v>
          </cell>
          <cell r="AS22">
            <v>42</v>
          </cell>
        </row>
        <row r="23">
          <cell r="A23">
            <v>10</v>
          </cell>
          <cell r="B23" t="str">
            <v>Bend (TB-5A)</v>
          </cell>
          <cell r="C23">
            <v>518.12</v>
          </cell>
          <cell r="D23" t="str">
            <v>Air valve</v>
          </cell>
          <cell r="E23">
            <v>529.12</v>
          </cell>
          <cell r="F23" t="str">
            <v>L</v>
          </cell>
          <cell r="G23">
            <v>11</v>
          </cell>
          <cell r="H23">
            <v>3</v>
          </cell>
          <cell r="I23">
            <v>8</v>
          </cell>
          <cell r="J23">
            <v>2.0500000000000001E-2</v>
          </cell>
          <cell r="K23">
            <v>0</v>
          </cell>
          <cell r="L23">
            <v>2.0500000000000001E-2</v>
          </cell>
          <cell r="M23">
            <v>121.75</v>
          </cell>
          <cell r="N23">
            <v>121.75</v>
          </cell>
          <cell r="O23">
            <v>121.75</v>
          </cell>
          <cell r="P23">
            <v>518.12</v>
          </cell>
          <cell r="Q23">
            <v>520</v>
          </cell>
          <cell r="AA23">
            <v>529.12</v>
          </cell>
          <cell r="AB23" t="str">
            <v>125.46</v>
          </cell>
          <cell r="AC23">
            <v>3.7099999999999937</v>
          </cell>
          <cell r="AD23">
            <v>0</v>
          </cell>
          <cell r="AE23">
            <v>115.88</v>
          </cell>
          <cell r="AF23">
            <v>0</v>
          </cell>
          <cell r="AG23">
            <v>0</v>
          </cell>
          <cell r="AI23">
            <v>0</v>
          </cell>
          <cell r="AJ23">
            <v>0</v>
          </cell>
          <cell r="AK23">
            <v>0</v>
          </cell>
          <cell r="AL23" t="str">
            <v>--</v>
          </cell>
          <cell r="AM23" t="str">
            <v>--</v>
          </cell>
          <cell r="AN23" t="str">
            <v>--</v>
          </cell>
          <cell r="AO23" t="str">
            <v>--</v>
          </cell>
          <cell r="AP23">
            <v>0</v>
          </cell>
          <cell r="AQ23" t="str">
            <v>--</v>
          </cell>
          <cell r="AS23">
            <v>0</v>
          </cell>
          <cell r="AU23">
            <v>125.66200000000001</v>
          </cell>
          <cell r="AV23">
            <v>125.517</v>
          </cell>
          <cell r="AW23">
            <v>0</v>
          </cell>
          <cell r="AX23">
            <v>0</v>
          </cell>
          <cell r="AY23">
            <v>0</v>
          </cell>
          <cell r="AZ23">
            <v>0</v>
          </cell>
          <cell r="BA23">
            <v>0</v>
          </cell>
          <cell r="BB23">
            <v>0</v>
          </cell>
          <cell r="BC23">
            <v>0</v>
          </cell>
          <cell r="BD23">
            <v>0</v>
          </cell>
          <cell r="BE23">
            <v>0</v>
          </cell>
          <cell r="BF23">
            <v>125.191</v>
          </cell>
          <cell r="BI23">
            <v>0</v>
          </cell>
        </row>
        <row r="24">
          <cell r="F24" t="str">
            <v>R</v>
          </cell>
          <cell r="P24">
            <v>125.66200000000001</v>
          </cell>
          <cell r="Q24">
            <v>125.517</v>
          </cell>
          <cell r="AA24">
            <v>125.191</v>
          </cell>
          <cell r="AC24">
            <v>4.51</v>
          </cell>
          <cell r="AD24">
            <v>0</v>
          </cell>
          <cell r="AE24">
            <v>112.88</v>
          </cell>
          <cell r="AF24">
            <v>0</v>
          </cell>
          <cell r="AG24">
            <v>0</v>
          </cell>
          <cell r="AI24">
            <v>0</v>
          </cell>
          <cell r="AJ24">
            <v>0</v>
          </cell>
          <cell r="AK24">
            <v>0</v>
          </cell>
          <cell r="AL24" t="str">
            <v>--</v>
          </cell>
          <cell r="AM24" t="str">
            <v>--</v>
          </cell>
          <cell r="AN24" t="str">
            <v>--</v>
          </cell>
          <cell r="AO24" t="str">
            <v>--</v>
          </cell>
          <cell r="AP24">
            <v>0</v>
          </cell>
          <cell r="AQ24" t="str">
            <v>--</v>
          </cell>
          <cell r="AS24">
            <v>0</v>
          </cell>
        </row>
        <row r="25">
          <cell r="A25">
            <v>11</v>
          </cell>
          <cell r="B25" t="str">
            <v>Air valve</v>
          </cell>
          <cell r="C25">
            <v>529.12</v>
          </cell>
          <cell r="D25" t="str">
            <v>--</v>
          </cell>
          <cell r="E25">
            <v>551.05999999999995</v>
          </cell>
          <cell r="F25" t="str">
            <v>L</v>
          </cell>
          <cell r="G25">
            <v>21.939999999999941</v>
          </cell>
          <cell r="H25">
            <v>3</v>
          </cell>
          <cell r="I25">
            <v>18.939999999999941</v>
          </cell>
          <cell r="J25">
            <v>1.7500000000000002E-2</v>
          </cell>
          <cell r="K25">
            <v>0</v>
          </cell>
          <cell r="L25">
            <v>1.7500000000000002E-2</v>
          </cell>
          <cell r="M25">
            <v>121.75</v>
          </cell>
          <cell r="N25">
            <v>121.75</v>
          </cell>
          <cell r="O25">
            <v>121.75</v>
          </cell>
          <cell r="P25">
            <v>529.12</v>
          </cell>
          <cell r="Q25">
            <v>530</v>
          </cell>
          <cell r="R25">
            <v>540</v>
          </cell>
          <cell r="S25">
            <v>550</v>
          </cell>
          <cell r="AA25">
            <v>551.05999999999995</v>
          </cell>
          <cell r="AB25" t="str">
            <v>125.08</v>
          </cell>
          <cell r="AC25">
            <v>3.3299999999999983</v>
          </cell>
          <cell r="AD25">
            <v>0</v>
          </cell>
          <cell r="AE25">
            <v>72.13</v>
          </cell>
          <cell r="AF25">
            <v>8.0599999999999454</v>
          </cell>
          <cell r="AG25">
            <v>0.7</v>
          </cell>
          <cell r="AI25">
            <v>0</v>
          </cell>
          <cell r="AJ25">
            <v>0.7</v>
          </cell>
          <cell r="AK25">
            <v>5.6419999999999613</v>
          </cell>
          <cell r="AL25" t="str">
            <v>--</v>
          </cell>
          <cell r="AM25" t="str">
            <v>--</v>
          </cell>
          <cell r="AN25" t="str">
            <v>--</v>
          </cell>
          <cell r="AO25">
            <v>5.6419999999999613</v>
          </cell>
          <cell r="AP25" t="str">
            <v>--</v>
          </cell>
          <cell r="AQ25" t="str">
            <v>--</v>
          </cell>
          <cell r="AS25">
            <v>5.6419999999999613</v>
          </cell>
          <cell r="AU25">
            <v>125.191</v>
          </cell>
          <cell r="AV25">
            <v>125.16</v>
          </cell>
          <cell r="AW25">
            <v>125.68899999999999</v>
          </cell>
          <cell r="AX25">
            <v>124.66200000000001</v>
          </cell>
          <cell r="AY25">
            <v>0</v>
          </cell>
          <cell r="AZ25">
            <v>0</v>
          </cell>
          <cell r="BA25">
            <v>0</v>
          </cell>
          <cell r="BB25">
            <v>0</v>
          </cell>
          <cell r="BC25">
            <v>0</v>
          </cell>
          <cell r="BD25">
            <v>0</v>
          </cell>
          <cell r="BE25">
            <v>0</v>
          </cell>
          <cell r="BF25">
            <v>124.69799999999999</v>
          </cell>
          <cell r="BI25">
            <v>5.0599999999999454</v>
          </cell>
        </row>
        <row r="26">
          <cell r="F26" t="str">
            <v>R</v>
          </cell>
          <cell r="P26">
            <v>125.191</v>
          </cell>
          <cell r="Q26">
            <v>125.16</v>
          </cell>
          <cell r="R26">
            <v>125.68899999999999</v>
          </cell>
          <cell r="S26">
            <v>124.66200000000001</v>
          </cell>
          <cell r="AA26">
            <v>124.69799999999999</v>
          </cell>
          <cell r="AC26">
            <v>4.51</v>
          </cell>
          <cell r="AD26">
            <v>0</v>
          </cell>
          <cell r="AE26">
            <v>102.13</v>
          </cell>
          <cell r="AF26">
            <v>5.0599999999999454</v>
          </cell>
          <cell r="AG26">
            <v>0.7</v>
          </cell>
          <cell r="AI26">
            <v>0</v>
          </cell>
          <cell r="AJ26">
            <v>0.7</v>
          </cell>
          <cell r="AK26">
            <v>3.5419999999999616</v>
          </cell>
          <cell r="AL26" t="str">
            <v>--</v>
          </cell>
          <cell r="AM26" t="str">
            <v>--</v>
          </cell>
          <cell r="AN26" t="str">
            <v>--</v>
          </cell>
          <cell r="AO26">
            <v>3.5419999999999616</v>
          </cell>
          <cell r="AP26" t="str">
            <v>--</v>
          </cell>
          <cell r="AQ26" t="str">
            <v>--</v>
          </cell>
          <cell r="AS26">
            <v>3.5419999999999616</v>
          </cell>
        </row>
        <row r="27">
          <cell r="A27">
            <v>12</v>
          </cell>
          <cell r="B27" t="str">
            <v>--</v>
          </cell>
          <cell r="C27">
            <v>551.05999999999995</v>
          </cell>
          <cell r="D27" t="str">
            <v>--</v>
          </cell>
          <cell r="E27">
            <v>651.05999999999995</v>
          </cell>
          <cell r="F27" t="str">
            <v>L</v>
          </cell>
          <cell r="G27">
            <v>100</v>
          </cell>
          <cell r="H27">
            <v>0</v>
          </cell>
          <cell r="I27">
            <v>100</v>
          </cell>
          <cell r="J27">
            <v>1.1299999999999999E-2</v>
          </cell>
          <cell r="K27">
            <v>3.2900000000000061E-2</v>
          </cell>
          <cell r="L27">
            <v>-2.1600000000000064E-2</v>
          </cell>
          <cell r="M27">
            <v>121.75</v>
          </cell>
          <cell r="N27">
            <v>118.46</v>
          </cell>
          <cell r="O27">
            <v>120.10499999999999</v>
          </cell>
          <cell r="P27">
            <v>551.05999999999995</v>
          </cell>
          <cell r="Q27">
            <v>560</v>
          </cell>
          <cell r="R27">
            <v>570</v>
          </cell>
          <cell r="S27">
            <v>580</v>
          </cell>
          <cell r="T27">
            <v>590</v>
          </cell>
          <cell r="U27">
            <v>600</v>
          </cell>
          <cell r="V27">
            <v>610</v>
          </cell>
          <cell r="W27">
            <v>620</v>
          </cell>
          <cell r="X27">
            <v>630</v>
          </cell>
          <cell r="Y27">
            <v>640</v>
          </cell>
          <cell r="Z27">
            <v>650</v>
          </cell>
          <cell r="AA27">
            <v>651.05999999999995</v>
          </cell>
          <cell r="AB27" t="str">
            <v>122.52</v>
          </cell>
          <cell r="AC27">
            <v>2.4150000000000063</v>
          </cell>
          <cell r="AD27">
            <v>48</v>
          </cell>
          <cell r="AE27">
            <v>0</v>
          </cell>
          <cell r="AF27">
            <v>89</v>
          </cell>
          <cell r="AG27">
            <v>0.7</v>
          </cell>
          <cell r="AI27">
            <v>0</v>
          </cell>
          <cell r="AJ27">
            <v>0.7</v>
          </cell>
          <cell r="AK27">
            <v>62.3</v>
          </cell>
          <cell r="AL27" t="str">
            <v>--</v>
          </cell>
          <cell r="AM27">
            <v>62.3</v>
          </cell>
          <cell r="AN27" t="str">
            <v>--</v>
          </cell>
          <cell r="AO27" t="str">
            <v>--</v>
          </cell>
          <cell r="AP27" t="str">
            <v>--</v>
          </cell>
          <cell r="AQ27" t="str">
            <v>--</v>
          </cell>
          <cell r="AS27">
            <v>62.3</v>
          </cell>
          <cell r="AU27">
            <v>124.69799999999999</v>
          </cell>
          <cell r="AV27">
            <v>125.005</v>
          </cell>
          <cell r="AW27">
            <v>122.669</v>
          </cell>
          <cell r="AX27">
            <v>122.35</v>
          </cell>
          <cell r="AY27">
            <v>122.40900000000001</v>
          </cell>
          <cell r="AZ27">
            <v>122.29600000000001</v>
          </cell>
          <cell r="BA27">
            <v>122.09099999999999</v>
          </cell>
          <cell r="BB27">
            <v>121.828</v>
          </cell>
          <cell r="BC27">
            <v>122.072</v>
          </cell>
          <cell r="BD27">
            <v>121.846</v>
          </cell>
          <cell r="BE27">
            <v>121.529</v>
          </cell>
          <cell r="BF27">
            <v>121.502</v>
          </cell>
          <cell r="BI27">
            <v>90</v>
          </cell>
        </row>
        <row r="28">
          <cell r="F28" t="str">
            <v>R</v>
          </cell>
          <cell r="P28">
            <v>124.69799999999999</v>
          </cell>
          <cell r="Q28">
            <v>125.005</v>
          </cell>
          <cell r="R28">
            <v>122.669</v>
          </cell>
          <cell r="S28">
            <v>122.35</v>
          </cell>
          <cell r="T28">
            <v>122.40900000000001</v>
          </cell>
          <cell r="U28">
            <v>122.29600000000001</v>
          </cell>
          <cell r="V28">
            <v>122.09099999999999</v>
          </cell>
          <cell r="W28">
            <v>121.828</v>
          </cell>
          <cell r="X28">
            <v>122.072</v>
          </cell>
          <cell r="Y28">
            <v>121.846</v>
          </cell>
          <cell r="Z28">
            <v>121.529</v>
          </cell>
          <cell r="AA28">
            <v>121.502</v>
          </cell>
          <cell r="AC28">
            <v>5.51</v>
          </cell>
          <cell r="AD28">
            <v>68.12</v>
          </cell>
          <cell r="AE28">
            <v>104</v>
          </cell>
          <cell r="AF28">
            <v>90</v>
          </cell>
          <cell r="AG28">
            <v>0.7</v>
          </cell>
          <cell r="AI28">
            <v>0</v>
          </cell>
          <cell r="AJ28">
            <v>0.7</v>
          </cell>
          <cell r="AK28">
            <v>62.999999999999993</v>
          </cell>
          <cell r="AL28" t="str">
            <v>--</v>
          </cell>
          <cell r="AM28">
            <v>62.999999999999993</v>
          </cell>
          <cell r="AN28" t="str">
            <v>--</v>
          </cell>
          <cell r="AO28" t="str">
            <v>--</v>
          </cell>
          <cell r="AP28" t="str">
            <v>--</v>
          </cell>
          <cell r="AQ28" t="str">
            <v>--</v>
          </cell>
          <cell r="AS28">
            <v>62.999999999999993</v>
          </cell>
        </row>
        <row r="29">
          <cell r="A29">
            <v>13</v>
          </cell>
          <cell r="B29" t="str">
            <v>--</v>
          </cell>
          <cell r="C29">
            <v>651.05999999999995</v>
          </cell>
          <cell r="D29" t="str">
            <v>--</v>
          </cell>
          <cell r="E29">
            <v>751.06</v>
          </cell>
          <cell r="F29" t="str">
            <v>L</v>
          </cell>
          <cell r="G29">
            <v>100</v>
          </cell>
          <cell r="H29">
            <v>0</v>
          </cell>
          <cell r="I29">
            <v>100</v>
          </cell>
          <cell r="J29">
            <v>0</v>
          </cell>
          <cell r="K29">
            <v>3.2899999999999922E-2</v>
          </cell>
          <cell r="L29">
            <v>-3.2899999999999922E-2</v>
          </cell>
          <cell r="M29">
            <v>118.46</v>
          </cell>
          <cell r="N29">
            <v>115.17</v>
          </cell>
          <cell r="O29">
            <v>116.815</v>
          </cell>
          <cell r="P29">
            <v>651.05999999999995</v>
          </cell>
          <cell r="Q29">
            <v>660</v>
          </cell>
          <cell r="R29">
            <v>670</v>
          </cell>
          <cell r="S29">
            <v>680</v>
          </cell>
          <cell r="T29">
            <v>690</v>
          </cell>
          <cell r="U29">
            <v>700</v>
          </cell>
          <cell r="V29">
            <v>710</v>
          </cell>
          <cell r="W29">
            <v>720</v>
          </cell>
          <cell r="X29">
            <v>730</v>
          </cell>
          <cell r="Y29">
            <v>740</v>
          </cell>
          <cell r="Z29">
            <v>750</v>
          </cell>
          <cell r="AA29">
            <v>751.06</v>
          </cell>
          <cell r="AB29" t="str">
            <v>119.62</v>
          </cell>
          <cell r="AC29">
            <v>2.8050000000000068</v>
          </cell>
          <cell r="AF29">
            <v>100</v>
          </cell>
          <cell r="AG29">
            <v>0.7</v>
          </cell>
          <cell r="AI29">
            <v>0</v>
          </cell>
          <cell r="AJ29">
            <v>0.7</v>
          </cell>
          <cell r="AK29">
            <v>70</v>
          </cell>
          <cell r="AL29" t="str">
            <v>--</v>
          </cell>
          <cell r="AM29" t="str">
            <v>--</v>
          </cell>
          <cell r="AN29">
            <v>70</v>
          </cell>
          <cell r="AO29" t="str">
            <v>--</v>
          </cell>
          <cell r="AP29" t="str">
            <v>--</v>
          </cell>
          <cell r="AQ29" t="str">
            <v>--</v>
          </cell>
          <cell r="AS29">
            <v>70</v>
          </cell>
          <cell r="AU29">
            <v>121.502</v>
          </cell>
          <cell r="AV29">
            <v>121.24</v>
          </cell>
          <cell r="AW29">
            <v>121.07599999999999</v>
          </cell>
          <cell r="AX29">
            <v>120.756</v>
          </cell>
          <cell r="AY29">
            <v>120.283</v>
          </cell>
          <cell r="AZ29">
            <v>120.08199999999999</v>
          </cell>
          <cell r="BA29">
            <v>119.732</v>
          </cell>
          <cell r="BB29">
            <v>119.393</v>
          </cell>
          <cell r="BC29">
            <v>118.736</v>
          </cell>
          <cell r="BD29">
            <v>118.346</v>
          </cell>
          <cell r="BE29">
            <v>117.18</v>
          </cell>
          <cell r="BF29">
            <v>117.13200000000001</v>
          </cell>
          <cell r="BI29">
            <v>100</v>
          </cell>
        </row>
        <row r="30">
          <cell r="F30" t="str">
            <v>R</v>
          </cell>
          <cell r="P30">
            <v>121.502</v>
          </cell>
          <cell r="Q30">
            <v>121.24</v>
          </cell>
          <cell r="R30">
            <v>121.07599999999999</v>
          </cell>
          <cell r="S30">
            <v>120.756</v>
          </cell>
          <cell r="T30">
            <v>120.283</v>
          </cell>
          <cell r="U30">
            <v>120.08199999999999</v>
          </cell>
          <cell r="V30">
            <v>119.732</v>
          </cell>
          <cell r="W30">
            <v>119.393</v>
          </cell>
          <cell r="X30">
            <v>118.736</v>
          </cell>
          <cell r="Y30">
            <v>118.346</v>
          </cell>
          <cell r="Z30">
            <v>117.18</v>
          </cell>
          <cell r="AA30">
            <v>117.13200000000001</v>
          </cell>
          <cell r="AC30">
            <v>6.51</v>
          </cell>
          <cell r="AF30">
            <v>100</v>
          </cell>
          <cell r="AG30">
            <v>0.7</v>
          </cell>
          <cell r="AI30">
            <v>0</v>
          </cell>
          <cell r="AJ30">
            <v>0.7</v>
          </cell>
          <cell r="AK30">
            <v>70</v>
          </cell>
          <cell r="AL30" t="str">
            <v>--</v>
          </cell>
          <cell r="AM30" t="str">
            <v>--</v>
          </cell>
          <cell r="AN30">
            <v>70</v>
          </cell>
          <cell r="AO30" t="str">
            <v>--</v>
          </cell>
          <cell r="AP30" t="str">
            <v>--</v>
          </cell>
          <cell r="AQ30" t="str">
            <v>--</v>
          </cell>
          <cell r="AS30">
            <v>70</v>
          </cell>
        </row>
        <row r="31">
          <cell r="A31">
            <v>14</v>
          </cell>
          <cell r="B31" t="str">
            <v>--</v>
          </cell>
          <cell r="C31">
            <v>751.06</v>
          </cell>
          <cell r="D31" t="str">
            <v>--</v>
          </cell>
          <cell r="E31">
            <v>768.99</v>
          </cell>
          <cell r="F31" t="str">
            <v>L</v>
          </cell>
          <cell r="G31">
            <v>17.930000000000064</v>
          </cell>
          <cell r="H31">
            <v>0</v>
          </cell>
          <cell r="I31">
            <v>17.930000000000064</v>
          </cell>
          <cell r="J31">
            <v>9.5000000000000001E-2</v>
          </cell>
          <cell r="K31">
            <v>3.234802007808122E-2</v>
          </cell>
          <cell r="L31">
            <v>6.2651979921918788E-2</v>
          </cell>
          <cell r="M31">
            <v>115.17</v>
          </cell>
          <cell r="N31">
            <v>114.59</v>
          </cell>
          <cell r="O31">
            <v>114.88</v>
          </cell>
          <cell r="P31">
            <v>751.06</v>
          </cell>
          <cell r="Q31">
            <v>760</v>
          </cell>
          <cell r="AA31">
            <v>768.99</v>
          </cell>
          <cell r="AB31" t="str">
            <v>116.77</v>
          </cell>
          <cell r="AC31">
            <v>1.8900000000000006</v>
          </cell>
          <cell r="AF31">
            <v>17.930000000000064</v>
          </cell>
          <cell r="AG31">
            <v>0.7</v>
          </cell>
          <cell r="AI31">
            <v>0</v>
          </cell>
          <cell r="AJ31">
            <v>0.7</v>
          </cell>
          <cell r="AK31">
            <v>12.551000000000045</v>
          </cell>
          <cell r="AL31">
            <v>12.551000000000045</v>
          </cell>
          <cell r="AM31" t="str">
            <v>--</v>
          </cell>
          <cell r="AN31" t="str">
            <v>--</v>
          </cell>
          <cell r="AO31" t="str">
            <v>--</v>
          </cell>
          <cell r="AP31" t="str">
            <v>--</v>
          </cell>
          <cell r="AQ31" t="str">
            <v>--</v>
          </cell>
          <cell r="AS31">
            <v>0</v>
          </cell>
          <cell r="AU31">
            <v>117.13200000000001</v>
          </cell>
          <cell r="AV31">
            <v>116.724</v>
          </cell>
          <cell r="AW31">
            <v>0</v>
          </cell>
          <cell r="AX31">
            <v>0</v>
          </cell>
          <cell r="AY31">
            <v>0</v>
          </cell>
          <cell r="AZ31">
            <v>0</v>
          </cell>
          <cell r="BA31">
            <v>0</v>
          </cell>
          <cell r="BB31">
            <v>0</v>
          </cell>
          <cell r="BC31">
            <v>0</v>
          </cell>
          <cell r="BD31">
            <v>0</v>
          </cell>
          <cell r="BE31">
            <v>0</v>
          </cell>
          <cell r="BF31">
            <v>116.462</v>
          </cell>
          <cell r="BI31">
            <v>17.930000000000064</v>
          </cell>
        </row>
        <row r="32">
          <cell r="F32" t="str">
            <v>R</v>
          </cell>
          <cell r="P32">
            <v>117.13200000000001</v>
          </cell>
          <cell r="Q32">
            <v>116.724</v>
          </cell>
          <cell r="AA32">
            <v>116.462</v>
          </cell>
          <cell r="AC32">
            <v>7.51</v>
          </cell>
          <cell r="AF32">
            <v>17.930000000000064</v>
          </cell>
          <cell r="AG32">
            <v>0.7</v>
          </cell>
          <cell r="AI32">
            <v>0</v>
          </cell>
          <cell r="AJ32">
            <v>0.7</v>
          </cell>
          <cell r="AK32">
            <v>12.551000000000045</v>
          </cell>
          <cell r="AL32">
            <v>12.551000000000045</v>
          </cell>
          <cell r="AM32" t="str">
            <v>--</v>
          </cell>
          <cell r="AN32" t="str">
            <v>--</v>
          </cell>
          <cell r="AO32" t="str">
            <v>--</v>
          </cell>
          <cell r="AP32" t="str">
            <v>--</v>
          </cell>
          <cell r="AQ32" t="str">
            <v>--</v>
          </cell>
          <cell r="AS32">
            <v>0</v>
          </cell>
        </row>
        <row r="33">
          <cell r="A33">
            <v>15</v>
          </cell>
          <cell r="B33" t="str">
            <v>--</v>
          </cell>
          <cell r="C33">
            <v>768.99</v>
          </cell>
          <cell r="D33" t="str">
            <v>--</v>
          </cell>
          <cell r="E33">
            <v>868.99</v>
          </cell>
          <cell r="F33" t="str">
            <v>L</v>
          </cell>
          <cell r="G33">
            <v>100</v>
          </cell>
          <cell r="H33">
            <v>0</v>
          </cell>
          <cell r="I33">
            <v>100</v>
          </cell>
          <cell r="J33">
            <v>6.1000000000000004E-3</v>
          </cell>
          <cell r="K33">
            <v>2.0499999999999973E-2</v>
          </cell>
          <cell r="L33">
            <v>-1.4399999999999972E-2</v>
          </cell>
          <cell r="M33">
            <v>114.59</v>
          </cell>
          <cell r="N33">
            <v>112.54</v>
          </cell>
          <cell r="O33">
            <v>113.565</v>
          </cell>
          <cell r="P33">
            <v>768.99</v>
          </cell>
          <cell r="Q33">
            <v>770</v>
          </cell>
          <cell r="R33">
            <v>780</v>
          </cell>
          <cell r="S33">
            <v>790</v>
          </cell>
          <cell r="T33">
            <v>800</v>
          </cell>
          <cell r="U33">
            <v>810</v>
          </cell>
          <cell r="V33">
            <v>820</v>
          </cell>
          <cell r="W33">
            <v>830</v>
          </cell>
          <cell r="X33">
            <v>840</v>
          </cell>
          <cell r="Y33">
            <v>850</v>
          </cell>
          <cell r="Z33">
            <v>860</v>
          </cell>
          <cell r="AA33">
            <v>868.99</v>
          </cell>
          <cell r="AB33" t="str">
            <v>115.52</v>
          </cell>
          <cell r="AC33">
            <v>1.9549999999999983</v>
          </cell>
          <cell r="AF33">
            <v>99</v>
          </cell>
          <cell r="AG33">
            <v>0.7</v>
          </cell>
          <cell r="AI33">
            <v>0</v>
          </cell>
          <cell r="AJ33">
            <v>0.7</v>
          </cell>
          <cell r="AK33">
            <v>69.3</v>
          </cell>
          <cell r="AL33">
            <v>69.3</v>
          </cell>
          <cell r="AM33" t="str">
            <v>--</v>
          </cell>
          <cell r="AN33" t="str">
            <v>--</v>
          </cell>
          <cell r="AO33" t="str">
            <v>--</v>
          </cell>
          <cell r="AP33" t="str">
            <v>--</v>
          </cell>
          <cell r="AQ33" t="str">
            <v>--</v>
          </cell>
          <cell r="AS33">
            <v>0</v>
          </cell>
          <cell r="AU33">
            <v>116.462</v>
          </cell>
          <cell r="AV33">
            <v>116.432</v>
          </cell>
          <cell r="AW33">
            <v>116.297</v>
          </cell>
          <cell r="AX33">
            <v>116.587</v>
          </cell>
          <cell r="AY33">
            <v>116.28</v>
          </cell>
          <cell r="AZ33">
            <v>115.765</v>
          </cell>
          <cell r="BA33">
            <v>115.28</v>
          </cell>
          <cell r="BB33">
            <v>114.93600000000001</v>
          </cell>
          <cell r="BC33">
            <v>114.71899999999999</v>
          </cell>
          <cell r="BD33">
            <v>114.55800000000001</v>
          </cell>
          <cell r="BE33">
            <v>114.449</v>
          </cell>
          <cell r="BF33">
            <v>114.449</v>
          </cell>
          <cell r="BI33">
            <v>99</v>
          </cell>
        </row>
        <row r="34">
          <cell r="F34" t="str">
            <v>R</v>
          </cell>
          <cell r="P34">
            <v>116.462</v>
          </cell>
          <cell r="Q34">
            <v>116.432</v>
          </cell>
          <cell r="R34">
            <v>116.297</v>
          </cell>
          <cell r="S34">
            <v>116.587</v>
          </cell>
          <cell r="T34">
            <v>116.28</v>
          </cell>
          <cell r="U34">
            <v>115.765</v>
          </cell>
          <cell r="V34">
            <v>115.28</v>
          </cell>
          <cell r="W34">
            <v>114.93600000000001</v>
          </cell>
          <cell r="X34">
            <v>114.71899999999999</v>
          </cell>
          <cell r="Y34">
            <v>114.55800000000001</v>
          </cell>
          <cell r="Z34">
            <v>114.449</v>
          </cell>
          <cell r="AA34">
            <v>114.449</v>
          </cell>
          <cell r="AC34">
            <v>6.51</v>
          </cell>
          <cell r="AF34">
            <v>99</v>
          </cell>
          <cell r="AG34">
            <v>0.7</v>
          </cell>
          <cell r="AI34">
            <v>0</v>
          </cell>
          <cell r="AJ34">
            <v>0.7</v>
          </cell>
          <cell r="AK34">
            <v>69.3</v>
          </cell>
          <cell r="AL34">
            <v>69.3</v>
          </cell>
          <cell r="AM34" t="str">
            <v>--</v>
          </cell>
          <cell r="AN34" t="str">
            <v>--</v>
          </cell>
          <cell r="AO34" t="str">
            <v>--</v>
          </cell>
          <cell r="AP34" t="str">
            <v>--</v>
          </cell>
          <cell r="AQ34" t="str">
            <v>--</v>
          </cell>
          <cell r="AS34">
            <v>0</v>
          </cell>
        </row>
        <row r="35">
          <cell r="A35">
            <v>16</v>
          </cell>
          <cell r="B35" t="str">
            <v>--</v>
          </cell>
          <cell r="C35">
            <v>868.99</v>
          </cell>
          <cell r="D35" t="str">
            <v>--</v>
          </cell>
          <cell r="E35">
            <v>886.87</v>
          </cell>
          <cell r="F35" t="str">
            <v>L</v>
          </cell>
          <cell r="G35">
            <v>17.879999999999995</v>
          </cell>
          <cell r="H35">
            <v>0</v>
          </cell>
          <cell r="I35">
            <v>17.879999999999995</v>
          </cell>
          <cell r="M35">
            <v>112.54</v>
          </cell>
          <cell r="N35">
            <v>112.17</v>
          </cell>
          <cell r="O35">
            <v>112.355</v>
          </cell>
          <cell r="P35">
            <v>868.99</v>
          </cell>
          <cell r="Q35">
            <v>870</v>
          </cell>
          <cell r="R35">
            <v>880</v>
          </cell>
          <cell r="AA35">
            <v>886.87</v>
          </cell>
          <cell r="AB35" t="str">
            <v>114.32</v>
          </cell>
          <cell r="AC35">
            <v>1.9649999999999892</v>
          </cell>
          <cell r="AF35">
            <v>17.879999999999995</v>
          </cell>
          <cell r="AG35">
            <v>0.7</v>
          </cell>
          <cell r="AI35">
            <v>0</v>
          </cell>
          <cell r="AJ35">
            <v>0.7</v>
          </cell>
          <cell r="AK35">
            <v>12.515999999999996</v>
          </cell>
          <cell r="AL35">
            <v>12.515999999999996</v>
          </cell>
          <cell r="AM35" t="str">
            <v>--</v>
          </cell>
          <cell r="AN35" t="str">
            <v>--</v>
          </cell>
          <cell r="AO35" t="str">
            <v>--</v>
          </cell>
          <cell r="AP35" t="str">
            <v>--</v>
          </cell>
          <cell r="AQ35" t="str">
            <v>--</v>
          </cell>
          <cell r="AS35">
            <v>0</v>
          </cell>
          <cell r="AU35">
            <v>114.449</v>
          </cell>
          <cell r="AV35">
            <v>114.449</v>
          </cell>
          <cell r="AW35">
            <v>114.29900000000001</v>
          </cell>
          <cell r="AX35">
            <v>0</v>
          </cell>
          <cell r="AY35">
            <v>0</v>
          </cell>
          <cell r="AZ35">
            <v>0</v>
          </cell>
          <cell r="BA35">
            <v>0</v>
          </cell>
          <cell r="BB35">
            <v>0</v>
          </cell>
          <cell r="BC35">
            <v>0</v>
          </cell>
          <cell r="BD35">
            <v>0</v>
          </cell>
          <cell r="BE35">
            <v>0</v>
          </cell>
          <cell r="BF35">
            <v>114.1</v>
          </cell>
          <cell r="BI35">
            <v>17.879999999999995</v>
          </cell>
        </row>
        <row r="36">
          <cell r="F36" t="str">
            <v>R</v>
          </cell>
          <cell r="P36">
            <v>114.449</v>
          </cell>
          <cell r="Q36">
            <v>114.449</v>
          </cell>
          <cell r="R36">
            <v>114.29900000000001</v>
          </cell>
          <cell r="AA36">
            <v>114.1</v>
          </cell>
          <cell r="AC36">
            <v>7.51</v>
          </cell>
          <cell r="AF36">
            <v>17.879999999999995</v>
          </cell>
          <cell r="AG36">
            <v>0.7</v>
          </cell>
          <cell r="AI36">
            <v>0</v>
          </cell>
          <cell r="AJ36">
            <v>0.7</v>
          </cell>
          <cell r="AK36">
            <v>12.515999999999996</v>
          </cell>
          <cell r="AL36">
            <v>12.515999999999996</v>
          </cell>
          <cell r="AM36" t="str">
            <v>--</v>
          </cell>
          <cell r="AN36" t="str">
            <v>--</v>
          </cell>
          <cell r="AO36" t="str">
            <v>--</v>
          </cell>
          <cell r="AP36" t="str">
            <v>--</v>
          </cell>
          <cell r="AQ36" t="str">
            <v>--</v>
          </cell>
          <cell r="AS36">
            <v>0</v>
          </cell>
        </row>
        <row r="37">
          <cell r="A37">
            <v>17</v>
          </cell>
          <cell r="B37" t="str">
            <v>--</v>
          </cell>
          <cell r="C37">
            <v>886.87</v>
          </cell>
          <cell r="D37" t="str">
            <v>--</v>
          </cell>
          <cell r="E37">
            <v>986.87</v>
          </cell>
          <cell r="F37" t="str">
            <v>L</v>
          </cell>
          <cell r="G37">
            <v>100</v>
          </cell>
          <cell r="H37">
            <v>0</v>
          </cell>
          <cell r="I37">
            <v>100</v>
          </cell>
          <cell r="M37">
            <v>112.17</v>
          </cell>
          <cell r="N37">
            <v>110.42</v>
          </cell>
          <cell r="O37">
            <v>111.295</v>
          </cell>
          <cell r="P37">
            <v>886.87</v>
          </cell>
          <cell r="Q37">
            <v>890</v>
          </cell>
          <cell r="R37">
            <v>900</v>
          </cell>
          <cell r="S37">
            <v>910</v>
          </cell>
          <cell r="T37">
            <v>920</v>
          </cell>
          <cell r="U37">
            <v>930</v>
          </cell>
          <cell r="V37">
            <v>940</v>
          </cell>
          <cell r="W37">
            <v>950</v>
          </cell>
          <cell r="X37">
            <v>960</v>
          </cell>
          <cell r="Y37">
            <v>970</v>
          </cell>
          <cell r="Z37">
            <v>980</v>
          </cell>
          <cell r="AA37">
            <v>986.87</v>
          </cell>
          <cell r="AB37" t="str">
            <v>113.37</v>
          </cell>
          <cell r="AC37">
            <v>2.0750000000000028</v>
          </cell>
          <cell r="AF37">
            <v>100</v>
          </cell>
          <cell r="AG37">
            <v>0.7</v>
          </cell>
          <cell r="AI37">
            <v>0</v>
          </cell>
          <cell r="AJ37">
            <v>0.7</v>
          </cell>
          <cell r="AK37">
            <v>70</v>
          </cell>
          <cell r="AL37" t="str">
            <v>--</v>
          </cell>
          <cell r="AM37">
            <v>70</v>
          </cell>
          <cell r="AN37" t="str">
            <v>--</v>
          </cell>
          <cell r="AO37" t="str">
            <v>--</v>
          </cell>
          <cell r="AP37" t="str">
            <v>--</v>
          </cell>
          <cell r="AQ37" t="str">
            <v>--</v>
          </cell>
          <cell r="AS37">
            <v>70</v>
          </cell>
          <cell r="AU37">
            <v>114.1</v>
          </cell>
          <cell r="AV37">
            <v>114.009</v>
          </cell>
          <cell r="AW37">
            <v>113.89400000000001</v>
          </cell>
          <cell r="AX37">
            <v>113.785</v>
          </cell>
          <cell r="AY37">
            <v>113.72199999999999</v>
          </cell>
          <cell r="AZ37">
            <v>113.336</v>
          </cell>
          <cell r="BA37">
            <v>113.333</v>
          </cell>
          <cell r="BB37">
            <v>113.16</v>
          </cell>
          <cell r="BC37">
            <v>112.974</v>
          </cell>
          <cell r="BD37">
            <v>112.83199999999999</v>
          </cell>
          <cell r="BE37">
            <v>112.679</v>
          </cell>
          <cell r="BF37">
            <v>112.583</v>
          </cell>
          <cell r="BI37">
            <v>100</v>
          </cell>
        </row>
        <row r="38">
          <cell r="F38" t="str">
            <v>R</v>
          </cell>
          <cell r="P38">
            <v>114.1</v>
          </cell>
          <cell r="Q38">
            <v>114.009</v>
          </cell>
          <cell r="R38">
            <v>113.89400000000001</v>
          </cell>
          <cell r="S38">
            <v>113.785</v>
          </cell>
          <cell r="T38">
            <v>113.72199999999999</v>
          </cell>
          <cell r="U38">
            <v>113.336</v>
          </cell>
          <cell r="V38">
            <v>113.333</v>
          </cell>
          <cell r="W38">
            <v>113.16</v>
          </cell>
          <cell r="X38">
            <v>112.974</v>
          </cell>
          <cell r="Y38">
            <v>112.83199999999999</v>
          </cell>
          <cell r="Z38">
            <v>112.679</v>
          </cell>
          <cell r="AA38">
            <v>112.583</v>
          </cell>
          <cell r="AC38">
            <v>10.51</v>
          </cell>
          <cell r="AF38">
            <v>100</v>
          </cell>
          <cell r="AG38">
            <v>0.7</v>
          </cell>
          <cell r="AI38">
            <v>0</v>
          </cell>
          <cell r="AJ38">
            <v>0.7</v>
          </cell>
          <cell r="AK38">
            <v>70</v>
          </cell>
          <cell r="AL38" t="str">
            <v>--</v>
          </cell>
          <cell r="AM38">
            <v>70</v>
          </cell>
          <cell r="AN38" t="str">
            <v>--</v>
          </cell>
          <cell r="AO38" t="str">
            <v>--</v>
          </cell>
          <cell r="AP38" t="str">
            <v>--</v>
          </cell>
          <cell r="AQ38" t="str">
            <v>--</v>
          </cell>
          <cell r="AS38">
            <v>70</v>
          </cell>
        </row>
        <row r="39">
          <cell r="A39">
            <v>18</v>
          </cell>
          <cell r="B39" t="str">
            <v>--</v>
          </cell>
          <cell r="C39">
            <v>986.87</v>
          </cell>
          <cell r="D39" t="str">
            <v>--</v>
          </cell>
          <cell r="E39">
            <v>990</v>
          </cell>
          <cell r="F39" t="str">
            <v>L</v>
          </cell>
          <cell r="G39">
            <v>3.1299999999999955</v>
          </cell>
          <cell r="H39">
            <v>0</v>
          </cell>
          <cell r="I39">
            <v>3.1299999999999955</v>
          </cell>
          <cell r="M39">
            <v>110.42</v>
          </cell>
          <cell r="N39">
            <v>110.36499999999999</v>
          </cell>
          <cell r="O39">
            <v>110.3925</v>
          </cell>
          <cell r="P39">
            <v>986.87</v>
          </cell>
          <cell r="AA39">
            <v>990</v>
          </cell>
          <cell r="AB39" t="str">
            <v>112.56</v>
          </cell>
          <cell r="AC39">
            <v>2.167500000000004</v>
          </cell>
          <cell r="AF39">
            <v>3.1299999999999955</v>
          </cell>
          <cell r="AG39">
            <v>0.7</v>
          </cell>
          <cell r="AI39">
            <v>0</v>
          </cell>
          <cell r="AJ39">
            <v>0.7</v>
          </cell>
          <cell r="AK39">
            <v>2.1909999999999967</v>
          </cell>
          <cell r="AL39" t="str">
            <v>--</v>
          </cell>
          <cell r="AM39">
            <v>2.1909999999999967</v>
          </cell>
          <cell r="AN39" t="str">
            <v>--</v>
          </cell>
          <cell r="AO39" t="str">
            <v>--</v>
          </cell>
          <cell r="AP39" t="str">
            <v>--</v>
          </cell>
          <cell r="AQ39" t="str">
            <v>--</v>
          </cell>
          <cell r="AS39">
            <v>2.1909999999999967</v>
          </cell>
          <cell r="AU39">
            <v>112.583</v>
          </cell>
          <cell r="AV39">
            <v>0</v>
          </cell>
          <cell r="AW39">
            <v>0</v>
          </cell>
          <cell r="AX39">
            <v>0</v>
          </cell>
          <cell r="AY39">
            <v>0</v>
          </cell>
          <cell r="AZ39">
            <v>0</v>
          </cell>
          <cell r="BA39">
            <v>0</v>
          </cell>
          <cell r="BB39">
            <v>0</v>
          </cell>
          <cell r="BC39">
            <v>0</v>
          </cell>
          <cell r="BD39">
            <v>0</v>
          </cell>
          <cell r="BE39">
            <v>0</v>
          </cell>
          <cell r="BF39">
            <v>112.539</v>
          </cell>
          <cell r="BI39">
            <v>3.1299999999999955</v>
          </cell>
        </row>
        <row r="40">
          <cell r="F40" t="str">
            <v>R</v>
          </cell>
          <cell r="P40">
            <v>112.583</v>
          </cell>
          <cell r="AA40">
            <v>112.539</v>
          </cell>
          <cell r="AC40">
            <v>11.51</v>
          </cell>
          <cell r="AF40">
            <v>3.1299999999999955</v>
          </cell>
          <cell r="AG40">
            <v>0.7</v>
          </cell>
          <cell r="AI40">
            <v>0</v>
          </cell>
          <cell r="AJ40">
            <v>0.7</v>
          </cell>
          <cell r="AK40">
            <v>2.1909999999999967</v>
          </cell>
          <cell r="AL40" t="str">
            <v>--</v>
          </cell>
          <cell r="AM40">
            <v>2.1909999999999967</v>
          </cell>
          <cell r="AN40" t="str">
            <v>--</v>
          </cell>
          <cell r="AO40" t="str">
            <v>--</v>
          </cell>
          <cell r="AP40" t="str">
            <v>--</v>
          </cell>
          <cell r="AQ40" t="str">
            <v>--</v>
          </cell>
          <cell r="AS40">
            <v>2.1909999999999967</v>
          </cell>
        </row>
        <row r="41">
          <cell r="A41">
            <v>19</v>
          </cell>
          <cell r="B41" t="str">
            <v>--</v>
          </cell>
          <cell r="C41">
            <v>990</v>
          </cell>
          <cell r="D41" t="str">
            <v>--</v>
          </cell>
          <cell r="E41">
            <v>1090</v>
          </cell>
          <cell r="F41" t="str">
            <v>L</v>
          </cell>
          <cell r="G41">
            <v>100</v>
          </cell>
          <cell r="H41">
            <v>0</v>
          </cell>
          <cell r="I41">
            <v>100</v>
          </cell>
          <cell r="M41">
            <v>110.36499999999999</v>
          </cell>
          <cell r="N41">
            <v>109.24</v>
          </cell>
          <cell r="O41">
            <v>109.80249999999999</v>
          </cell>
          <cell r="P41">
            <v>990</v>
          </cell>
          <cell r="Q41">
            <v>1000</v>
          </cell>
          <cell r="R41">
            <v>1010</v>
          </cell>
          <cell r="S41">
            <v>1020</v>
          </cell>
          <cell r="T41">
            <v>1030</v>
          </cell>
          <cell r="U41">
            <v>1040</v>
          </cell>
          <cell r="V41">
            <v>1050</v>
          </cell>
          <cell r="W41">
            <v>1060</v>
          </cell>
          <cell r="X41">
            <v>1070</v>
          </cell>
          <cell r="Y41">
            <v>1080</v>
          </cell>
          <cell r="AA41">
            <v>1090</v>
          </cell>
          <cell r="AB41" t="str">
            <v>112.11</v>
          </cell>
          <cell r="AC41">
            <v>2.3075000000000045</v>
          </cell>
          <cell r="AF41">
            <v>31</v>
          </cell>
          <cell r="AG41">
            <v>0.7</v>
          </cell>
          <cell r="AI41">
            <v>0</v>
          </cell>
          <cell r="AJ41">
            <v>0.7</v>
          </cell>
          <cell r="AK41">
            <v>21.7</v>
          </cell>
          <cell r="AL41" t="str">
            <v>--</v>
          </cell>
          <cell r="AM41">
            <v>21.7</v>
          </cell>
          <cell r="AN41" t="str">
            <v>--</v>
          </cell>
          <cell r="AO41" t="str">
            <v>--</v>
          </cell>
          <cell r="AP41" t="str">
            <v>--</v>
          </cell>
          <cell r="AQ41" t="str">
            <v>--</v>
          </cell>
          <cell r="AS41">
            <v>21.7</v>
          </cell>
          <cell r="AU41">
            <v>112.539</v>
          </cell>
          <cell r="AV41">
            <v>112.539</v>
          </cell>
          <cell r="AW41">
            <v>112.155</v>
          </cell>
          <cell r="AX41">
            <v>112.07</v>
          </cell>
          <cell r="AY41">
            <v>112.029</v>
          </cell>
          <cell r="AZ41">
            <v>112.842</v>
          </cell>
          <cell r="BA41">
            <v>112.842</v>
          </cell>
          <cell r="BB41">
            <v>111.756</v>
          </cell>
          <cell r="BC41">
            <v>111.589</v>
          </cell>
          <cell r="BD41">
            <v>111.509</v>
          </cell>
          <cell r="BE41">
            <v>0</v>
          </cell>
          <cell r="BF41">
            <v>111.361</v>
          </cell>
          <cell r="BI41">
            <v>100</v>
          </cell>
        </row>
        <row r="42">
          <cell r="F42" t="str">
            <v>R</v>
          </cell>
          <cell r="P42">
            <v>112.539</v>
          </cell>
          <cell r="Q42">
            <v>112.539</v>
          </cell>
          <cell r="R42">
            <v>112.155</v>
          </cell>
          <cell r="S42">
            <v>112.07</v>
          </cell>
          <cell r="T42">
            <v>112.029</v>
          </cell>
          <cell r="U42">
            <v>112.842</v>
          </cell>
          <cell r="V42">
            <v>112.842</v>
          </cell>
          <cell r="W42">
            <v>111.756</v>
          </cell>
          <cell r="X42">
            <v>111.589</v>
          </cell>
          <cell r="Y42">
            <v>111.509</v>
          </cell>
          <cell r="AA42">
            <v>111.361</v>
          </cell>
          <cell r="AC42">
            <v>12.51</v>
          </cell>
          <cell r="AF42">
            <v>100</v>
          </cell>
          <cell r="AG42">
            <v>0.7</v>
          </cell>
          <cell r="AI42">
            <v>0</v>
          </cell>
          <cell r="AJ42">
            <v>0.7</v>
          </cell>
          <cell r="AK42">
            <v>70</v>
          </cell>
          <cell r="AL42" t="str">
            <v>--</v>
          </cell>
          <cell r="AM42">
            <v>70</v>
          </cell>
          <cell r="AN42" t="str">
            <v>--</v>
          </cell>
          <cell r="AO42" t="str">
            <v>--</v>
          </cell>
          <cell r="AP42" t="str">
            <v>--</v>
          </cell>
          <cell r="AQ42" t="str">
            <v>--</v>
          </cell>
          <cell r="AS42">
            <v>70</v>
          </cell>
        </row>
        <row r="43">
          <cell r="A43">
            <v>20</v>
          </cell>
          <cell r="B43" t="str">
            <v>--</v>
          </cell>
          <cell r="C43">
            <v>1090</v>
          </cell>
          <cell r="D43" t="str">
            <v>--</v>
          </cell>
          <cell r="E43">
            <v>1190</v>
          </cell>
          <cell r="F43" t="str">
            <v>L</v>
          </cell>
          <cell r="G43">
            <v>100</v>
          </cell>
          <cell r="H43">
            <v>0</v>
          </cell>
          <cell r="I43">
            <v>100</v>
          </cell>
          <cell r="M43">
            <v>109.24</v>
          </cell>
          <cell r="N43">
            <v>108.11</v>
          </cell>
          <cell r="O43">
            <v>108.675</v>
          </cell>
          <cell r="P43">
            <v>1090</v>
          </cell>
          <cell r="Q43">
            <v>1100</v>
          </cell>
          <cell r="R43">
            <v>1110</v>
          </cell>
          <cell r="S43">
            <v>1120</v>
          </cell>
          <cell r="T43">
            <v>1130</v>
          </cell>
          <cell r="U43">
            <v>1140</v>
          </cell>
          <cell r="V43">
            <v>1150</v>
          </cell>
          <cell r="W43">
            <v>1160</v>
          </cell>
          <cell r="X43">
            <v>1170</v>
          </cell>
          <cell r="Y43">
            <v>1180</v>
          </cell>
          <cell r="AA43">
            <v>1190</v>
          </cell>
          <cell r="AB43" t="str">
            <v>110.89</v>
          </cell>
          <cell r="AC43">
            <v>2.2150000000000034</v>
          </cell>
          <cell r="AF43">
            <v>0</v>
          </cell>
          <cell r="AG43">
            <v>0</v>
          </cell>
          <cell r="AI43">
            <v>0</v>
          </cell>
          <cell r="AJ43">
            <v>0</v>
          </cell>
          <cell r="AK43">
            <v>0</v>
          </cell>
          <cell r="AL43" t="str">
            <v>--</v>
          </cell>
          <cell r="AM43">
            <v>0</v>
          </cell>
          <cell r="AN43" t="str">
            <v>--</v>
          </cell>
          <cell r="AO43" t="str">
            <v>--</v>
          </cell>
          <cell r="AP43" t="str">
            <v>--</v>
          </cell>
          <cell r="AQ43" t="str">
            <v>--</v>
          </cell>
          <cell r="AS43">
            <v>0</v>
          </cell>
          <cell r="AU43">
            <v>111.361</v>
          </cell>
          <cell r="AV43">
            <v>111.236</v>
          </cell>
          <cell r="AW43">
            <v>111.151</v>
          </cell>
          <cell r="AX43">
            <v>110.97499999999999</v>
          </cell>
          <cell r="AY43">
            <v>110.873</v>
          </cell>
          <cell r="AZ43">
            <v>110.74299999999999</v>
          </cell>
          <cell r="BA43">
            <v>110.996</v>
          </cell>
          <cell r="BB43">
            <v>110.881</v>
          </cell>
          <cell r="BC43">
            <v>110.622</v>
          </cell>
          <cell r="BD43">
            <v>110.491</v>
          </cell>
          <cell r="BE43">
            <v>0</v>
          </cell>
          <cell r="BF43">
            <v>110.48</v>
          </cell>
          <cell r="BI43">
            <v>4</v>
          </cell>
        </row>
        <row r="44">
          <cell r="F44" t="str">
            <v>R</v>
          </cell>
          <cell r="P44">
            <v>111.361</v>
          </cell>
          <cell r="Q44">
            <v>111.236</v>
          </cell>
          <cell r="R44">
            <v>111.151</v>
          </cell>
          <cell r="S44">
            <v>110.97499999999999</v>
          </cell>
          <cell r="T44">
            <v>110.873</v>
          </cell>
          <cell r="U44">
            <v>110.74299999999999</v>
          </cell>
          <cell r="V44">
            <v>110.996</v>
          </cell>
          <cell r="W44">
            <v>110.881</v>
          </cell>
          <cell r="X44">
            <v>110.622</v>
          </cell>
          <cell r="Y44">
            <v>110.491</v>
          </cell>
          <cell r="AA44">
            <v>110.48</v>
          </cell>
          <cell r="AC44">
            <v>13.51</v>
          </cell>
          <cell r="AF44">
            <v>4</v>
          </cell>
          <cell r="AG44">
            <v>0.7</v>
          </cell>
          <cell r="AI44">
            <v>0</v>
          </cell>
          <cell r="AJ44">
            <v>0.7</v>
          </cell>
          <cell r="AK44">
            <v>2.8</v>
          </cell>
          <cell r="AL44" t="str">
            <v>--</v>
          </cell>
          <cell r="AM44">
            <v>2.8</v>
          </cell>
          <cell r="AN44" t="str">
            <v>--</v>
          </cell>
          <cell r="AO44" t="str">
            <v>--</v>
          </cell>
          <cell r="AP44" t="str">
            <v>--</v>
          </cell>
          <cell r="AQ44" t="str">
            <v>--</v>
          </cell>
          <cell r="AS44">
            <v>2.8</v>
          </cell>
        </row>
        <row r="45">
          <cell r="A45" t="str">
            <v>Total (C/F)</v>
          </cell>
          <cell r="AF45">
            <v>1123</v>
          </cell>
          <cell r="AK45">
            <v>786.1</v>
          </cell>
          <cell r="AL45">
            <v>188.73400000000007</v>
          </cell>
          <cell r="AM45">
            <v>448.18199999999996</v>
          </cell>
          <cell r="AN45">
            <v>140</v>
          </cell>
          <cell r="AO45">
            <v>9.1839999999999229</v>
          </cell>
          <cell r="AP45">
            <v>0</v>
          </cell>
          <cell r="AQ45">
            <v>0</v>
          </cell>
          <cell r="BI45">
            <v>1123</v>
          </cell>
        </row>
        <row r="46">
          <cell r="A46" t="str">
            <v>Total (C/F)</v>
          </cell>
          <cell r="AF46">
            <v>1123</v>
          </cell>
          <cell r="AK46">
            <v>786.1</v>
          </cell>
          <cell r="AL46">
            <v>188.73400000000007</v>
          </cell>
          <cell r="AM46">
            <v>448.18199999999996</v>
          </cell>
          <cell r="AN46">
            <v>140</v>
          </cell>
          <cell r="AO46">
            <v>9.1839999999999229</v>
          </cell>
          <cell r="AP46">
            <v>0</v>
          </cell>
          <cell r="AQ46">
            <v>0</v>
          </cell>
        </row>
        <row r="47">
          <cell r="A47">
            <v>21</v>
          </cell>
          <cell r="B47" t="str">
            <v>--</v>
          </cell>
          <cell r="C47">
            <v>1190</v>
          </cell>
          <cell r="D47" t="str">
            <v>Bend (TB-7A)</v>
          </cell>
          <cell r="E47">
            <v>1206.43</v>
          </cell>
          <cell r="F47" t="str">
            <v>L</v>
          </cell>
          <cell r="G47">
            <v>16.430000000000064</v>
          </cell>
          <cell r="H47">
            <v>0</v>
          </cell>
          <cell r="I47">
            <v>16.430000000000064</v>
          </cell>
          <cell r="M47">
            <v>108.11</v>
          </cell>
          <cell r="N47">
            <v>107.92</v>
          </cell>
          <cell r="O47">
            <v>108.015</v>
          </cell>
          <cell r="P47">
            <v>1190</v>
          </cell>
          <cell r="Q47">
            <v>1200</v>
          </cell>
          <cell r="AA47">
            <v>1206.43</v>
          </cell>
          <cell r="AB47" t="str">
            <v>110.38</v>
          </cell>
          <cell r="AC47">
            <v>2.3649999999999949</v>
          </cell>
          <cell r="AF47">
            <v>0</v>
          </cell>
          <cell r="AG47">
            <v>0</v>
          </cell>
          <cell r="AI47">
            <v>0</v>
          </cell>
          <cell r="AJ47">
            <v>0</v>
          </cell>
          <cell r="AK47">
            <v>0</v>
          </cell>
          <cell r="AL47" t="str">
            <v>--</v>
          </cell>
          <cell r="AM47">
            <v>0</v>
          </cell>
          <cell r="AN47" t="str">
            <v>--</v>
          </cell>
          <cell r="AO47" t="str">
            <v>--</v>
          </cell>
          <cell r="AP47" t="str">
            <v>--</v>
          </cell>
          <cell r="AQ47" t="str">
            <v>--</v>
          </cell>
          <cell r="AS47">
            <v>0</v>
          </cell>
          <cell r="AU47">
            <v>110.48</v>
          </cell>
          <cell r="AV47">
            <v>110.345</v>
          </cell>
          <cell r="AW47">
            <v>0</v>
          </cell>
          <cell r="AX47">
            <v>0</v>
          </cell>
          <cell r="AY47">
            <v>0</v>
          </cell>
          <cell r="AZ47">
            <v>0</v>
          </cell>
          <cell r="BA47">
            <v>0</v>
          </cell>
          <cell r="BB47">
            <v>0</v>
          </cell>
          <cell r="BC47">
            <v>0</v>
          </cell>
          <cell r="BD47">
            <v>0</v>
          </cell>
          <cell r="BE47">
            <v>0</v>
          </cell>
          <cell r="BF47">
            <v>110.31699999999999</v>
          </cell>
          <cell r="BI47">
            <v>0</v>
          </cell>
        </row>
        <row r="48">
          <cell r="F48" t="str">
            <v>R</v>
          </cell>
          <cell r="P48">
            <v>110.48</v>
          </cell>
          <cell r="Q48">
            <v>110.345</v>
          </cell>
          <cell r="AA48">
            <v>110.31699999999999</v>
          </cell>
          <cell r="AC48">
            <v>14.51</v>
          </cell>
          <cell r="AF48">
            <v>0</v>
          </cell>
          <cell r="AG48">
            <v>0</v>
          </cell>
          <cell r="AI48">
            <v>0</v>
          </cell>
          <cell r="AJ48">
            <v>0</v>
          </cell>
          <cell r="AK48">
            <v>0</v>
          </cell>
          <cell r="AL48" t="str">
            <v>--</v>
          </cell>
          <cell r="AM48">
            <v>0</v>
          </cell>
          <cell r="AN48" t="str">
            <v>--</v>
          </cell>
          <cell r="AO48" t="str">
            <v>--</v>
          </cell>
          <cell r="AP48" t="str">
            <v>--</v>
          </cell>
          <cell r="AQ48" t="str">
            <v>--</v>
          </cell>
          <cell r="AS48">
            <v>0</v>
          </cell>
        </row>
        <row r="49">
          <cell r="A49">
            <v>22</v>
          </cell>
          <cell r="B49" t="str">
            <v>Bend (TB-7A)</v>
          </cell>
          <cell r="C49">
            <v>1206.43</v>
          </cell>
          <cell r="D49" t="str">
            <v>Washout chamber</v>
          </cell>
          <cell r="E49">
            <v>1217.69</v>
          </cell>
          <cell r="F49" t="str">
            <v>L</v>
          </cell>
          <cell r="G49">
            <v>11.259999999999991</v>
          </cell>
          <cell r="H49">
            <v>3</v>
          </cell>
          <cell r="I49">
            <v>8.2599999999999909</v>
          </cell>
          <cell r="M49">
            <v>107.92</v>
          </cell>
          <cell r="N49">
            <v>107.92</v>
          </cell>
          <cell r="O49">
            <v>107.92</v>
          </cell>
          <cell r="P49">
            <v>1206.43</v>
          </cell>
          <cell r="Q49">
            <v>1210</v>
          </cell>
          <cell r="AA49">
            <v>1217.79</v>
          </cell>
          <cell r="AB49" t="str">
            <v>110.38</v>
          </cell>
          <cell r="AC49">
            <v>2.4599999999999937</v>
          </cell>
          <cell r="AF49">
            <v>0</v>
          </cell>
          <cell r="AG49">
            <v>0</v>
          </cell>
          <cell r="AI49">
            <v>0</v>
          </cell>
          <cell r="AJ49">
            <v>0</v>
          </cell>
          <cell r="AK49">
            <v>0</v>
          </cell>
          <cell r="AL49" t="str">
            <v>--</v>
          </cell>
          <cell r="AM49">
            <v>0</v>
          </cell>
          <cell r="AN49" t="str">
            <v>--</v>
          </cell>
          <cell r="AO49" t="str">
            <v>--</v>
          </cell>
          <cell r="AP49" t="str">
            <v>--</v>
          </cell>
          <cell r="AQ49" t="str">
            <v>--</v>
          </cell>
          <cell r="AS49">
            <v>0</v>
          </cell>
          <cell r="AU49">
            <v>110.31699999999999</v>
          </cell>
          <cell r="AV49">
            <v>110.301</v>
          </cell>
          <cell r="AW49">
            <v>0</v>
          </cell>
          <cell r="AX49">
            <v>0</v>
          </cell>
          <cell r="AY49">
            <v>0</v>
          </cell>
          <cell r="AZ49">
            <v>0</v>
          </cell>
          <cell r="BA49">
            <v>0</v>
          </cell>
          <cell r="BB49">
            <v>0</v>
          </cell>
          <cell r="BC49">
            <v>0</v>
          </cell>
          <cell r="BD49">
            <v>0</v>
          </cell>
          <cell r="BE49">
            <v>0</v>
          </cell>
          <cell r="BF49">
            <v>110.532</v>
          </cell>
          <cell r="BI49">
            <v>0</v>
          </cell>
        </row>
        <row r="50">
          <cell r="F50" t="str">
            <v>R</v>
          </cell>
          <cell r="P50">
            <v>110.31699999999999</v>
          </cell>
          <cell r="Q50">
            <v>110.301</v>
          </cell>
          <cell r="AA50">
            <v>110.532</v>
          </cell>
          <cell r="AC50">
            <v>15.51</v>
          </cell>
          <cell r="AF50">
            <v>0</v>
          </cell>
          <cell r="AG50">
            <v>0</v>
          </cell>
          <cell r="AI50">
            <v>0</v>
          </cell>
          <cell r="AJ50">
            <v>0</v>
          </cell>
          <cell r="AK50">
            <v>0</v>
          </cell>
          <cell r="AL50" t="str">
            <v>--</v>
          </cell>
          <cell r="AM50">
            <v>0</v>
          </cell>
          <cell r="AN50" t="str">
            <v>--</v>
          </cell>
          <cell r="AO50" t="str">
            <v>--</v>
          </cell>
          <cell r="AP50" t="str">
            <v>--</v>
          </cell>
          <cell r="AQ50" t="str">
            <v>--</v>
          </cell>
          <cell r="AS50">
            <v>0</v>
          </cell>
        </row>
        <row r="51">
          <cell r="A51">
            <v>23</v>
          </cell>
          <cell r="B51" t="str">
            <v>Washout chamber</v>
          </cell>
          <cell r="C51">
            <v>1217.69</v>
          </cell>
          <cell r="D51" t="str">
            <v>Bend   (TB-8)</v>
          </cell>
          <cell r="E51">
            <v>1262.79</v>
          </cell>
          <cell r="F51" t="str">
            <v>L</v>
          </cell>
          <cell r="G51">
            <v>45.099999999999909</v>
          </cell>
          <cell r="H51">
            <v>3</v>
          </cell>
          <cell r="I51">
            <v>42.099999999999909</v>
          </cell>
          <cell r="M51">
            <v>107.92</v>
          </cell>
          <cell r="N51">
            <v>107.92</v>
          </cell>
          <cell r="O51">
            <v>107.92</v>
          </cell>
          <cell r="P51">
            <v>1217.69</v>
          </cell>
          <cell r="Q51">
            <v>1220</v>
          </cell>
          <cell r="R51">
            <v>1230</v>
          </cell>
          <cell r="S51">
            <v>1240</v>
          </cell>
          <cell r="T51">
            <v>1250</v>
          </cell>
          <cell r="U51">
            <v>1260</v>
          </cell>
          <cell r="AA51">
            <v>1262.79</v>
          </cell>
          <cell r="AB51" t="str">
            <v>110.59</v>
          </cell>
          <cell r="AC51">
            <v>2.6700000000000017</v>
          </cell>
          <cell r="AF51">
            <v>0</v>
          </cell>
          <cell r="AG51">
            <v>0</v>
          </cell>
          <cell r="AI51">
            <v>0</v>
          </cell>
          <cell r="AJ51">
            <v>0</v>
          </cell>
          <cell r="AK51">
            <v>0</v>
          </cell>
          <cell r="AL51" t="str">
            <v>--</v>
          </cell>
          <cell r="AM51" t="str">
            <v>--</v>
          </cell>
          <cell r="AN51">
            <v>0</v>
          </cell>
          <cell r="AO51" t="str">
            <v>--</v>
          </cell>
          <cell r="AP51" t="str">
            <v>--</v>
          </cell>
          <cell r="AQ51" t="str">
            <v>--</v>
          </cell>
          <cell r="AS51">
            <v>0</v>
          </cell>
          <cell r="AU51">
            <v>110.532</v>
          </cell>
          <cell r="AV51">
            <v>110.601</v>
          </cell>
          <cell r="AW51">
            <v>110.607</v>
          </cell>
          <cell r="AX51">
            <v>110.61499999999999</v>
          </cell>
          <cell r="AY51">
            <v>110.54600000000001</v>
          </cell>
          <cell r="AZ51">
            <v>110.598</v>
          </cell>
          <cell r="BA51">
            <v>0</v>
          </cell>
          <cell r="BB51">
            <v>0</v>
          </cell>
          <cell r="BC51">
            <v>0</v>
          </cell>
          <cell r="BD51">
            <v>0</v>
          </cell>
          <cell r="BE51">
            <v>0</v>
          </cell>
          <cell r="BF51">
            <v>110.598</v>
          </cell>
          <cell r="BI51">
            <v>0</v>
          </cell>
        </row>
        <row r="52">
          <cell r="F52" t="str">
            <v>R</v>
          </cell>
          <cell r="P52">
            <v>110.532</v>
          </cell>
          <cell r="Q52">
            <v>110.601</v>
          </cell>
          <cell r="R52">
            <v>110.607</v>
          </cell>
          <cell r="S52">
            <v>110.61499999999999</v>
          </cell>
          <cell r="T52">
            <v>110.54600000000001</v>
          </cell>
          <cell r="U52">
            <v>110.598</v>
          </cell>
          <cell r="AA52">
            <v>110.598</v>
          </cell>
          <cell r="AC52">
            <v>16.510000000000002</v>
          </cell>
          <cell r="AF52">
            <v>0</v>
          </cell>
          <cell r="AG52">
            <v>0</v>
          </cell>
          <cell r="AI52">
            <v>0</v>
          </cell>
          <cell r="AJ52">
            <v>0</v>
          </cell>
          <cell r="AK52">
            <v>0</v>
          </cell>
          <cell r="AL52" t="str">
            <v>--</v>
          </cell>
          <cell r="AM52" t="str">
            <v>--</v>
          </cell>
          <cell r="AN52">
            <v>0</v>
          </cell>
          <cell r="AO52" t="str">
            <v>--</v>
          </cell>
          <cell r="AP52" t="str">
            <v>--</v>
          </cell>
          <cell r="AQ52" t="str">
            <v>--</v>
          </cell>
          <cell r="AS52">
            <v>0</v>
          </cell>
        </row>
        <row r="53">
          <cell r="A53">
            <v>24</v>
          </cell>
          <cell r="B53" t="str">
            <v>Bend   (TB-8)</v>
          </cell>
          <cell r="C53">
            <v>1262.79</v>
          </cell>
          <cell r="D53" t="str">
            <v>--</v>
          </cell>
          <cell r="E53">
            <v>2311.16</v>
          </cell>
          <cell r="F53" t="str">
            <v>L</v>
          </cell>
          <cell r="G53">
            <v>1048.3699999999999</v>
          </cell>
          <cell r="H53">
            <v>0</v>
          </cell>
          <cell r="I53">
            <v>1048.3699999999999</v>
          </cell>
          <cell r="M53">
            <v>107.92</v>
          </cell>
          <cell r="N53">
            <v>107.29</v>
          </cell>
          <cell r="O53">
            <v>107.605</v>
          </cell>
          <cell r="P53">
            <v>1262.79</v>
          </cell>
          <cell r="Q53">
            <v>1270</v>
          </cell>
          <cell r="R53">
            <v>1280</v>
          </cell>
          <cell r="S53">
            <v>1290</v>
          </cell>
          <cell r="T53">
            <v>1300</v>
          </cell>
          <cell r="U53">
            <v>1310</v>
          </cell>
          <cell r="V53">
            <v>1320</v>
          </cell>
          <cell r="AA53">
            <v>1329.04</v>
          </cell>
          <cell r="AB53" t="str">
            <v>110.63</v>
          </cell>
          <cell r="AC53">
            <v>3.0249999999999915</v>
          </cell>
          <cell r="AF53">
            <v>0</v>
          </cell>
          <cell r="AG53">
            <v>0</v>
          </cell>
          <cell r="AI53">
            <v>0</v>
          </cell>
          <cell r="AJ53">
            <v>0</v>
          </cell>
          <cell r="AK53">
            <v>0</v>
          </cell>
          <cell r="AL53" t="str">
            <v>--</v>
          </cell>
          <cell r="AM53" t="str">
            <v>--</v>
          </cell>
          <cell r="AN53" t="str">
            <v>--</v>
          </cell>
          <cell r="AO53">
            <v>0</v>
          </cell>
          <cell r="AP53" t="str">
            <v>--</v>
          </cell>
          <cell r="AQ53" t="str">
            <v>--</v>
          </cell>
          <cell r="AS53">
            <v>0</v>
          </cell>
          <cell r="AU53">
            <v>110.598</v>
          </cell>
          <cell r="AV53">
            <v>110.574</v>
          </cell>
          <cell r="AW53">
            <v>110.706</v>
          </cell>
          <cell r="AX53">
            <v>110.657</v>
          </cell>
          <cell r="AY53">
            <v>110.741</v>
          </cell>
          <cell r="AZ53">
            <v>110.676</v>
          </cell>
          <cell r="BA53">
            <v>110.53700000000001</v>
          </cell>
          <cell r="BB53">
            <v>0</v>
          </cell>
          <cell r="BC53">
            <v>0</v>
          </cell>
          <cell r="BD53">
            <v>0</v>
          </cell>
          <cell r="BE53">
            <v>0</v>
          </cell>
          <cell r="BF53">
            <v>110.568</v>
          </cell>
          <cell r="BI53">
            <v>0</v>
          </cell>
        </row>
        <row r="54">
          <cell r="F54" t="str">
            <v>R</v>
          </cell>
          <cell r="P54">
            <v>110.598</v>
          </cell>
          <cell r="Q54">
            <v>110.574</v>
          </cell>
          <cell r="R54">
            <v>110.706</v>
          </cell>
          <cell r="S54">
            <v>110.657</v>
          </cell>
          <cell r="T54">
            <v>110.741</v>
          </cell>
          <cell r="U54">
            <v>110.676</v>
          </cell>
          <cell r="V54">
            <v>110.53700000000001</v>
          </cell>
          <cell r="AA54">
            <v>110.568</v>
          </cell>
          <cell r="AC54">
            <v>17.510000000000002</v>
          </cell>
          <cell r="AF54">
            <v>0</v>
          </cell>
          <cell r="AG54">
            <v>0</v>
          </cell>
          <cell r="AI54">
            <v>0</v>
          </cell>
          <cell r="AJ54">
            <v>0</v>
          </cell>
          <cell r="AK54">
            <v>0</v>
          </cell>
          <cell r="AL54" t="str">
            <v>--</v>
          </cell>
          <cell r="AM54" t="str">
            <v>--</v>
          </cell>
          <cell r="AN54" t="str">
            <v>--</v>
          </cell>
          <cell r="AO54">
            <v>0</v>
          </cell>
          <cell r="AP54" t="str">
            <v>--</v>
          </cell>
          <cell r="AQ54" t="str">
            <v>--</v>
          </cell>
          <cell r="AS54">
            <v>0</v>
          </cell>
        </row>
        <row r="55">
          <cell r="A55">
            <v>44</v>
          </cell>
          <cell r="B55" t="str">
            <v>--</v>
          </cell>
          <cell r="C55">
            <v>2311.16</v>
          </cell>
          <cell r="D55" t="str">
            <v>--</v>
          </cell>
          <cell r="E55">
            <v>2411.16</v>
          </cell>
          <cell r="F55" t="str">
            <v>L</v>
          </cell>
          <cell r="G55">
            <v>100</v>
          </cell>
          <cell r="H55">
            <v>0</v>
          </cell>
          <cell r="I55">
            <v>100</v>
          </cell>
          <cell r="M55">
            <v>107.29</v>
          </cell>
          <cell r="O55">
            <v>110.53</v>
          </cell>
          <cell r="AB55">
            <v>112.38</v>
          </cell>
          <cell r="AC55">
            <v>1.86</v>
          </cell>
          <cell r="AF55">
            <v>0</v>
          </cell>
          <cell r="AG55">
            <v>0</v>
          </cell>
          <cell r="AJ55">
            <v>0</v>
          </cell>
          <cell r="AK55">
            <v>0</v>
          </cell>
          <cell r="AL55">
            <v>0</v>
          </cell>
          <cell r="AM55" t="str">
            <v>--</v>
          </cell>
          <cell r="AN55" t="str">
            <v>--</v>
          </cell>
          <cell r="AO55" t="str">
            <v>--</v>
          </cell>
          <cell r="AP55" t="str">
            <v>--</v>
          </cell>
          <cell r="AQ55" t="str">
            <v>--</v>
          </cell>
          <cell r="AS55">
            <v>0</v>
          </cell>
          <cell r="AU55">
            <v>0</v>
          </cell>
          <cell r="AV55">
            <v>0</v>
          </cell>
          <cell r="AW55">
            <v>0</v>
          </cell>
          <cell r="AX55">
            <v>0</v>
          </cell>
          <cell r="AY55">
            <v>0</v>
          </cell>
          <cell r="AZ55">
            <v>0</v>
          </cell>
          <cell r="BA55">
            <v>0</v>
          </cell>
          <cell r="BB55">
            <v>0</v>
          </cell>
          <cell r="BC55">
            <v>0</v>
          </cell>
          <cell r="BD55">
            <v>0</v>
          </cell>
          <cell r="BE55">
            <v>0</v>
          </cell>
          <cell r="BF55">
            <v>0</v>
          </cell>
        </row>
        <row r="56">
          <cell r="F56" t="str">
            <v>R</v>
          </cell>
          <cell r="AF56">
            <v>95</v>
          </cell>
          <cell r="AG56">
            <v>0.7</v>
          </cell>
          <cell r="AJ56">
            <v>0.7</v>
          </cell>
          <cell r="AK56">
            <v>66.5</v>
          </cell>
          <cell r="AL56">
            <v>66.5</v>
          </cell>
          <cell r="AM56" t="str">
            <v>--</v>
          </cell>
          <cell r="AN56" t="str">
            <v>--</v>
          </cell>
          <cell r="AO56" t="str">
            <v>--</v>
          </cell>
          <cell r="AP56" t="str">
            <v>--</v>
          </cell>
          <cell r="AQ56" t="str">
            <v>--</v>
          </cell>
          <cell r="AS56">
            <v>0</v>
          </cell>
        </row>
        <row r="57">
          <cell r="A57">
            <v>24</v>
          </cell>
          <cell r="E57">
            <v>0</v>
          </cell>
          <cell r="I57">
            <v>0</v>
          </cell>
          <cell r="AF57">
            <v>0</v>
          </cell>
          <cell r="AG57">
            <v>0</v>
          </cell>
          <cell r="AJ57">
            <v>0</v>
          </cell>
          <cell r="AK57">
            <v>0</v>
          </cell>
          <cell r="AS57">
            <v>0</v>
          </cell>
          <cell r="AU57">
            <v>0</v>
          </cell>
          <cell r="AV57">
            <v>0</v>
          </cell>
          <cell r="AW57">
            <v>0</v>
          </cell>
          <cell r="AX57">
            <v>0</v>
          </cell>
          <cell r="AY57">
            <v>0</v>
          </cell>
          <cell r="AZ57">
            <v>0</v>
          </cell>
          <cell r="BA57">
            <v>0</v>
          </cell>
          <cell r="BB57">
            <v>0</v>
          </cell>
          <cell r="BC57">
            <v>0</v>
          </cell>
          <cell r="BD57">
            <v>0</v>
          </cell>
          <cell r="BE57">
            <v>0</v>
          </cell>
          <cell r="BF57">
            <v>0</v>
          </cell>
        </row>
        <row r="58">
          <cell r="AF58">
            <v>0</v>
          </cell>
          <cell r="AG58">
            <v>0</v>
          </cell>
          <cell r="AJ58">
            <v>0</v>
          </cell>
          <cell r="AK58">
            <v>0</v>
          </cell>
          <cell r="AS58">
            <v>0</v>
          </cell>
        </row>
        <row r="59">
          <cell r="A59">
            <v>25</v>
          </cell>
          <cell r="E59">
            <v>0</v>
          </cell>
          <cell r="I59">
            <v>0</v>
          </cell>
          <cell r="AF59">
            <v>0</v>
          </cell>
          <cell r="AG59">
            <v>0</v>
          </cell>
          <cell r="AJ59">
            <v>0</v>
          </cell>
          <cell r="AK59">
            <v>0</v>
          </cell>
          <cell r="AS59">
            <v>0</v>
          </cell>
          <cell r="AU59">
            <v>0</v>
          </cell>
          <cell r="AV59">
            <v>0</v>
          </cell>
          <cell r="AW59">
            <v>0</v>
          </cell>
          <cell r="AX59">
            <v>0</v>
          </cell>
          <cell r="AY59">
            <v>0</v>
          </cell>
          <cell r="AZ59">
            <v>0</v>
          </cell>
          <cell r="BA59">
            <v>0</v>
          </cell>
          <cell r="BB59">
            <v>0</v>
          </cell>
          <cell r="BC59">
            <v>0</v>
          </cell>
          <cell r="BD59">
            <v>0</v>
          </cell>
          <cell r="BE59">
            <v>0</v>
          </cell>
          <cell r="BF59">
            <v>0</v>
          </cell>
        </row>
        <row r="60">
          <cell r="AF60">
            <v>0</v>
          </cell>
          <cell r="AG60">
            <v>0</v>
          </cell>
          <cell r="AJ60">
            <v>0</v>
          </cell>
          <cell r="AK60">
            <v>0</v>
          </cell>
          <cell r="AS60">
            <v>0</v>
          </cell>
        </row>
        <row r="61">
          <cell r="A61">
            <v>26</v>
          </cell>
          <cell r="E61">
            <v>0</v>
          </cell>
          <cell r="AK61">
            <v>0</v>
          </cell>
          <cell r="AS61">
            <v>0</v>
          </cell>
          <cell r="AU61">
            <v>0</v>
          </cell>
          <cell r="AV61">
            <v>0</v>
          </cell>
          <cell r="AW61">
            <v>0</v>
          </cell>
          <cell r="AX61">
            <v>0</v>
          </cell>
          <cell r="AY61">
            <v>0</v>
          </cell>
          <cell r="AZ61">
            <v>0</v>
          </cell>
          <cell r="BA61">
            <v>0</v>
          </cell>
          <cell r="BB61">
            <v>0</v>
          </cell>
          <cell r="BC61">
            <v>0</v>
          </cell>
          <cell r="BD61">
            <v>0</v>
          </cell>
          <cell r="BE61">
            <v>0</v>
          </cell>
          <cell r="BF61">
            <v>0</v>
          </cell>
        </row>
        <row r="62">
          <cell r="AK62">
            <v>0</v>
          </cell>
          <cell r="AS62">
            <v>0</v>
          </cell>
        </row>
        <row r="63">
          <cell r="A63">
            <v>27</v>
          </cell>
          <cell r="E63">
            <v>0</v>
          </cell>
          <cell r="AK63">
            <v>0</v>
          </cell>
          <cell r="AS63">
            <v>0</v>
          </cell>
          <cell r="AU63">
            <v>0</v>
          </cell>
          <cell r="AV63">
            <v>0</v>
          </cell>
          <cell r="AW63">
            <v>0</v>
          </cell>
          <cell r="AX63">
            <v>0</v>
          </cell>
          <cell r="AY63">
            <v>0</v>
          </cell>
          <cell r="AZ63">
            <v>0</v>
          </cell>
          <cell r="BA63">
            <v>0</v>
          </cell>
          <cell r="BB63">
            <v>0</v>
          </cell>
          <cell r="BC63">
            <v>0</v>
          </cell>
          <cell r="BD63">
            <v>0</v>
          </cell>
          <cell r="BE63">
            <v>0</v>
          </cell>
          <cell r="BF63">
            <v>0</v>
          </cell>
        </row>
        <row r="64">
          <cell r="AK64">
            <v>0</v>
          </cell>
          <cell r="AS64">
            <v>0</v>
          </cell>
        </row>
        <row r="65">
          <cell r="A65">
            <v>28</v>
          </cell>
          <cell r="E65">
            <v>0</v>
          </cell>
          <cell r="AK65">
            <v>0</v>
          </cell>
          <cell r="AS65">
            <v>0</v>
          </cell>
          <cell r="AU65">
            <v>0</v>
          </cell>
          <cell r="AV65">
            <v>0</v>
          </cell>
          <cell r="AW65">
            <v>0</v>
          </cell>
          <cell r="AX65">
            <v>0</v>
          </cell>
          <cell r="AY65">
            <v>0</v>
          </cell>
          <cell r="AZ65">
            <v>0</v>
          </cell>
          <cell r="BA65">
            <v>0</v>
          </cell>
          <cell r="BB65">
            <v>0</v>
          </cell>
          <cell r="BC65">
            <v>0</v>
          </cell>
          <cell r="BD65">
            <v>0</v>
          </cell>
          <cell r="BE65">
            <v>0</v>
          </cell>
          <cell r="BF65">
            <v>0</v>
          </cell>
        </row>
        <row r="66">
          <cell r="AK66">
            <v>0</v>
          </cell>
          <cell r="AS66">
            <v>0</v>
          </cell>
        </row>
        <row r="67">
          <cell r="A67">
            <v>29</v>
          </cell>
          <cell r="E67">
            <v>0</v>
          </cell>
          <cell r="AK67">
            <v>0</v>
          </cell>
          <cell r="AS67">
            <v>0</v>
          </cell>
          <cell r="AU67">
            <v>0</v>
          </cell>
          <cell r="AV67">
            <v>0</v>
          </cell>
          <cell r="AW67">
            <v>0</v>
          </cell>
          <cell r="AX67">
            <v>0</v>
          </cell>
          <cell r="AY67">
            <v>0</v>
          </cell>
          <cell r="AZ67">
            <v>0</v>
          </cell>
          <cell r="BA67">
            <v>0</v>
          </cell>
          <cell r="BB67">
            <v>0</v>
          </cell>
          <cell r="BC67">
            <v>0</v>
          </cell>
          <cell r="BD67">
            <v>0</v>
          </cell>
          <cell r="BE67">
            <v>0</v>
          </cell>
          <cell r="BF67">
            <v>0</v>
          </cell>
        </row>
        <row r="68">
          <cell r="AK68">
            <v>0</v>
          </cell>
          <cell r="AS68">
            <v>0</v>
          </cell>
        </row>
        <row r="69">
          <cell r="A69">
            <v>30</v>
          </cell>
          <cell r="E69">
            <v>0</v>
          </cell>
          <cell r="AK69">
            <v>0</v>
          </cell>
          <cell r="AS69">
            <v>0</v>
          </cell>
          <cell r="AU69">
            <v>0</v>
          </cell>
          <cell r="AV69">
            <v>0</v>
          </cell>
          <cell r="AW69">
            <v>0</v>
          </cell>
          <cell r="AX69">
            <v>0</v>
          </cell>
          <cell r="AY69">
            <v>0</v>
          </cell>
          <cell r="AZ69">
            <v>0</v>
          </cell>
          <cell r="BA69">
            <v>0</v>
          </cell>
          <cell r="BB69">
            <v>0</v>
          </cell>
          <cell r="BC69">
            <v>0</v>
          </cell>
          <cell r="BD69">
            <v>0</v>
          </cell>
          <cell r="BE69">
            <v>0</v>
          </cell>
          <cell r="BF69">
            <v>0</v>
          </cell>
        </row>
        <row r="70">
          <cell r="AK70">
            <v>0</v>
          </cell>
          <cell r="AS70">
            <v>0</v>
          </cell>
        </row>
        <row r="71">
          <cell r="A71">
            <v>31</v>
          </cell>
          <cell r="AK71">
            <v>0</v>
          </cell>
          <cell r="AS71">
            <v>0</v>
          </cell>
          <cell r="AU71">
            <v>0</v>
          </cell>
          <cell r="AV71">
            <v>0</v>
          </cell>
          <cell r="AW71">
            <v>0</v>
          </cell>
          <cell r="AX71">
            <v>0</v>
          </cell>
          <cell r="AY71">
            <v>0</v>
          </cell>
          <cell r="AZ71">
            <v>0</v>
          </cell>
          <cell r="BA71">
            <v>0</v>
          </cell>
          <cell r="BB71">
            <v>0</v>
          </cell>
          <cell r="BC71">
            <v>0</v>
          </cell>
          <cell r="BD71">
            <v>0</v>
          </cell>
          <cell r="BE71">
            <v>0</v>
          </cell>
          <cell r="BF71">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wt"/>
      <sheetName val="WT-DIST"/>
    </sheetNames>
    <sheetDataSet>
      <sheetData sheetId="0" refreshError="1"/>
      <sheetData sheetId="1">
        <row r="9">
          <cell r="N9">
            <v>36526</v>
          </cell>
          <cell r="O9">
            <v>36556</v>
          </cell>
          <cell r="P9">
            <v>36586</v>
          </cell>
          <cell r="Q9">
            <v>36616</v>
          </cell>
          <cell r="R9">
            <v>36646</v>
          </cell>
          <cell r="S9">
            <v>36676</v>
          </cell>
          <cell r="T9">
            <v>36706</v>
          </cell>
          <cell r="U9">
            <v>36736</v>
          </cell>
          <cell r="V9">
            <v>36766</v>
          </cell>
          <cell r="W9">
            <v>36796</v>
          </cell>
          <cell r="X9">
            <v>36826</v>
          </cell>
          <cell r="Y9">
            <v>36856</v>
          </cell>
          <cell r="Z9">
            <v>36886</v>
          </cell>
          <cell r="AA9">
            <v>36916</v>
          </cell>
          <cell r="AB9">
            <v>36946</v>
          </cell>
          <cell r="AC9">
            <v>36976</v>
          </cell>
          <cell r="AD9">
            <v>37006</v>
          </cell>
          <cell r="AE9">
            <v>37036</v>
          </cell>
          <cell r="AF9">
            <v>37066</v>
          </cell>
          <cell r="AG9">
            <v>37096</v>
          </cell>
          <cell r="AH9">
            <v>37126</v>
          </cell>
          <cell r="AI9">
            <v>37156</v>
          </cell>
          <cell r="AJ9">
            <v>37186</v>
          </cell>
          <cell r="AK9">
            <v>37216</v>
          </cell>
          <cell r="AL9">
            <v>37246</v>
          </cell>
          <cell r="AM9">
            <v>37276</v>
          </cell>
          <cell r="AN9">
            <v>37306</v>
          </cell>
          <cell r="AO9">
            <v>37336</v>
          </cell>
          <cell r="AP9">
            <v>37366</v>
          </cell>
          <cell r="AQ9">
            <v>37396</v>
          </cell>
          <cell r="AR9">
            <v>37426</v>
          </cell>
          <cell r="AS9">
            <v>37456</v>
          </cell>
          <cell r="AT9">
            <v>37486</v>
          </cell>
          <cell r="AU9">
            <v>37516</v>
          </cell>
          <cell r="AV9">
            <v>37546</v>
          </cell>
          <cell r="AW9">
            <v>37576</v>
          </cell>
          <cell r="AX9">
            <v>37606</v>
          </cell>
          <cell r="AY9">
            <v>37636</v>
          </cell>
          <cell r="AZ9">
            <v>37666</v>
          </cell>
          <cell r="BA9">
            <v>37696</v>
          </cell>
          <cell r="BB9">
            <v>37726</v>
          </cell>
          <cell r="BC9">
            <v>37756</v>
          </cell>
          <cell r="BD9">
            <v>37786</v>
          </cell>
          <cell r="BE9">
            <v>37816</v>
          </cell>
          <cell r="BF9">
            <v>37846</v>
          </cell>
          <cell r="BG9">
            <v>37876</v>
          </cell>
          <cell r="BH9">
            <v>37906</v>
          </cell>
          <cell r="BI9">
            <v>37936</v>
          </cell>
          <cell r="BJ9">
            <v>37966</v>
          </cell>
          <cell r="BK9">
            <v>37996</v>
          </cell>
          <cell r="BL9">
            <v>38026</v>
          </cell>
          <cell r="BM9">
            <v>38056</v>
          </cell>
          <cell r="BN9">
            <v>38086</v>
          </cell>
          <cell r="BO9">
            <v>38116</v>
          </cell>
          <cell r="BP9">
            <v>38146</v>
          </cell>
          <cell r="BQ9">
            <v>38176</v>
          </cell>
          <cell r="BR9">
            <v>38206</v>
          </cell>
          <cell r="BS9">
            <v>38236</v>
          </cell>
          <cell r="BT9">
            <v>38266</v>
          </cell>
          <cell r="BU9">
            <v>38296</v>
          </cell>
          <cell r="BV9">
            <v>38326</v>
          </cell>
          <cell r="BW9">
            <v>38356</v>
          </cell>
          <cell r="BX9">
            <v>38386</v>
          </cell>
          <cell r="BY9">
            <v>38416</v>
          </cell>
          <cell r="BZ9">
            <v>38446</v>
          </cell>
          <cell r="CA9">
            <v>38476</v>
          </cell>
          <cell r="CB9">
            <v>38506</v>
          </cell>
          <cell r="CC9">
            <v>38536</v>
          </cell>
          <cell r="CD9">
            <v>38566</v>
          </cell>
          <cell r="CE9">
            <v>38596</v>
          </cell>
          <cell r="CF9">
            <v>38626</v>
          </cell>
          <cell r="CG9">
            <v>38656</v>
          </cell>
          <cell r="CH9">
            <v>38686</v>
          </cell>
          <cell r="CI9">
            <v>38716</v>
          </cell>
          <cell r="CJ9">
            <v>38746</v>
          </cell>
          <cell r="CK9">
            <v>38776</v>
          </cell>
          <cell r="CL9">
            <v>38806</v>
          </cell>
          <cell r="CM9">
            <v>38836</v>
          </cell>
          <cell r="CN9">
            <v>38866</v>
          </cell>
          <cell r="CO9">
            <v>38896</v>
          </cell>
          <cell r="CP9">
            <v>38926</v>
          </cell>
          <cell r="CQ9">
            <v>38956</v>
          </cell>
          <cell r="CR9">
            <v>38986</v>
          </cell>
          <cell r="CS9">
            <v>39016</v>
          </cell>
          <cell r="CT9">
            <v>39046</v>
          </cell>
          <cell r="CU9">
            <v>39076</v>
          </cell>
          <cell r="CV9">
            <v>39106</v>
          </cell>
          <cell r="CW9">
            <v>39136</v>
          </cell>
          <cell r="CX9">
            <v>39166</v>
          </cell>
          <cell r="CY9">
            <v>39196</v>
          </cell>
          <cell r="CZ9">
            <v>39226</v>
          </cell>
          <cell r="DA9">
            <v>39256</v>
          </cell>
          <cell r="DB9">
            <v>39286</v>
          </cell>
          <cell r="DC9">
            <v>39316</v>
          </cell>
          <cell r="DD9">
            <v>39346</v>
          </cell>
          <cell r="DE9">
            <v>39376</v>
          </cell>
          <cell r="DF9">
            <v>39406</v>
          </cell>
          <cell r="DG9">
            <v>39436</v>
          </cell>
          <cell r="DH9">
            <v>39466</v>
          </cell>
          <cell r="DI9">
            <v>39496</v>
          </cell>
          <cell r="DJ9">
            <v>39526</v>
          </cell>
          <cell r="DK9">
            <v>39556</v>
          </cell>
          <cell r="DL9">
            <v>39586</v>
          </cell>
          <cell r="DM9">
            <v>39616</v>
          </cell>
          <cell r="DN9">
            <v>39646</v>
          </cell>
          <cell r="DO9">
            <v>39676</v>
          </cell>
          <cell r="DP9">
            <v>39706</v>
          </cell>
          <cell r="DQ9">
            <v>39736</v>
          </cell>
          <cell r="DR9">
            <v>39766</v>
          </cell>
          <cell r="DS9">
            <v>39796</v>
          </cell>
          <cell r="DT9">
            <v>39826</v>
          </cell>
          <cell r="DU9">
            <v>39856</v>
          </cell>
          <cell r="DV9">
            <v>39886</v>
          </cell>
          <cell r="DW9">
            <v>39916</v>
          </cell>
          <cell r="DX9">
            <v>39946</v>
          </cell>
          <cell r="DY9">
            <v>39976</v>
          </cell>
          <cell r="DZ9">
            <v>40006</v>
          </cell>
          <cell r="EA9">
            <v>40036</v>
          </cell>
          <cell r="EB9">
            <v>40066</v>
          </cell>
          <cell r="EC9">
            <v>40096</v>
          </cell>
          <cell r="ED9">
            <v>40126</v>
          </cell>
          <cell r="EE9">
            <v>40156</v>
          </cell>
          <cell r="EF9">
            <v>40186</v>
          </cell>
          <cell r="EG9">
            <v>40216</v>
          </cell>
          <cell r="EH9">
            <v>40246</v>
          </cell>
          <cell r="EI9">
            <v>40276</v>
          </cell>
          <cell r="EJ9">
            <v>40306</v>
          </cell>
          <cell r="EK9">
            <v>40336</v>
          </cell>
          <cell r="EL9">
            <v>40366</v>
          </cell>
          <cell r="EM9">
            <v>40396</v>
          </cell>
          <cell r="EN9">
            <v>40426</v>
          </cell>
          <cell r="EO9">
            <v>40456</v>
          </cell>
          <cell r="EP9">
            <v>40486</v>
          </cell>
          <cell r="EQ9">
            <v>40516</v>
          </cell>
          <cell r="ER9">
            <v>40546</v>
          </cell>
          <cell r="ES9">
            <v>40576</v>
          </cell>
          <cell r="ET9">
            <v>40606</v>
          </cell>
          <cell r="EU9">
            <v>40636</v>
          </cell>
          <cell r="EV9">
            <v>40666</v>
          </cell>
          <cell r="EW9">
            <v>40696</v>
          </cell>
          <cell r="EX9">
            <v>40726</v>
          </cell>
          <cell r="EY9">
            <v>40756</v>
          </cell>
          <cell r="EZ9">
            <v>40786</v>
          </cell>
          <cell r="FA9">
            <v>40816</v>
          </cell>
          <cell r="FB9">
            <v>40846</v>
          </cell>
          <cell r="FC9">
            <v>40876</v>
          </cell>
          <cell r="FD9">
            <v>40906</v>
          </cell>
          <cell r="FE9">
            <v>40936</v>
          </cell>
          <cell r="FF9">
            <v>40966</v>
          </cell>
          <cell r="FG9">
            <v>40996</v>
          </cell>
          <cell r="FH9">
            <v>41026</v>
          </cell>
          <cell r="FI9">
            <v>41056</v>
          </cell>
          <cell r="FJ9">
            <v>41086</v>
          </cell>
          <cell r="FK9">
            <v>41116</v>
          </cell>
          <cell r="FL9">
            <v>41146</v>
          </cell>
          <cell r="FM9">
            <v>41176</v>
          </cell>
          <cell r="FN9">
            <v>41206</v>
          </cell>
        </row>
        <row r="10">
          <cell r="O10"/>
          <cell r="P10"/>
          <cell r="Q10"/>
          <cell r="R10"/>
          <cell r="S10"/>
          <cell r="T10"/>
          <cell r="U10"/>
          <cell r="V10"/>
          <cell r="W10"/>
          <cell r="X10"/>
          <cell r="Y10"/>
          <cell r="Z10"/>
          <cell r="AA10"/>
          <cell r="AB10"/>
          <cell r="AC10"/>
          <cell r="AD10"/>
          <cell r="AE10"/>
          <cell r="AF10"/>
          <cell r="AG10"/>
          <cell r="AH10"/>
          <cell r="AI10"/>
          <cell r="AJ10"/>
          <cell r="AK10"/>
          <cell r="AL10"/>
          <cell r="AM10"/>
          <cell r="AN10"/>
          <cell r="AO10"/>
          <cell r="AP10"/>
          <cell r="AQ10"/>
          <cell r="AR10"/>
          <cell r="AS10"/>
          <cell r="AT10"/>
          <cell r="AU10"/>
          <cell r="AV10"/>
          <cell r="AW10"/>
          <cell r="AX10"/>
          <cell r="AY10"/>
          <cell r="AZ10"/>
          <cell r="BA10"/>
          <cell r="BB10"/>
          <cell r="BC10"/>
          <cell r="BD10"/>
          <cell r="BE10"/>
          <cell r="BF10"/>
          <cell r="BG10"/>
          <cell r="BH10"/>
          <cell r="BI10"/>
          <cell r="BJ10"/>
          <cell r="BK10"/>
          <cell r="BL10"/>
          <cell r="BM10"/>
          <cell r="BN10"/>
          <cell r="BO10"/>
          <cell r="BP10"/>
          <cell r="BQ10"/>
          <cell r="BR10"/>
          <cell r="BS10"/>
          <cell r="BT10"/>
          <cell r="BU10"/>
          <cell r="BV10"/>
          <cell r="BW10"/>
          <cell r="BX10"/>
          <cell r="BY10"/>
          <cell r="BZ10"/>
          <cell r="CA10"/>
          <cell r="CB10"/>
          <cell r="CC10"/>
          <cell r="CD10"/>
          <cell r="CE10"/>
          <cell r="CF10"/>
          <cell r="CG10"/>
          <cell r="CH10"/>
          <cell r="CI10"/>
          <cell r="CJ10"/>
          <cell r="CK10"/>
          <cell r="CL10"/>
          <cell r="CM10"/>
          <cell r="CN10"/>
          <cell r="CO10"/>
          <cell r="CP10"/>
          <cell r="CQ10"/>
          <cell r="CR10"/>
          <cell r="CS10"/>
          <cell r="CT10"/>
          <cell r="CU10"/>
          <cell r="CV10"/>
          <cell r="CW10"/>
          <cell r="CX10"/>
          <cell r="CY10"/>
          <cell r="CZ10"/>
          <cell r="DA10"/>
          <cell r="DB10"/>
          <cell r="DC10"/>
          <cell r="DD10"/>
          <cell r="DE10"/>
          <cell r="DF10"/>
          <cell r="DG10"/>
          <cell r="DH10"/>
          <cell r="DI10"/>
          <cell r="DJ10"/>
          <cell r="DK10"/>
          <cell r="DL10"/>
          <cell r="DM10"/>
          <cell r="DN10"/>
          <cell r="DO10"/>
          <cell r="DP10"/>
          <cell r="DQ10"/>
          <cell r="DR10"/>
          <cell r="DS10"/>
          <cell r="DT10"/>
          <cell r="DU10"/>
          <cell r="DV10"/>
          <cell r="DW10"/>
          <cell r="DX10"/>
          <cell r="DY10"/>
          <cell r="DZ10"/>
          <cell r="EA10"/>
          <cell r="EB10"/>
          <cell r="EC10"/>
          <cell r="ED10"/>
          <cell r="EE10"/>
          <cell r="EF10"/>
          <cell r="EG10"/>
          <cell r="EH10"/>
          <cell r="EI10"/>
          <cell r="EJ10"/>
          <cell r="EK10"/>
          <cell r="EL10"/>
          <cell r="EM10"/>
          <cell r="EN10"/>
          <cell r="EO10"/>
          <cell r="EP10"/>
          <cell r="EQ10"/>
          <cell r="ER10"/>
          <cell r="ES10"/>
          <cell r="ET10"/>
          <cell r="EU10"/>
          <cell r="EV10"/>
          <cell r="EW10"/>
          <cell r="EX10"/>
          <cell r="EY10"/>
          <cell r="EZ10"/>
          <cell r="FA10"/>
          <cell r="FB10"/>
          <cell r="FC10"/>
          <cell r="FD10"/>
          <cell r="FE10"/>
          <cell r="FF10"/>
          <cell r="FG10"/>
          <cell r="FH10"/>
          <cell r="FI10"/>
          <cell r="FJ10"/>
          <cell r="FK10"/>
          <cell r="FL10"/>
          <cell r="FM10"/>
          <cell r="FN10"/>
        </row>
        <row r="11">
          <cell r="O11"/>
          <cell r="P11"/>
          <cell r="Q11"/>
          <cell r="R11"/>
          <cell r="S11"/>
          <cell r="T11"/>
          <cell r="U11"/>
          <cell r="V11"/>
          <cell r="W11"/>
          <cell r="X11"/>
          <cell r="Y11"/>
          <cell r="Z11"/>
          <cell r="AA11"/>
          <cell r="AB11"/>
          <cell r="AC11"/>
          <cell r="AD11"/>
          <cell r="AE11"/>
          <cell r="AF11"/>
          <cell r="AG11"/>
          <cell r="AH11"/>
          <cell r="AI11"/>
          <cell r="AJ11"/>
          <cell r="AK11"/>
          <cell r="AL11"/>
          <cell r="AM11"/>
          <cell r="AN11"/>
          <cell r="AO11"/>
          <cell r="AP11"/>
          <cell r="AQ11"/>
          <cell r="AR11"/>
          <cell r="AS11"/>
          <cell r="AT11"/>
          <cell r="AU11"/>
          <cell r="AV11"/>
          <cell r="AW11"/>
          <cell r="AX11"/>
          <cell r="AY11"/>
          <cell r="AZ11"/>
          <cell r="BA11"/>
          <cell r="BB11"/>
          <cell r="BC11"/>
          <cell r="BD11"/>
          <cell r="BE11"/>
          <cell r="BF11"/>
          <cell r="BG11"/>
          <cell r="BH11"/>
          <cell r="BI11"/>
          <cell r="BJ11"/>
          <cell r="BK11"/>
          <cell r="BL11"/>
          <cell r="BM11"/>
          <cell r="BN11"/>
          <cell r="BO11"/>
          <cell r="BP11"/>
          <cell r="BQ11"/>
          <cell r="BR11"/>
          <cell r="BS11"/>
          <cell r="BT11"/>
          <cell r="BU11"/>
          <cell r="BV11"/>
          <cell r="BW11"/>
          <cell r="BX11"/>
          <cell r="BY11"/>
          <cell r="BZ11"/>
          <cell r="CA11"/>
          <cell r="CB11"/>
          <cell r="CC11"/>
          <cell r="CD11"/>
          <cell r="CE11"/>
          <cell r="CF11"/>
          <cell r="CG11"/>
          <cell r="CH11"/>
          <cell r="CI11"/>
          <cell r="CJ11"/>
          <cell r="CK11"/>
          <cell r="CL11"/>
          <cell r="CM11"/>
          <cell r="CN11"/>
          <cell r="CO11"/>
          <cell r="CP11"/>
          <cell r="CQ11"/>
          <cell r="CR11"/>
          <cell r="CS11"/>
          <cell r="CT11"/>
          <cell r="CU11"/>
          <cell r="CV11"/>
          <cell r="CW11"/>
          <cell r="CX11"/>
          <cell r="CY11"/>
          <cell r="CZ11"/>
          <cell r="DA11"/>
          <cell r="DB11"/>
          <cell r="DC11"/>
          <cell r="DD11"/>
          <cell r="DE11"/>
          <cell r="DF11"/>
          <cell r="DG11"/>
          <cell r="DH11"/>
          <cell r="DI11"/>
          <cell r="DJ11"/>
          <cell r="DK11"/>
          <cell r="DL11"/>
          <cell r="DM11"/>
          <cell r="DN11"/>
          <cell r="DO11"/>
          <cell r="DP11"/>
          <cell r="DQ11"/>
          <cell r="DR11"/>
          <cell r="DS11"/>
          <cell r="DT11"/>
          <cell r="DU11"/>
          <cell r="DV11"/>
          <cell r="DW11"/>
          <cell r="DX11"/>
          <cell r="DY11"/>
          <cell r="DZ11"/>
          <cell r="EA11"/>
          <cell r="EB11"/>
          <cell r="EC11"/>
          <cell r="ED11"/>
          <cell r="EE11"/>
          <cell r="EF11"/>
          <cell r="EG11"/>
          <cell r="EH11"/>
          <cell r="EI11"/>
          <cell r="EJ11"/>
          <cell r="EK11"/>
          <cell r="EL11"/>
          <cell r="EM11"/>
          <cell r="EN11"/>
          <cell r="EO11"/>
          <cell r="EP11"/>
          <cell r="EQ11"/>
          <cell r="ER11"/>
          <cell r="ES11"/>
          <cell r="ET11"/>
          <cell r="EU11"/>
          <cell r="EV11"/>
          <cell r="EW11"/>
          <cell r="EX11"/>
          <cell r="EY11"/>
          <cell r="EZ11"/>
          <cell r="FA11"/>
          <cell r="FB11"/>
          <cell r="FC11"/>
          <cell r="FD11"/>
          <cell r="FE11"/>
          <cell r="FF11"/>
          <cell r="FG11"/>
          <cell r="FH11"/>
          <cell r="FI11"/>
          <cell r="FJ11"/>
          <cell r="FK11"/>
          <cell r="FL11"/>
          <cell r="FM11"/>
          <cell r="FN11"/>
        </row>
        <row r="12">
          <cell r="O12"/>
          <cell r="P12"/>
          <cell r="Q12">
            <v>283.01886792452831</v>
          </cell>
          <cell r="R12">
            <v>283.01886792452831</v>
          </cell>
          <cell r="S12">
            <v>283.01886792452831</v>
          </cell>
          <cell r="T12">
            <v>150.94339622641508</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0</v>
          </cell>
          <cell r="DE12">
            <v>0</v>
          </cell>
          <cell r="DF12">
            <v>0</v>
          </cell>
          <cell r="DG12">
            <v>0</v>
          </cell>
          <cell r="DH12">
            <v>0</v>
          </cell>
          <cell r="DI12">
            <v>0</v>
          </cell>
          <cell r="DJ12">
            <v>0</v>
          </cell>
          <cell r="DK12">
            <v>0</v>
          </cell>
          <cell r="DL12">
            <v>0</v>
          </cell>
          <cell r="DM12">
            <v>0</v>
          </cell>
          <cell r="DN12">
            <v>0</v>
          </cell>
          <cell r="DO12">
            <v>0</v>
          </cell>
          <cell r="DP12">
            <v>0</v>
          </cell>
          <cell r="DQ12">
            <v>0</v>
          </cell>
          <cell r="DR12">
            <v>0</v>
          </cell>
          <cell r="DS12">
            <v>0</v>
          </cell>
          <cell r="DT12">
            <v>0</v>
          </cell>
          <cell r="DU12">
            <v>0</v>
          </cell>
          <cell r="DV12">
            <v>0</v>
          </cell>
          <cell r="DW12">
            <v>0</v>
          </cell>
          <cell r="DX12">
            <v>0</v>
          </cell>
          <cell r="DY12">
            <v>0</v>
          </cell>
          <cell r="DZ12">
            <v>0</v>
          </cell>
          <cell r="EA12">
            <v>0</v>
          </cell>
          <cell r="EB12">
            <v>0</v>
          </cell>
          <cell r="EC12">
            <v>0</v>
          </cell>
          <cell r="ED12">
            <v>0</v>
          </cell>
          <cell r="EE12">
            <v>0</v>
          </cell>
          <cell r="EF12">
            <v>0</v>
          </cell>
          <cell r="EG12">
            <v>0</v>
          </cell>
          <cell r="EH12">
            <v>0</v>
          </cell>
          <cell r="EI12">
            <v>0</v>
          </cell>
          <cell r="EJ12">
            <v>0</v>
          </cell>
          <cell r="EK12">
            <v>0</v>
          </cell>
          <cell r="EL12">
            <v>0</v>
          </cell>
          <cell r="EM12">
            <v>0</v>
          </cell>
          <cell r="EN12">
            <v>0</v>
          </cell>
          <cell r="EO12">
            <v>0</v>
          </cell>
          <cell r="EP12">
            <v>0</v>
          </cell>
          <cell r="EQ12">
            <v>0</v>
          </cell>
          <cell r="ER12">
            <v>0</v>
          </cell>
          <cell r="ES12">
            <v>0</v>
          </cell>
          <cell r="ET12">
            <v>0</v>
          </cell>
          <cell r="EU12">
            <v>0</v>
          </cell>
          <cell r="EV12">
            <v>0</v>
          </cell>
          <cell r="EW12">
            <v>0</v>
          </cell>
          <cell r="EX12">
            <v>0</v>
          </cell>
          <cell r="EY12">
            <v>0</v>
          </cell>
          <cell r="EZ12">
            <v>0</v>
          </cell>
          <cell r="FA12">
            <v>0</v>
          </cell>
          <cell r="FB12">
            <v>0</v>
          </cell>
          <cell r="FC12">
            <v>0</v>
          </cell>
          <cell r="FD12">
            <v>0</v>
          </cell>
          <cell r="FE12">
            <v>0</v>
          </cell>
          <cell r="FF12">
            <v>0</v>
          </cell>
          <cell r="FG12">
            <v>0</v>
          </cell>
          <cell r="FH12">
            <v>0</v>
          </cell>
          <cell r="FI12">
            <v>0</v>
          </cell>
          <cell r="FJ12">
            <v>0</v>
          </cell>
          <cell r="FK12">
            <v>0</v>
          </cell>
          <cell r="FL12">
            <v>0</v>
          </cell>
          <cell r="FM12">
            <v>0</v>
          </cell>
          <cell r="FN12">
            <v>0</v>
          </cell>
        </row>
        <row r="13">
          <cell r="O13"/>
          <cell r="P13">
            <v>135</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cell r="BM13">
            <v>0</v>
          </cell>
          <cell r="BN13">
            <v>0</v>
          </cell>
          <cell r="BO13">
            <v>0</v>
          </cell>
          <cell r="BP13">
            <v>0</v>
          </cell>
          <cell r="BQ13">
            <v>0</v>
          </cell>
          <cell r="BR13">
            <v>0</v>
          </cell>
          <cell r="BS13">
            <v>0</v>
          </cell>
          <cell r="BT13">
            <v>0</v>
          </cell>
          <cell r="BU13">
            <v>0</v>
          </cell>
          <cell r="BV13">
            <v>0</v>
          </cell>
          <cell r="BW13">
            <v>0</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v>0</v>
          </cell>
          <cell r="DK13">
            <v>0</v>
          </cell>
          <cell r="DL13">
            <v>0</v>
          </cell>
          <cell r="DM13">
            <v>0</v>
          </cell>
          <cell r="DN13">
            <v>0</v>
          </cell>
          <cell r="DO13">
            <v>0</v>
          </cell>
          <cell r="DP13">
            <v>0</v>
          </cell>
          <cell r="DQ13">
            <v>0</v>
          </cell>
          <cell r="DR13">
            <v>0</v>
          </cell>
          <cell r="DS13">
            <v>0</v>
          </cell>
          <cell r="DT13">
            <v>0</v>
          </cell>
          <cell r="DU13">
            <v>0</v>
          </cell>
          <cell r="DV13">
            <v>0</v>
          </cell>
          <cell r="DW13">
            <v>0</v>
          </cell>
          <cell r="DX13">
            <v>0</v>
          </cell>
          <cell r="DY13">
            <v>0</v>
          </cell>
          <cell r="DZ13">
            <v>0</v>
          </cell>
          <cell r="EA13">
            <v>0</v>
          </cell>
          <cell r="EB13">
            <v>0</v>
          </cell>
          <cell r="EC13">
            <v>0</v>
          </cell>
          <cell r="ED13">
            <v>0</v>
          </cell>
          <cell r="EE13">
            <v>0</v>
          </cell>
          <cell r="EF13">
            <v>0</v>
          </cell>
          <cell r="EG13">
            <v>0</v>
          </cell>
          <cell r="EH13">
            <v>0</v>
          </cell>
          <cell r="EI13">
            <v>0</v>
          </cell>
          <cell r="EJ13">
            <v>0</v>
          </cell>
          <cell r="EK13">
            <v>0</v>
          </cell>
          <cell r="EL13">
            <v>0</v>
          </cell>
          <cell r="EM13">
            <v>0</v>
          </cell>
          <cell r="EN13">
            <v>0</v>
          </cell>
          <cell r="EO13">
            <v>0</v>
          </cell>
          <cell r="EP13">
            <v>0</v>
          </cell>
          <cell r="EQ13">
            <v>0</v>
          </cell>
          <cell r="ER13">
            <v>0</v>
          </cell>
          <cell r="ES13">
            <v>0</v>
          </cell>
          <cell r="ET13">
            <v>0</v>
          </cell>
          <cell r="EU13">
            <v>0</v>
          </cell>
          <cell r="EV13">
            <v>0</v>
          </cell>
          <cell r="EW13">
            <v>0</v>
          </cell>
          <cell r="EX13">
            <v>0</v>
          </cell>
          <cell r="EY13">
            <v>0</v>
          </cell>
          <cell r="EZ13">
            <v>0</v>
          </cell>
          <cell r="FA13">
            <v>0</v>
          </cell>
          <cell r="FB13">
            <v>0</v>
          </cell>
          <cell r="FC13">
            <v>0</v>
          </cell>
          <cell r="FD13">
            <v>0</v>
          </cell>
          <cell r="FE13">
            <v>0</v>
          </cell>
          <cell r="FF13">
            <v>0</v>
          </cell>
          <cell r="FG13">
            <v>0</v>
          </cell>
          <cell r="FH13">
            <v>0</v>
          </cell>
          <cell r="FI13">
            <v>0</v>
          </cell>
          <cell r="FJ13">
            <v>0</v>
          </cell>
          <cell r="FK13">
            <v>0</v>
          </cell>
          <cell r="FL13">
            <v>0</v>
          </cell>
          <cell r="FM13">
            <v>0</v>
          </cell>
          <cell r="FN13">
            <v>0</v>
          </cell>
        </row>
        <row r="14">
          <cell r="O14"/>
          <cell r="P14">
            <v>90</v>
          </cell>
          <cell r="Q14">
            <v>180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v>0</v>
          </cell>
          <cell r="DE14">
            <v>0</v>
          </cell>
          <cell r="DF14">
            <v>0</v>
          </cell>
          <cell r="DG14">
            <v>0</v>
          </cell>
          <cell r="DH14">
            <v>0</v>
          </cell>
          <cell r="DI14">
            <v>0</v>
          </cell>
          <cell r="DJ14">
            <v>0</v>
          </cell>
          <cell r="DK14">
            <v>0</v>
          </cell>
          <cell r="DL14">
            <v>0</v>
          </cell>
          <cell r="DM14">
            <v>0</v>
          </cell>
          <cell r="DN14">
            <v>0</v>
          </cell>
          <cell r="DO14">
            <v>0</v>
          </cell>
          <cell r="DP14">
            <v>0</v>
          </cell>
          <cell r="DQ14">
            <v>0</v>
          </cell>
          <cell r="DR14">
            <v>0</v>
          </cell>
          <cell r="DS14">
            <v>0</v>
          </cell>
          <cell r="DT14">
            <v>0</v>
          </cell>
          <cell r="DU14">
            <v>0</v>
          </cell>
          <cell r="DV14">
            <v>0</v>
          </cell>
          <cell r="DW14">
            <v>0</v>
          </cell>
          <cell r="DX14">
            <v>0</v>
          </cell>
          <cell r="DY14">
            <v>0</v>
          </cell>
          <cell r="DZ14">
            <v>0</v>
          </cell>
          <cell r="EA14">
            <v>0</v>
          </cell>
          <cell r="EB14">
            <v>0</v>
          </cell>
          <cell r="EC14">
            <v>0</v>
          </cell>
          <cell r="ED14">
            <v>0</v>
          </cell>
          <cell r="EE14">
            <v>0</v>
          </cell>
          <cell r="EF14">
            <v>0</v>
          </cell>
          <cell r="EG14">
            <v>0</v>
          </cell>
          <cell r="EH14">
            <v>0</v>
          </cell>
          <cell r="EI14">
            <v>0</v>
          </cell>
          <cell r="EJ14">
            <v>0</v>
          </cell>
          <cell r="EK14">
            <v>0</v>
          </cell>
          <cell r="EL14">
            <v>0</v>
          </cell>
          <cell r="EM14">
            <v>0</v>
          </cell>
          <cell r="EN14">
            <v>0</v>
          </cell>
          <cell r="EO14">
            <v>0</v>
          </cell>
          <cell r="EP14">
            <v>0</v>
          </cell>
          <cell r="EQ14">
            <v>0</v>
          </cell>
          <cell r="ER14">
            <v>0</v>
          </cell>
          <cell r="ES14">
            <v>0</v>
          </cell>
          <cell r="ET14">
            <v>0</v>
          </cell>
          <cell r="EU14">
            <v>0</v>
          </cell>
          <cell r="EV14">
            <v>0</v>
          </cell>
          <cell r="EW14">
            <v>0</v>
          </cell>
          <cell r="EX14">
            <v>0</v>
          </cell>
          <cell r="EY14">
            <v>0</v>
          </cell>
          <cell r="EZ14">
            <v>0</v>
          </cell>
          <cell r="FA14">
            <v>0</v>
          </cell>
          <cell r="FB14">
            <v>0</v>
          </cell>
          <cell r="FC14">
            <v>0</v>
          </cell>
          <cell r="FD14">
            <v>0</v>
          </cell>
          <cell r="FE14">
            <v>0</v>
          </cell>
          <cell r="FF14">
            <v>0</v>
          </cell>
          <cell r="FG14">
            <v>0</v>
          </cell>
          <cell r="FH14">
            <v>0</v>
          </cell>
          <cell r="FI14">
            <v>0</v>
          </cell>
          <cell r="FJ14">
            <v>0</v>
          </cell>
          <cell r="FK14">
            <v>0</v>
          </cell>
          <cell r="FL14">
            <v>0</v>
          </cell>
          <cell r="FM14">
            <v>0</v>
          </cell>
          <cell r="FN14">
            <v>0</v>
          </cell>
        </row>
        <row r="15">
          <cell r="O15"/>
          <cell r="P15">
            <v>100</v>
          </cell>
          <cell r="Q15">
            <v>2400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cell r="CC15">
            <v>0</v>
          </cell>
          <cell r="CD15">
            <v>0</v>
          </cell>
          <cell r="CE15">
            <v>0</v>
          </cell>
          <cell r="CF15">
            <v>0</v>
          </cell>
          <cell r="CG15">
            <v>0</v>
          </cell>
          <cell r="CH15">
            <v>0</v>
          </cell>
          <cell r="CI15">
            <v>0</v>
          </cell>
          <cell r="CJ15">
            <v>0</v>
          </cell>
          <cell r="CK15">
            <v>0</v>
          </cell>
          <cell r="CL15">
            <v>0</v>
          </cell>
          <cell r="CM15">
            <v>0</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0</v>
          </cell>
          <cell r="DE15">
            <v>0</v>
          </cell>
          <cell r="DF15">
            <v>0</v>
          </cell>
          <cell r="DG15">
            <v>0</v>
          </cell>
          <cell r="DH15">
            <v>0</v>
          </cell>
          <cell r="DI15">
            <v>0</v>
          </cell>
          <cell r="DJ15">
            <v>0</v>
          </cell>
          <cell r="DK15">
            <v>0</v>
          </cell>
          <cell r="DL15">
            <v>0</v>
          </cell>
          <cell r="DM15">
            <v>0</v>
          </cell>
          <cell r="DN15">
            <v>0</v>
          </cell>
          <cell r="DO15">
            <v>0</v>
          </cell>
          <cell r="DP15">
            <v>0</v>
          </cell>
          <cell r="DQ15">
            <v>0</v>
          </cell>
          <cell r="DR15">
            <v>0</v>
          </cell>
          <cell r="DS15">
            <v>0</v>
          </cell>
          <cell r="DT15">
            <v>0</v>
          </cell>
          <cell r="DU15">
            <v>0</v>
          </cell>
          <cell r="DV15">
            <v>0</v>
          </cell>
          <cell r="DW15">
            <v>0</v>
          </cell>
          <cell r="DX15">
            <v>0</v>
          </cell>
          <cell r="DY15">
            <v>0</v>
          </cell>
          <cell r="DZ15">
            <v>0</v>
          </cell>
          <cell r="EA15">
            <v>0</v>
          </cell>
          <cell r="EB15">
            <v>0</v>
          </cell>
          <cell r="EC15">
            <v>0</v>
          </cell>
          <cell r="ED15">
            <v>0</v>
          </cell>
          <cell r="EE15">
            <v>0</v>
          </cell>
          <cell r="EF15">
            <v>0</v>
          </cell>
          <cell r="EG15">
            <v>0</v>
          </cell>
          <cell r="EH15">
            <v>0</v>
          </cell>
          <cell r="EI15">
            <v>0</v>
          </cell>
          <cell r="EJ15">
            <v>0</v>
          </cell>
          <cell r="EK15">
            <v>0</v>
          </cell>
          <cell r="EL15">
            <v>0</v>
          </cell>
          <cell r="EM15">
            <v>0</v>
          </cell>
          <cell r="EN15">
            <v>0</v>
          </cell>
          <cell r="EO15">
            <v>0</v>
          </cell>
          <cell r="EP15">
            <v>0</v>
          </cell>
          <cell r="EQ15">
            <v>0</v>
          </cell>
          <cell r="ER15">
            <v>0</v>
          </cell>
          <cell r="ES15">
            <v>0</v>
          </cell>
          <cell r="ET15">
            <v>0</v>
          </cell>
          <cell r="EU15">
            <v>0</v>
          </cell>
          <cell r="EV15">
            <v>0</v>
          </cell>
          <cell r="EW15">
            <v>0</v>
          </cell>
          <cell r="EX15">
            <v>0</v>
          </cell>
          <cell r="EY15">
            <v>0</v>
          </cell>
          <cell r="EZ15">
            <v>0</v>
          </cell>
          <cell r="FA15">
            <v>0</v>
          </cell>
          <cell r="FB15">
            <v>0</v>
          </cell>
          <cell r="FC15">
            <v>0</v>
          </cell>
          <cell r="FD15">
            <v>0</v>
          </cell>
          <cell r="FE15">
            <v>0</v>
          </cell>
          <cell r="FF15">
            <v>0</v>
          </cell>
          <cell r="FG15">
            <v>0</v>
          </cell>
          <cell r="FH15">
            <v>0</v>
          </cell>
          <cell r="FI15">
            <v>0</v>
          </cell>
          <cell r="FJ15">
            <v>0</v>
          </cell>
          <cell r="FK15">
            <v>0</v>
          </cell>
          <cell r="FL15">
            <v>0</v>
          </cell>
          <cell r="FM15">
            <v>0</v>
          </cell>
          <cell r="FN15">
            <v>0</v>
          </cell>
        </row>
        <row r="16">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v>0</v>
          </cell>
          <cell r="CC16">
            <v>0</v>
          </cell>
          <cell r="CD16">
            <v>0</v>
          </cell>
          <cell r="CE16">
            <v>0</v>
          </cell>
          <cell r="CF16">
            <v>0</v>
          </cell>
          <cell r="CG16">
            <v>0</v>
          </cell>
          <cell r="CH16">
            <v>0</v>
          </cell>
          <cell r="CI16">
            <v>0</v>
          </cell>
          <cell r="CJ16">
            <v>0</v>
          </cell>
          <cell r="CK16">
            <v>0</v>
          </cell>
          <cell r="CL16">
            <v>0</v>
          </cell>
          <cell r="CM16">
            <v>0</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0</v>
          </cell>
          <cell r="DE16">
            <v>0</v>
          </cell>
          <cell r="DF16">
            <v>0</v>
          </cell>
          <cell r="DG16">
            <v>0</v>
          </cell>
          <cell r="DH16">
            <v>0</v>
          </cell>
          <cell r="DI16">
            <v>0</v>
          </cell>
          <cell r="DJ16">
            <v>0</v>
          </cell>
          <cell r="DK16">
            <v>0</v>
          </cell>
          <cell r="DL16">
            <v>0</v>
          </cell>
          <cell r="DM16">
            <v>0</v>
          </cell>
          <cell r="DN16">
            <v>0</v>
          </cell>
          <cell r="DO16">
            <v>0</v>
          </cell>
          <cell r="DP16">
            <v>0</v>
          </cell>
          <cell r="DQ16">
            <v>0</v>
          </cell>
          <cell r="DR16">
            <v>0</v>
          </cell>
          <cell r="DS16">
            <v>0</v>
          </cell>
          <cell r="DT16">
            <v>0</v>
          </cell>
          <cell r="DU16">
            <v>0</v>
          </cell>
          <cell r="DV16">
            <v>0</v>
          </cell>
          <cell r="DW16">
            <v>0</v>
          </cell>
          <cell r="DX16">
            <v>0</v>
          </cell>
          <cell r="DY16">
            <v>0</v>
          </cell>
          <cell r="DZ16">
            <v>0</v>
          </cell>
          <cell r="EA16">
            <v>0</v>
          </cell>
          <cell r="EB16">
            <v>0</v>
          </cell>
          <cell r="EC16">
            <v>0</v>
          </cell>
          <cell r="ED16">
            <v>0</v>
          </cell>
          <cell r="EE16">
            <v>0</v>
          </cell>
          <cell r="EF16">
            <v>0</v>
          </cell>
          <cell r="EG16">
            <v>0</v>
          </cell>
          <cell r="EH16">
            <v>0</v>
          </cell>
          <cell r="EI16">
            <v>0</v>
          </cell>
          <cell r="EJ16">
            <v>0</v>
          </cell>
          <cell r="EK16">
            <v>0</v>
          </cell>
          <cell r="EL16">
            <v>0</v>
          </cell>
          <cell r="EM16">
            <v>0</v>
          </cell>
          <cell r="EN16">
            <v>0</v>
          </cell>
          <cell r="EO16">
            <v>0</v>
          </cell>
          <cell r="EP16">
            <v>0</v>
          </cell>
          <cell r="EQ16">
            <v>0</v>
          </cell>
          <cell r="ER16">
            <v>0</v>
          </cell>
          <cell r="ES16">
            <v>0</v>
          </cell>
          <cell r="ET16">
            <v>0</v>
          </cell>
          <cell r="EU16">
            <v>0</v>
          </cell>
          <cell r="EV16">
            <v>0</v>
          </cell>
          <cell r="EW16">
            <v>0</v>
          </cell>
          <cell r="EX16">
            <v>0</v>
          </cell>
          <cell r="EY16">
            <v>0</v>
          </cell>
          <cell r="EZ16">
            <v>0</v>
          </cell>
          <cell r="FA16">
            <v>0</v>
          </cell>
          <cell r="FB16">
            <v>0</v>
          </cell>
          <cell r="FC16">
            <v>0</v>
          </cell>
          <cell r="FD16">
            <v>0</v>
          </cell>
          <cell r="FE16">
            <v>0</v>
          </cell>
          <cell r="FF16">
            <v>0</v>
          </cell>
          <cell r="FG16">
            <v>0</v>
          </cell>
          <cell r="FH16">
            <v>0</v>
          </cell>
          <cell r="FI16">
            <v>0</v>
          </cell>
          <cell r="FJ16">
            <v>0</v>
          </cell>
          <cell r="FK16">
            <v>0</v>
          </cell>
          <cell r="FL16">
            <v>0</v>
          </cell>
          <cell r="FM16">
            <v>0</v>
          </cell>
          <cell r="FN16">
            <v>0</v>
          </cell>
        </row>
        <row r="17">
          <cell r="O17"/>
          <cell r="P17"/>
          <cell r="Q17">
            <v>84.857142857142861</v>
          </cell>
          <cell r="R17">
            <v>115.71428571428572</v>
          </cell>
          <cell r="S17">
            <v>69.428571428571416</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cell r="BS17">
            <v>0</v>
          </cell>
          <cell r="BT17">
            <v>0</v>
          </cell>
          <cell r="BU17">
            <v>0</v>
          </cell>
          <cell r="BV17">
            <v>0</v>
          </cell>
          <cell r="BW17">
            <v>0</v>
          </cell>
          <cell r="BX17">
            <v>0</v>
          </cell>
          <cell r="BY17">
            <v>0</v>
          </cell>
          <cell r="BZ17">
            <v>0</v>
          </cell>
          <cell r="CA17">
            <v>0</v>
          </cell>
          <cell r="CB17">
            <v>0</v>
          </cell>
          <cell r="CC17">
            <v>0</v>
          </cell>
          <cell r="CD17">
            <v>0</v>
          </cell>
          <cell r="CE17">
            <v>0</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0</v>
          </cell>
          <cell r="DE17">
            <v>0</v>
          </cell>
          <cell r="DF17">
            <v>0</v>
          </cell>
          <cell r="DG17">
            <v>0</v>
          </cell>
          <cell r="DH17">
            <v>0</v>
          </cell>
          <cell r="DI17">
            <v>0</v>
          </cell>
          <cell r="DJ17">
            <v>0</v>
          </cell>
          <cell r="DK17">
            <v>0</v>
          </cell>
          <cell r="DL17">
            <v>0</v>
          </cell>
          <cell r="DM17">
            <v>0</v>
          </cell>
          <cell r="DN17">
            <v>0</v>
          </cell>
          <cell r="DO17">
            <v>0</v>
          </cell>
          <cell r="DP17">
            <v>0</v>
          </cell>
          <cell r="DQ17">
            <v>0</v>
          </cell>
          <cell r="DR17">
            <v>0</v>
          </cell>
          <cell r="DS17">
            <v>0</v>
          </cell>
          <cell r="DT17">
            <v>0</v>
          </cell>
          <cell r="DU17">
            <v>0</v>
          </cell>
          <cell r="DV17">
            <v>0</v>
          </cell>
          <cell r="DW17">
            <v>0</v>
          </cell>
          <cell r="DX17">
            <v>0</v>
          </cell>
          <cell r="DY17">
            <v>0</v>
          </cell>
          <cell r="DZ17">
            <v>0</v>
          </cell>
          <cell r="EA17">
            <v>0</v>
          </cell>
          <cell r="EB17">
            <v>0</v>
          </cell>
          <cell r="EC17">
            <v>0</v>
          </cell>
          <cell r="ED17">
            <v>0</v>
          </cell>
          <cell r="EE17">
            <v>0</v>
          </cell>
          <cell r="EF17">
            <v>0</v>
          </cell>
          <cell r="EG17">
            <v>0</v>
          </cell>
          <cell r="EH17">
            <v>0</v>
          </cell>
          <cell r="EI17">
            <v>0</v>
          </cell>
          <cell r="EJ17">
            <v>0</v>
          </cell>
          <cell r="EK17">
            <v>0</v>
          </cell>
          <cell r="EL17">
            <v>0</v>
          </cell>
          <cell r="EM17">
            <v>0</v>
          </cell>
          <cell r="EN17">
            <v>0</v>
          </cell>
          <cell r="EO17">
            <v>0</v>
          </cell>
          <cell r="EP17">
            <v>0</v>
          </cell>
          <cell r="EQ17">
            <v>0</v>
          </cell>
          <cell r="ER17">
            <v>0</v>
          </cell>
          <cell r="ES17">
            <v>0</v>
          </cell>
          <cell r="ET17">
            <v>0</v>
          </cell>
          <cell r="EU17">
            <v>0</v>
          </cell>
          <cell r="EV17">
            <v>0</v>
          </cell>
          <cell r="EW17">
            <v>0</v>
          </cell>
          <cell r="EX17">
            <v>0</v>
          </cell>
          <cell r="EY17">
            <v>0</v>
          </cell>
          <cell r="EZ17">
            <v>0</v>
          </cell>
          <cell r="FA17">
            <v>0</v>
          </cell>
          <cell r="FB17">
            <v>0</v>
          </cell>
          <cell r="FC17">
            <v>0</v>
          </cell>
          <cell r="FD17">
            <v>0</v>
          </cell>
          <cell r="FE17">
            <v>0</v>
          </cell>
          <cell r="FF17">
            <v>0</v>
          </cell>
          <cell r="FG17">
            <v>0</v>
          </cell>
          <cell r="FH17">
            <v>0</v>
          </cell>
          <cell r="FI17">
            <v>0</v>
          </cell>
          <cell r="FJ17">
            <v>0</v>
          </cell>
          <cell r="FK17">
            <v>0</v>
          </cell>
          <cell r="FL17">
            <v>0</v>
          </cell>
          <cell r="FM17">
            <v>0</v>
          </cell>
          <cell r="FN17">
            <v>0</v>
          </cell>
        </row>
        <row r="18">
          <cell r="O18"/>
          <cell r="P18"/>
          <cell r="Q18">
            <v>168.75</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cell r="CC18">
            <v>0</v>
          </cell>
          <cell r="CD18">
            <v>0</v>
          </cell>
          <cell r="CE18">
            <v>0</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0</v>
          </cell>
          <cell r="DE18">
            <v>0</v>
          </cell>
          <cell r="DF18">
            <v>0</v>
          </cell>
          <cell r="DG18">
            <v>0</v>
          </cell>
          <cell r="DH18">
            <v>0</v>
          </cell>
          <cell r="DI18">
            <v>0</v>
          </cell>
          <cell r="DJ18">
            <v>0</v>
          </cell>
          <cell r="DK18">
            <v>0</v>
          </cell>
          <cell r="DL18">
            <v>0</v>
          </cell>
          <cell r="DM18">
            <v>0</v>
          </cell>
          <cell r="DN18">
            <v>0</v>
          </cell>
          <cell r="DO18">
            <v>0</v>
          </cell>
          <cell r="DP18">
            <v>0</v>
          </cell>
          <cell r="DQ18">
            <v>0</v>
          </cell>
          <cell r="DR18">
            <v>0</v>
          </cell>
          <cell r="DS18">
            <v>0</v>
          </cell>
          <cell r="DT18">
            <v>0</v>
          </cell>
          <cell r="DU18">
            <v>0</v>
          </cell>
          <cell r="DV18">
            <v>0</v>
          </cell>
          <cell r="DW18">
            <v>0</v>
          </cell>
          <cell r="DX18">
            <v>0</v>
          </cell>
          <cell r="DY18">
            <v>0</v>
          </cell>
          <cell r="DZ18">
            <v>0</v>
          </cell>
          <cell r="EA18">
            <v>0</v>
          </cell>
          <cell r="EB18">
            <v>0</v>
          </cell>
          <cell r="EC18">
            <v>0</v>
          </cell>
          <cell r="ED18">
            <v>0</v>
          </cell>
          <cell r="EE18">
            <v>0</v>
          </cell>
          <cell r="EF18">
            <v>0</v>
          </cell>
          <cell r="EG18">
            <v>0</v>
          </cell>
          <cell r="EH18">
            <v>0</v>
          </cell>
          <cell r="EI18">
            <v>0</v>
          </cell>
          <cell r="EJ18">
            <v>0</v>
          </cell>
          <cell r="EK18">
            <v>0</v>
          </cell>
          <cell r="EL18">
            <v>0</v>
          </cell>
          <cell r="EM18">
            <v>0</v>
          </cell>
          <cell r="EN18">
            <v>0</v>
          </cell>
          <cell r="EO18">
            <v>0</v>
          </cell>
          <cell r="EP18">
            <v>0</v>
          </cell>
          <cell r="EQ18">
            <v>0</v>
          </cell>
          <cell r="ER18">
            <v>0</v>
          </cell>
          <cell r="ES18">
            <v>0</v>
          </cell>
          <cell r="ET18">
            <v>0</v>
          </cell>
          <cell r="EU18">
            <v>0</v>
          </cell>
          <cell r="EV18">
            <v>0</v>
          </cell>
          <cell r="EW18">
            <v>0</v>
          </cell>
          <cell r="EX18">
            <v>0</v>
          </cell>
          <cell r="EY18">
            <v>0</v>
          </cell>
          <cell r="EZ18">
            <v>0</v>
          </cell>
          <cell r="FA18">
            <v>0</v>
          </cell>
          <cell r="FB18">
            <v>0</v>
          </cell>
          <cell r="FC18">
            <v>0</v>
          </cell>
          <cell r="FD18">
            <v>0</v>
          </cell>
          <cell r="FE18">
            <v>0</v>
          </cell>
          <cell r="FF18">
            <v>0</v>
          </cell>
          <cell r="FG18">
            <v>0</v>
          </cell>
          <cell r="FH18">
            <v>0</v>
          </cell>
          <cell r="FI18">
            <v>0</v>
          </cell>
          <cell r="FJ18">
            <v>0</v>
          </cell>
          <cell r="FK18">
            <v>0</v>
          </cell>
          <cell r="FL18">
            <v>0</v>
          </cell>
          <cell r="FM18">
            <v>0</v>
          </cell>
          <cell r="FN18">
            <v>0</v>
          </cell>
        </row>
        <row r="19">
          <cell r="O19"/>
          <cell r="P19">
            <v>30.422535211267604</v>
          </cell>
          <cell r="Q19">
            <v>57.042253521126767</v>
          </cell>
          <cell r="R19">
            <v>57.042253521126753</v>
          </cell>
          <cell r="S19">
            <v>57.042253521126753</v>
          </cell>
          <cell r="T19">
            <v>57.042253521126781</v>
          </cell>
          <cell r="U19">
            <v>11.408450704225345</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Q19">
            <v>0</v>
          </cell>
          <cell r="DR19">
            <v>0</v>
          </cell>
          <cell r="DS19">
            <v>0</v>
          </cell>
          <cell r="DT19">
            <v>0</v>
          </cell>
          <cell r="DU19">
            <v>0</v>
          </cell>
          <cell r="DV19">
            <v>0</v>
          </cell>
          <cell r="DW19">
            <v>0</v>
          </cell>
          <cell r="DX19">
            <v>0</v>
          </cell>
          <cell r="DY19">
            <v>0</v>
          </cell>
          <cell r="DZ19">
            <v>0</v>
          </cell>
          <cell r="EA19">
            <v>0</v>
          </cell>
          <cell r="EB19">
            <v>0</v>
          </cell>
          <cell r="EC19">
            <v>0</v>
          </cell>
          <cell r="ED19">
            <v>0</v>
          </cell>
          <cell r="EE19">
            <v>0</v>
          </cell>
          <cell r="EF19">
            <v>0</v>
          </cell>
          <cell r="EG19">
            <v>0</v>
          </cell>
          <cell r="EH19">
            <v>0</v>
          </cell>
          <cell r="EI19">
            <v>0</v>
          </cell>
          <cell r="EJ19">
            <v>0</v>
          </cell>
          <cell r="EK19">
            <v>0</v>
          </cell>
          <cell r="EL19">
            <v>0</v>
          </cell>
          <cell r="EM19">
            <v>0</v>
          </cell>
          <cell r="EN19">
            <v>0</v>
          </cell>
          <cell r="EO19">
            <v>0</v>
          </cell>
          <cell r="EP19">
            <v>0</v>
          </cell>
          <cell r="EQ19">
            <v>0</v>
          </cell>
          <cell r="ER19">
            <v>0</v>
          </cell>
          <cell r="ES19">
            <v>0</v>
          </cell>
          <cell r="ET19">
            <v>0</v>
          </cell>
          <cell r="EU19">
            <v>0</v>
          </cell>
          <cell r="EV19">
            <v>0</v>
          </cell>
          <cell r="EW19">
            <v>0</v>
          </cell>
          <cell r="EX19">
            <v>0</v>
          </cell>
          <cell r="EY19">
            <v>0</v>
          </cell>
          <cell r="EZ19">
            <v>0</v>
          </cell>
          <cell r="FA19">
            <v>0</v>
          </cell>
          <cell r="FB19">
            <v>0</v>
          </cell>
          <cell r="FC19">
            <v>0</v>
          </cell>
          <cell r="FD19">
            <v>0</v>
          </cell>
          <cell r="FE19">
            <v>0</v>
          </cell>
          <cell r="FF19">
            <v>0</v>
          </cell>
          <cell r="FG19">
            <v>0</v>
          </cell>
          <cell r="FH19">
            <v>0</v>
          </cell>
          <cell r="FI19">
            <v>0</v>
          </cell>
          <cell r="FJ19">
            <v>0</v>
          </cell>
          <cell r="FK19">
            <v>0</v>
          </cell>
          <cell r="FL19">
            <v>0</v>
          </cell>
          <cell r="FM19">
            <v>0</v>
          </cell>
          <cell r="FN19">
            <v>0</v>
          </cell>
        </row>
        <row r="20">
          <cell r="O20"/>
          <cell r="P20"/>
          <cell r="Q20">
            <v>236.25</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cell r="BN20">
            <v>0</v>
          </cell>
          <cell r="BO20">
            <v>0</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0</v>
          </cell>
          <cell r="DK20">
            <v>0</v>
          </cell>
          <cell r="DL20">
            <v>0</v>
          </cell>
          <cell r="DM20">
            <v>0</v>
          </cell>
          <cell r="DN20">
            <v>0</v>
          </cell>
          <cell r="DO20">
            <v>0</v>
          </cell>
          <cell r="DP20">
            <v>0</v>
          </cell>
          <cell r="DQ20">
            <v>0</v>
          </cell>
          <cell r="DR20">
            <v>0</v>
          </cell>
          <cell r="DS20">
            <v>0</v>
          </cell>
          <cell r="DT20">
            <v>0</v>
          </cell>
          <cell r="DU20">
            <v>0</v>
          </cell>
          <cell r="DV20">
            <v>0</v>
          </cell>
          <cell r="DW20">
            <v>0</v>
          </cell>
          <cell r="DX20">
            <v>0</v>
          </cell>
          <cell r="DY20">
            <v>0</v>
          </cell>
          <cell r="DZ20">
            <v>0</v>
          </cell>
          <cell r="EA20">
            <v>0</v>
          </cell>
          <cell r="EB20">
            <v>0</v>
          </cell>
          <cell r="EC20">
            <v>0</v>
          </cell>
          <cell r="ED20">
            <v>0</v>
          </cell>
          <cell r="EE20">
            <v>0</v>
          </cell>
          <cell r="EF20">
            <v>0</v>
          </cell>
          <cell r="EG20">
            <v>0</v>
          </cell>
          <cell r="EH20">
            <v>0</v>
          </cell>
          <cell r="EI20">
            <v>0</v>
          </cell>
          <cell r="EJ20">
            <v>0</v>
          </cell>
          <cell r="EK20">
            <v>0</v>
          </cell>
          <cell r="EL20">
            <v>0</v>
          </cell>
          <cell r="EM20">
            <v>0</v>
          </cell>
          <cell r="EN20">
            <v>0</v>
          </cell>
          <cell r="EO20">
            <v>0</v>
          </cell>
          <cell r="EP20">
            <v>0</v>
          </cell>
          <cell r="EQ20">
            <v>0</v>
          </cell>
          <cell r="ER20">
            <v>0</v>
          </cell>
          <cell r="ES20">
            <v>0</v>
          </cell>
          <cell r="ET20">
            <v>0</v>
          </cell>
          <cell r="EU20">
            <v>0</v>
          </cell>
          <cell r="EV20">
            <v>0</v>
          </cell>
          <cell r="EW20">
            <v>0</v>
          </cell>
          <cell r="EX20">
            <v>0</v>
          </cell>
          <cell r="EY20">
            <v>0</v>
          </cell>
          <cell r="EZ20">
            <v>0</v>
          </cell>
          <cell r="FA20">
            <v>0</v>
          </cell>
          <cell r="FB20">
            <v>0</v>
          </cell>
          <cell r="FC20">
            <v>0</v>
          </cell>
          <cell r="FD20">
            <v>0</v>
          </cell>
          <cell r="FE20">
            <v>0</v>
          </cell>
          <cell r="FF20">
            <v>0</v>
          </cell>
          <cell r="FG20">
            <v>0</v>
          </cell>
          <cell r="FH20">
            <v>0</v>
          </cell>
          <cell r="FI20">
            <v>0</v>
          </cell>
          <cell r="FJ20">
            <v>0</v>
          </cell>
          <cell r="FK20">
            <v>0</v>
          </cell>
          <cell r="FL20">
            <v>0</v>
          </cell>
          <cell r="FM20">
            <v>0</v>
          </cell>
          <cell r="FN20">
            <v>0</v>
          </cell>
        </row>
        <row r="21">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cell r="CC21">
            <v>0</v>
          </cell>
          <cell r="CD21">
            <v>0</v>
          </cell>
          <cell r="CE21">
            <v>0</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0</v>
          </cell>
          <cell r="DM21">
            <v>0</v>
          </cell>
          <cell r="DN21">
            <v>0</v>
          </cell>
          <cell r="DO21">
            <v>0</v>
          </cell>
          <cell r="DP21">
            <v>0</v>
          </cell>
          <cell r="DQ21">
            <v>0</v>
          </cell>
          <cell r="DR21">
            <v>0</v>
          </cell>
          <cell r="DS21">
            <v>0</v>
          </cell>
          <cell r="DT21">
            <v>0</v>
          </cell>
          <cell r="DU21">
            <v>0</v>
          </cell>
          <cell r="DV21">
            <v>0</v>
          </cell>
          <cell r="DW21">
            <v>0</v>
          </cell>
          <cell r="DX21">
            <v>0</v>
          </cell>
          <cell r="DY21">
            <v>0</v>
          </cell>
          <cell r="DZ21">
            <v>0</v>
          </cell>
          <cell r="EA21">
            <v>0</v>
          </cell>
          <cell r="EB21">
            <v>0</v>
          </cell>
          <cell r="EC21">
            <v>0</v>
          </cell>
          <cell r="ED21">
            <v>0</v>
          </cell>
          <cell r="EE21">
            <v>0</v>
          </cell>
          <cell r="EF21">
            <v>0</v>
          </cell>
          <cell r="EG21">
            <v>0</v>
          </cell>
          <cell r="EH21">
            <v>0</v>
          </cell>
          <cell r="EI21">
            <v>0</v>
          </cell>
          <cell r="EJ21">
            <v>0</v>
          </cell>
          <cell r="EK21">
            <v>0</v>
          </cell>
          <cell r="EL21">
            <v>0</v>
          </cell>
          <cell r="EM21">
            <v>0</v>
          </cell>
          <cell r="EN21">
            <v>0</v>
          </cell>
          <cell r="EO21">
            <v>0</v>
          </cell>
          <cell r="EP21">
            <v>0</v>
          </cell>
          <cell r="EQ21">
            <v>0</v>
          </cell>
          <cell r="ER21">
            <v>0</v>
          </cell>
          <cell r="ES21">
            <v>0</v>
          </cell>
          <cell r="ET21">
            <v>0</v>
          </cell>
          <cell r="EU21">
            <v>0</v>
          </cell>
          <cell r="EV21">
            <v>0</v>
          </cell>
          <cell r="EW21">
            <v>0</v>
          </cell>
          <cell r="EX21">
            <v>0</v>
          </cell>
          <cell r="EY21">
            <v>0</v>
          </cell>
          <cell r="EZ21">
            <v>0</v>
          </cell>
          <cell r="FA21">
            <v>0</v>
          </cell>
          <cell r="FB21">
            <v>0</v>
          </cell>
          <cell r="FC21">
            <v>0</v>
          </cell>
          <cell r="FD21">
            <v>0</v>
          </cell>
          <cell r="FE21">
            <v>0</v>
          </cell>
          <cell r="FF21">
            <v>0</v>
          </cell>
          <cell r="FG21">
            <v>0</v>
          </cell>
          <cell r="FH21">
            <v>0</v>
          </cell>
          <cell r="FI21">
            <v>0</v>
          </cell>
          <cell r="FJ21">
            <v>0</v>
          </cell>
          <cell r="FK21">
            <v>0</v>
          </cell>
          <cell r="FL21">
            <v>0</v>
          </cell>
          <cell r="FM21">
            <v>0</v>
          </cell>
          <cell r="FN21">
            <v>0</v>
          </cell>
        </row>
        <row r="22">
          <cell r="O22"/>
          <cell r="P22"/>
          <cell r="Q22">
            <v>101.25</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cell r="CC22">
            <v>0</v>
          </cell>
          <cell r="CD22">
            <v>0</v>
          </cell>
          <cell r="CE22">
            <v>0</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0</v>
          </cell>
          <cell r="DM22">
            <v>0</v>
          </cell>
          <cell r="DN22">
            <v>0</v>
          </cell>
          <cell r="DO22">
            <v>0</v>
          </cell>
          <cell r="DP22">
            <v>0</v>
          </cell>
          <cell r="DQ22">
            <v>0</v>
          </cell>
          <cell r="DR22">
            <v>0</v>
          </cell>
          <cell r="DS22">
            <v>0</v>
          </cell>
          <cell r="DT22">
            <v>0</v>
          </cell>
          <cell r="DU22">
            <v>0</v>
          </cell>
          <cell r="DV22">
            <v>0</v>
          </cell>
          <cell r="DW22">
            <v>0</v>
          </cell>
          <cell r="DX22">
            <v>0</v>
          </cell>
          <cell r="DY22">
            <v>0</v>
          </cell>
          <cell r="DZ22">
            <v>0</v>
          </cell>
          <cell r="EA22">
            <v>0</v>
          </cell>
          <cell r="EB22">
            <v>0</v>
          </cell>
          <cell r="EC22">
            <v>0</v>
          </cell>
          <cell r="ED22">
            <v>0</v>
          </cell>
          <cell r="EE22">
            <v>0</v>
          </cell>
          <cell r="EF22">
            <v>0</v>
          </cell>
          <cell r="EG22">
            <v>0</v>
          </cell>
          <cell r="EH22">
            <v>0</v>
          </cell>
          <cell r="EI22">
            <v>0</v>
          </cell>
          <cell r="EJ22">
            <v>0</v>
          </cell>
          <cell r="EK22">
            <v>0</v>
          </cell>
          <cell r="EL22">
            <v>0</v>
          </cell>
          <cell r="EM22">
            <v>0</v>
          </cell>
          <cell r="EN22">
            <v>0</v>
          </cell>
          <cell r="EO22">
            <v>0</v>
          </cell>
          <cell r="EP22">
            <v>0</v>
          </cell>
          <cell r="EQ22">
            <v>0</v>
          </cell>
          <cell r="ER22">
            <v>0</v>
          </cell>
          <cell r="ES22">
            <v>0</v>
          </cell>
          <cell r="ET22">
            <v>0</v>
          </cell>
          <cell r="EU22">
            <v>0</v>
          </cell>
          <cell r="EV22">
            <v>0</v>
          </cell>
          <cell r="EW22">
            <v>0</v>
          </cell>
          <cell r="EX22">
            <v>0</v>
          </cell>
          <cell r="EY22">
            <v>0</v>
          </cell>
          <cell r="EZ22">
            <v>0</v>
          </cell>
          <cell r="FA22">
            <v>0</v>
          </cell>
          <cell r="FB22">
            <v>0</v>
          </cell>
          <cell r="FC22">
            <v>0</v>
          </cell>
          <cell r="FD22">
            <v>0</v>
          </cell>
          <cell r="FE22">
            <v>0</v>
          </cell>
          <cell r="FF22">
            <v>0</v>
          </cell>
          <cell r="FG22">
            <v>0</v>
          </cell>
          <cell r="FH22">
            <v>0</v>
          </cell>
          <cell r="FI22">
            <v>0</v>
          </cell>
          <cell r="FJ22">
            <v>0</v>
          </cell>
          <cell r="FK22">
            <v>0</v>
          </cell>
          <cell r="FL22">
            <v>0</v>
          </cell>
          <cell r="FM22">
            <v>0</v>
          </cell>
          <cell r="FN22">
            <v>0</v>
          </cell>
        </row>
        <row r="23">
          <cell r="O23"/>
          <cell r="P23"/>
          <cell r="Q23"/>
          <cell r="R23"/>
          <cell r="S23">
            <v>240</v>
          </cell>
          <cell r="T23">
            <v>165</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cell r="BM23">
            <v>0</v>
          </cell>
          <cell r="BN23">
            <v>0</v>
          </cell>
          <cell r="BO23">
            <v>0</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Q23">
            <v>0</v>
          </cell>
          <cell r="DR23">
            <v>0</v>
          </cell>
          <cell r="DS23">
            <v>0</v>
          </cell>
          <cell r="DT23">
            <v>0</v>
          </cell>
          <cell r="DU23">
            <v>0</v>
          </cell>
          <cell r="DV23">
            <v>0</v>
          </cell>
          <cell r="DW23">
            <v>0</v>
          </cell>
          <cell r="DX23">
            <v>0</v>
          </cell>
          <cell r="DY23">
            <v>0</v>
          </cell>
          <cell r="DZ23">
            <v>0</v>
          </cell>
          <cell r="EA23">
            <v>0</v>
          </cell>
          <cell r="EB23">
            <v>0</v>
          </cell>
          <cell r="EC23">
            <v>0</v>
          </cell>
          <cell r="ED23">
            <v>0</v>
          </cell>
          <cell r="EE23">
            <v>0</v>
          </cell>
          <cell r="EF23">
            <v>0</v>
          </cell>
          <cell r="EG23">
            <v>0</v>
          </cell>
          <cell r="EH23">
            <v>0</v>
          </cell>
          <cell r="EI23">
            <v>0</v>
          </cell>
          <cell r="EJ23">
            <v>0</v>
          </cell>
          <cell r="EK23">
            <v>0</v>
          </cell>
          <cell r="EL23">
            <v>0</v>
          </cell>
          <cell r="EM23">
            <v>0</v>
          </cell>
          <cell r="EN23">
            <v>0</v>
          </cell>
          <cell r="EO23">
            <v>0</v>
          </cell>
          <cell r="EP23">
            <v>0</v>
          </cell>
          <cell r="EQ23">
            <v>0</v>
          </cell>
          <cell r="ER23">
            <v>0</v>
          </cell>
          <cell r="ES23">
            <v>0</v>
          </cell>
          <cell r="ET23">
            <v>0</v>
          </cell>
          <cell r="EU23">
            <v>0</v>
          </cell>
          <cell r="EV23">
            <v>0</v>
          </cell>
          <cell r="EW23">
            <v>0</v>
          </cell>
          <cell r="EX23">
            <v>0</v>
          </cell>
          <cell r="EY23">
            <v>0</v>
          </cell>
          <cell r="EZ23">
            <v>0</v>
          </cell>
          <cell r="FA23">
            <v>0</v>
          </cell>
          <cell r="FB23">
            <v>0</v>
          </cell>
          <cell r="FC23">
            <v>0</v>
          </cell>
          <cell r="FD23">
            <v>0</v>
          </cell>
          <cell r="FE23">
            <v>0</v>
          </cell>
          <cell r="FF23">
            <v>0</v>
          </cell>
          <cell r="FG23">
            <v>0</v>
          </cell>
          <cell r="FH23">
            <v>0</v>
          </cell>
          <cell r="FI23">
            <v>0</v>
          </cell>
          <cell r="FJ23">
            <v>0</v>
          </cell>
          <cell r="FK23">
            <v>0</v>
          </cell>
          <cell r="FL23">
            <v>0</v>
          </cell>
          <cell r="FM23">
            <v>0</v>
          </cell>
          <cell r="FN23">
            <v>0</v>
          </cell>
        </row>
        <row r="24">
          <cell r="O24"/>
          <cell r="P24"/>
          <cell r="Q24">
            <v>33.75</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cell r="BM24">
            <v>0</v>
          </cell>
          <cell r="BN24">
            <v>0</v>
          </cell>
          <cell r="BO24">
            <v>0</v>
          </cell>
          <cell r="BP24">
            <v>0</v>
          </cell>
          <cell r="BQ24">
            <v>0</v>
          </cell>
          <cell r="BR24">
            <v>0</v>
          </cell>
          <cell r="BS24">
            <v>0</v>
          </cell>
          <cell r="BT24">
            <v>0</v>
          </cell>
          <cell r="BU24">
            <v>0</v>
          </cell>
          <cell r="BV24">
            <v>0</v>
          </cell>
          <cell r="BW24">
            <v>0</v>
          </cell>
          <cell r="BX24">
            <v>0</v>
          </cell>
          <cell r="BY24">
            <v>0</v>
          </cell>
          <cell r="BZ24">
            <v>0</v>
          </cell>
          <cell r="CA24">
            <v>0</v>
          </cell>
          <cell r="CB24">
            <v>0</v>
          </cell>
          <cell r="CC24">
            <v>0</v>
          </cell>
          <cell r="CD24">
            <v>0</v>
          </cell>
          <cell r="CE24">
            <v>0</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CX24">
            <v>0</v>
          </cell>
          <cell r="CY24">
            <v>0</v>
          </cell>
          <cell r="CZ24">
            <v>0</v>
          </cell>
          <cell r="DA24">
            <v>0</v>
          </cell>
          <cell r="DB24">
            <v>0</v>
          </cell>
          <cell r="DC24">
            <v>0</v>
          </cell>
          <cell r="DD24">
            <v>0</v>
          </cell>
          <cell r="DE24">
            <v>0</v>
          </cell>
          <cell r="DF24">
            <v>0</v>
          </cell>
          <cell r="DG24">
            <v>0</v>
          </cell>
          <cell r="DH24">
            <v>0</v>
          </cell>
          <cell r="DI24">
            <v>0</v>
          </cell>
          <cell r="DJ24">
            <v>0</v>
          </cell>
          <cell r="DK24">
            <v>0</v>
          </cell>
          <cell r="DL24">
            <v>0</v>
          </cell>
          <cell r="DM24">
            <v>0</v>
          </cell>
          <cell r="DN24">
            <v>0</v>
          </cell>
          <cell r="DO24">
            <v>0</v>
          </cell>
          <cell r="DP24">
            <v>0</v>
          </cell>
          <cell r="DQ24">
            <v>0</v>
          </cell>
          <cell r="DR24">
            <v>0</v>
          </cell>
          <cell r="DS24">
            <v>0</v>
          </cell>
          <cell r="DT24">
            <v>0</v>
          </cell>
          <cell r="DU24">
            <v>0</v>
          </cell>
          <cell r="DV24">
            <v>0</v>
          </cell>
          <cell r="DW24">
            <v>0</v>
          </cell>
          <cell r="DX24">
            <v>0</v>
          </cell>
          <cell r="DY24">
            <v>0</v>
          </cell>
          <cell r="DZ24">
            <v>0</v>
          </cell>
          <cell r="EA24">
            <v>0</v>
          </cell>
          <cell r="EB24">
            <v>0</v>
          </cell>
          <cell r="EC24">
            <v>0</v>
          </cell>
          <cell r="ED24">
            <v>0</v>
          </cell>
          <cell r="EE24">
            <v>0</v>
          </cell>
          <cell r="EF24">
            <v>0</v>
          </cell>
          <cell r="EG24">
            <v>0</v>
          </cell>
          <cell r="EH24">
            <v>0</v>
          </cell>
          <cell r="EI24">
            <v>0</v>
          </cell>
          <cell r="EJ24">
            <v>0</v>
          </cell>
          <cell r="EK24">
            <v>0</v>
          </cell>
          <cell r="EL24">
            <v>0</v>
          </cell>
          <cell r="EM24">
            <v>0</v>
          </cell>
          <cell r="EN24">
            <v>0</v>
          </cell>
          <cell r="EO24">
            <v>0</v>
          </cell>
          <cell r="EP24">
            <v>0</v>
          </cell>
          <cell r="EQ24">
            <v>0</v>
          </cell>
          <cell r="ER24">
            <v>0</v>
          </cell>
          <cell r="ES24">
            <v>0</v>
          </cell>
          <cell r="ET24">
            <v>0</v>
          </cell>
          <cell r="EU24">
            <v>0</v>
          </cell>
          <cell r="EV24">
            <v>0</v>
          </cell>
          <cell r="EW24">
            <v>0</v>
          </cell>
          <cell r="EX24">
            <v>0</v>
          </cell>
          <cell r="EY24">
            <v>0</v>
          </cell>
          <cell r="EZ24">
            <v>0</v>
          </cell>
          <cell r="FA24">
            <v>0</v>
          </cell>
          <cell r="FB24">
            <v>0</v>
          </cell>
          <cell r="FC24">
            <v>0</v>
          </cell>
          <cell r="FD24">
            <v>0</v>
          </cell>
          <cell r="FE24">
            <v>0</v>
          </cell>
          <cell r="FF24">
            <v>0</v>
          </cell>
          <cell r="FG24">
            <v>0</v>
          </cell>
          <cell r="FH24">
            <v>0</v>
          </cell>
          <cell r="FI24">
            <v>0</v>
          </cell>
          <cell r="FJ24">
            <v>0</v>
          </cell>
          <cell r="FK24">
            <v>0</v>
          </cell>
          <cell r="FL24">
            <v>0</v>
          </cell>
          <cell r="FM24">
            <v>0</v>
          </cell>
          <cell r="FN24">
            <v>0</v>
          </cell>
        </row>
        <row r="25">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cell r="DN25">
            <v>0</v>
          </cell>
          <cell r="DO25">
            <v>0</v>
          </cell>
          <cell r="DP25">
            <v>0</v>
          </cell>
          <cell r="DQ25">
            <v>0</v>
          </cell>
          <cell r="DR25">
            <v>0</v>
          </cell>
          <cell r="DS25">
            <v>0</v>
          </cell>
          <cell r="DT25">
            <v>0</v>
          </cell>
          <cell r="DU25">
            <v>0</v>
          </cell>
          <cell r="DV25">
            <v>0</v>
          </cell>
          <cell r="DW25">
            <v>0</v>
          </cell>
          <cell r="DX25">
            <v>0</v>
          </cell>
          <cell r="DY25">
            <v>0</v>
          </cell>
          <cell r="DZ25">
            <v>0</v>
          </cell>
          <cell r="EA25">
            <v>0</v>
          </cell>
          <cell r="EB25">
            <v>0</v>
          </cell>
          <cell r="EC25">
            <v>0</v>
          </cell>
          <cell r="ED25">
            <v>0</v>
          </cell>
          <cell r="EE25">
            <v>0</v>
          </cell>
          <cell r="EF25">
            <v>0</v>
          </cell>
          <cell r="EG25">
            <v>0</v>
          </cell>
          <cell r="EH25">
            <v>0</v>
          </cell>
          <cell r="EI25">
            <v>0</v>
          </cell>
          <cell r="EJ25">
            <v>0</v>
          </cell>
          <cell r="EK25">
            <v>0</v>
          </cell>
          <cell r="EL25">
            <v>0</v>
          </cell>
          <cell r="EM25">
            <v>0</v>
          </cell>
          <cell r="EN25">
            <v>0</v>
          </cell>
          <cell r="EO25">
            <v>0</v>
          </cell>
          <cell r="EP25">
            <v>0</v>
          </cell>
          <cell r="EQ25">
            <v>0</v>
          </cell>
          <cell r="ER25">
            <v>0</v>
          </cell>
          <cell r="ES25">
            <v>0</v>
          </cell>
          <cell r="ET25">
            <v>0</v>
          </cell>
          <cell r="EU25">
            <v>0</v>
          </cell>
          <cell r="EV25">
            <v>0</v>
          </cell>
          <cell r="EW25">
            <v>0</v>
          </cell>
          <cell r="EX25">
            <v>0</v>
          </cell>
          <cell r="EY25">
            <v>0</v>
          </cell>
          <cell r="EZ25">
            <v>0</v>
          </cell>
          <cell r="FA25">
            <v>0</v>
          </cell>
          <cell r="FB25">
            <v>0</v>
          </cell>
          <cell r="FC25">
            <v>0</v>
          </cell>
          <cell r="FD25">
            <v>0</v>
          </cell>
          <cell r="FE25">
            <v>0</v>
          </cell>
          <cell r="FF25">
            <v>0</v>
          </cell>
          <cell r="FG25">
            <v>0</v>
          </cell>
          <cell r="FH25">
            <v>0</v>
          </cell>
          <cell r="FI25">
            <v>0</v>
          </cell>
          <cell r="FJ25">
            <v>0</v>
          </cell>
          <cell r="FK25">
            <v>0</v>
          </cell>
          <cell r="FL25">
            <v>0</v>
          </cell>
          <cell r="FM25">
            <v>0</v>
          </cell>
          <cell r="FN25">
            <v>0</v>
          </cell>
        </row>
        <row r="26">
          <cell r="O26"/>
          <cell r="P26"/>
          <cell r="Q26">
            <v>33.75</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cell r="BS26">
            <v>0</v>
          </cell>
          <cell r="BT26">
            <v>0</v>
          </cell>
          <cell r="BU26">
            <v>0</v>
          </cell>
          <cell r="BV26">
            <v>0</v>
          </cell>
          <cell r="BW26">
            <v>0</v>
          </cell>
          <cell r="BX26">
            <v>0</v>
          </cell>
          <cell r="BY26">
            <v>0</v>
          </cell>
          <cell r="BZ26">
            <v>0</v>
          </cell>
          <cell r="CA26">
            <v>0</v>
          </cell>
          <cell r="CB26">
            <v>0</v>
          </cell>
          <cell r="CC26">
            <v>0</v>
          </cell>
          <cell r="CD26">
            <v>0</v>
          </cell>
          <cell r="CE26">
            <v>0</v>
          </cell>
          <cell r="CF26">
            <v>0</v>
          </cell>
          <cell r="CG26">
            <v>0</v>
          </cell>
          <cell r="CH26">
            <v>0</v>
          </cell>
          <cell r="CI26">
            <v>0</v>
          </cell>
          <cell r="CJ26">
            <v>0</v>
          </cell>
          <cell r="CK26">
            <v>0</v>
          </cell>
          <cell r="CL26">
            <v>0</v>
          </cell>
          <cell r="CM26">
            <v>0</v>
          </cell>
          <cell r="CN26">
            <v>0</v>
          </cell>
          <cell r="CO26">
            <v>0</v>
          </cell>
          <cell r="CP26">
            <v>0</v>
          </cell>
          <cell r="CQ26">
            <v>0</v>
          </cell>
          <cell r="CR26">
            <v>0</v>
          </cell>
          <cell r="CS26">
            <v>0</v>
          </cell>
          <cell r="CT26">
            <v>0</v>
          </cell>
          <cell r="CU26">
            <v>0</v>
          </cell>
          <cell r="CV26">
            <v>0</v>
          </cell>
          <cell r="CW26">
            <v>0</v>
          </cell>
          <cell r="CX26">
            <v>0</v>
          </cell>
          <cell r="CY26">
            <v>0</v>
          </cell>
          <cell r="CZ26">
            <v>0</v>
          </cell>
          <cell r="DA26">
            <v>0</v>
          </cell>
          <cell r="DB26">
            <v>0</v>
          </cell>
          <cell r="DC26">
            <v>0</v>
          </cell>
          <cell r="DD26">
            <v>0</v>
          </cell>
          <cell r="DE26">
            <v>0</v>
          </cell>
          <cell r="DF26">
            <v>0</v>
          </cell>
          <cell r="DG26">
            <v>0</v>
          </cell>
          <cell r="DH26">
            <v>0</v>
          </cell>
          <cell r="DI26">
            <v>0</v>
          </cell>
          <cell r="DJ26">
            <v>0</v>
          </cell>
          <cell r="DK26">
            <v>0</v>
          </cell>
          <cell r="DL26">
            <v>0</v>
          </cell>
          <cell r="DM26">
            <v>0</v>
          </cell>
          <cell r="DN26">
            <v>0</v>
          </cell>
          <cell r="DO26">
            <v>0</v>
          </cell>
          <cell r="DP26">
            <v>0</v>
          </cell>
          <cell r="DQ26">
            <v>0</v>
          </cell>
          <cell r="DR26">
            <v>0</v>
          </cell>
          <cell r="DS26">
            <v>0</v>
          </cell>
          <cell r="DT26">
            <v>0</v>
          </cell>
          <cell r="DU26">
            <v>0</v>
          </cell>
          <cell r="DV26">
            <v>0</v>
          </cell>
          <cell r="DW26">
            <v>0</v>
          </cell>
          <cell r="DX26">
            <v>0</v>
          </cell>
          <cell r="DY26">
            <v>0</v>
          </cell>
          <cell r="DZ26">
            <v>0</v>
          </cell>
          <cell r="EA26">
            <v>0</v>
          </cell>
          <cell r="EB26">
            <v>0</v>
          </cell>
          <cell r="EC26">
            <v>0</v>
          </cell>
          <cell r="ED26">
            <v>0</v>
          </cell>
          <cell r="EE26">
            <v>0</v>
          </cell>
          <cell r="EF26">
            <v>0</v>
          </cell>
          <cell r="EG26">
            <v>0</v>
          </cell>
          <cell r="EH26">
            <v>0</v>
          </cell>
          <cell r="EI26">
            <v>0</v>
          </cell>
          <cell r="EJ26">
            <v>0</v>
          </cell>
          <cell r="EK26">
            <v>0</v>
          </cell>
          <cell r="EL26">
            <v>0</v>
          </cell>
          <cell r="EM26">
            <v>0</v>
          </cell>
          <cell r="EN26">
            <v>0</v>
          </cell>
          <cell r="EO26">
            <v>0</v>
          </cell>
          <cell r="EP26">
            <v>0</v>
          </cell>
          <cell r="EQ26">
            <v>0</v>
          </cell>
          <cell r="ER26">
            <v>0</v>
          </cell>
          <cell r="ES26">
            <v>0</v>
          </cell>
          <cell r="ET26">
            <v>0</v>
          </cell>
          <cell r="EU26">
            <v>0</v>
          </cell>
          <cell r="EV26">
            <v>0</v>
          </cell>
          <cell r="EW26">
            <v>0</v>
          </cell>
          <cell r="EX26">
            <v>0</v>
          </cell>
          <cell r="EY26">
            <v>0</v>
          </cell>
          <cell r="EZ26">
            <v>0</v>
          </cell>
          <cell r="FA26">
            <v>0</v>
          </cell>
          <cell r="FB26">
            <v>0</v>
          </cell>
          <cell r="FC26">
            <v>0</v>
          </cell>
          <cell r="FD26">
            <v>0</v>
          </cell>
          <cell r="FE26">
            <v>0</v>
          </cell>
          <cell r="FF26">
            <v>0</v>
          </cell>
          <cell r="FG26">
            <v>0</v>
          </cell>
          <cell r="FH26">
            <v>0</v>
          </cell>
          <cell r="FI26">
            <v>0</v>
          </cell>
          <cell r="FJ26">
            <v>0</v>
          </cell>
          <cell r="FK26">
            <v>0</v>
          </cell>
          <cell r="FL26">
            <v>0</v>
          </cell>
          <cell r="FM26">
            <v>0</v>
          </cell>
          <cell r="FN26">
            <v>0</v>
          </cell>
        </row>
        <row r="27">
          <cell r="O27"/>
          <cell r="P27"/>
          <cell r="Q27">
            <v>101.25</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0</v>
          </cell>
          <cell r="BN27">
            <v>0</v>
          </cell>
          <cell r="BO27">
            <v>0</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cell r="DR27">
            <v>0</v>
          </cell>
          <cell r="DS27">
            <v>0</v>
          </cell>
          <cell r="DT27">
            <v>0</v>
          </cell>
          <cell r="DU27">
            <v>0</v>
          </cell>
          <cell r="DV27">
            <v>0</v>
          </cell>
          <cell r="DW27">
            <v>0</v>
          </cell>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v>0</v>
          </cell>
          <cell r="ER27">
            <v>0</v>
          </cell>
          <cell r="ES27">
            <v>0</v>
          </cell>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row>
        <row r="28">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cell r="BN28">
            <v>0</v>
          </cell>
          <cell r="BO28">
            <v>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v>0</v>
          </cell>
          <cell r="DK28">
            <v>0</v>
          </cell>
          <cell r="DL28">
            <v>0</v>
          </cell>
          <cell r="DM28">
            <v>0</v>
          </cell>
          <cell r="DN28">
            <v>0</v>
          </cell>
          <cell r="DO28">
            <v>0</v>
          </cell>
          <cell r="DP28">
            <v>0</v>
          </cell>
          <cell r="DQ28">
            <v>0</v>
          </cell>
          <cell r="DR28">
            <v>0</v>
          </cell>
          <cell r="DS28">
            <v>0</v>
          </cell>
          <cell r="DT28">
            <v>0</v>
          </cell>
          <cell r="DU28">
            <v>0</v>
          </cell>
          <cell r="DV28">
            <v>0</v>
          </cell>
          <cell r="DW28">
            <v>0</v>
          </cell>
          <cell r="DX28">
            <v>0</v>
          </cell>
          <cell r="DY28">
            <v>0</v>
          </cell>
          <cell r="DZ28">
            <v>0</v>
          </cell>
          <cell r="EA28">
            <v>0</v>
          </cell>
          <cell r="EB28">
            <v>0</v>
          </cell>
          <cell r="EC28">
            <v>0</v>
          </cell>
          <cell r="ED28">
            <v>0</v>
          </cell>
          <cell r="EE28">
            <v>0</v>
          </cell>
          <cell r="EF28">
            <v>0</v>
          </cell>
          <cell r="EG28">
            <v>0</v>
          </cell>
          <cell r="EH28">
            <v>0</v>
          </cell>
          <cell r="EI28">
            <v>0</v>
          </cell>
          <cell r="EJ28">
            <v>0</v>
          </cell>
          <cell r="EK28">
            <v>0</v>
          </cell>
          <cell r="EL28">
            <v>0</v>
          </cell>
          <cell r="EM28">
            <v>0</v>
          </cell>
          <cell r="EN28">
            <v>0</v>
          </cell>
          <cell r="EO28">
            <v>0</v>
          </cell>
          <cell r="EP28">
            <v>0</v>
          </cell>
          <cell r="EQ28">
            <v>0</v>
          </cell>
          <cell r="ER28">
            <v>0</v>
          </cell>
          <cell r="ES28">
            <v>0</v>
          </cell>
          <cell r="ET28">
            <v>0</v>
          </cell>
          <cell r="EU28">
            <v>0</v>
          </cell>
          <cell r="EV28">
            <v>0</v>
          </cell>
          <cell r="EW28">
            <v>0</v>
          </cell>
          <cell r="EX28">
            <v>0</v>
          </cell>
          <cell r="EY28">
            <v>0</v>
          </cell>
          <cell r="EZ28">
            <v>0</v>
          </cell>
          <cell r="FA28">
            <v>0</v>
          </cell>
          <cell r="FB28">
            <v>0</v>
          </cell>
          <cell r="FC28">
            <v>0</v>
          </cell>
          <cell r="FD28">
            <v>0</v>
          </cell>
          <cell r="FE28">
            <v>0</v>
          </cell>
          <cell r="FF28">
            <v>0</v>
          </cell>
          <cell r="FG28">
            <v>0</v>
          </cell>
          <cell r="FH28">
            <v>0</v>
          </cell>
          <cell r="FI28">
            <v>0</v>
          </cell>
          <cell r="FJ28">
            <v>0</v>
          </cell>
          <cell r="FK28">
            <v>0</v>
          </cell>
          <cell r="FL28">
            <v>0</v>
          </cell>
          <cell r="FM28">
            <v>0</v>
          </cell>
          <cell r="FN28">
            <v>0</v>
          </cell>
        </row>
        <row r="29">
          <cell r="O29"/>
          <cell r="P29"/>
          <cell r="Q29">
            <v>50.625</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0</v>
          </cell>
          <cell r="CG29">
            <v>0</v>
          </cell>
          <cell r="CH29">
            <v>0</v>
          </cell>
          <cell r="CI29">
            <v>0</v>
          </cell>
          <cell r="CJ29">
            <v>0</v>
          </cell>
          <cell r="CK29">
            <v>0</v>
          </cell>
          <cell r="CL29">
            <v>0</v>
          </cell>
          <cell r="CM29">
            <v>0</v>
          </cell>
          <cell r="CN29">
            <v>0</v>
          </cell>
          <cell r="CO29">
            <v>0</v>
          </cell>
          <cell r="CP29">
            <v>0</v>
          </cell>
          <cell r="CQ29">
            <v>0</v>
          </cell>
          <cell r="CR29">
            <v>0</v>
          </cell>
          <cell r="CS29">
            <v>0</v>
          </cell>
          <cell r="CT29">
            <v>0</v>
          </cell>
          <cell r="CU29">
            <v>0</v>
          </cell>
          <cell r="CV29">
            <v>0</v>
          </cell>
          <cell r="CW29">
            <v>0</v>
          </cell>
          <cell r="CX29">
            <v>0</v>
          </cell>
          <cell r="CY29">
            <v>0</v>
          </cell>
          <cell r="CZ29">
            <v>0</v>
          </cell>
          <cell r="DA29">
            <v>0</v>
          </cell>
          <cell r="DB29">
            <v>0</v>
          </cell>
          <cell r="DC29">
            <v>0</v>
          </cell>
          <cell r="DD29">
            <v>0</v>
          </cell>
          <cell r="DE29">
            <v>0</v>
          </cell>
          <cell r="DF29">
            <v>0</v>
          </cell>
          <cell r="DG29">
            <v>0</v>
          </cell>
          <cell r="DH29">
            <v>0</v>
          </cell>
          <cell r="DI29">
            <v>0</v>
          </cell>
          <cell r="DJ29">
            <v>0</v>
          </cell>
          <cell r="DK29">
            <v>0</v>
          </cell>
          <cell r="DL29">
            <v>0</v>
          </cell>
          <cell r="DM29">
            <v>0</v>
          </cell>
          <cell r="DN29">
            <v>0</v>
          </cell>
          <cell r="DO29">
            <v>0</v>
          </cell>
          <cell r="DP29">
            <v>0</v>
          </cell>
          <cell r="DQ29">
            <v>0</v>
          </cell>
          <cell r="DR29">
            <v>0</v>
          </cell>
          <cell r="DS29">
            <v>0</v>
          </cell>
          <cell r="DT29">
            <v>0</v>
          </cell>
          <cell r="DU29">
            <v>0</v>
          </cell>
          <cell r="DV29">
            <v>0</v>
          </cell>
          <cell r="DW29">
            <v>0</v>
          </cell>
          <cell r="DX29">
            <v>0</v>
          </cell>
          <cell r="DY29">
            <v>0</v>
          </cell>
          <cell r="DZ29">
            <v>0</v>
          </cell>
          <cell r="EA29">
            <v>0</v>
          </cell>
          <cell r="EB29">
            <v>0</v>
          </cell>
          <cell r="EC29">
            <v>0</v>
          </cell>
          <cell r="ED29">
            <v>0</v>
          </cell>
          <cell r="EE29">
            <v>0</v>
          </cell>
          <cell r="EF29">
            <v>0</v>
          </cell>
          <cell r="EG29">
            <v>0</v>
          </cell>
          <cell r="EH29">
            <v>0</v>
          </cell>
          <cell r="EI29">
            <v>0</v>
          </cell>
          <cell r="EJ29">
            <v>0</v>
          </cell>
          <cell r="EK29">
            <v>0</v>
          </cell>
          <cell r="EL29">
            <v>0</v>
          </cell>
          <cell r="EM29">
            <v>0</v>
          </cell>
          <cell r="EN29">
            <v>0</v>
          </cell>
          <cell r="EO29">
            <v>0</v>
          </cell>
          <cell r="EP29">
            <v>0</v>
          </cell>
          <cell r="EQ29">
            <v>0</v>
          </cell>
          <cell r="ER29">
            <v>0</v>
          </cell>
          <cell r="ES29">
            <v>0</v>
          </cell>
          <cell r="ET29">
            <v>0</v>
          </cell>
          <cell r="EU29">
            <v>0</v>
          </cell>
          <cell r="EV29">
            <v>0</v>
          </cell>
          <cell r="EW29">
            <v>0</v>
          </cell>
          <cell r="EX29">
            <v>0</v>
          </cell>
          <cell r="EY29">
            <v>0</v>
          </cell>
          <cell r="EZ29">
            <v>0</v>
          </cell>
          <cell r="FA29">
            <v>0</v>
          </cell>
          <cell r="FB29">
            <v>0</v>
          </cell>
          <cell r="FC29">
            <v>0</v>
          </cell>
          <cell r="FD29">
            <v>0</v>
          </cell>
          <cell r="FE29">
            <v>0</v>
          </cell>
          <cell r="FF29">
            <v>0</v>
          </cell>
          <cell r="FG29">
            <v>0</v>
          </cell>
          <cell r="FH29">
            <v>0</v>
          </cell>
          <cell r="FI29">
            <v>0</v>
          </cell>
          <cell r="FJ29">
            <v>0</v>
          </cell>
          <cell r="FK29">
            <v>0</v>
          </cell>
          <cell r="FL29">
            <v>0</v>
          </cell>
          <cell r="FM29">
            <v>0</v>
          </cell>
          <cell r="FN29">
            <v>0</v>
          </cell>
        </row>
        <row r="30">
          <cell r="O30"/>
          <cell r="P30"/>
          <cell r="Q30">
            <v>67.5</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0</v>
          </cell>
          <cell r="DJ30">
            <v>0</v>
          </cell>
          <cell r="DK30">
            <v>0</v>
          </cell>
          <cell r="DL30">
            <v>0</v>
          </cell>
          <cell r="DM30">
            <v>0</v>
          </cell>
          <cell r="DN30">
            <v>0</v>
          </cell>
          <cell r="DO30">
            <v>0</v>
          </cell>
          <cell r="DP30">
            <v>0</v>
          </cell>
          <cell r="DQ30">
            <v>0</v>
          </cell>
          <cell r="DR30">
            <v>0</v>
          </cell>
          <cell r="DS30">
            <v>0</v>
          </cell>
          <cell r="DT30">
            <v>0</v>
          </cell>
          <cell r="DU30">
            <v>0</v>
          </cell>
          <cell r="DV30">
            <v>0</v>
          </cell>
          <cell r="DW30">
            <v>0</v>
          </cell>
          <cell r="DX30">
            <v>0</v>
          </cell>
          <cell r="DY30">
            <v>0</v>
          </cell>
          <cell r="DZ30">
            <v>0</v>
          </cell>
          <cell r="EA30">
            <v>0</v>
          </cell>
          <cell r="EB30">
            <v>0</v>
          </cell>
          <cell r="EC30">
            <v>0</v>
          </cell>
          <cell r="ED30">
            <v>0</v>
          </cell>
          <cell r="EE30">
            <v>0</v>
          </cell>
          <cell r="EF30">
            <v>0</v>
          </cell>
          <cell r="EG30">
            <v>0</v>
          </cell>
          <cell r="EH30">
            <v>0</v>
          </cell>
          <cell r="EI30">
            <v>0</v>
          </cell>
          <cell r="EJ30">
            <v>0</v>
          </cell>
          <cell r="EK30">
            <v>0</v>
          </cell>
          <cell r="EL30">
            <v>0</v>
          </cell>
          <cell r="EM30">
            <v>0</v>
          </cell>
          <cell r="EN30">
            <v>0</v>
          </cell>
          <cell r="EO30">
            <v>0</v>
          </cell>
          <cell r="EP30">
            <v>0</v>
          </cell>
          <cell r="EQ30">
            <v>0</v>
          </cell>
          <cell r="ER30">
            <v>0</v>
          </cell>
          <cell r="ES30">
            <v>0</v>
          </cell>
          <cell r="ET30">
            <v>0</v>
          </cell>
          <cell r="EU30">
            <v>0</v>
          </cell>
          <cell r="EV30">
            <v>0</v>
          </cell>
          <cell r="EW30">
            <v>0</v>
          </cell>
          <cell r="EX30">
            <v>0</v>
          </cell>
          <cell r="EY30">
            <v>0</v>
          </cell>
          <cell r="EZ30">
            <v>0</v>
          </cell>
          <cell r="FA30">
            <v>0</v>
          </cell>
          <cell r="FB30">
            <v>0</v>
          </cell>
          <cell r="FC30">
            <v>0</v>
          </cell>
          <cell r="FD30">
            <v>0</v>
          </cell>
          <cell r="FE30">
            <v>0</v>
          </cell>
          <cell r="FF30">
            <v>0</v>
          </cell>
          <cell r="FG30">
            <v>0</v>
          </cell>
          <cell r="FH30">
            <v>0</v>
          </cell>
          <cell r="FI30">
            <v>0</v>
          </cell>
          <cell r="FJ30">
            <v>0</v>
          </cell>
          <cell r="FK30">
            <v>0</v>
          </cell>
          <cell r="FL30">
            <v>0</v>
          </cell>
          <cell r="FM30">
            <v>0</v>
          </cell>
          <cell r="FN30">
            <v>0</v>
          </cell>
        </row>
        <row r="31">
          <cell r="O31"/>
          <cell r="P31"/>
          <cell r="Q31">
            <v>135</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0</v>
          </cell>
          <cell r="DE31">
            <v>0</v>
          </cell>
          <cell r="DF31">
            <v>0</v>
          </cell>
          <cell r="DG31">
            <v>0</v>
          </cell>
          <cell r="DH31">
            <v>0</v>
          </cell>
          <cell r="DI31">
            <v>0</v>
          </cell>
          <cell r="DJ31">
            <v>0</v>
          </cell>
          <cell r="DK31">
            <v>0</v>
          </cell>
          <cell r="DL31">
            <v>0</v>
          </cell>
          <cell r="DM31">
            <v>0</v>
          </cell>
          <cell r="DN31">
            <v>0</v>
          </cell>
          <cell r="DO31">
            <v>0</v>
          </cell>
          <cell r="DP31">
            <v>0</v>
          </cell>
          <cell r="DQ31">
            <v>0</v>
          </cell>
          <cell r="DR31">
            <v>0</v>
          </cell>
          <cell r="DS31">
            <v>0</v>
          </cell>
          <cell r="DT31">
            <v>0</v>
          </cell>
          <cell r="DU31">
            <v>0</v>
          </cell>
          <cell r="DV31">
            <v>0</v>
          </cell>
          <cell r="DW31">
            <v>0</v>
          </cell>
          <cell r="DX31">
            <v>0</v>
          </cell>
          <cell r="DY31">
            <v>0</v>
          </cell>
          <cell r="DZ31">
            <v>0</v>
          </cell>
          <cell r="EA31">
            <v>0</v>
          </cell>
          <cell r="EB31">
            <v>0</v>
          </cell>
          <cell r="EC31">
            <v>0</v>
          </cell>
          <cell r="ED31">
            <v>0</v>
          </cell>
          <cell r="EE31">
            <v>0</v>
          </cell>
          <cell r="EF31">
            <v>0</v>
          </cell>
          <cell r="EG31">
            <v>0</v>
          </cell>
          <cell r="EH31">
            <v>0</v>
          </cell>
          <cell r="EI31">
            <v>0</v>
          </cell>
          <cell r="EJ31">
            <v>0</v>
          </cell>
          <cell r="EK31">
            <v>0</v>
          </cell>
          <cell r="EL31">
            <v>0</v>
          </cell>
          <cell r="EM31">
            <v>0</v>
          </cell>
          <cell r="EN31">
            <v>0</v>
          </cell>
          <cell r="EO31">
            <v>0</v>
          </cell>
          <cell r="EP31">
            <v>0</v>
          </cell>
          <cell r="EQ31">
            <v>0</v>
          </cell>
          <cell r="ER31">
            <v>0</v>
          </cell>
          <cell r="ES31">
            <v>0</v>
          </cell>
          <cell r="ET31">
            <v>0</v>
          </cell>
          <cell r="EU31">
            <v>0</v>
          </cell>
          <cell r="EV31">
            <v>0</v>
          </cell>
          <cell r="EW31">
            <v>0</v>
          </cell>
          <cell r="EX31">
            <v>0</v>
          </cell>
          <cell r="EY31">
            <v>0</v>
          </cell>
          <cell r="EZ31">
            <v>0</v>
          </cell>
          <cell r="FA31">
            <v>0</v>
          </cell>
          <cell r="FB31">
            <v>0</v>
          </cell>
          <cell r="FC31">
            <v>0</v>
          </cell>
          <cell r="FD31">
            <v>0</v>
          </cell>
          <cell r="FE31">
            <v>0</v>
          </cell>
          <cell r="FF31">
            <v>0</v>
          </cell>
          <cell r="FG31">
            <v>0</v>
          </cell>
          <cell r="FH31">
            <v>0</v>
          </cell>
          <cell r="FI31">
            <v>0</v>
          </cell>
          <cell r="FJ31">
            <v>0</v>
          </cell>
          <cell r="FK31">
            <v>0</v>
          </cell>
          <cell r="FL31">
            <v>0</v>
          </cell>
          <cell r="FM31">
            <v>0</v>
          </cell>
          <cell r="FN31">
            <v>0</v>
          </cell>
        </row>
        <row r="32">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cell r="CM32">
            <v>0</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0</v>
          </cell>
          <cell r="DM32">
            <v>0</v>
          </cell>
          <cell r="DN32">
            <v>0</v>
          </cell>
          <cell r="DO32">
            <v>0</v>
          </cell>
          <cell r="DP32">
            <v>0</v>
          </cell>
          <cell r="DQ32">
            <v>0</v>
          </cell>
          <cell r="DR32">
            <v>0</v>
          </cell>
          <cell r="DS32">
            <v>0</v>
          </cell>
          <cell r="DT32">
            <v>0</v>
          </cell>
          <cell r="DU32">
            <v>0</v>
          </cell>
          <cell r="DV32">
            <v>0</v>
          </cell>
          <cell r="DW32">
            <v>0</v>
          </cell>
          <cell r="DX32">
            <v>0</v>
          </cell>
          <cell r="DY32">
            <v>0</v>
          </cell>
          <cell r="DZ32">
            <v>0</v>
          </cell>
          <cell r="EA32">
            <v>0</v>
          </cell>
          <cell r="EB32">
            <v>0</v>
          </cell>
          <cell r="EC32">
            <v>0</v>
          </cell>
          <cell r="ED32">
            <v>0</v>
          </cell>
          <cell r="EE32">
            <v>0</v>
          </cell>
          <cell r="EF32">
            <v>0</v>
          </cell>
          <cell r="EG32">
            <v>0</v>
          </cell>
          <cell r="EH32">
            <v>0</v>
          </cell>
          <cell r="EI32">
            <v>0</v>
          </cell>
          <cell r="EJ32">
            <v>0</v>
          </cell>
          <cell r="EK32">
            <v>0</v>
          </cell>
          <cell r="EL32">
            <v>0</v>
          </cell>
          <cell r="EM32">
            <v>0</v>
          </cell>
          <cell r="EN32">
            <v>0</v>
          </cell>
          <cell r="EO32">
            <v>0</v>
          </cell>
          <cell r="EP32">
            <v>0</v>
          </cell>
          <cell r="EQ32">
            <v>0</v>
          </cell>
          <cell r="ER32">
            <v>0</v>
          </cell>
          <cell r="ES32">
            <v>0</v>
          </cell>
          <cell r="ET32">
            <v>0</v>
          </cell>
          <cell r="EU32">
            <v>0</v>
          </cell>
          <cell r="EV32">
            <v>0</v>
          </cell>
          <cell r="EW32">
            <v>0</v>
          </cell>
          <cell r="EX32">
            <v>0</v>
          </cell>
          <cell r="EY32">
            <v>0</v>
          </cell>
          <cell r="EZ32">
            <v>0</v>
          </cell>
          <cell r="FA32">
            <v>0</v>
          </cell>
          <cell r="FB32">
            <v>0</v>
          </cell>
          <cell r="FC32">
            <v>0</v>
          </cell>
          <cell r="FD32">
            <v>0</v>
          </cell>
          <cell r="FE32">
            <v>0</v>
          </cell>
          <cell r="FF32">
            <v>0</v>
          </cell>
          <cell r="FG32">
            <v>0</v>
          </cell>
          <cell r="FH32">
            <v>0</v>
          </cell>
          <cell r="FI32">
            <v>0</v>
          </cell>
          <cell r="FJ32">
            <v>0</v>
          </cell>
          <cell r="FK32">
            <v>0</v>
          </cell>
          <cell r="FL32">
            <v>0</v>
          </cell>
          <cell r="FM32">
            <v>0</v>
          </cell>
          <cell r="FN32">
            <v>0</v>
          </cell>
        </row>
        <row r="33">
          <cell r="O33"/>
          <cell r="P33">
            <v>33.75</v>
          </cell>
          <cell r="Q33">
            <v>33.75</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Q33">
            <v>0</v>
          </cell>
          <cell r="BR33">
            <v>0</v>
          </cell>
          <cell r="BS33">
            <v>0</v>
          </cell>
          <cell r="BT33">
            <v>0</v>
          </cell>
          <cell r="BU33">
            <v>0</v>
          </cell>
          <cell r="BV33">
            <v>0</v>
          </cell>
          <cell r="BW33">
            <v>0</v>
          </cell>
          <cell r="BX33">
            <v>0</v>
          </cell>
          <cell r="BY33">
            <v>0</v>
          </cell>
          <cell r="BZ33">
            <v>0</v>
          </cell>
          <cell r="CA33">
            <v>0</v>
          </cell>
          <cell r="CB33">
            <v>0</v>
          </cell>
          <cell r="CC33">
            <v>0</v>
          </cell>
          <cell r="CD33">
            <v>0</v>
          </cell>
          <cell r="CE33">
            <v>0</v>
          </cell>
          <cell r="CF33">
            <v>0</v>
          </cell>
          <cell r="CG33">
            <v>0</v>
          </cell>
          <cell r="CH33">
            <v>0</v>
          </cell>
          <cell r="CI33">
            <v>0</v>
          </cell>
          <cell r="CJ33">
            <v>0</v>
          </cell>
          <cell r="CK33">
            <v>0</v>
          </cell>
          <cell r="CL33">
            <v>0</v>
          </cell>
          <cell r="CM33">
            <v>0</v>
          </cell>
          <cell r="CN33">
            <v>0</v>
          </cell>
          <cell r="CO33">
            <v>0</v>
          </cell>
          <cell r="CP33">
            <v>0</v>
          </cell>
          <cell r="CQ33">
            <v>0</v>
          </cell>
          <cell r="CR33">
            <v>0</v>
          </cell>
          <cell r="CS33">
            <v>0</v>
          </cell>
          <cell r="CT33">
            <v>0</v>
          </cell>
          <cell r="CU33">
            <v>0</v>
          </cell>
          <cell r="CV33">
            <v>0</v>
          </cell>
          <cell r="CW33">
            <v>0</v>
          </cell>
          <cell r="CX33">
            <v>0</v>
          </cell>
          <cell r="CY33">
            <v>0</v>
          </cell>
          <cell r="CZ33">
            <v>0</v>
          </cell>
          <cell r="DA33">
            <v>0</v>
          </cell>
          <cell r="DB33">
            <v>0</v>
          </cell>
          <cell r="DC33">
            <v>0</v>
          </cell>
          <cell r="DD33">
            <v>0</v>
          </cell>
          <cell r="DE33">
            <v>0</v>
          </cell>
          <cell r="DF33">
            <v>0</v>
          </cell>
          <cell r="DG33">
            <v>0</v>
          </cell>
          <cell r="DH33">
            <v>0</v>
          </cell>
          <cell r="DI33">
            <v>0</v>
          </cell>
          <cell r="DJ33">
            <v>0</v>
          </cell>
          <cell r="DK33">
            <v>0</v>
          </cell>
          <cell r="DL33">
            <v>0</v>
          </cell>
          <cell r="DM33">
            <v>0</v>
          </cell>
          <cell r="DN33">
            <v>0</v>
          </cell>
          <cell r="DO33">
            <v>0</v>
          </cell>
          <cell r="DP33">
            <v>0</v>
          </cell>
          <cell r="DQ33">
            <v>0</v>
          </cell>
          <cell r="DR33">
            <v>0</v>
          </cell>
          <cell r="DS33">
            <v>0</v>
          </cell>
          <cell r="DT33">
            <v>0</v>
          </cell>
          <cell r="DU33">
            <v>0</v>
          </cell>
          <cell r="DV33">
            <v>0</v>
          </cell>
          <cell r="DW33">
            <v>0</v>
          </cell>
          <cell r="DX33">
            <v>0</v>
          </cell>
          <cell r="DY33">
            <v>0</v>
          </cell>
          <cell r="DZ33">
            <v>0</v>
          </cell>
          <cell r="EA33">
            <v>0</v>
          </cell>
          <cell r="EB33">
            <v>0</v>
          </cell>
          <cell r="EC33">
            <v>0</v>
          </cell>
          <cell r="ED33">
            <v>0</v>
          </cell>
          <cell r="EE33">
            <v>0</v>
          </cell>
          <cell r="EF33">
            <v>0</v>
          </cell>
          <cell r="EG33">
            <v>0</v>
          </cell>
          <cell r="EH33">
            <v>0</v>
          </cell>
          <cell r="EI33">
            <v>0</v>
          </cell>
          <cell r="EJ33">
            <v>0</v>
          </cell>
          <cell r="EK33">
            <v>0</v>
          </cell>
          <cell r="EL33">
            <v>0</v>
          </cell>
          <cell r="EM33">
            <v>0</v>
          </cell>
          <cell r="EN33">
            <v>0</v>
          </cell>
          <cell r="EO33">
            <v>0</v>
          </cell>
          <cell r="EP33">
            <v>0</v>
          </cell>
          <cell r="EQ33">
            <v>0</v>
          </cell>
          <cell r="ER33">
            <v>0</v>
          </cell>
          <cell r="ES33">
            <v>0</v>
          </cell>
          <cell r="ET33">
            <v>0</v>
          </cell>
          <cell r="EU33">
            <v>0</v>
          </cell>
          <cell r="EV33">
            <v>0</v>
          </cell>
          <cell r="EW33">
            <v>0</v>
          </cell>
          <cell r="EX33">
            <v>0</v>
          </cell>
          <cell r="EY33">
            <v>0</v>
          </cell>
          <cell r="EZ33">
            <v>0</v>
          </cell>
          <cell r="FA33">
            <v>0</v>
          </cell>
          <cell r="FB33">
            <v>0</v>
          </cell>
          <cell r="FC33">
            <v>0</v>
          </cell>
          <cell r="FD33">
            <v>0</v>
          </cell>
          <cell r="FE33">
            <v>0</v>
          </cell>
          <cell r="FF33">
            <v>0</v>
          </cell>
          <cell r="FG33">
            <v>0</v>
          </cell>
          <cell r="FH33">
            <v>0</v>
          </cell>
          <cell r="FI33">
            <v>0</v>
          </cell>
          <cell r="FJ33">
            <v>0</v>
          </cell>
          <cell r="FK33">
            <v>0</v>
          </cell>
          <cell r="FL33">
            <v>0</v>
          </cell>
          <cell r="FM33">
            <v>0</v>
          </cell>
          <cell r="FN33">
            <v>0</v>
          </cell>
        </row>
        <row r="34">
          <cell r="O34"/>
          <cell r="P34"/>
          <cell r="Q34">
            <v>202.5</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cell r="CC34">
            <v>0</v>
          </cell>
          <cell r="CD34">
            <v>0</v>
          </cell>
          <cell r="CE34">
            <v>0</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cell r="CU34">
            <v>0</v>
          </cell>
          <cell r="CV34">
            <v>0</v>
          </cell>
          <cell r="CW34">
            <v>0</v>
          </cell>
          <cell r="CX34">
            <v>0</v>
          </cell>
          <cell r="CY34">
            <v>0</v>
          </cell>
          <cell r="CZ34">
            <v>0</v>
          </cell>
          <cell r="DA34">
            <v>0</v>
          </cell>
          <cell r="DB34">
            <v>0</v>
          </cell>
          <cell r="DC34">
            <v>0</v>
          </cell>
          <cell r="DD34">
            <v>0</v>
          </cell>
          <cell r="DE34">
            <v>0</v>
          </cell>
          <cell r="DF34">
            <v>0</v>
          </cell>
          <cell r="DG34">
            <v>0</v>
          </cell>
          <cell r="DH34">
            <v>0</v>
          </cell>
          <cell r="DI34">
            <v>0</v>
          </cell>
          <cell r="DJ34">
            <v>0</v>
          </cell>
          <cell r="DK34">
            <v>0</v>
          </cell>
          <cell r="DL34">
            <v>0</v>
          </cell>
          <cell r="DM34">
            <v>0</v>
          </cell>
          <cell r="DN34">
            <v>0</v>
          </cell>
          <cell r="DO34">
            <v>0</v>
          </cell>
          <cell r="DP34">
            <v>0</v>
          </cell>
          <cell r="DQ34">
            <v>0</v>
          </cell>
          <cell r="DR34">
            <v>0</v>
          </cell>
          <cell r="DS34">
            <v>0</v>
          </cell>
          <cell r="DT34">
            <v>0</v>
          </cell>
          <cell r="DU34">
            <v>0</v>
          </cell>
          <cell r="DV34">
            <v>0</v>
          </cell>
          <cell r="DW34">
            <v>0</v>
          </cell>
          <cell r="DX34">
            <v>0</v>
          </cell>
          <cell r="DY34">
            <v>0</v>
          </cell>
          <cell r="DZ34">
            <v>0</v>
          </cell>
          <cell r="EA34">
            <v>0</v>
          </cell>
          <cell r="EB34">
            <v>0</v>
          </cell>
          <cell r="EC34">
            <v>0</v>
          </cell>
          <cell r="ED34">
            <v>0</v>
          </cell>
          <cell r="EE34">
            <v>0</v>
          </cell>
          <cell r="EF34">
            <v>0</v>
          </cell>
          <cell r="EG34">
            <v>0</v>
          </cell>
          <cell r="EH34">
            <v>0</v>
          </cell>
          <cell r="EI34">
            <v>0</v>
          </cell>
          <cell r="EJ34">
            <v>0</v>
          </cell>
          <cell r="EK34">
            <v>0</v>
          </cell>
          <cell r="EL34">
            <v>0</v>
          </cell>
          <cell r="EM34">
            <v>0</v>
          </cell>
          <cell r="EN34">
            <v>0</v>
          </cell>
          <cell r="EO34">
            <v>0</v>
          </cell>
          <cell r="EP34">
            <v>0</v>
          </cell>
          <cell r="EQ34">
            <v>0</v>
          </cell>
          <cell r="ER34">
            <v>0</v>
          </cell>
          <cell r="ES34">
            <v>0</v>
          </cell>
          <cell r="ET34">
            <v>0</v>
          </cell>
          <cell r="EU34">
            <v>0</v>
          </cell>
          <cell r="EV34">
            <v>0</v>
          </cell>
          <cell r="EW34">
            <v>0</v>
          </cell>
          <cell r="EX34">
            <v>0</v>
          </cell>
          <cell r="EY34">
            <v>0</v>
          </cell>
          <cell r="EZ34">
            <v>0</v>
          </cell>
          <cell r="FA34">
            <v>0</v>
          </cell>
          <cell r="FB34">
            <v>0</v>
          </cell>
          <cell r="FC34">
            <v>0</v>
          </cell>
          <cell r="FD34">
            <v>0</v>
          </cell>
          <cell r="FE34">
            <v>0</v>
          </cell>
          <cell r="FF34">
            <v>0</v>
          </cell>
          <cell r="FG34">
            <v>0</v>
          </cell>
          <cell r="FH34">
            <v>0</v>
          </cell>
          <cell r="FI34">
            <v>0</v>
          </cell>
          <cell r="FJ34">
            <v>0</v>
          </cell>
          <cell r="FK34">
            <v>0</v>
          </cell>
          <cell r="FL34">
            <v>0</v>
          </cell>
          <cell r="FM34">
            <v>0</v>
          </cell>
          <cell r="FN34">
            <v>0</v>
          </cell>
        </row>
        <row r="35">
          <cell r="O35"/>
          <cell r="P35"/>
          <cell r="Q35">
            <v>101.25</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Q35">
            <v>0</v>
          </cell>
          <cell r="BR35">
            <v>0</v>
          </cell>
          <cell r="BS35">
            <v>0</v>
          </cell>
          <cell r="BT35">
            <v>0</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cell r="CM35">
            <v>0</v>
          </cell>
          <cell r="CN35">
            <v>0</v>
          </cell>
          <cell r="CO35">
            <v>0</v>
          </cell>
          <cell r="CP35">
            <v>0</v>
          </cell>
          <cell r="CQ35">
            <v>0</v>
          </cell>
          <cell r="CR35">
            <v>0</v>
          </cell>
          <cell r="CS35">
            <v>0</v>
          </cell>
          <cell r="CT35">
            <v>0</v>
          </cell>
          <cell r="CU35">
            <v>0</v>
          </cell>
          <cell r="CV35">
            <v>0</v>
          </cell>
          <cell r="CW35">
            <v>0</v>
          </cell>
          <cell r="CX35">
            <v>0</v>
          </cell>
          <cell r="CY35">
            <v>0</v>
          </cell>
          <cell r="CZ35">
            <v>0</v>
          </cell>
          <cell r="DA35">
            <v>0</v>
          </cell>
          <cell r="DB35">
            <v>0</v>
          </cell>
          <cell r="DC35">
            <v>0</v>
          </cell>
          <cell r="DD35">
            <v>0</v>
          </cell>
          <cell r="DE35">
            <v>0</v>
          </cell>
          <cell r="DF35">
            <v>0</v>
          </cell>
          <cell r="DG35">
            <v>0</v>
          </cell>
          <cell r="DH35">
            <v>0</v>
          </cell>
          <cell r="DI35">
            <v>0</v>
          </cell>
          <cell r="DJ35">
            <v>0</v>
          </cell>
          <cell r="DK35">
            <v>0</v>
          </cell>
          <cell r="DL35">
            <v>0</v>
          </cell>
          <cell r="DM35">
            <v>0</v>
          </cell>
          <cell r="DN35">
            <v>0</v>
          </cell>
          <cell r="DO35">
            <v>0</v>
          </cell>
          <cell r="DP35">
            <v>0</v>
          </cell>
          <cell r="DQ35">
            <v>0</v>
          </cell>
          <cell r="DR35">
            <v>0</v>
          </cell>
          <cell r="DS35">
            <v>0</v>
          </cell>
          <cell r="DT35">
            <v>0</v>
          </cell>
          <cell r="DU35">
            <v>0</v>
          </cell>
          <cell r="DV35">
            <v>0</v>
          </cell>
          <cell r="DW35">
            <v>0</v>
          </cell>
          <cell r="DX35">
            <v>0</v>
          </cell>
          <cell r="DY35">
            <v>0</v>
          </cell>
          <cell r="DZ35">
            <v>0</v>
          </cell>
          <cell r="EA35">
            <v>0</v>
          </cell>
          <cell r="EB35">
            <v>0</v>
          </cell>
          <cell r="EC35">
            <v>0</v>
          </cell>
          <cell r="ED35">
            <v>0</v>
          </cell>
          <cell r="EE35">
            <v>0</v>
          </cell>
          <cell r="EF35">
            <v>0</v>
          </cell>
          <cell r="EG35">
            <v>0</v>
          </cell>
          <cell r="EH35">
            <v>0</v>
          </cell>
          <cell r="EI35">
            <v>0</v>
          </cell>
          <cell r="EJ35">
            <v>0</v>
          </cell>
          <cell r="EK35">
            <v>0</v>
          </cell>
          <cell r="EL35">
            <v>0</v>
          </cell>
          <cell r="EM35">
            <v>0</v>
          </cell>
          <cell r="EN35">
            <v>0</v>
          </cell>
          <cell r="EO35">
            <v>0</v>
          </cell>
          <cell r="EP35">
            <v>0</v>
          </cell>
          <cell r="EQ35">
            <v>0</v>
          </cell>
          <cell r="ER35">
            <v>0</v>
          </cell>
          <cell r="ES35">
            <v>0</v>
          </cell>
          <cell r="ET35">
            <v>0</v>
          </cell>
          <cell r="EU35">
            <v>0</v>
          </cell>
          <cell r="EV35">
            <v>0</v>
          </cell>
          <cell r="EW35">
            <v>0</v>
          </cell>
          <cell r="EX35">
            <v>0</v>
          </cell>
          <cell r="EY35">
            <v>0</v>
          </cell>
          <cell r="EZ35">
            <v>0</v>
          </cell>
          <cell r="FA35">
            <v>0</v>
          </cell>
          <cell r="FB35">
            <v>0</v>
          </cell>
          <cell r="FC35">
            <v>0</v>
          </cell>
          <cell r="FD35">
            <v>0</v>
          </cell>
          <cell r="FE35">
            <v>0</v>
          </cell>
          <cell r="FF35">
            <v>0</v>
          </cell>
          <cell r="FG35">
            <v>0</v>
          </cell>
          <cell r="FH35">
            <v>0</v>
          </cell>
          <cell r="FI35">
            <v>0</v>
          </cell>
          <cell r="FJ35">
            <v>0</v>
          </cell>
          <cell r="FK35">
            <v>0</v>
          </cell>
          <cell r="FL35">
            <v>0</v>
          </cell>
          <cell r="FM35">
            <v>0</v>
          </cell>
          <cell r="FN35">
            <v>0</v>
          </cell>
        </row>
        <row r="36">
          <cell r="O36"/>
          <cell r="P36"/>
          <cell r="Q36">
            <v>135</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cell r="CC36">
            <v>0</v>
          </cell>
          <cell r="CD36">
            <v>0</v>
          </cell>
          <cell r="CE36">
            <v>0</v>
          </cell>
          <cell r="CF36">
            <v>0</v>
          </cell>
          <cell r="CG36">
            <v>0</v>
          </cell>
          <cell r="CH36">
            <v>0</v>
          </cell>
          <cell r="CI36">
            <v>0</v>
          </cell>
          <cell r="CJ36">
            <v>0</v>
          </cell>
          <cell r="CK36">
            <v>0</v>
          </cell>
          <cell r="CL36">
            <v>0</v>
          </cell>
          <cell r="CM36">
            <v>0</v>
          </cell>
          <cell r="CN36">
            <v>0</v>
          </cell>
          <cell r="CO36">
            <v>0</v>
          </cell>
          <cell r="CP36">
            <v>0</v>
          </cell>
          <cell r="CQ36">
            <v>0</v>
          </cell>
          <cell r="CR36">
            <v>0</v>
          </cell>
          <cell r="CS36">
            <v>0</v>
          </cell>
          <cell r="CT36">
            <v>0</v>
          </cell>
          <cell r="CU36">
            <v>0</v>
          </cell>
          <cell r="CV36">
            <v>0</v>
          </cell>
          <cell r="CW36">
            <v>0</v>
          </cell>
          <cell r="CX36">
            <v>0</v>
          </cell>
          <cell r="CY36">
            <v>0</v>
          </cell>
          <cell r="CZ36">
            <v>0</v>
          </cell>
          <cell r="DA36">
            <v>0</v>
          </cell>
          <cell r="DB36">
            <v>0</v>
          </cell>
          <cell r="DC36">
            <v>0</v>
          </cell>
          <cell r="DD36">
            <v>0</v>
          </cell>
          <cell r="DE36">
            <v>0</v>
          </cell>
          <cell r="DF36">
            <v>0</v>
          </cell>
          <cell r="DG36">
            <v>0</v>
          </cell>
          <cell r="DH36">
            <v>0</v>
          </cell>
          <cell r="DI36">
            <v>0</v>
          </cell>
          <cell r="DJ36">
            <v>0</v>
          </cell>
          <cell r="DK36">
            <v>0</v>
          </cell>
          <cell r="DL36">
            <v>0</v>
          </cell>
          <cell r="DM36">
            <v>0</v>
          </cell>
          <cell r="DN36">
            <v>0</v>
          </cell>
          <cell r="DO36">
            <v>0</v>
          </cell>
          <cell r="DP36">
            <v>0</v>
          </cell>
          <cell r="DQ36">
            <v>0</v>
          </cell>
          <cell r="DR36">
            <v>0</v>
          </cell>
          <cell r="DS36">
            <v>0</v>
          </cell>
          <cell r="DT36">
            <v>0</v>
          </cell>
          <cell r="DU36">
            <v>0</v>
          </cell>
          <cell r="DV36">
            <v>0</v>
          </cell>
          <cell r="DW36">
            <v>0</v>
          </cell>
          <cell r="DX36">
            <v>0</v>
          </cell>
          <cell r="DY36">
            <v>0</v>
          </cell>
          <cell r="DZ36">
            <v>0</v>
          </cell>
          <cell r="EA36">
            <v>0</v>
          </cell>
          <cell r="EB36">
            <v>0</v>
          </cell>
          <cell r="EC36">
            <v>0</v>
          </cell>
          <cell r="ED36">
            <v>0</v>
          </cell>
          <cell r="EE36">
            <v>0</v>
          </cell>
          <cell r="EF36">
            <v>0</v>
          </cell>
          <cell r="EG36">
            <v>0</v>
          </cell>
          <cell r="EH36">
            <v>0</v>
          </cell>
          <cell r="EI36">
            <v>0</v>
          </cell>
          <cell r="EJ36">
            <v>0</v>
          </cell>
          <cell r="EK36">
            <v>0</v>
          </cell>
          <cell r="EL36">
            <v>0</v>
          </cell>
          <cell r="EM36">
            <v>0</v>
          </cell>
          <cell r="EN36">
            <v>0</v>
          </cell>
          <cell r="EO36">
            <v>0</v>
          </cell>
          <cell r="EP36">
            <v>0</v>
          </cell>
          <cell r="EQ36">
            <v>0</v>
          </cell>
          <cell r="ER36">
            <v>0</v>
          </cell>
          <cell r="ES36">
            <v>0</v>
          </cell>
          <cell r="ET36">
            <v>0</v>
          </cell>
          <cell r="EU36">
            <v>0</v>
          </cell>
          <cell r="EV36">
            <v>0</v>
          </cell>
          <cell r="EW36">
            <v>0</v>
          </cell>
          <cell r="EX36">
            <v>0</v>
          </cell>
          <cell r="EY36">
            <v>0</v>
          </cell>
          <cell r="EZ36">
            <v>0</v>
          </cell>
          <cell r="FA36">
            <v>0</v>
          </cell>
          <cell r="FB36">
            <v>0</v>
          </cell>
          <cell r="FC36">
            <v>0</v>
          </cell>
          <cell r="FD36">
            <v>0</v>
          </cell>
          <cell r="FE36">
            <v>0</v>
          </cell>
          <cell r="FF36">
            <v>0</v>
          </cell>
          <cell r="FG36">
            <v>0</v>
          </cell>
          <cell r="FH36">
            <v>0</v>
          </cell>
          <cell r="FI36">
            <v>0</v>
          </cell>
          <cell r="FJ36">
            <v>0</v>
          </cell>
          <cell r="FK36">
            <v>0</v>
          </cell>
          <cell r="FL36">
            <v>0</v>
          </cell>
          <cell r="FM36">
            <v>0</v>
          </cell>
          <cell r="FN36">
            <v>0</v>
          </cell>
        </row>
        <row r="37">
          <cell r="O37"/>
          <cell r="P37"/>
          <cell r="Q37">
            <v>135</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Q37">
            <v>0</v>
          </cell>
          <cell r="BR37">
            <v>0</v>
          </cell>
          <cell r="BS37">
            <v>0</v>
          </cell>
          <cell r="BT37">
            <v>0</v>
          </cell>
          <cell r="BU37">
            <v>0</v>
          </cell>
          <cell r="BV37">
            <v>0</v>
          </cell>
          <cell r="BW37">
            <v>0</v>
          </cell>
          <cell r="BX37">
            <v>0</v>
          </cell>
          <cell r="BY37">
            <v>0</v>
          </cell>
          <cell r="BZ37">
            <v>0</v>
          </cell>
          <cell r="CA37">
            <v>0</v>
          </cell>
          <cell r="CB37">
            <v>0</v>
          </cell>
          <cell r="CC37">
            <v>0</v>
          </cell>
          <cell r="CD37">
            <v>0</v>
          </cell>
          <cell r="CE37">
            <v>0</v>
          </cell>
          <cell r="CF37">
            <v>0</v>
          </cell>
          <cell r="CG37">
            <v>0</v>
          </cell>
          <cell r="CH37">
            <v>0</v>
          </cell>
          <cell r="CI37">
            <v>0</v>
          </cell>
          <cell r="CJ37">
            <v>0</v>
          </cell>
          <cell r="CK37">
            <v>0</v>
          </cell>
          <cell r="CL37">
            <v>0</v>
          </cell>
          <cell r="CM37">
            <v>0</v>
          </cell>
          <cell r="CN37">
            <v>0</v>
          </cell>
          <cell r="CO37">
            <v>0</v>
          </cell>
          <cell r="CP37">
            <v>0</v>
          </cell>
          <cell r="CQ37">
            <v>0</v>
          </cell>
          <cell r="CR37">
            <v>0</v>
          </cell>
          <cell r="CS37">
            <v>0</v>
          </cell>
          <cell r="CT37">
            <v>0</v>
          </cell>
          <cell r="CU37">
            <v>0</v>
          </cell>
          <cell r="CV37">
            <v>0</v>
          </cell>
          <cell r="CW37">
            <v>0</v>
          </cell>
          <cell r="CX37">
            <v>0</v>
          </cell>
          <cell r="CY37">
            <v>0</v>
          </cell>
          <cell r="CZ37">
            <v>0</v>
          </cell>
          <cell r="DA37">
            <v>0</v>
          </cell>
          <cell r="DB37">
            <v>0</v>
          </cell>
          <cell r="DC37">
            <v>0</v>
          </cell>
          <cell r="DD37">
            <v>0</v>
          </cell>
          <cell r="DE37">
            <v>0</v>
          </cell>
          <cell r="DF37">
            <v>0</v>
          </cell>
          <cell r="DG37">
            <v>0</v>
          </cell>
          <cell r="DH37">
            <v>0</v>
          </cell>
          <cell r="DI37">
            <v>0</v>
          </cell>
          <cell r="DJ37">
            <v>0</v>
          </cell>
          <cell r="DK37">
            <v>0</v>
          </cell>
          <cell r="DL37">
            <v>0</v>
          </cell>
          <cell r="DM37">
            <v>0</v>
          </cell>
          <cell r="DN37">
            <v>0</v>
          </cell>
          <cell r="DO37">
            <v>0</v>
          </cell>
          <cell r="DP37">
            <v>0</v>
          </cell>
          <cell r="DQ37">
            <v>0</v>
          </cell>
          <cell r="DR37">
            <v>0</v>
          </cell>
          <cell r="DS37">
            <v>0</v>
          </cell>
          <cell r="DT37">
            <v>0</v>
          </cell>
          <cell r="DU37">
            <v>0</v>
          </cell>
          <cell r="DV37">
            <v>0</v>
          </cell>
          <cell r="DW37">
            <v>0</v>
          </cell>
          <cell r="DX37">
            <v>0</v>
          </cell>
          <cell r="DY37">
            <v>0</v>
          </cell>
          <cell r="DZ37">
            <v>0</v>
          </cell>
          <cell r="EA37">
            <v>0</v>
          </cell>
          <cell r="EB37">
            <v>0</v>
          </cell>
          <cell r="EC37">
            <v>0</v>
          </cell>
          <cell r="ED37">
            <v>0</v>
          </cell>
          <cell r="EE37">
            <v>0</v>
          </cell>
          <cell r="EF37">
            <v>0</v>
          </cell>
          <cell r="EG37">
            <v>0</v>
          </cell>
          <cell r="EH37">
            <v>0</v>
          </cell>
          <cell r="EI37">
            <v>0</v>
          </cell>
          <cell r="EJ37">
            <v>0</v>
          </cell>
          <cell r="EK37">
            <v>0</v>
          </cell>
          <cell r="EL37">
            <v>0</v>
          </cell>
          <cell r="EM37">
            <v>0</v>
          </cell>
          <cell r="EN37">
            <v>0</v>
          </cell>
          <cell r="EO37">
            <v>0</v>
          </cell>
          <cell r="EP37">
            <v>0</v>
          </cell>
          <cell r="EQ37">
            <v>0</v>
          </cell>
          <cell r="ER37">
            <v>0</v>
          </cell>
          <cell r="ES37">
            <v>0</v>
          </cell>
          <cell r="ET37">
            <v>0</v>
          </cell>
          <cell r="EU37">
            <v>0</v>
          </cell>
          <cell r="EV37">
            <v>0</v>
          </cell>
          <cell r="EW37">
            <v>0</v>
          </cell>
          <cell r="EX37">
            <v>0</v>
          </cell>
          <cell r="EY37">
            <v>0</v>
          </cell>
          <cell r="EZ37">
            <v>0</v>
          </cell>
          <cell r="FA37">
            <v>0</v>
          </cell>
          <cell r="FB37">
            <v>0</v>
          </cell>
          <cell r="FC37">
            <v>0</v>
          </cell>
          <cell r="FD37">
            <v>0</v>
          </cell>
          <cell r="FE37">
            <v>0</v>
          </cell>
          <cell r="FF37">
            <v>0</v>
          </cell>
          <cell r="FG37">
            <v>0</v>
          </cell>
          <cell r="FH37">
            <v>0</v>
          </cell>
          <cell r="FI37">
            <v>0</v>
          </cell>
          <cell r="FJ37">
            <v>0</v>
          </cell>
          <cell r="FK37">
            <v>0</v>
          </cell>
          <cell r="FL37">
            <v>0</v>
          </cell>
          <cell r="FM37">
            <v>0</v>
          </cell>
          <cell r="FN37">
            <v>0</v>
          </cell>
        </row>
        <row r="38">
          <cell r="O38"/>
          <cell r="P38"/>
          <cell r="Q38">
            <v>33.75</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Q38">
            <v>0</v>
          </cell>
          <cell r="BR38">
            <v>0</v>
          </cell>
          <cell r="BS38">
            <v>0</v>
          </cell>
          <cell r="BT38">
            <v>0</v>
          </cell>
          <cell r="BU38">
            <v>0</v>
          </cell>
          <cell r="BV38">
            <v>0</v>
          </cell>
          <cell r="BW38">
            <v>0</v>
          </cell>
          <cell r="BX38">
            <v>0</v>
          </cell>
          <cell r="BY38">
            <v>0</v>
          </cell>
          <cell r="BZ38">
            <v>0</v>
          </cell>
          <cell r="CA38">
            <v>0</v>
          </cell>
          <cell r="CB38">
            <v>0</v>
          </cell>
          <cell r="CC38">
            <v>0</v>
          </cell>
          <cell r="CD38">
            <v>0</v>
          </cell>
          <cell r="CE38">
            <v>0</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0</v>
          </cell>
          <cell r="CW38">
            <v>0</v>
          </cell>
          <cell r="CX38">
            <v>0</v>
          </cell>
          <cell r="CY38">
            <v>0</v>
          </cell>
          <cell r="CZ38">
            <v>0</v>
          </cell>
          <cell r="DA38">
            <v>0</v>
          </cell>
          <cell r="DB38">
            <v>0</v>
          </cell>
          <cell r="DC38">
            <v>0</v>
          </cell>
          <cell r="DD38">
            <v>0</v>
          </cell>
          <cell r="DE38">
            <v>0</v>
          </cell>
          <cell r="DF38">
            <v>0</v>
          </cell>
          <cell r="DG38">
            <v>0</v>
          </cell>
          <cell r="DH38">
            <v>0</v>
          </cell>
          <cell r="DI38">
            <v>0</v>
          </cell>
          <cell r="DJ38">
            <v>0</v>
          </cell>
          <cell r="DK38">
            <v>0</v>
          </cell>
          <cell r="DL38">
            <v>0</v>
          </cell>
          <cell r="DM38">
            <v>0</v>
          </cell>
          <cell r="DN38">
            <v>0</v>
          </cell>
          <cell r="DO38">
            <v>0</v>
          </cell>
          <cell r="DP38">
            <v>0</v>
          </cell>
          <cell r="DQ38">
            <v>0</v>
          </cell>
          <cell r="DR38">
            <v>0</v>
          </cell>
          <cell r="DS38">
            <v>0</v>
          </cell>
          <cell r="DT38">
            <v>0</v>
          </cell>
          <cell r="DU38">
            <v>0</v>
          </cell>
          <cell r="DV38">
            <v>0</v>
          </cell>
          <cell r="DW38">
            <v>0</v>
          </cell>
          <cell r="DX38">
            <v>0</v>
          </cell>
          <cell r="DY38">
            <v>0</v>
          </cell>
          <cell r="DZ38">
            <v>0</v>
          </cell>
          <cell r="EA38">
            <v>0</v>
          </cell>
          <cell r="EB38">
            <v>0</v>
          </cell>
          <cell r="EC38">
            <v>0</v>
          </cell>
          <cell r="ED38">
            <v>0</v>
          </cell>
          <cell r="EE38">
            <v>0</v>
          </cell>
          <cell r="EF38">
            <v>0</v>
          </cell>
          <cell r="EG38">
            <v>0</v>
          </cell>
          <cell r="EH38">
            <v>0</v>
          </cell>
          <cell r="EI38">
            <v>0</v>
          </cell>
          <cell r="EJ38">
            <v>0</v>
          </cell>
          <cell r="EK38">
            <v>0</v>
          </cell>
          <cell r="EL38">
            <v>0</v>
          </cell>
          <cell r="EM38">
            <v>0</v>
          </cell>
          <cell r="EN38">
            <v>0</v>
          </cell>
          <cell r="EO38">
            <v>0</v>
          </cell>
          <cell r="EP38">
            <v>0</v>
          </cell>
          <cell r="EQ38">
            <v>0</v>
          </cell>
          <cell r="ER38">
            <v>0</v>
          </cell>
          <cell r="ES38">
            <v>0</v>
          </cell>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0</v>
          </cell>
          <cell r="FK38">
            <v>0</v>
          </cell>
          <cell r="FL38">
            <v>0</v>
          </cell>
          <cell r="FM38">
            <v>0</v>
          </cell>
          <cell r="FN38">
            <v>0</v>
          </cell>
        </row>
        <row r="39">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cell r="BM39">
            <v>0</v>
          </cell>
          <cell r="BN39">
            <v>0</v>
          </cell>
          <cell r="BO39">
            <v>0</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0</v>
          </cell>
          <cell r="CG39">
            <v>0</v>
          </cell>
          <cell r="CH39">
            <v>0</v>
          </cell>
          <cell r="CI39">
            <v>0</v>
          </cell>
          <cell r="CJ39">
            <v>0</v>
          </cell>
          <cell r="CK39">
            <v>0</v>
          </cell>
          <cell r="CL39">
            <v>0</v>
          </cell>
          <cell r="CM39">
            <v>0</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v>0</v>
          </cell>
          <cell r="DK39">
            <v>0</v>
          </cell>
          <cell r="DL39">
            <v>0</v>
          </cell>
          <cell r="DM39">
            <v>0</v>
          </cell>
          <cell r="DN39">
            <v>0</v>
          </cell>
          <cell r="DO39">
            <v>0</v>
          </cell>
          <cell r="DP39">
            <v>0</v>
          </cell>
          <cell r="DQ39">
            <v>0</v>
          </cell>
          <cell r="DR39">
            <v>0</v>
          </cell>
          <cell r="DS39">
            <v>0</v>
          </cell>
          <cell r="DT39">
            <v>0</v>
          </cell>
          <cell r="DU39">
            <v>0</v>
          </cell>
          <cell r="DV39">
            <v>0</v>
          </cell>
          <cell r="DW39">
            <v>0</v>
          </cell>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v>0</v>
          </cell>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row>
        <row r="40">
          <cell r="O40"/>
          <cell r="P40"/>
          <cell r="Q40">
            <v>67.5</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cell r="BM40">
            <v>0</v>
          </cell>
          <cell r="BN40">
            <v>0</v>
          </cell>
          <cell r="BO40">
            <v>0</v>
          </cell>
          <cell r="BP40">
            <v>0</v>
          </cell>
          <cell r="BQ40">
            <v>0</v>
          </cell>
          <cell r="BR40">
            <v>0</v>
          </cell>
          <cell r="BS40">
            <v>0</v>
          </cell>
          <cell r="BT40">
            <v>0</v>
          </cell>
          <cell r="BU40">
            <v>0</v>
          </cell>
          <cell r="BV40">
            <v>0</v>
          </cell>
          <cell r="BW40">
            <v>0</v>
          </cell>
          <cell r="BX40">
            <v>0</v>
          </cell>
          <cell r="BY40">
            <v>0</v>
          </cell>
          <cell r="BZ40">
            <v>0</v>
          </cell>
          <cell r="CA40">
            <v>0</v>
          </cell>
          <cell r="CB40">
            <v>0</v>
          </cell>
          <cell r="CC40">
            <v>0</v>
          </cell>
          <cell r="CD40">
            <v>0</v>
          </cell>
          <cell r="CE40">
            <v>0</v>
          </cell>
          <cell r="CF40">
            <v>0</v>
          </cell>
          <cell r="CG40">
            <v>0</v>
          </cell>
          <cell r="CH40">
            <v>0</v>
          </cell>
          <cell r="CI40">
            <v>0</v>
          </cell>
          <cell r="CJ40">
            <v>0</v>
          </cell>
          <cell r="CK40">
            <v>0</v>
          </cell>
          <cell r="CL40">
            <v>0</v>
          </cell>
          <cell r="CM40">
            <v>0</v>
          </cell>
          <cell r="CN40">
            <v>0</v>
          </cell>
          <cell r="CO40">
            <v>0</v>
          </cell>
          <cell r="CP40">
            <v>0</v>
          </cell>
          <cell r="CQ40">
            <v>0</v>
          </cell>
          <cell r="CR40">
            <v>0</v>
          </cell>
          <cell r="CS40">
            <v>0</v>
          </cell>
          <cell r="CT40">
            <v>0</v>
          </cell>
          <cell r="CU40">
            <v>0</v>
          </cell>
          <cell r="CV40">
            <v>0</v>
          </cell>
          <cell r="CW40">
            <v>0</v>
          </cell>
          <cell r="CX40">
            <v>0</v>
          </cell>
          <cell r="CY40">
            <v>0</v>
          </cell>
          <cell r="CZ40">
            <v>0</v>
          </cell>
          <cell r="DA40">
            <v>0</v>
          </cell>
          <cell r="DB40">
            <v>0</v>
          </cell>
          <cell r="DC40">
            <v>0</v>
          </cell>
          <cell r="DD40">
            <v>0</v>
          </cell>
          <cell r="DE40">
            <v>0</v>
          </cell>
          <cell r="DF40">
            <v>0</v>
          </cell>
          <cell r="DG40">
            <v>0</v>
          </cell>
          <cell r="DH40">
            <v>0</v>
          </cell>
          <cell r="DI40">
            <v>0</v>
          </cell>
          <cell r="DJ40">
            <v>0</v>
          </cell>
          <cell r="DK40">
            <v>0</v>
          </cell>
          <cell r="DL40">
            <v>0</v>
          </cell>
          <cell r="DM40">
            <v>0</v>
          </cell>
          <cell r="DN40">
            <v>0</v>
          </cell>
          <cell r="DO40">
            <v>0</v>
          </cell>
          <cell r="DP40">
            <v>0</v>
          </cell>
          <cell r="DQ40">
            <v>0</v>
          </cell>
          <cell r="DR40">
            <v>0</v>
          </cell>
          <cell r="DS40">
            <v>0</v>
          </cell>
          <cell r="DT40">
            <v>0</v>
          </cell>
          <cell r="DU40">
            <v>0</v>
          </cell>
          <cell r="DV40">
            <v>0</v>
          </cell>
          <cell r="DW40">
            <v>0</v>
          </cell>
          <cell r="DX40">
            <v>0</v>
          </cell>
          <cell r="DY40">
            <v>0</v>
          </cell>
          <cell r="DZ40">
            <v>0</v>
          </cell>
          <cell r="EA40">
            <v>0</v>
          </cell>
          <cell r="EB40">
            <v>0</v>
          </cell>
          <cell r="EC40">
            <v>0</v>
          </cell>
          <cell r="ED40">
            <v>0</v>
          </cell>
          <cell r="EE40">
            <v>0</v>
          </cell>
          <cell r="EF40">
            <v>0</v>
          </cell>
          <cell r="EG40">
            <v>0</v>
          </cell>
          <cell r="EH40">
            <v>0</v>
          </cell>
          <cell r="EI40">
            <v>0</v>
          </cell>
          <cell r="EJ40">
            <v>0</v>
          </cell>
          <cell r="EK40">
            <v>0</v>
          </cell>
          <cell r="EL40">
            <v>0</v>
          </cell>
          <cell r="EM40">
            <v>0</v>
          </cell>
          <cell r="EN40">
            <v>0</v>
          </cell>
          <cell r="EO40">
            <v>0</v>
          </cell>
          <cell r="EP40">
            <v>0</v>
          </cell>
          <cell r="EQ40">
            <v>0</v>
          </cell>
          <cell r="ER40">
            <v>0</v>
          </cell>
          <cell r="ES40">
            <v>0</v>
          </cell>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0</v>
          </cell>
          <cell r="FL40">
            <v>0</v>
          </cell>
          <cell r="FM40">
            <v>0</v>
          </cell>
          <cell r="FN40">
            <v>0</v>
          </cell>
        </row>
        <row r="41">
          <cell r="O41"/>
          <cell r="P41">
            <v>923.07692307692309</v>
          </cell>
          <cell r="Q41">
            <v>923.07692307692309</v>
          </cell>
          <cell r="R41">
            <v>153.84615384615381</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cell r="BM41">
            <v>0</v>
          </cell>
          <cell r="BN41">
            <v>0</v>
          </cell>
          <cell r="BO41">
            <v>0</v>
          </cell>
          <cell r="BP41">
            <v>0</v>
          </cell>
          <cell r="BQ41">
            <v>0</v>
          </cell>
          <cell r="BR41">
            <v>0</v>
          </cell>
          <cell r="BS41">
            <v>0</v>
          </cell>
          <cell r="BT41">
            <v>0</v>
          </cell>
          <cell r="BU41">
            <v>0</v>
          </cell>
          <cell r="BV41">
            <v>0</v>
          </cell>
          <cell r="BW41">
            <v>0</v>
          </cell>
          <cell r="BX41">
            <v>0</v>
          </cell>
          <cell r="BY41">
            <v>0</v>
          </cell>
          <cell r="BZ41">
            <v>0</v>
          </cell>
          <cell r="CA41">
            <v>0</v>
          </cell>
          <cell r="CB41">
            <v>0</v>
          </cell>
          <cell r="CC41">
            <v>0</v>
          </cell>
          <cell r="CD41">
            <v>0</v>
          </cell>
          <cell r="CE41">
            <v>0</v>
          </cell>
          <cell r="CF41">
            <v>0</v>
          </cell>
          <cell r="CG41">
            <v>0</v>
          </cell>
          <cell r="CH41">
            <v>0</v>
          </cell>
          <cell r="CI41">
            <v>0</v>
          </cell>
          <cell r="CJ41">
            <v>0</v>
          </cell>
          <cell r="CK41">
            <v>0</v>
          </cell>
          <cell r="CL41">
            <v>0</v>
          </cell>
          <cell r="CM41">
            <v>0</v>
          </cell>
          <cell r="CN41">
            <v>0</v>
          </cell>
          <cell r="CO41">
            <v>0</v>
          </cell>
          <cell r="CP41">
            <v>0</v>
          </cell>
          <cell r="CQ41">
            <v>0</v>
          </cell>
          <cell r="CR41">
            <v>0</v>
          </cell>
          <cell r="CS41">
            <v>0</v>
          </cell>
          <cell r="CT41">
            <v>0</v>
          </cell>
          <cell r="CU41">
            <v>0</v>
          </cell>
          <cell r="CV41">
            <v>0</v>
          </cell>
          <cell r="CW41">
            <v>0</v>
          </cell>
          <cell r="CX41">
            <v>0</v>
          </cell>
          <cell r="CY41">
            <v>0</v>
          </cell>
          <cell r="CZ41">
            <v>0</v>
          </cell>
          <cell r="DA41">
            <v>0</v>
          </cell>
          <cell r="DB41">
            <v>0</v>
          </cell>
          <cell r="DC41">
            <v>0</v>
          </cell>
          <cell r="DD41">
            <v>0</v>
          </cell>
          <cell r="DE41">
            <v>0</v>
          </cell>
          <cell r="DF41">
            <v>0</v>
          </cell>
          <cell r="DG41">
            <v>0</v>
          </cell>
          <cell r="DH41">
            <v>0</v>
          </cell>
          <cell r="DI41">
            <v>0</v>
          </cell>
          <cell r="DJ41">
            <v>0</v>
          </cell>
          <cell r="DK41">
            <v>0</v>
          </cell>
          <cell r="DL41">
            <v>0</v>
          </cell>
          <cell r="DM41">
            <v>0</v>
          </cell>
          <cell r="DN41">
            <v>0</v>
          </cell>
          <cell r="DO41">
            <v>0</v>
          </cell>
          <cell r="DP41">
            <v>0</v>
          </cell>
          <cell r="DQ41">
            <v>0</v>
          </cell>
          <cell r="DR41">
            <v>0</v>
          </cell>
          <cell r="DS41">
            <v>0</v>
          </cell>
          <cell r="DT41">
            <v>0</v>
          </cell>
          <cell r="DU41">
            <v>0</v>
          </cell>
          <cell r="DV41">
            <v>0</v>
          </cell>
          <cell r="DW41">
            <v>0</v>
          </cell>
          <cell r="DX41">
            <v>0</v>
          </cell>
          <cell r="DY41">
            <v>0</v>
          </cell>
          <cell r="DZ41">
            <v>0</v>
          </cell>
          <cell r="EA41">
            <v>0</v>
          </cell>
          <cell r="EB41">
            <v>0</v>
          </cell>
          <cell r="EC41">
            <v>0</v>
          </cell>
          <cell r="ED41">
            <v>0</v>
          </cell>
          <cell r="EE41">
            <v>0</v>
          </cell>
          <cell r="EF41">
            <v>0</v>
          </cell>
          <cell r="EG41">
            <v>0</v>
          </cell>
          <cell r="EH41">
            <v>0</v>
          </cell>
          <cell r="EI41">
            <v>0</v>
          </cell>
          <cell r="EJ41">
            <v>0</v>
          </cell>
          <cell r="EK41">
            <v>0</v>
          </cell>
          <cell r="EL41">
            <v>0</v>
          </cell>
          <cell r="EM41">
            <v>0</v>
          </cell>
          <cell r="EN41">
            <v>0</v>
          </cell>
          <cell r="EO41">
            <v>0</v>
          </cell>
          <cell r="EP41">
            <v>0</v>
          </cell>
          <cell r="EQ41">
            <v>0</v>
          </cell>
          <cell r="ER41">
            <v>0</v>
          </cell>
          <cell r="ES41">
            <v>0</v>
          </cell>
          <cell r="ET41">
            <v>0</v>
          </cell>
          <cell r="EU41">
            <v>0</v>
          </cell>
          <cell r="EV41">
            <v>0</v>
          </cell>
          <cell r="EW41">
            <v>0</v>
          </cell>
          <cell r="EX41">
            <v>0</v>
          </cell>
          <cell r="EY41">
            <v>0</v>
          </cell>
          <cell r="EZ41">
            <v>0</v>
          </cell>
          <cell r="FA41">
            <v>0</v>
          </cell>
          <cell r="FB41">
            <v>0</v>
          </cell>
          <cell r="FC41">
            <v>0</v>
          </cell>
          <cell r="FD41">
            <v>0</v>
          </cell>
          <cell r="FE41">
            <v>0</v>
          </cell>
          <cell r="FF41">
            <v>0</v>
          </cell>
          <cell r="FG41">
            <v>0</v>
          </cell>
          <cell r="FH41">
            <v>0</v>
          </cell>
          <cell r="FI41">
            <v>0</v>
          </cell>
          <cell r="FJ41">
            <v>0</v>
          </cell>
          <cell r="FK41">
            <v>0</v>
          </cell>
          <cell r="FL41">
            <v>0</v>
          </cell>
          <cell r="FM41">
            <v>0</v>
          </cell>
          <cell r="FN41">
            <v>0</v>
          </cell>
        </row>
      </sheetData>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 ALHIAH"/>
      <sheetName val="Item"/>
    </sheetNames>
    <sheetDataSet>
      <sheetData sheetId="0" refreshError="1"/>
      <sheetData sheetId="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l_detail"/>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UT2"/>
      <sheetName val="shutpaste"/>
      <sheetName val="POSTPASTE"/>
      <sheetName val="overallrd"/>
      <sheetName val="WEEKOAL"/>
      <sheetName val="dailyshut"/>
      <sheetName val="MANPOWER"/>
      <sheetName val="SD-SCURVE"/>
      <sheetName val="SD-SCURVE (2)"/>
      <sheetName val="MANPOWER (2)"/>
      <sheetName val="PRECON-S"/>
      <sheetName val="O.ALL-S"/>
      <sheetName val="O.ALL-S (2)"/>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Module1"/>
    </sheetNames>
    <sheetDataSet>
      <sheetData sheetId="0" refreshError="1"/>
      <sheetData sheetId="1">
        <row r="1">
          <cell r="EE1" t="str">
            <v>LOCATION:  ADNOC, REFINERY, RUWAIS</v>
          </cell>
        </row>
        <row r="2">
          <cell r="B2" t="str">
            <v xml:space="preserve">   GRANITE CONSTRUCTION COMPANY</v>
          </cell>
          <cell r="H2" t="str">
            <v>REHABILITATION OF SEA WATER BASIN PUMP CHAMBER WALL</v>
          </cell>
          <cell r="EE2" t="str">
            <v>AGREEMENT No: 335.98.016</v>
          </cell>
        </row>
        <row r="3">
          <cell r="BQ3" t="str">
            <v>DAILY PROGRAMME</v>
          </cell>
          <cell r="EE3" t="str">
            <v>STARTING OF PROJECT</v>
          </cell>
          <cell r="EK3">
            <v>36037</v>
          </cell>
        </row>
        <row r="4">
          <cell r="B4" t="str">
            <v xml:space="preserve">   CLIENT : ADNOC</v>
          </cell>
          <cell r="C4" t="str">
            <v>AUG 98</v>
          </cell>
          <cell r="E4" t="str">
            <v>SEPTEMBER 98</v>
          </cell>
          <cell r="AI4" t="str">
            <v>OCTOBER 98</v>
          </cell>
          <cell r="BN4" t="str">
            <v>NOVEMBER 98</v>
          </cell>
          <cell r="CR4" t="str">
            <v>DECEMBER 98</v>
          </cell>
          <cell r="DW4" t="str">
            <v>JANUARY 99</v>
          </cell>
        </row>
        <row r="5">
          <cell r="A5" t="str">
            <v>SN</v>
          </cell>
          <cell r="B5" t="str">
            <v>ACTIVITIES</v>
          </cell>
          <cell r="C5">
            <v>30</v>
          </cell>
          <cell r="D5">
            <v>31</v>
          </cell>
          <cell r="E5">
            <v>1</v>
          </cell>
          <cell r="F5">
            <v>2</v>
          </cell>
          <cell r="G5">
            <v>3</v>
          </cell>
          <cell r="H5">
            <v>4</v>
          </cell>
          <cell r="I5">
            <v>5</v>
          </cell>
          <cell r="J5">
            <v>6</v>
          </cell>
          <cell r="K5">
            <v>7</v>
          </cell>
          <cell r="L5">
            <v>8</v>
          </cell>
          <cell r="M5">
            <v>9</v>
          </cell>
          <cell r="N5">
            <v>10</v>
          </cell>
          <cell r="O5">
            <v>11</v>
          </cell>
          <cell r="P5">
            <v>12</v>
          </cell>
          <cell r="Q5">
            <v>13</v>
          </cell>
          <cell r="R5">
            <v>14</v>
          </cell>
          <cell r="S5">
            <v>15</v>
          </cell>
          <cell r="T5">
            <v>16</v>
          </cell>
          <cell r="U5">
            <v>17</v>
          </cell>
          <cell r="V5">
            <v>18</v>
          </cell>
          <cell r="W5">
            <v>19</v>
          </cell>
          <cell r="X5">
            <v>20</v>
          </cell>
          <cell r="Y5">
            <v>21</v>
          </cell>
          <cell r="Z5">
            <v>22</v>
          </cell>
          <cell r="AA5">
            <v>23</v>
          </cell>
          <cell r="AB5">
            <v>24</v>
          </cell>
          <cell r="AC5">
            <v>25</v>
          </cell>
          <cell r="AD5">
            <v>26</v>
          </cell>
          <cell r="AE5">
            <v>27</v>
          </cell>
          <cell r="AF5">
            <v>28</v>
          </cell>
          <cell r="AG5">
            <v>29</v>
          </cell>
          <cell r="AH5">
            <v>30</v>
          </cell>
          <cell r="AI5">
            <v>1</v>
          </cell>
          <cell r="AJ5">
            <v>2</v>
          </cell>
          <cell r="AK5">
            <v>3</v>
          </cell>
          <cell r="AL5">
            <v>4</v>
          </cell>
          <cell r="AM5">
            <v>5</v>
          </cell>
          <cell r="AN5">
            <v>6</v>
          </cell>
          <cell r="AO5">
            <v>7</v>
          </cell>
          <cell r="AP5">
            <v>8</v>
          </cell>
          <cell r="AQ5">
            <v>9</v>
          </cell>
          <cell r="AR5">
            <v>10</v>
          </cell>
          <cell r="AS5">
            <v>11</v>
          </cell>
          <cell r="AT5">
            <v>12</v>
          </cell>
          <cell r="AU5">
            <v>13</v>
          </cell>
          <cell r="AV5">
            <v>14</v>
          </cell>
          <cell r="AW5">
            <v>15</v>
          </cell>
          <cell r="AX5">
            <v>16</v>
          </cell>
          <cell r="AY5">
            <v>17</v>
          </cell>
          <cell r="AZ5">
            <v>18</v>
          </cell>
          <cell r="BA5">
            <v>19</v>
          </cell>
          <cell r="BB5">
            <v>20</v>
          </cell>
          <cell r="BC5">
            <v>21</v>
          </cell>
          <cell r="BD5">
            <v>22</v>
          </cell>
          <cell r="BE5">
            <v>23</v>
          </cell>
          <cell r="BF5">
            <v>24</v>
          </cell>
          <cell r="BG5">
            <v>25</v>
          </cell>
          <cell r="BH5">
            <v>26</v>
          </cell>
          <cell r="BI5">
            <v>27</v>
          </cell>
          <cell r="BJ5">
            <v>28</v>
          </cell>
          <cell r="BK5">
            <v>29</v>
          </cell>
          <cell r="BL5">
            <v>30</v>
          </cell>
          <cell r="BM5">
            <v>31</v>
          </cell>
          <cell r="BN5">
            <v>1</v>
          </cell>
          <cell r="BO5">
            <v>2</v>
          </cell>
          <cell r="BP5">
            <v>3</v>
          </cell>
          <cell r="BQ5">
            <v>4</v>
          </cell>
          <cell r="BR5">
            <v>5</v>
          </cell>
          <cell r="BS5">
            <v>6</v>
          </cell>
          <cell r="BT5">
            <v>7</v>
          </cell>
          <cell r="BU5">
            <v>8</v>
          </cell>
          <cell r="BV5">
            <v>9</v>
          </cell>
          <cell r="BW5">
            <v>10</v>
          </cell>
          <cell r="BX5">
            <v>11</v>
          </cell>
          <cell r="BY5">
            <v>12</v>
          </cell>
          <cell r="BZ5">
            <v>13</v>
          </cell>
          <cell r="CA5">
            <v>14</v>
          </cell>
          <cell r="CB5">
            <v>15</v>
          </cell>
          <cell r="CC5">
            <v>16</v>
          </cell>
          <cell r="CD5">
            <v>17</v>
          </cell>
          <cell r="CE5">
            <v>18</v>
          </cell>
          <cell r="CF5">
            <v>19</v>
          </cell>
          <cell r="CG5">
            <v>20</v>
          </cell>
          <cell r="CH5">
            <v>21</v>
          </cell>
          <cell r="CI5">
            <v>22</v>
          </cell>
          <cell r="CJ5">
            <v>23</v>
          </cell>
          <cell r="CK5">
            <v>24</v>
          </cell>
          <cell r="CL5">
            <v>25</v>
          </cell>
          <cell r="CM5">
            <v>26</v>
          </cell>
          <cell r="CN5">
            <v>27</v>
          </cell>
          <cell r="CO5">
            <v>28</v>
          </cell>
          <cell r="CP5">
            <v>29</v>
          </cell>
          <cell r="CQ5">
            <v>30</v>
          </cell>
          <cell r="CR5">
            <v>1</v>
          </cell>
          <cell r="CS5">
            <v>2</v>
          </cell>
          <cell r="CT5">
            <v>3</v>
          </cell>
          <cell r="CU5">
            <v>4</v>
          </cell>
          <cell r="CV5">
            <v>5</v>
          </cell>
          <cell r="CW5">
            <v>6</v>
          </cell>
          <cell r="CX5">
            <v>7</v>
          </cell>
          <cell r="CY5">
            <v>8</v>
          </cell>
          <cell r="CZ5">
            <v>9</v>
          </cell>
          <cell r="DA5">
            <v>10</v>
          </cell>
          <cell r="DB5">
            <v>11</v>
          </cell>
          <cell r="DC5">
            <v>12</v>
          </cell>
          <cell r="DD5">
            <v>13</v>
          </cell>
          <cell r="DE5">
            <v>14</v>
          </cell>
          <cell r="DF5">
            <v>15</v>
          </cell>
          <cell r="DG5">
            <v>16</v>
          </cell>
          <cell r="DH5">
            <v>17</v>
          </cell>
          <cell r="DI5">
            <v>18</v>
          </cell>
          <cell r="DJ5">
            <v>19</v>
          </cell>
          <cell r="DK5">
            <v>20</v>
          </cell>
          <cell r="DL5">
            <v>21</v>
          </cell>
          <cell r="DM5">
            <v>22</v>
          </cell>
          <cell r="DN5">
            <v>23</v>
          </cell>
          <cell r="DO5">
            <v>24</v>
          </cell>
          <cell r="DP5">
            <v>25</v>
          </cell>
          <cell r="DQ5">
            <v>26</v>
          </cell>
          <cell r="DR5">
            <v>27</v>
          </cell>
          <cell r="DS5">
            <v>28</v>
          </cell>
          <cell r="DT5">
            <v>29</v>
          </cell>
          <cell r="DU5">
            <v>30</v>
          </cell>
          <cell r="DV5">
            <v>31</v>
          </cell>
          <cell r="DW5">
            <v>1</v>
          </cell>
          <cell r="DX5">
            <v>2</v>
          </cell>
          <cell r="DY5">
            <v>3</v>
          </cell>
          <cell r="DZ5">
            <v>4</v>
          </cell>
          <cell r="EA5">
            <v>5</v>
          </cell>
          <cell r="EB5">
            <v>6</v>
          </cell>
          <cell r="EC5">
            <v>7</v>
          </cell>
          <cell r="ED5">
            <v>8</v>
          </cell>
          <cell r="EE5">
            <v>9</v>
          </cell>
          <cell r="EF5">
            <v>10</v>
          </cell>
          <cell r="EG5">
            <v>11</v>
          </cell>
          <cell r="EH5">
            <v>12</v>
          </cell>
          <cell r="EI5">
            <v>13</v>
          </cell>
          <cell r="EJ5">
            <v>14</v>
          </cell>
          <cell r="EK5">
            <v>15</v>
          </cell>
          <cell r="EL5">
            <v>16</v>
          </cell>
          <cell r="EM5">
            <v>17</v>
          </cell>
          <cell r="EN5">
            <v>18</v>
          </cell>
          <cell r="EO5">
            <v>19</v>
          </cell>
        </row>
        <row r="6">
          <cell r="B6" t="str">
            <v>SHUTDOWN ACTIVITIES</v>
          </cell>
        </row>
        <row r="7">
          <cell r="B7" t="str">
            <v>PUMP CHAMBER</v>
          </cell>
        </row>
        <row r="8">
          <cell r="A8">
            <v>1</v>
          </cell>
          <cell r="B8" t="str">
            <v>Disconnect all services to pump and panel.</v>
          </cell>
        </row>
        <row r="9">
          <cell r="A9">
            <v>2</v>
          </cell>
          <cell r="B9" t="str">
            <v>Temporary wooden block support to pipe header.</v>
          </cell>
        </row>
        <row r="10">
          <cell r="A10">
            <v>3</v>
          </cell>
          <cell r="B10" t="str">
            <v>a) Removal of pumps panels and misc. items.</v>
          </cell>
        </row>
        <row r="11">
          <cell r="B11" t="str">
            <v>b) Templates for anchor bolts of pump base</v>
          </cell>
        </row>
        <row r="12">
          <cell r="A12">
            <v>4</v>
          </cell>
          <cell r="B12" t="str">
            <v>Pump out water from chamber.</v>
          </cell>
        </row>
        <row r="13">
          <cell r="A13">
            <v>5</v>
          </cell>
          <cell r="B13" t="str">
            <v>Sealing the sluice gate by Sand bags</v>
          </cell>
        </row>
        <row r="14">
          <cell r="A14">
            <v>6</v>
          </cell>
          <cell r="B14" t="str">
            <v>Clean the sludge and debris.</v>
          </cell>
        </row>
        <row r="15">
          <cell r="A15">
            <v>7</v>
          </cell>
          <cell r="B15" t="str">
            <v>Break out floor slab upto 50mm below rebar</v>
          </cell>
        </row>
        <row r="16">
          <cell r="A16">
            <v>8</v>
          </cell>
          <cell r="B16" t="str">
            <v>Grit blast rebars</v>
          </cell>
        </row>
        <row r="17">
          <cell r="A17">
            <v>9</v>
          </cell>
          <cell r="B17" t="str">
            <v>Grill and grout starter bars if needed</v>
          </cell>
        </row>
        <row r="18">
          <cell r="A18">
            <v>10</v>
          </cell>
          <cell r="B18" t="str">
            <v>Apply Zinc rich primer</v>
          </cell>
        </row>
        <row r="19">
          <cell r="A19">
            <v>11</v>
          </cell>
          <cell r="B19" t="str">
            <v>Apply Nitobond EP  to concrete surface</v>
          </cell>
        </row>
        <row r="20">
          <cell r="A20">
            <v>12</v>
          </cell>
          <cell r="B20" t="str">
            <v>Pour Micro concrete</v>
          </cell>
        </row>
        <row r="21">
          <cell r="A21">
            <v>13</v>
          </cell>
          <cell r="B21" t="str">
            <v>Allow for curing</v>
          </cell>
        </row>
        <row r="22">
          <cell r="A22">
            <v>14</v>
          </cell>
          <cell r="B22" t="str">
            <v>Cover the floor with polythene sheet and 4mm plywood</v>
          </cell>
        </row>
        <row r="23">
          <cell r="A23">
            <v>15</v>
          </cell>
          <cell r="B23" t="str">
            <v>Erection of scaffoldings</v>
          </cell>
        </row>
        <row r="24">
          <cell r="A24">
            <v>16</v>
          </cell>
          <cell r="B24" t="str">
            <v>Break out concrete skin 50mm behind rebars.</v>
          </cell>
        </row>
        <row r="25">
          <cell r="A25">
            <v>17</v>
          </cell>
          <cell r="B25" t="str">
            <v>Grit blast rebars.</v>
          </cell>
        </row>
        <row r="26">
          <cell r="A26">
            <v>18</v>
          </cell>
          <cell r="B26" t="str">
            <v>Drill &amp; Grout starter bars if needed</v>
          </cell>
        </row>
        <row r="27">
          <cell r="A27">
            <v>19</v>
          </cell>
          <cell r="B27" t="str">
            <v>Apply Zinc rich Primer</v>
          </cell>
        </row>
        <row r="28">
          <cell r="A28">
            <v>20</v>
          </cell>
          <cell r="B28" t="str">
            <v>Apply Nito bond EP to concrete surface.</v>
          </cell>
        </row>
        <row r="29">
          <cell r="A29">
            <v>21</v>
          </cell>
          <cell r="B29" t="str">
            <v>Fix the forms.</v>
          </cell>
        </row>
        <row r="30">
          <cell r="A30">
            <v>22</v>
          </cell>
          <cell r="B30" t="str">
            <v>Pour micro concrete.</v>
          </cell>
        </row>
        <row r="31">
          <cell r="A31">
            <v>23</v>
          </cell>
          <cell r="B31" t="str">
            <v>Deshuttering after 12 hrs.</v>
          </cell>
        </row>
        <row r="32">
          <cell r="A32">
            <v>24</v>
          </cell>
          <cell r="B32" t="str">
            <v>Erection of temporary support</v>
          </cell>
        </row>
        <row r="33">
          <cell r="A33">
            <v>25</v>
          </cell>
          <cell r="B33" t="str">
            <v>Saw cut external and internal sides of walls at  250mm below slab soffit.</v>
          </cell>
        </row>
        <row r="34">
          <cell r="A34">
            <v>26</v>
          </cell>
          <cell r="B34" t="str">
            <v>Demolish slab and wall upto 250 mm below soffit</v>
          </cell>
        </row>
        <row r="35">
          <cell r="A35">
            <v>27</v>
          </cell>
          <cell r="B35" t="str">
            <v>Remove and clean the debris</v>
          </cell>
        </row>
        <row r="36">
          <cell r="A36">
            <v>28</v>
          </cell>
          <cell r="B36" t="str">
            <v>Grit blast the bars exposed on the walls columns etc.</v>
          </cell>
        </row>
        <row r="37">
          <cell r="A37">
            <v>29</v>
          </cell>
          <cell r="B37" t="str">
            <v>Adjust the scaffolding to slab soffit level</v>
          </cell>
        </row>
        <row r="38">
          <cell r="A38">
            <v>30</v>
          </cell>
          <cell r="B38" t="str">
            <v>Fix Forms for the slab edge.</v>
          </cell>
        </row>
        <row r="39">
          <cell r="A39">
            <v>31</v>
          </cell>
          <cell r="B39" t="str">
            <v>Install rebars metal inserts and anchor bolts.</v>
          </cell>
        </row>
        <row r="40">
          <cell r="A40">
            <v>32</v>
          </cell>
          <cell r="B40" t="str">
            <v>Pouring of micro silica concrete.</v>
          </cell>
        </row>
        <row r="41">
          <cell r="A41">
            <v>33</v>
          </cell>
          <cell r="B41" t="str">
            <v>Curing operation</v>
          </cell>
        </row>
        <row r="42">
          <cell r="A42">
            <v>34</v>
          </cell>
          <cell r="B42" t="str">
            <v>Deshuttering after 7 days</v>
          </cell>
        </row>
        <row r="43">
          <cell r="A43">
            <v>35</v>
          </cell>
          <cell r="B43" t="str">
            <v>Sweep the internal wall surface and slab soffit for surface improvement</v>
          </cell>
        </row>
        <row r="44">
          <cell r="A44">
            <v>36</v>
          </cell>
          <cell r="B44" t="str">
            <v>Surface improvement of internal wall and slab soffit</v>
          </cell>
        </row>
        <row r="45">
          <cell r="A45">
            <v>37</v>
          </cell>
          <cell r="B45" t="str">
            <v>Water vapour permeable coating</v>
          </cell>
        </row>
        <row r="46">
          <cell r="A46">
            <v>38</v>
          </cell>
          <cell r="B46" t="str">
            <v>Removal of scaffolding.</v>
          </cell>
        </row>
        <row r="47">
          <cell r="A47">
            <v>39</v>
          </cell>
          <cell r="B47" t="str">
            <v>Sweep blast of the floor for surface improvement</v>
          </cell>
        </row>
        <row r="48">
          <cell r="A48">
            <v>40</v>
          </cell>
          <cell r="B48" t="str">
            <v>Surface improvement of floor</v>
          </cell>
        </row>
        <row r="49">
          <cell r="A49">
            <v>41</v>
          </cell>
          <cell r="B49" t="str">
            <v>Water vapour permeable coating for floor</v>
          </cell>
        </row>
        <row r="50">
          <cell r="B50" t="str">
            <v>BASIN</v>
          </cell>
        </row>
        <row r="51">
          <cell r="A51">
            <v>1</v>
          </cell>
          <cell r="B51" t="str">
            <v>Pump out water along with pump chamber</v>
          </cell>
        </row>
        <row r="52">
          <cell r="A52">
            <v>2</v>
          </cell>
          <cell r="B52" t="str">
            <v>Sealing the basin sluice gate by sand bags</v>
          </cell>
        </row>
        <row r="53">
          <cell r="A53">
            <v>3</v>
          </cell>
          <cell r="B53" t="str">
            <v>Remove silt / sludge and clean it out</v>
          </cell>
        </row>
        <row r="54">
          <cell r="A54">
            <v>4</v>
          </cell>
          <cell r="B54" t="str">
            <v>Install scaffolding</v>
          </cell>
        </row>
        <row r="55">
          <cell r="A55">
            <v>5</v>
          </cell>
          <cell r="B55" t="str">
            <v>Sweep blast the walls and floors with water jet</v>
          </cell>
        </row>
      </sheetData>
      <sheetData sheetId="2" refreshError="1"/>
      <sheetData sheetId="3" refreshError="1"/>
      <sheetData sheetId="4"/>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erial"/>
      <sheetName val="Shop Drawing"/>
      <sheetName val="Subcontractors"/>
    </sheetNames>
    <sheetDataSet>
      <sheetData sheetId="0"/>
      <sheetData sheetId="1"/>
      <sheetData sheetId="2"/>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t-brkup"/>
      <sheetName val="Hist-Submi"/>
      <sheetName val="mnpw&amp;equip1"/>
      <sheetName val="suweit"/>
      <sheetName val="weit"/>
      <sheetName val="S-Curv"/>
      <sheetName val="MNPW-ACTUAL"/>
      <sheetName val="mnpw-summary"/>
      <sheetName val="mnpw-sd"/>
    </sheetNames>
    <sheetDataSet>
      <sheetData sheetId="0" refreshError="1"/>
      <sheetData sheetId="1" refreshError="1"/>
      <sheetData sheetId="2" refreshError="1"/>
      <sheetData sheetId="3">
        <row r="14">
          <cell r="G14">
            <v>1012.5</v>
          </cell>
        </row>
        <row r="15">
          <cell r="G15">
            <v>742.5</v>
          </cell>
        </row>
        <row r="18">
          <cell r="G18">
            <v>708.75</v>
          </cell>
        </row>
        <row r="24">
          <cell r="G24">
            <v>1282.5</v>
          </cell>
        </row>
        <row r="30">
          <cell r="G30">
            <v>438.75</v>
          </cell>
        </row>
        <row r="35">
          <cell r="G35">
            <v>330.75</v>
          </cell>
        </row>
        <row r="38">
          <cell r="G38">
            <v>148.5</v>
          </cell>
        </row>
        <row r="44">
          <cell r="G44">
            <v>101.25</v>
          </cell>
        </row>
        <row r="48">
          <cell r="G48">
            <v>1208.25</v>
          </cell>
        </row>
        <row r="56">
          <cell r="G56">
            <v>33.75</v>
          </cell>
        </row>
      </sheetData>
      <sheetData sheetId="4" refreshError="1"/>
      <sheetData sheetId="5" refreshError="1"/>
      <sheetData sheetId="6" refreshError="1"/>
      <sheetData sheetId="7" refreshError="1"/>
      <sheetData sheetId="8"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NP-NCW "/>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bour"/>
      <sheetName val="Equipment"/>
      <sheetName val="Estimation-Bill2"/>
      <sheetName val="Estimation-Bill3"/>
      <sheetName val="Estimation-Bill 5"/>
      <sheetName val="Exhume "/>
      <sheetName val="Transport"/>
      <sheetName val="NDM"/>
      <sheetName val="Ducts"/>
      <sheetName val="Chambers "/>
      <sheetName val="Trans-Conc"/>
      <sheetName val="Repair"/>
      <sheetName val="Fence"/>
      <sheetName val="OH-1042"/>
      <sheetName val="Cashflow"/>
      <sheetName val="Surveying Eq"/>
    </sheetNames>
    <sheetDataSet>
      <sheetData sheetId="0" refreshError="1"/>
      <sheetData sheetId="1" refreshError="1"/>
      <sheetData sheetId="2" refreshError="1"/>
      <sheetData sheetId="3" refreshError="1"/>
      <sheetData sheetId="4" refreshError="1"/>
      <sheetData sheetId="5" refreshError="1"/>
      <sheetData sheetId="6" refreshError="1">
        <row r="1">
          <cell r="A1" t="str">
            <v>WATER SUPPLY SCHEME FOR HARAMIYA AND GRAIN AL AYESH ISLAND</v>
          </cell>
          <cell r="E1" t="str">
            <v>Weigth</v>
          </cell>
          <cell r="F1" t="str">
            <v xml:space="preserve">Total </v>
          </cell>
          <cell r="G1" t="str">
            <v>OD</v>
          </cell>
          <cell r="H1" t="str">
            <v xml:space="preserve">Volume </v>
          </cell>
          <cell r="J1" t="str">
            <v xml:space="preserve">Port Handling </v>
          </cell>
          <cell r="L1" t="str">
            <v xml:space="preserve">Extra Charges </v>
          </cell>
          <cell r="M1" t="str">
            <v>Transport</v>
          </cell>
          <cell r="O1" t="str">
            <v xml:space="preserve">Offloading </v>
          </cell>
          <cell r="P1" t="str">
            <v xml:space="preserve">PE Sleeve </v>
          </cell>
          <cell r="Q1" t="str">
            <v xml:space="preserve">D W Tape </v>
          </cell>
          <cell r="R1" t="str">
            <v xml:space="preserve">Total </v>
          </cell>
          <cell r="S1" t="str">
            <v xml:space="preserve">Amount </v>
          </cell>
        </row>
        <row r="2">
          <cell r="A2" t="str">
            <v>BILL OF QUANTITIES</v>
          </cell>
          <cell r="E2" t="str">
            <v xml:space="preserve">t/Lm </v>
          </cell>
          <cell r="H2" t="str">
            <v>m3/Lm</v>
          </cell>
          <cell r="J2" t="str">
            <v xml:space="preserve">1st </v>
          </cell>
          <cell r="K2" t="str">
            <v xml:space="preserve">2nd </v>
          </cell>
          <cell r="M2" t="str">
            <v xml:space="preserve">External </v>
          </cell>
          <cell r="N2" t="str">
            <v xml:space="preserve">Internal </v>
          </cell>
        </row>
        <row r="3">
          <cell r="A3" t="str">
            <v>Item</v>
          </cell>
          <cell r="B3" t="str">
            <v>Description</v>
          </cell>
          <cell r="C3" t="str">
            <v>Quantity</v>
          </cell>
          <cell r="D3" t="str">
            <v>Unit</v>
          </cell>
          <cell r="E3" t="str">
            <v>t/No</v>
          </cell>
          <cell r="F3" t="str">
            <v>ton</v>
          </cell>
          <cell r="H3" t="str">
            <v>m3/no</v>
          </cell>
          <cell r="I3" t="str">
            <v>m3</v>
          </cell>
          <cell r="J3">
            <v>6</v>
          </cell>
          <cell r="K3">
            <v>6</v>
          </cell>
          <cell r="L3" t="str">
            <v>Dhs/m3</v>
          </cell>
          <cell r="M3" t="str">
            <v xml:space="preserve">Dhs/Lm </v>
          </cell>
          <cell r="N3" t="str">
            <v xml:space="preserve">Dhs/Lm </v>
          </cell>
          <cell r="O3" t="str">
            <v xml:space="preserve">Dhs/Lm </v>
          </cell>
          <cell r="P3" t="str">
            <v xml:space="preserve">Dhs/Lm </v>
          </cell>
          <cell r="Q3" t="str">
            <v xml:space="preserve">Dhs/Lm </v>
          </cell>
          <cell r="R3" t="str">
            <v xml:space="preserve">Dhs/Lm </v>
          </cell>
          <cell r="S3" t="str">
            <v xml:space="preserve">Dhs </v>
          </cell>
        </row>
        <row r="4">
          <cell r="B4" t="str">
            <v>BILL NO. 1.1</v>
          </cell>
          <cell r="L4">
            <v>13.83</v>
          </cell>
        </row>
        <row r="5">
          <cell r="B5" t="str">
            <v>SUPPLY OF PIPES</v>
          </cell>
        </row>
        <row r="7">
          <cell r="B7" t="str">
            <v>Supply Class K9 ductile iron pipe in accordance to</v>
          </cell>
        </row>
        <row r="8">
          <cell r="B8" t="str">
            <v>ISO 2531 with spigot and socket joints, zinc and bitumen</v>
          </cell>
        </row>
        <row r="9">
          <cell r="B9" t="str">
            <v>external coating and internal cement mortar lining</v>
          </cell>
        </row>
        <row r="10">
          <cell r="B10" t="str">
            <v>including polyethylene sleeves, warning tape, gaskets,</v>
          </cell>
        </row>
        <row r="11">
          <cell r="B11" t="str">
            <v>and all accessories as specified for the following</v>
          </cell>
        </row>
        <row r="12">
          <cell r="B12" t="str">
            <v>pipe sizes:</v>
          </cell>
        </row>
        <row r="13">
          <cell r="A13">
            <v>1</v>
          </cell>
        </row>
        <row r="14">
          <cell r="A14" t="str">
            <v>1.1.1.1</v>
          </cell>
          <cell r="B14" t="str">
            <v>800mm dia. (1% of length to be gauged)</v>
          </cell>
          <cell r="C14">
            <v>17470</v>
          </cell>
          <cell r="D14" t="str">
            <v>m</v>
          </cell>
          <cell r="E14">
            <v>0.27</v>
          </cell>
          <cell r="F14">
            <v>4716.8999999999996</v>
          </cell>
          <cell r="G14">
            <v>0.84</v>
          </cell>
          <cell r="H14">
            <v>0.55000000000000004</v>
          </cell>
          <cell r="I14">
            <v>9608.5</v>
          </cell>
          <cell r="J14">
            <v>3.3</v>
          </cell>
          <cell r="K14">
            <v>3.3</v>
          </cell>
          <cell r="L14">
            <v>7.61</v>
          </cell>
          <cell r="M14">
            <v>12.73</v>
          </cell>
          <cell r="N14">
            <v>12.57</v>
          </cell>
          <cell r="O14">
            <v>2.2000000000000002</v>
          </cell>
          <cell r="P14">
            <v>5.5</v>
          </cell>
          <cell r="Q14">
            <v>1.8</v>
          </cell>
          <cell r="R14">
            <v>49.01</v>
          </cell>
          <cell r="S14">
            <v>856204.7</v>
          </cell>
        </row>
        <row r="15">
          <cell r="A15" t="str">
            <v>1.1.1.2</v>
          </cell>
          <cell r="B15" t="str">
            <v>500mm dia. (5% of length to be gauged)</v>
          </cell>
          <cell r="C15">
            <v>6878</v>
          </cell>
          <cell r="D15" t="str">
            <v>m</v>
          </cell>
          <cell r="E15">
            <v>0.13</v>
          </cell>
          <cell r="F15">
            <v>894.14</v>
          </cell>
          <cell r="G15">
            <v>0.53</v>
          </cell>
          <cell r="H15">
            <v>0.22</v>
          </cell>
          <cell r="I15">
            <v>1513.16</v>
          </cell>
          <cell r="J15">
            <v>1.32</v>
          </cell>
          <cell r="K15">
            <v>1.32</v>
          </cell>
          <cell r="L15">
            <v>3.04</v>
          </cell>
          <cell r="M15">
            <v>4.13</v>
          </cell>
          <cell r="N15">
            <v>4.07</v>
          </cell>
          <cell r="O15">
            <v>2.2000000000000002</v>
          </cell>
          <cell r="P15">
            <v>4.29</v>
          </cell>
          <cell r="Q15">
            <v>1.8</v>
          </cell>
          <cell r="R15">
            <v>22.17</v>
          </cell>
          <cell r="S15">
            <v>152485.26</v>
          </cell>
        </row>
        <row r="16">
          <cell r="A16" t="str">
            <v>1.1.1.3</v>
          </cell>
          <cell r="B16" t="str">
            <v>400mm dia. (2.5% of length to be gauged)</v>
          </cell>
          <cell r="C16">
            <v>8245</v>
          </cell>
          <cell r="D16" t="str">
            <v>m</v>
          </cell>
          <cell r="E16">
            <v>0.1</v>
          </cell>
          <cell r="F16">
            <v>824.5</v>
          </cell>
          <cell r="G16">
            <v>0.43</v>
          </cell>
          <cell r="H16">
            <v>0.15</v>
          </cell>
          <cell r="I16">
            <v>1236.75</v>
          </cell>
          <cell r="J16">
            <v>0.9</v>
          </cell>
          <cell r="K16">
            <v>0.9</v>
          </cell>
          <cell r="L16">
            <v>2.0699999999999998</v>
          </cell>
          <cell r="M16">
            <v>4.13</v>
          </cell>
          <cell r="N16">
            <v>4.07</v>
          </cell>
          <cell r="O16">
            <v>2.2000000000000002</v>
          </cell>
          <cell r="P16">
            <v>3.95</v>
          </cell>
          <cell r="Q16">
            <v>1.8</v>
          </cell>
          <cell r="R16">
            <v>20.02</v>
          </cell>
          <cell r="S16">
            <v>165064.9</v>
          </cell>
        </row>
        <row r="17">
          <cell r="A17" t="str">
            <v>1.1.1.4</v>
          </cell>
          <cell r="B17" t="str">
            <v>300mm dia.</v>
          </cell>
          <cell r="C17">
            <v>4095</v>
          </cell>
          <cell r="D17" t="str">
            <v>m</v>
          </cell>
          <cell r="E17">
            <v>0.06</v>
          </cell>
          <cell r="F17">
            <v>245.7</v>
          </cell>
          <cell r="G17">
            <v>0.33</v>
          </cell>
          <cell r="H17">
            <v>0.15</v>
          </cell>
          <cell r="I17">
            <v>614.25</v>
          </cell>
          <cell r="J17">
            <v>0.9</v>
          </cell>
          <cell r="K17">
            <v>0.9</v>
          </cell>
          <cell r="L17">
            <v>2.0699999999999998</v>
          </cell>
          <cell r="M17">
            <v>1.55</v>
          </cell>
          <cell r="N17">
            <v>1.53</v>
          </cell>
          <cell r="O17">
            <v>2.2000000000000002</v>
          </cell>
          <cell r="P17">
            <v>3.44</v>
          </cell>
          <cell r="Q17">
            <v>1.8</v>
          </cell>
          <cell r="R17">
            <v>14.39</v>
          </cell>
          <cell r="S17">
            <v>58927.05</v>
          </cell>
        </row>
        <row r="18">
          <cell r="A18" t="str">
            <v>1.1.1.5</v>
          </cell>
          <cell r="B18" t="str">
            <v>250mm dia.</v>
          </cell>
          <cell r="C18">
            <v>20</v>
          </cell>
          <cell r="D18" t="str">
            <v>m</v>
          </cell>
          <cell r="E18">
            <v>0.05</v>
          </cell>
          <cell r="F18">
            <v>1</v>
          </cell>
          <cell r="G18">
            <v>0.27</v>
          </cell>
          <cell r="H18">
            <v>0.11</v>
          </cell>
          <cell r="I18">
            <v>2.2000000000000002</v>
          </cell>
          <cell r="J18">
            <v>0.66</v>
          </cell>
          <cell r="K18">
            <v>0.66</v>
          </cell>
          <cell r="L18">
            <v>1.52</v>
          </cell>
          <cell r="M18">
            <v>1.55</v>
          </cell>
          <cell r="N18">
            <v>1.53</v>
          </cell>
          <cell r="O18">
            <v>2.2000000000000002</v>
          </cell>
          <cell r="P18">
            <v>3.2</v>
          </cell>
          <cell r="Q18">
            <v>1.8</v>
          </cell>
          <cell r="R18">
            <v>13.12</v>
          </cell>
          <cell r="S18">
            <v>262.39999999999998</v>
          </cell>
        </row>
        <row r="19">
          <cell r="A19" t="str">
            <v>1.1.1.6</v>
          </cell>
          <cell r="B19" t="str">
            <v>200mm dia.</v>
          </cell>
          <cell r="C19">
            <v>4995</v>
          </cell>
          <cell r="D19" t="str">
            <v>m</v>
          </cell>
          <cell r="E19">
            <v>0.04</v>
          </cell>
          <cell r="F19">
            <v>199.8</v>
          </cell>
          <cell r="G19">
            <v>0.22</v>
          </cell>
          <cell r="H19">
            <v>7.0000000000000007E-2</v>
          </cell>
          <cell r="I19">
            <v>349.65</v>
          </cell>
          <cell r="J19">
            <v>0.42</v>
          </cell>
          <cell r="K19">
            <v>0.42</v>
          </cell>
          <cell r="L19">
            <v>0.97</v>
          </cell>
          <cell r="M19">
            <v>1.03</v>
          </cell>
          <cell r="N19">
            <v>1.02</v>
          </cell>
          <cell r="O19">
            <v>2.2000000000000002</v>
          </cell>
          <cell r="P19">
            <v>2.92</v>
          </cell>
          <cell r="Q19">
            <v>1.8</v>
          </cell>
          <cell r="R19">
            <v>10.78</v>
          </cell>
          <cell r="S19">
            <v>53846.1</v>
          </cell>
        </row>
        <row r="20">
          <cell r="A20" t="str">
            <v>1.1.1.7</v>
          </cell>
          <cell r="B20" t="str">
            <v>150mm dia.</v>
          </cell>
          <cell r="C20">
            <v>7568</v>
          </cell>
          <cell r="D20" t="str">
            <v>m</v>
          </cell>
          <cell r="E20">
            <v>0.03</v>
          </cell>
          <cell r="F20">
            <v>227.04</v>
          </cell>
          <cell r="G20">
            <v>0.17</v>
          </cell>
          <cell r="H20">
            <v>0.05</v>
          </cell>
          <cell r="I20">
            <v>378.4</v>
          </cell>
          <cell r="J20">
            <v>0.3</v>
          </cell>
          <cell r="K20">
            <v>0.3</v>
          </cell>
          <cell r="L20">
            <v>0.69</v>
          </cell>
          <cell r="M20">
            <v>0.46</v>
          </cell>
          <cell r="N20">
            <v>0.45</v>
          </cell>
          <cell r="O20">
            <v>2.2000000000000002</v>
          </cell>
          <cell r="P20">
            <v>2.56</v>
          </cell>
          <cell r="Q20">
            <v>1.8</v>
          </cell>
          <cell r="R20">
            <v>8.76</v>
          </cell>
          <cell r="S20">
            <v>66295.679999999993</v>
          </cell>
        </row>
        <row r="21">
          <cell r="A21" t="str">
            <v>1.1.1.8</v>
          </cell>
          <cell r="B21" t="str">
            <v>100mm dia.</v>
          </cell>
          <cell r="C21">
            <v>3267</v>
          </cell>
          <cell r="D21" t="str">
            <v>m</v>
          </cell>
          <cell r="E21">
            <v>0.02</v>
          </cell>
          <cell r="F21">
            <v>65.34</v>
          </cell>
          <cell r="G21">
            <v>0.12</v>
          </cell>
          <cell r="H21">
            <v>0.02</v>
          </cell>
          <cell r="I21">
            <v>65.34</v>
          </cell>
          <cell r="J21">
            <v>0.12</v>
          </cell>
          <cell r="K21">
            <v>0.12</v>
          </cell>
          <cell r="L21">
            <v>0.28000000000000003</v>
          </cell>
          <cell r="M21">
            <v>0.41</v>
          </cell>
          <cell r="N21">
            <v>0.41</v>
          </cell>
          <cell r="O21">
            <v>2.2000000000000002</v>
          </cell>
          <cell r="P21">
            <v>2.21</v>
          </cell>
          <cell r="Q21">
            <v>1.8</v>
          </cell>
          <cell r="R21">
            <v>7.55</v>
          </cell>
          <cell r="S21">
            <v>24665.85</v>
          </cell>
        </row>
        <row r="22">
          <cell r="F22">
            <v>0</v>
          </cell>
          <cell r="H22">
            <v>0</v>
          </cell>
          <cell r="I22">
            <v>0</v>
          </cell>
          <cell r="J22">
            <v>0</v>
          </cell>
          <cell r="K22">
            <v>0</v>
          </cell>
          <cell r="L22">
            <v>0</v>
          </cell>
          <cell r="R22">
            <v>0</v>
          </cell>
          <cell r="S22">
            <v>0</v>
          </cell>
        </row>
        <row r="23">
          <cell r="B23" t="str">
            <v>Supply D.I. Pipes as per Item 1.1.1 but with external</v>
          </cell>
          <cell r="F23">
            <v>0</v>
          </cell>
          <cell r="H23">
            <v>0</v>
          </cell>
          <cell r="I23">
            <v>0</v>
          </cell>
          <cell r="J23">
            <v>0</v>
          </cell>
          <cell r="K23">
            <v>0</v>
          </cell>
          <cell r="L23">
            <v>0</v>
          </cell>
          <cell r="R23">
            <v>0</v>
          </cell>
          <cell r="S23">
            <v>0</v>
          </cell>
        </row>
        <row r="24">
          <cell r="B24" t="str">
            <v>coating in polyurethane</v>
          </cell>
          <cell r="F24">
            <v>0</v>
          </cell>
          <cell r="H24">
            <v>0</v>
          </cell>
          <cell r="I24">
            <v>0</v>
          </cell>
          <cell r="J24">
            <v>0</v>
          </cell>
          <cell r="K24">
            <v>0</v>
          </cell>
          <cell r="L24">
            <v>0</v>
          </cell>
          <cell r="R24">
            <v>0</v>
          </cell>
          <cell r="S24">
            <v>0</v>
          </cell>
        </row>
        <row r="25">
          <cell r="F25">
            <v>0</v>
          </cell>
          <cell r="H25">
            <v>0</v>
          </cell>
          <cell r="I25">
            <v>0</v>
          </cell>
          <cell r="J25">
            <v>0</v>
          </cell>
          <cell r="K25">
            <v>0</v>
          </cell>
          <cell r="L25">
            <v>0</v>
          </cell>
          <cell r="R25">
            <v>0</v>
          </cell>
          <cell r="S25">
            <v>0</v>
          </cell>
        </row>
        <row r="26">
          <cell r="A26" t="str">
            <v>1.1.2</v>
          </cell>
          <cell r="B26" t="str">
            <v>800mm dia. (10% of length to be gauged)</v>
          </cell>
          <cell r="C26">
            <v>90</v>
          </cell>
          <cell r="D26" t="str">
            <v>m</v>
          </cell>
          <cell r="E26">
            <v>0.27</v>
          </cell>
          <cell r="F26">
            <v>24.3</v>
          </cell>
          <cell r="G26">
            <v>0.84</v>
          </cell>
          <cell r="H26">
            <v>0.55000000000000004</v>
          </cell>
          <cell r="I26">
            <v>49.5</v>
          </cell>
          <cell r="J26">
            <v>3.3</v>
          </cell>
          <cell r="K26">
            <v>3.3</v>
          </cell>
          <cell r="L26">
            <v>7.61</v>
          </cell>
          <cell r="M26">
            <v>12.73</v>
          </cell>
          <cell r="N26">
            <v>12.57</v>
          </cell>
          <cell r="O26">
            <v>2.2000000000000002</v>
          </cell>
          <cell r="P26">
            <v>5.5</v>
          </cell>
          <cell r="Q26">
            <v>1.8</v>
          </cell>
          <cell r="R26">
            <v>49.01</v>
          </cell>
          <cell r="S26">
            <v>4410.8999999999996</v>
          </cell>
        </row>
        <row r="27">
          <cell r="F27">
            <v>0</v>
          </cell>
          <cell r="H27">
            <v>0</v>
          </cell>
          <cell r="I27">
            <v>0</v>
          </cell>
          <cell r="J27">
            <v>0</v>
          </cell>
          <cell r="K27">
            <v>0</v>
          </cell>
          <cell r="L27">
            <v>0</v>
          </cell>
          <cell r="R27">
            <v>0</v>
          </cell>
          <cell r="S27">
            <v>0</v>
          </cell>
        </row>
        <row r="28">
          <cell r="B28" t="str">
            <v>Supply pipes as per Item 1.1.1 but suitable to accommodate</v>
          </cell>
          <cell r="F28">
            <v>0</v>
          </cell>
          <cell r="H28">
            <v>0</v>
          </cell>
          <cell r="I28">
            <v>0</v>
          </cell>
          <cell r="J28">
            <v>0</v>
          </cell>
          <cell r="K28">
            <v>0</v>
          </cell>
          <cell r="L28">
            <v>0</v>
          </cell>
          <cell r="R28">
            <v>0</v>
          </cell>
          <cell r="S28">
            <v>0</v>
          </cell>
        </row>
        <row r="29">
          <cell r="B29" t="str">
            <v xml:space="preserve">a mechanical restrained joint all as specified of the </v>
          </cell>
          <cell r="F29">
            <v>0</v>
          </cell>
          <cell r="H29">
            <v>0</v>
          </cell>
          <cell r="I29">
            <v>0</v>
          </cell>
          <cell r="J29">
            <v>0</v>
          </cell>
          <cell r="K29">
            <v>0</v>
          </cell>
          <cell r="L29">
            <v>0</v>
          </cell>
          <cell r="R29">
            <v>0</v>
          </cell>
          <cell r="S29">
            <v>0</v>
          </cell>
        </row>
        <row r="30">
          <cell r="B30" t="str">
            <v>following sizes:</v>
          </cell>
          <cell r="F30">
            <v>0</v>
          </cell>
          <cell r="H30">
            <v>0</v>
          </cell>
          <cell r="I30">
            <v>0</v>
          </cell>
          <cell r="J30">
            <v>0</v>
          </cell>
          <cell r="K30">
            <v>0</v>
          </cell>
          <cell r="L30">
            <v>0</v>
          </cell>
          <cell r="R30">
            <v>0</v>
          </cell>
          <cell r="S30">
            <v>0</v>
          </cell>
        </row>
        <row r="31">
          <cell r="F31">
            <v>0</v>
          </cell>
          <cell r="H31">
            <v>0</v>
          </cell>
          <cell r="I31">
            <v>0</v>
          </cell>
          <cell r="J31">
            <v>0</v>
          </cell>
          <cell r="K31">
            <v>0</v>
          </cell>
          <cell r="L31">
            <v>0</v>
          </cell>
          <cell r="R31">
            <v>0</v>
          </cell>
          <cell r="S31">
            <v>0</v>
          </cell>
        </row>
        <row r="32">
          <cell r="A32" t="str">
            <v>1.1.3.1</v>
          </cell>
          <cell r="B32" t="str">
            <v>800mm dia.</v>
          </cell>
          <cell r="C32">
            <v>116</v>
          </cell>
          <cell r="D32" t="str">
            <v>m</v>
          </cell>
          <cell r="E32">
            <v>0.27</v>
          </cell>
          <cell r="F32">
            <v>31.32</v>
          </cell>
          <cell r="G32">
            <v>0.84</v>
          </cell>
          <cell r="H32">
            <v>0.55000000000000004</v>
          </cell>
          <cell r="I32">
            <v>63.8</v>
          </cell>
          <cell r="J32">
            <v>3.3</v>
          </cell>
          <cell r="K32">
            <v>3.3</v>
          </cell>
          <cell r="L32">
            <v>7.61</v>
          </cell>
          <cell r="M32">
            <v>12.73</v>
          </cell>
          <cell r="N32">
            <v>12.57</v>
          </cell>
          <cell r="O32">
            <v>2.2000000000000002</v>
          </cell>
          <cell r="P32">
            <v>5.5</v>
          </cell>
          <cell r="Q32">
            <v>1.8</v>
          </cell>
          <cell r="R32">
            <v>49.01</v>
          </cell>
          <cell r="S32">
            <v>5685.16</v>
          </cell>
        </row>
        <row r="33">
          <cell r="A33" t="str">
            <v>1.1.3.2</v>
          </cell>
          <cell r="B33" t="str">
            <v>500mm dia.</v>
          </cell>
          <cell r="C33">
            <v>53</v>
          </cell>
          <cell r="D33" t="str">
            <v>m</v>
          </cell>
          <cell r="E33">
            <v>0.13</v>
          </cell>
          <cell r="F33">
            <v>6.89</v>
          </cell>
          <cell r="G33">
            <v>0.53</v>
          </cell>
          <cell r="H33">
            <v>0.22</v>
          </cell>
          <cell r="I33">
            <v>11.66</v>
          </cell>
          <cell r="J33">
            <v>1.32</v>
          </cell>
          <cell r="K33">
            <v>1.32</v>
          </cell>
          <cell r="L33">
            <v>3.04</v>
          </cell>
          <cell r="M33">
            <v>4.13</v>
          </cell>
          <cell r="N33">
            <v>4.07</v>
          </cell>
          <cell r="O33">
            <v>2.2000000000000002</v>
          </cell>
          <cell r="P33">
            <v>4.29</v>
          </cell>
          <cell r="Q33">
            <v>1.8</v>
          </cell>
          <cell r="R33">
            <v>22.17</v>
          </cell>
          <cell r="S33">
            <v>1175.01</v>
          </cell>
        </row>
        <row r="34">
          <cell r="A34" t="str">
            <v>1.1.3.3</v>
          </cell>
          <cell r="B34" t="str">
            <v>400mm dia.</v>
          </cell>
          <cell r="C34">
            <v>53</v>
          </cell>
          <cell r="D34" t="str">
            <v>m</v>
          </cell>
          <cell r="E34">
            <v>0.1</v>
          </cell>
          <cell r="F34">
            <v>5.3</v>
          </cell>
          <cell r="G34">
            <v>0.43</v>
          </cell>
          <cell r="H34">
            <v>0.15</v>
          </cell>
          <cell r="I34">
            <v>7.95</v>
          </cell>
          <cell r="J34">
            <v>0.9</v>
          </cell>
          <cell r="K34">
            <v>0.9</v>
          </cell>
          <cell r="L34">
            <v>2.0699999999999998</v>
          </cell>
          <cell r="M34">
            <v>4.13</v>
          </cell>
          <cell r="N34">
            <v>4.07</v>
          </cell>
          <cell r="O34">
            <v>2.2000000000000002</v>
          </cell>
          <cell r="P34">
            <v>3.95</v>
          </cell>
          <cell r="Q34">
            <v>1.8</v>
          </cell>
          <cell r="R34">
            <v>20.02</v>
          </cell>
          <cell r="S34">
            <v>1061.06</v>
          </cell>
        </row>
        <row r="35">
          <cell r="A35" t="str">
            <v>1.1.3.4</v>
          </cell>
          <cell r="B35" t="str">
            <v>300mm dia.</v>
          </cell>
          <cell r="C35">
            <v>89</v>
          </cell>
          <cell r="D35" t="str">
            <v>m</v>
          </cell>
          <cell r="E35">
            <v>0.06</v>
          </cell>
          <cell r="F35">
            <v>5.34</v>
          </cell>
          <cell r="G35">
            <v>0.33</v>
          </cell>
          <cell r="H35">
            <v>0.15</v>
          </cell>
          <cell r="I35">
            <v>13.35</v>
          </cell>
          <cell r="J35">
            <v>0.9</v>
          </cell>
          <cell r="K35">
            <v>0.9</v>
          </cell>
          <cell r="L35">
            <v>2.0699999999999998</v>
          </cell>
          <cell r="M35">
            <v>1.55</v>
          </cell>
          <cell r="N35">
            <v>1.53</v>
          </cell>
          <cell r="O35">
            <v>2.2000000000000002</v>
          </cell>
          <cell r="P35">
            <v>3.44</v>
          </cell>
          <cell r="Q35">
            <v>1.8</v>
          </cell>
          <cell r="R35">
            <v>14.39</v>
          </cell>
          <cell r="S35">
            <v>1280.71</v>
          </cell>
        </row>
        <row r="36">
          <cell r="A36" t="str">
            <v>1.1.3.5</v>
          </cell>
          <cell r="B36" t="str">
            <v>200mm dia.</v>
          </cell>
          <cell r="C36">
            <v>210</v>
          </cell>
          <cell r="D36" t="str">
            <v>m</v>
          </cell>
          <cell r="E36">
            <v>0.04</v>
          </cell>
          <cell r="F36">
            <v>8.4</v>
          </cell>
          <cell r="G36">
            <v>0.22</v>
          </cell>
          <cell r="H36">
            <v>7.0000000000000007E-2</v>
          </cell>
          <cell r="I36">
            <v>14.7</v>
          </cell>
          <cell r="J36">
            <v>0.42</v>
          </cell>
          <cell r="K36">
            <v>0.42</v>
          </cell>
          <cell r="L36">
            <v>0.97</v>
          </cell>
          <cell r="M36">
            <v>1.03</v>
          </cell>
          <cell r="N36">
            <v>1.02</v>
          </cell>
          <cell r="O36">
            <v>2.2000000000000002</v>
          </cell>
          <cell r="P36">
            <v>2.92</v>
          </cell>
          <cell r="Q36">
            <v>1.8</v>
          </cell>
          <cell r="R36">
            <v>10.78</v>
          </cell>
          <cell r="S36">
            <v>2263.8000000000002</v>
          </cell>
        </row>
        <row r="37">
          <cell r="A37" t="str">
            <v>1.1.3.6</v>
          </cell>
          <cell r="B37" t="str">
            <v>150mm dia.</v>
          </cell>
          <cell r="C37">
            <v>893</v>
          </cell>
          <cell r="D37" t="str">
            <v>m</v>
          </cell>
          <cell r="E37">
            <v>0.03</v>
          </cell>
          <cell r="F37">
            <v>26.79</v>
          </cell>
          <cell r="G37">
            <v>0.17</v>
          </cell>
          <cell r="H37">
            <v>0.05</v>
          </cell>
          <cell r="I37">
            <v>44.65</v>
          </cell>
          <cell r="J37">
            <v>0.3</v>
          </cell>
          <cell r="K37">
            <v>0.3</v>
          </cell>
          <cell r="L37">
            <v>0.69</v>
          </cell>
          <cell r="M37">
            <v>0.46</v>
          </cell>
          <cell r="N37">
            <v>0.45</v>
          </cell>
          <cell r="O37">
            <v>2.2000000000000002</v>
          </cell>
          <cell r="P37">
            <v>2.56</v>
          </cell>
          <cell r="Q37">
            <v>1.8</v>
          </cell>
          <cell r="R37">
            <v>8.76</v>
          </cell>
          <cell r="S37">
            <v>7822.68</v>
          </cell>
        </row>
        <row r="38">
          <cell r="A38" t="str">
            <v>1.1.3.7</v>
          </cell>
          <cell r="B38" t="str">
            <v>100mm dia.</v>
          </cell>
          <cell r="C38">
            <v>570</v>
          </cell>
          <cell r="D38" t="str">
            <v>m</v>
          </cell>
          <cell r="E38">
            <v>0.02</v>
          </cell>
          <cell r="F38">
            <v>11.4</v>
          </cell>
          <cell r="G38">
            <v>0.12</v>
          </cell>
          <cell r="H38">
            <v>0.02</v>
          </cell>
          <cell r="I38">
            <v>11.4</v>
          </cell>
          <cell r="J38">
            <v>0.12</v>
          </cell>
          <cell r="K38">
            <v>0.12</v>
          </cell>
          <cell r="L38">
            <v>0.28000000000000003</v>
          </cell>
          <cell r="M38">
            <v>0.41</v>
          </cell>
          <cell r="N38">
            <v>0.41</v>
          </cell>
          <cell r="O38">
            <v>2.2000000000000002</v>
          </cell>
          <cell r="P38">
            <v>2.21</v>
          </cell>
          <cell r="Q38">
            <v>1.8</v>
          </cell>
          <cell r="R38">
            <v>7.55</v>
          </cell>
          <cell r="S38">
            <v>4303.5</v>
          </cell>
        </row>
        <row r="39">
          <cell r="F39">
            <v>0</v>
          </cell>
          <cell r="H39">
            <v>0</v>
          </cell>
          <cell r="I39">
            <v>0</v>
          </cell>
          <cell r="J39">
            <v>0</v>
          </cell>
          <cell r="K39">
            <v>0</v>
          </cell>
          <cell r="L39">
            <v>0</v>
          </cell>
          <cell r="R39">
            <v>0</v>
          </cell>
          <cell r="S39">
            <v>0</v>
          </cell>
        </row>
        <row r="40">
          <cell r="B40" t="str">
            <v>Supply pipes as per Item 1.1.2 but suitable to accommodate</v>
          </cell>
          <cell r="F40">
            <v>0</v>
          </cell>
          <cell r="H40">
            <v>0</v>
          </cell>
          <cell r="I40">
            <v>0</v>
          </cell>
          <cell r="J40">
            <v>0</v>
          </cell>
          <cell r="K40">
            <v>0</v>
          </cell>
          <cell r="L40">
            <v>0</v>
          </cell>
          <cell r="R40">
            <v>0</v>
          </cell>
          <cell r="S40">
            <v>0</v>
          </cell>
        </row>
        <row r="41">
          <cell r="B41" t="str">
            <v xml:space="preserve">a mechanical restrained joint all as specified of the </v>
          </cell>
          <cell r="F41">
            <v>0</v>
          </cell>
          <cell r="H41">
            <v>0</v>
          </cell>
          <cell r="I41">
            <v>0</v>
          </cell>
          <cell r="J41">
            <v>0</v>
          </cell>
          <cell r="K41">
            <v>0</v>
          </cell>
          <cell r="L41">
            <v>0</v>
          </cell>
          <cell r="R41">
            <v>0</v>
          </cell>
          <cell r="S41">
            <v>0</v>
          </cell>
        </row>
        <row r="42">
          <cell r="B42" t="str">
            <v>following sizes:</v>
          </cell>
          <cell r="F42">
            <v>0</v>
          </cell>
          <cell r="H42">
            <v>0</v>
          </cell>
          <cell r="I42">
            <v>0</v>
          </cell>
          <cell r="J42">
            <v>0</v>
          </cell>
          <cell r="K42">
            <v>0</v>
          </cell>
          <cell r="L42">
            <v>0</v>
          </cell>
          <cell r="R42">
            <v>0</v>
          </cell>
          <cell r="S42">
            <v>0</v>
          </cell>
        </row>
        <row r="43">
          <cell r="F43">
            <v>0</v>
          </cell>
          <cell r="H43">
            <v>0</v>
          </cell>
          <cell r="I43">
            <v>0</v>
          </cell>
          <cell r="J43">
            <v>0</v>
          </cell>
          <cell r="K43">
            <v>0</v>
          </cell>
          <cell r="L43">
            <v>0</v>
          </cell>
          <cell r="R43">
            <v>0</v>
          </cell>
          <cell r="S43">
            <v>0</v>
          </cell>
        </row>
        <row r="44">
          <cell r="A44" t="str">
            <v>1.1.4</v>
          </cell>
          <cell r="B44" t="str">
            <v>800mm dia.</v>
          </cell>
          <cell r="C44">
            <v>510</v>
          </cell>
          <cell r="D44" t="str">
            <v>m</v>
          </cell>
          <cell r="E44">
            <v>0.27</v>
          </cell>
          <cell r="F44">
            <v>137.69999999999999</v>
          </cell>
          <cell r="G44">
            <v>0.84</v>
          </cell>
          <cell r="H44">
            <v>0.55000000000000004</v>
          </cell>
          <cell r="I44">
            <v>280.5</v>
          </cell>
          <cell r="J44">
            <v>3.3</v>
          </cell>
          <cell r="K44">
            <v>3.3</v>
          </cell>
          <cell r="L44">
            <v>7.61</v>
          </cell>
          <cell r="M44">
            <v>12.73</v>
          </cell>
          <cell r="N44">
            <v>12.57</v>
          </cell>
          <cell r="O44">
            <v>2.2000000000000002</v>
          </cell>
          <cell r="P44">
            <v>5.5</v>
          </cell>
          <cell r="Q44">
            <v>1.8</v>
          </cell>
          <cell r="R44">
            <v>49.01</v>
          </cell>
          <cell r="S44">
            <v>24995.1</v>
          </cell>
        </row>
        <row r="45">
          <cell r="F45">
            <v>0</v>
          </cell>
          <cell r="H45">
            <v>0</v>
          </cell>
          <cell r="I45">
            <v>0</v>
          </cell>
          <cell r="J45">
            <v>0</v>
          </cell>
          <cell r="K45">
            <v>0</v>
          </cell>
          <cell r="L45">
            <v>0</v>
          </cell>
          <cell r="R45">
            <v>0</v>
          </cell>
          <cell r="S45">
            <v>0</v>
          </cell>
        </row>
        <row r="46">
          <cell r="B46" t="str">
            <v>Supply D.I. Pipes as per Item 1.1.1 but with double spigot</v>
          </cell>
          <cell r="F46">
            <v>0</v>
          </cell>
          <cell r="H46">
            <v>0</v>
          </cell>
          <cell r="I46">
            <v>0</v>
          </cell>
          <cell r="J46">
            <v>0</v>
          </cell>
          <cell r="K46">
            <v>0</v>
          </cell>
          <cell r="L46">
            <v>0</v>
          </cell>
          <cell r="R46">
            <v>0</v>
          </cell>
          <cell r="S46">
            <v>0</v>
          </cell>
        </row>
        <row r="47">
          <cell r="B47" t="str">
            <v xml:space="preserve">joints and with internal and external protection of fusion </v>
          </cell>
          <cell r="F47">
            <v>0</v>
          </cell>
          <cell r="H47">
            <v>0</v>
          </cell>
          <cell r="I47">
            <v>0</v>
          </cell>
          <cell r="J47">
            <v>0</v>
          </cell>
          <cell r="K47">
            <v>0</v>
          </cell>
          <cell r="L47">
            <v>0</v>
          </cell>
          <cell r="R47">
            <v>0</v>
          </cell>
          <cell r="S47">
            <v>0</v>
          </cell>
        </row>
        <row r="48">
          <cell r="B48" t="str">
            <v>bonded epoxy coating of the following sizes:</v>
          </cell>
          <cell r="F48">
            <v>0</v>
          </cell>
          <cell r="H48">
            <v>0</v>
          </cell>
          <cell r="I48">
            <v>0</v>
          </cell>
          <cell r="J48">
            <v>0</v>
          </cell>
          <cell r="K48">
            <v>0</v>
          </cell>
          <cell r="L48">
            <v>0</v>
          </cell>
          <cell r="R48">
            <v>0</v>
          </cell>
          <cell r="S48">
            <v>0</v>
          </cell>
        </row>
        <row r="49">
          <cell r="F49">
            <v>0</v>
          </cell>
          <cell r="H49">
            <v>0</v>
          </cell>
          <cell r="I49">
            <v>0</v>
          </cell>
          <cell r="J49">
            <v>0</v>
          </cell>
          <cell r="K49">
            <v>0</v>
          </cell>
          <cell r="L49">
            <v>0</v>
          </cell>
          <cell r="R49">
            <v>0</v>
          </cell>
          <cell r="S49">
            <v>0</v>
          </cell>
        </row>
        <row r="50">
          <cell r="A50" t="str">
            <v>1.1.5.1</v>
          </cell>
          <cell r="B50" t="str">
            <v>800mm dia.  (length = 2 meters)</v>
          </cell>
          <cell r="C50">
            <v>103</v>
          </cell>
          <cell r="D50" t="str">
            <v>m</v>
          </cell>
          <cell r="E50">
            <v>0.27</v>
          </cell>
          <cell r="F50">
            <v>27.81</v>
          </cell>
          <cell r="G50">
            <v>0.84</v>
          </cell>
          <cell r="H50">
            <v>0.55000000000000004</v>
          </cell>
          <cell r="I50">
            <v>56.65</v>
          </cell>
          <cell r="J50">
            <v>3.3</v>
          </cell>
          <cell r="K50">
            <v>3.3</v>
          </cell>
          <cell r="L50">
            <v>7.61</v>
          </cell>
          <cell r="M50">
            <v>12.73</v>
          </cell>
          <cell r="N50">
            <v>12.57</v>
          </cell>
          <cell r="O50">
            <v>2.2000000000000002</v>
          </cell>
          <cell r="P50">
            <v>5.5</v>
          </cell>
          <cell r="Q50">
            <v>1.8</v>
          </cell>
          <cell r="R50">
            <v>49.01</v>
          </cell>
          <cell r="S50">
            <v>5048.03</v>
          </cell>
        </row>
        <row r="51">
          <cell r="A51" t="str">
            <v>1.1.5.2</v>
          </cell>
          <cell r="B51" t="str">
            <v>500mm dia.  (length = 2 meters)</v>
          </cell>
          <cell r="C51">
            <v>26</v>
          </cell>
          <cell r="D51" t="str">
            <v>m</v>
          </cell>
          <cell r="E51">
            <v>0.13</v>
          </cell>
          <cell r="F51">
            <v>3.38</v>
          </cell>
          <cell r="G51">
            <v>0.53</v>
          </cell>
          <cell r="H51">
            <v>0.22</v>
          </cell>
          <cell r="I51">
            <v>5.72</v>
          </cell>
          <cell r="J51">
            <v>1.32</v>
          </cell>
          <cell r="K51">
            <v>1.32</v>
          </cell>
          <cell r="L51">
            <v>3.04</v>
          </cell>
          <cell r="M51">
            <v>4.13</v>
          </cell>
          <cell r="N51">
            <v>4.07</v>
          </cell>
          <cell r="O51">
            <v>2.2000000000000002</v>
          </cell>
          <cell r="P51">
            <v>4.29</v>
          </cell>
          <cell r="Q51">
            <v>1.8</v>
          </cell>
          <cell r="R51">
            <v>22.17</v>
          </cell>
          <cell r="S51">
            <v>576.41999999999996</v>
          </cell>
        </row>
        <row r="52">
          <cell r="A52" t="str">
            <v>1.1.5.3</v>
          </cell>
          <cell r="B52" t="str">
            <v>400mm dia.  (length = 2 meters)</v>
          </cell>
          <cell r="C52">
            <v>92</v>
          </cell>
          <cell r="D52" t="str">
            <v>m</v>
          </cell>
          <cell r="E52">
            <v>0.1</v>
          </cell>
          <cell r="F52">
            <v>9.1999999999999993</v>
          </cell>
          <cell r="G52">
            <v>0.43</v>
          </cell>
          <cell r="H52">
            <v>0.15</v>
          </cell>
          <cell r="I52">
            <v>13.8</v>
          </cell>
          <cell r="J52">
            <v>0.9</v>
          </cell>
          <cell r="K52">
            <v>0.9</v>
          </cell>
          <cell r="L52">
            <v>2.0699999999999998</v>
          </cell>
          <cell r="M52">
            <v>4.13</v>
          </cell>
          <cell r="N52">
            <v>4.07</v>
          </cell>
          <cell r="O52">
            <v>2.2000000000000002</v>
          </cell>
          <cell r="P52">
            <v>3.95</v>
          </cell>
          <cell r="Q52">
            <v>1.8</v>
          </cell>
          <cell r="R52">
            <v>20.02</v>
          </cell>
          <cell r="S52">
            <v>1841.84</v>
          </cell>
        </row>
        <row r="53">
          <cell r="A53" t="str">
            <v>1.1.5.4</v>
          </cell>
          <cell r="B53" t="str">
            <v>300mm dia.  (length = 2 meters)</v>
          </cell>
          <cell r="C53">
            <v>79</v>
          </cell>
          <cell r="D53" t="str">
            <v>m</v>
          </cell>
          <cell r="E53">
            <v>0.06</v>
          </cell>
          <cell r="F53">
            <v>4.74</v>
          </cell>
          <cell r="G53">
            <v>0.33</v>
          </cell>
          <cell r="H53">
            <v>0.15</v>
          </cell>
          <cell r="I53">
            <v>11.85</v>
          </cell>
          <cell r="J53">
            <v>0.9</v>
          </cell>
          <cell r="K53">
            <v>0.9</v>
          </cell>
          <cell r="L53">
            <v>2.0699999999999998</v>
          </cell>
          <cell r="M53">
            <v>1.55</v>
          </cell>
          <cell r="N53">
            <v>1.53</v>
          </cell>
          <cell r="O53">
            <v>2.2000000000000002</v>
          </cell>
          <cell r="P53">
            <v>3.44</v>
          </cell>
          <cell r="Q53">
            <v>1.8</v>
          </cell>
          <cell r="R53">
            <v>14.39</v>
          </cell>
          <cell r="S53">
            <v>1136.81</v>
          </cell>
        </row>
        <row r="54">
          <cell r="A54" t="str">
            <v>1.1.5.5</v>
          </cell>
          <cell r="B54" t="str">
            <v>200mm dia.  (length = 2 meters)</v>
          </cell>
          <cell r="C54">
            <v>24</v>
          </cell>
          <cell r="D54" t="str">
            <v>m</v>
          </cell>
          <cell r="E54">
            <v>0.04</v>
          </cell>
          <cell r="F54">
            <v>0.96</v>
          </cell>
          <cell r="G54">
            <v>0.22</v>
          </cell>
          <cell r="H54">
            <v>7.0000000000000007E-2</v>
          </cell>
          <cell r="I54">
            <v>1.68</v>
          </cell>
          <cell r="J54">
            <v>0.42</v>
          </cell>
          <cell r="K54">
            <v>0.42</v>
          </cell>
          <cell r="L54">
            <v>0.97</v>
          </cell>
          <cell r="M54">
            <v>1.03</v>
          </cell>
          <cell r="N54">
            <v>1.02</v>
          </cell>
          <cell r="O54">
            <v>2.2000000000000002</v>
          </cell>
          <cell r="P54">
            <v>2.92</v>
          </cell>
          <cell r="Q54">
            <v>1.8</v>
          </cell>
          <cell r="R54">
            <v>10.78</v>
          </cell>
          <cell r="S54">
            <v>258.72000000000003</v>
          </cell>
        </row>
        <row r="55">
          <cell r="A55" t="str">
            <v>1.1.5.6</v>
          </cell>
          <cell r="B55" t="str">
            <v>150mm dia.  (length = 2 meters)</v>
          </cell>
          <cell r="C55">
            <v>73</v>
          </cell>
          <cell r="D55" t="str">
            <v>m</v>
          </cell>
          <cell r="E55">
            <v>0.03</v>
          </cell>
          <cell r="F55">
            <v>2.19</v>
          </cell>
          <cell r="G55">
            <v>0.17</v>
          </cell>
          <cell r="H55">
            <v>0.05</v>
          </cell>
          <cell r="I55">
            <v>3.65</v>
          </cell>
          <cell r="J55">
            <v>0.3</v>
          </cell>
          <cell r="K55">
            <v>0.3</v>
          </cell>
          <cell r="L55">
            <v>0.69</v>
          </cell>
          <cell r="M55">
            <v>0.46</v>
          </cell>
          <cell r="N55">
            <v>0.45</v>
          </cell>
          <cell r="O55">
            <v>2.2000000000000002</v>
          </cell>
          <cell r="P55">
            <v>2.56</v>
          </cell>
          <cell r="Q55">
            <v>1.8</v>
          </cell>
          <cell r="R55">
            <v>8.76</v>
          </cell>
          <cell r="S55">
            <v>639.48</v>
          </cell>
        </row>
        <row r="56">
          <cell r="A56" t="str">
            <v>1.1.5.7</v>
          </cell>
          <cell r="B56" t="str">
            <v>100mm dia.  (length = 2 meters)</v>
          </cell>
          <cell r="C56">
            <v>24</v>
          </cell>
          <cell r="D56" t="str">
            <v>m</v>
          </cell>
          <cell r="E56">
            <v>0.02</v>
          </cell>
          <cell r="F56">
            <v>0.48</v>
          </cell>
          <cell r="G56">
            <v>0.12</v>
          </cell>
          <cell r="H56">
            <v>0.02</v>
          </cell>
          <cell r="I56">
            <v>0.48</v>
          </cell>
          <cell r="J56">
            <v>0.12</v>
          </cell>
          <cell r="K56">
            <v>0.12</v>
          </cell>
          <cell r="L56">
            <v>0.28000000000000003</v>
          </cell>
          <cell r="M56">
            <v>0.41</v>
          </cell>
          <cell r="N56">
            <v>0.41</v>
          </cell>
          <cell r="O56">
            <v>2.2000000000000002</v>
          </cell>
          <cell r="P56">
            <v>2.21</v>
          </cell>
          <cell r="Q56">
            <v>1.8</v>
          </cell>
          <cell r="R56">
            <v>7.55</v>
          </cell>
          <cell r="S56">
            <v>181.2</v>
          </cell>
        </row>
        <row r="57">
          <cell r="F57">
            <v>0</v>
          </cell>
          <cell r="I57">
            <v>0</v>
          </cell>
          <cell r="J57">
            <v>0</v>
          </cell>
          <cell r="K57">
            <v>0</v>
          </cell>
          <cell r="L57">
            <v>0</v>
          </cell>
          <cell r="R57">
            <v>0</v>
          </cell>
          <cell r="S57">
            <v>0</v>
          </cell>
        </row>
        <row r="58">
          <cell r="B58" t="str">
            <v>Supply all materials (including locking glands,</v>
          </cell>
          <cell r="F58">
            <v>0</v>
          </cell>
          <cell r="I58">
            <v>0</v>
          </cell>
          <cell r="J58">
            <v>0</v>
          </cell>
          <cell r="K58">
            <v>0</v>
          </cell>
          <cell r="L58">
            <v>0</v>
          </cell>
          <cell r="R58">
            <v>0</v>
          </cell>
          <cell r="S58">
            <v>0</v>
          </cell>
        </row>
        <row r="59">
          <cell r="B59" t="str">
            <v>locking ring, bolts, nuts, gaskets, etc. or retaining rings/</v>
          </cell>
          <cell r="F59">
            <v>0</v>
          </cell>
          <cell r="I59">
            <v>0</v>
          </cell>
          <cell r="J59">
            <v>0</v>
          </cell>
          <cell r="K59">
            <v>0</v>
          </cell>
          <cell r="L59">
            <v>0</v>
          </cell>
          <cell r="R59">
            <v>0</v>
          </cell>
          <cell r="S59">
            <v>0</v>
          </cell>
        </row>
        <row r="60">
          <cell r="B60" t="str">
            <v>anchoring segments (according to the type of locking</v>
          </cell>
          <cell r="F60">
            <v>0</v>
          </cell>
          <cell r="I60">
            <v>0</v>
          </cell>
          <cell r="J60">
            <v>0</v>
          </cell>
          <cell r="K60">
            <v>0</v>
          </cell>
          <cell r="L60">
            <v>0</v>
          </cell>
          <cell r="R60">
            <v>0</v>
          </cell>
          <cell r="S60">
            <v>0</v>
          </cell>
        </row>
        <row r="61">
          <cell r="B61" t="str">
            <v xml:space="preserve">joint being used) necessary to fabricate on site a </v>
          </cell>
          <cell r="F61">
            <v>0</v>
          </cell>
          <cell r="I61">
            <v>0</v>
          </cell>
          <cell r="J61">
            <v>0</v>
          </cell>
          <cell r="K61">
            <v>0</v>
          </cell>
          <cell r="L61">
            <v>0</v>
          </cell>
          <cell r="R61">
            <v>0</v>
          </cell>
          <cell r="S61">
            <v>0</v>
          </cell>
        </row>
        <row r="62">
          <cell r="B62" t="str">
            <v xml:space="preserve">mechanically restrained joint between pipes suitable </v>
          </cell>
          <cell r="F62">
            <v>0</v>
          </cell>
          <cell r="I62">
            <v>0</v>
          </cell>
          <cell r="J62">
            <v>0</v>
          </cell>
          <cell r="K62">
            <v>0</v>
          </cell>
          <cell r="L62">
            <v>0</v>
          </cell>
          <cell r="R62">
            <v>0</v>
          </cell>
          <cell r="S62">
            <v>0</v>
          </cell>
        </row>
        <row r="63">
          <cell r="B63" t="str">
            <v>(or made suitable) to accommodate restrained joints and/or</v>
          </cell>
          <cell r="F63">
            <v>0</v>
          </cell>
          <cell r="I63">
            <v>0</v>
          </cell>
          <cell r="J63">
            <v>0</v>
          </cell>
          <cell r="K63">
            <v>0</v>
          </cell>
          <cell r="L63">
            <v>0</v>
          </cell>
          <cell r="R63">
            <v>0</v>
          </cell>
          <cell r="S63">
            <v>0</v>
          </cell>
        </row>
        <row r="64">
          <cell r="B64" t="str">
            <v xml:space="preserve">fittings (all fittings shall be suitable to accommodate </v>
          </cell>
          <cell r="F64">
            <v>0</v>
          </cell>
          <cell r="I64">
            <v>0</v>
          </cell>
          <cell r="J64">
            <v>0</v>
          </cell>
          <cell r="K64">
            <v>0</v>
          </cell>
          <cell r="L64">
            <v>0</v>
          </cell>
          <cell r="R64">
            <v>0</v>
          </cell>
          <cell r="S64">
            <v>0</v>
          </cell>
        </row>
        <row r="65">
          <cell r="B65" t="str">
            <v>restrained joints), all to manufacturer's</v>
          </cell>
          <cell r="F65">
            <v>0</v>
          </cell>
          <cell r="I65">
            <v>0</v>
          </cell>
          <cell r="J65">
            <v>0</v>
          </cell>
          <cell r="K65">
            <v>0</v>
          </cell>
          <cell r="L65">
            <v>0</v>
          </cell>
          <cell r="R65">
            <v>0</v>
          </cell>
          <cell r="S65">
            <v>0</v>
          </cell>
        </row>
        <row r="66">
          <cell r="B66" t="str">
            <v>recommendations</v>
          </cell>
          <cell r="F66">
            <v>0</v>
          </cell>
          <cell r="I66">
            <v>0</v>
          </cell>
          <cell r="J66">
            <v>0</v>
          </cell>
          <cell r="K66">
            <v>0</v>
          </cell>
          <cell r="L66">
            <v>0</v>
          </cell>
          <cell r="R66">
            <v>0</v>
          </cell>
          <cell r="S66">
            <v>0</v>
          </cell>
        </row>
        <row r="67">
          <cell r="F67">
            <v>0</v>
          </cell>
          <cell r="I67">
            <v>0</v>
          </cell>
          <cell r="J67">
            <v>0</v>
          </cell>
          <cell r="K67">
            <v>0</v>
          </cell>
          <cell r="L67">
            <v>0</v>
          </cell>
          <cell r="R67">
            <v>0</v>
          </cell>
          <cell r="S67">
            <v>0</v>
          </cell>
        </row>
        <row r="68">
          <cell r="A68" t="str">
            <v>1.1.6.1</v>
          </cell>
          <cell r="B68" t="str">
            <v>800mm dia.</v>
          </cell>
          <cell r="C68">
            <v>156</v>
          </cell>
          <cell r="D68" t="str">
            <v>Set</v>
          </cell>
          <cell r="E68">
            <v>0.18</v>
          </cell>
          <cell r="F68">
            <v>28.08</v>
          </cell>
          <cell r="H68">
            <v>0.44</v>
          </cell>
          <cell r="I68">
            <v>68.64</v>
          </cell>
          <cell r="J68">
            <v>2.64</v>
          </cell>
          <cell r="K68">
            <v>2.64</v>
          </cell>
          <cell r="L68">
            <v>6.09</v>
          </cell>
          <cell r="M68">
            <v>4.9000000000000004</v>
          </cell>
          <cell r="N68">
            <v>4.84</v>
          </cell>
          <cell r="R68">
            <v>21.11</v>
          </cell>
          <cell r="S68">
            <v>3293.16</v>
          </cell>
        </row>
        <row r="69">
          <cell r="A69" t="str">
            <v>1.1.6.2</v>
          </cell>
          <cell r="B69" t="str">
            <v>500mm dia.</v>
          </cell>
          <cell r="C69">
            <v>13</v>
          </cell>
          <cell r="D69" t="str">
            <v>Set</v>
          </cell>
          <cell r="E69">
            <v>0.08</v>
          </cell>
          <cell r="F69">
            <v>1.04</v>
          </cell>
          <cell r="H69">
            <v>0.2</v>
          </cell>
          <cell r="I69">
            <v>2.6</v>
          </cell>
          <cell r="J69">
            <v>1.2</v>
          </cell>
          <cell r="K69">
            <v>1.2</v>
          </cell>
          <cell r="L69">
            <v>2.77</v>
          </cell>
          <cell r="M69">
            <v>2.23</v>
          </cell>
          <cell r="N69">
            <v>2.2000000000000002</v>
          </cell>
          <cell r="R69">
            <v>9.6</v>
          </cell>
          <cell r="S69">
            <v>124.8</v>
          </cell>
        </row>
        <row r="70">
          <cell r="A70" t="str">
            <v>1.1.6.3</v>
          </cell>
          <cell r="B70" t="str">
            <v>400mm dia.</v>
          </cell>
          <cell r="C70">
            <v>13</v>
          </cell>
          <cell r="D70" t="str">
            <v>Set</v>
          </cell>
          <cell r="E70">
            <v>0.05</v>
          </cell>
          <cell r="F70">
            <v>0.65</v>
          </cell>
          <cell r="H70">
            <v>0.12</v>
          </cell>
          <cell r="I70">
            <v>1.56</v>
          </cell>
          <cell r="J70">
            <v>0.72</v>
          </cell>
          <cell r="K70">
            <v>0.72</v>
          </cell>
          <cell r="L70">
            <v>1.66</v>
          </cell>
          <cell r="M70">
            <v>1.34</v>
          </cell>
          <cell r="N70">
            <v>1.32</v>
          </cell>
          <cell r="R70">
            <v>5.76</v>
          </cell>
          <cell r="S70">
            <v>74.88</v>
          </cell>
        </row>
        <row r="71">
          <cell r="A71" t="str">
            <v>1.1.6.4</v>
          </cell>
          <cell r="B71" t="str">
            <v>300mm dia.</v>
          </cell>
          <cell r="C71">
            <v>22</v>
          </cell>
          <cell r="D71" t="str">
            <v>Set</v>
          </cell>
          <cell r="E71">
            <v>0.04</v>
          </cell>
          <cell r="F71">
            <v>0.88</v>
          </cell>
          <cell r="H71">
            <v>0.1</v>
          </cell>
          <cell r="I71">
            <v>2.2000000000000002</v>
          </cell>
          <cell r="J71">
            <v>0.6</v>
          </cell>
          <cell r="K71">
            <v>0.6</v>
          </cell>
          <cell r="L71">
            <v>1.38</v>
          </cell>
          <cell r="M71">
            <v>1.1100000000000001</v>
          </cell>
          <cell r="N71">
            <v>1.1000000000000001</v>
          </cell>
          <cell r="R71">
            <v>4.79</v>
          </cell>
          <cell r="S71">
            <v>105.38</v>
          </cell>
        </row>
        <row r="72">
          <cell r="A72" t="str">
            <v>1.1.6.5</v>
          </cell>
          <cell r="B72" t="str">
            <v>200mm dia.</v>
          </cell>
          <cell r="C72">
            <v>71</v>
          </cell>
          <cell r="D72" t="str">
            <v>Set</v>
          </cell>
          <cell r="E72">
            <v>0.01</v>
          </cell>
          <cell r="F72">
            <v>0.71</v>
          </cell>
          <cell r="H72">
            <v>0.02</v>
          </cell>
          <cell r="I72">
            <v>1.42</v>
          </cell>
          <cell r="J72">
            <v>0.12</v>
          </cell>
          <cell r="K72">
            <v>0.12</v>
          </cell>
          <cell r="L72">
            <v>0.28000000000000003</v>
          </cell>
          <cell r="M72">
            <v>0.22</v>
          </cell>
          <cell r="N72">
            <v>0.22</v>
          </cell>
          <cell r="R72">
            <v>0.96</v>
          </cell>
          <cell r="S72">
            <v>68.16</v>
          </cell>
        </row>
        <row r="73">
          <cell r="A73" t="str">
            <v>1.1.6.6</v>
          </cell>
          <cell r="B73" t="str">
            <v>150mm dia.</v>
          </cell>
          <cell r="C73">
            <v>234</v>
          </cell>
          <cell r="D73" t="str">
            <v>Set</v>
          </cell>
          <cell r="E73">
            <v>0.01</v>
          </cell>
          <cell r="F73">
            <v>2.34</v>
          </cell>
          <cell r="H73">
            <v>0.02</v>
          </cell>
          <cell r="I73">
            <v>4.68</v>
          </cell>
          <cell r="J73">
            <v>0.12</v>
          </cell>
          <cell r="K73">
            <v>0.12</v>
          </cell>
          <cell r="L73">
            <v>0.28000000000000003</v>
          </cell>
          <cell r="M73">
            <v>0.22</v>
          </cell>
          <cell r="N73">
            <v>0.22</v>
          </cell>
          <cell r="R73">
            <v>0.96</v>
          </cell>
          <cell r="S73">
            <v>224.64</v>
          </cell>
        </row>
        <row r="74">
          <cell r="A74" t="str">
            <v>1.1.6.7</v>
          </cell>
          <cell r="B74" t="str">
            <v>100mm dia.</v>
          </cell>
          <cell r="C74">
            <v>145</v>
          </cell>
          <cell r="D74" t="str">
            <v>Set</v>
          </cell>
          <cell r="E74">
            <v>0.01</v>
          </cell>
          <cell r="F74">
            <v>1.45</v>
          </cell>
          <cell r="H74">
            <v>0.02</v>
          </cell>
          <cell r="I74">
            <v>2.9</v>
          </cell>
          <cell r="J74">
            <v>0.12</v>
          </cell>
          <cell r="K74">
            <v>0.12</v>
          </cell>
          <cell r="L74">
            <v>0.28000000000000003</v>
          </cell>
          <cell r="M74">
            <v>0.22</v>
          </cell>
          <cell r="N74">
            <v>0.22</v>
          </cell>
          <cell r="R74">
            <v>0.96</v>
          </cell>
          <cell r="S74">
            <v>139.19999999999999</v>
          </cell>
        </row>
        <row r="75">
          <cell r="A75" t="str">
            <v>1.1.6.8</v>
          </cell>
          <cell r="B75" t="str">
            <v>80mm dia.</v>
          </cell>
          <cell r="C75">
            <v>11</v>
          </cell>
          <cell r="D75" t="str">
            <v>Set</v>
          </cell>
          <cell r="E75">
            <v>0.01</v>
          </cell>
          <cell r="F75">
            <v>0.11</v>
          </cell>
          <cell r="H75">
            <v>0.02</v>
          </cell>
          <cell r="I75">
            <v>0.22</v>
          </cell>
          <cell r="J75">
            <v>0.12</v>
          </cell>
          <cell r="K75">
            <v>0.12</v>
          </cell>
          <cell r="L75">
            <v>0.28000000000000003</v>
          </cell>
          <cell r="M75">
            <v>0.22</v>
          </cell>
          <cell r="N75">
            <v>0.22</v>
          </cell>
          <cell r="R75">
            <v>0.96</v>
          </cell>
          <cell r="S75">
            <v>10.56</v>
          </cell>
        </row>
        <row r="76">
          <cell r="F76">
            <v>0</v>
          </cell>
          <cell r="I76">
            <v>0</v>
          </cell>
          <cell r="J76">
            <v>0</v>
          </cell>
          <cell r="K76">
            <v>0</v>
          </cell>
          <cell r="L76">
            <v>0</v>
          </cell>
          <cell r="M76">
            <v>0</v>
          </cell>
          <cell r="R76">
            <v>0</v>
          </cell>
          <cell r="S76">
            <v>0</v>
          </cell>
        </row>
        <row r="77">
          <cell r="B77" t="str">
            <v>Supply Class K9 ductile iron pipe with PN16 flanged</v>
          </cell>
          <cell r="F77">
            <v>0</v>
          </cell>
          <cell r="I77">
            <v>0</v>
          </cell>
          <cell r="J77">
            <v>0</v>
          </cell>
          <cell r="K77">
            <v>0</v>
          </cell>
          <cell r="L77">
            <v>0</v>
          </cell>
          <cell r="M77">
            <v>0</v>
          </cell>
          <cell r="R77">
            <v>0</v>
          </cell>
          <cell r="S77">
            <v>0</v>
          </cell>
        </row>
        <row r="78">
          <cell r="B78" t="str">
            <v xml:space="preserve"> joints (variable length between 1 to 6 meters as required</v>
          </cell>
          <cell r="F78">
            <v>0</v>
          </cell>
          <cell r="I78">
            <v>0</v>
          </cell>
          <cell r="J78">
            <v>0</v>
          </cell>
          <cell r="K78">
            <v>0</v>
          </cell>
          <cell r="L78">
            <v>0</v>
          </cell>
          <cell r="M78">
            <v>0</v>
          </cell>
          <cell r="R78">
            <v>0</v>
          </cell>
          <cell r="S78">
            <v>0</v>
          </cell>
        </row>
        <row r="79">
          <cell r="B79" t="str">
            <v>by site conditions and instructed by the Engineer)</v>
          </cell>
          <cell r="F79">
            <v>0</v>
          </cell>
          <cell r="I79">
            <v>0</v>
          </cell>
          <cell r="J79">
            <v>0</v>
          </cell>
          <cell r="K79">
            <v>0</v>
          </cell>
          <cell r="L79">
            <v>0</v>
          </cell>
          <cell r="M79">
            <v>0</v>
          </cell>
          <cell r="R79">
            <v>0</v>
          </cell>
          <cell r="S79">
            <v>0</v>
          </cell>
        </row>
        <row r="80">
          <cell r="B80" t="str">
            <v>with zinc and bitumen external coating</v>
          </cell>
          <cell r="F80">
            <v>0</v>
          </cell>
          <cell r="I80">
            <v>0</v>
          </cell>
          <cell r="J80">
            <v>0</v>
          </cell>
          <cell r="K80">
            <v>0</v>
          </cell>
          <cell r="L80">
            <v>0</v>
          </cell>
          <cell r="M80">
            <v>0</v>
          </cell>
          <cell r="R80">
            <v>0</v>
          </cell>
          <cell r="S80">
            <v>0</v>
          </cell>
        </row>
        <row r="81">
          <cell r="B81" t="str">
            <v xml:space="preserve">and internal cement mortar lining including </v>
          </cell>
          <cell r="F81">
            <v>0</v>
          </cell>
          <cell r="I81">
            <v>0</v>
          </cell>
          <cell r="J81">
            <v>0</v>
          </cell>
          <cell r="K81">
            <v>0</v>
          </cell>
          <cell r="L81">
            <v>0</v>
          </cell>
          <cell r="M81">
            <v>0</v>
          </cell>
          <cell r="R81">
            <v>0</v>
          </cell>
          <cell r="S81">
            <v>0</v>
          </cell>
        </row>
        <row r="82">
          <cell r="B82" t="str">
            <v>polyethylene sleeves, warning tape, gaskets</v>
          </cell>
          <cell r="F82">
            <v>0</v>
          </cell>
          <cell r="I82">
            <v>0</v>
          </cell>
          <cell r="J82">
            <v>0</v>
          </cell>
          <cell r="K82">
            <v>0</v>
          </cell>
          <cell r="L82">
            <v>0</v>
          </cell>
          <cell r="M82">
            <v>0</v>
          </cell>
          <cell r="R82">
            <v>0</v>
          </cell>
          <cell r="S82">
            <v>0</v>
          </cell>
        </row>
        <row r="83">
          <cell r="B83" t="str">
            <v>bolts, nuts, etc. and all accessories</v>
          </cell>
          <cell r="F83">
            <v>0</v>
          </cell>
          <cell r="I83">
            <v>0</v>
          </cell>
          <cell r="J83">
            <v>0</v>
          </cell>
          <cell r="K83">
            <v>0</v>
          </cell>
          <cell r="L83">
            <v>0</v>
          </cell>
          <cell r="M83">
            <v>0</v>
          </cell>
          <cell r="R83">
            <v>0</v>
          </cell>
          <cell r="S83">
            <v>0</v>
          </cell>
        </row>
        <row r="84">
          <cell r="B84" t="str">
            <v>as specified for the following pipe sizes:</v>
          </cell>
          <cell r="F84">
            <v>0</v>
          </cell>
          <cell r="I84">
            <v>0</v>
          </cell>
          <cell r="J84">
            <v>0</v>
          </cell>
          <cell r="K84">
            <v>0</v>
          </cell>
          <cell r="L84">
            <v>0</v>
          </cell>
          <cell r="M84">
            <v>0</v>
          </cell>
          <cell r="R84">
            <v>0</v>
          </cell>
          <cell r="S84">
            <v>0</v>
          </cell>
        </row>
        <row r="85">
          <cell r="F85">
            <v>0</v>
          </cell>
          <cell r="I85">
            <v>0</v>
          </cell>
          <cell r="J85">
            <v>0</v>
          </cell>
          <cell r="K85">
            <v>0</v>
          </cell>
          <cell r="L85">
            <v>0</v>
          </cell>
          <cell r="R85">
            <v>0</v>
          </cell>
          <cell r="S85">
            <v>0</v>
          </cell>
        </row>
        <row r="86">
          <cell r="A86" t="str">
            <v>1.1.7.1</v>
          </cell>
          <cell r="B86" t="str">
            <v>800mm dia.</v>
          </cell>
          <cell r="C86">
            <v>24</v>
          </cell>
          <cell r="D86" t="str">
            <v>m</v>
          </cell>
          <cell r="E86">
            <v>0.37</v>
          </cell>
          <cell r="F86">
            <v>8.8800000000000008</v>
          </cell>
          <cell r="G86">
            <v>0.84</v>
          </cell>
          <cell r="H86">
            <v>0.55000000000000004</v>
          </cell>
          <cell r="I86">
            <v>13.2</v>
          </cell>
          <cell r="J86">
            <v>3.3</v>
          </cell>
          <cell r="K86">
            <v>3.3</v>
          </cell>
          <cell r="L86">
            <v>7.61</v>
          </cell>
          <cell r="M86">
            <v>12.73</v>
          </cell>
          <cell r="N86">
            <v>12.57</v>
          </cell>
          <cell r="P86">
            <v>5.5</v>
          </cell>
          <cell r="Q86">
            <v>1.8</v>
          </cell>
          <cell r="R86">
            <v>46.81</v>
          </cell>
          <cell r="S86">
            <v>1123.44</v>
          </cell>
        </row>
        <row r="87">
          <cell r="A87" t="str">
            <v>1.1.7.2</v>
          </cell>
          <cell r="B87" t="str">
            <v>500mm dia.</v>
          </cell>
          <cell r="C87">
            <v>24</v>
          </cell>
          <cell r="D87" t="str">
            <v>m</v>
          </cell>
          <cell r="E87">
            <v>0.18</v>
          </cell>
          <cell r="F87">
            <v>4.32</v>
          </cell>
          <cell r="G87">
            <v>0.53</v>
          </cell>
          <cell r="H87">
            <v>0.22</v>
          </cell>
          <cell r="I87">
            <v>5.28</v>
          </cell>
          <cell r="J87">
            <v>1.32</v>
          </cell>
          <cell r="K87">
            <v>1.32</v>
          </cell>
          <cell r="L87">
            <v>3.04</v>
          </cell>
          <cell r="M87">
            <v>4.13</v>
          </cell>
          <cell r="N87">
            <v>4.07</v>
          </cell>
          <cell r="P87">
            <v>4.29</v>
          </cell>
          <cell r="Q87">
            <v>1.8</v>
          </cell>
          <cell r="R87">
            <v>19.97</v>
          </cell>
          <cell r="S87">
            <v>479.28</v>
          </cell>
        </row>
        <row r="88">
          <cell r="A88" t="str">
            <v>1.1.7.3</v>
          </cell>
          <cell r="B88" t="str">
            <v>400mm dia.</v>
          </cell>
          <cell r="C88">
            <v>58</v>
          </cell>
          <cell r="D88" t="str">
            <v>m</v>
          </cell>
          <cell r="E88">
            <v>0.13</v>
          </cell>
          <cell r="F88">
            <v>7.54</v>
          </cell>
          <cell r="G88">
            <v>0.43</v>
          </cell>
          <cell r="H88">
            <v>0.15</v>
          </cell>
          <cell r="I88">
            <v>8.6999999999999993</v>
          </cell>
          <cell r="J88">
            <v>0.9</v>
          </cell>
          <cell r="K88">
            <v>0.9</v>
          </cell>
          <cell r="L88">
            <v>2.0699999999999998</v>
          </cell>
          <cell r="M88">
            <v>4.13</v>
          </cell>
          <cell r="N88">
            <v>4.07</v>
          </cell>
          <cell r="P88">
            <v>3.95</v>
          </cell>
          <cell r="Q88">
            <v>1.8</v>
          </cell>
          <cell r="R88">
            <v>17.82</v>
          </cell>
          <cell r="S88">
            <v>1033.56</v>
          </cell>
        </row>
        <row r="89">
          <cell r="A89" t="str">
            <v>1.1.7.4</v>
          </cell>
          <cell r="B89" t="str">
            <v>300mm dia.</v>
          </cell>
          <cell r="C89">
            <v>24</v>
          </cell>
          <cell r="D89" t="str">
            <v>m</v>
          </cell>
          <cell r="E89">
            <v>0.08</v>
          </cell>
          <cell r="F89">
            <v>1.92</v>
          </cell>
          <cell r="G89">
            <v>0.33</v>
          </cell>
          <cell r="H89">
            <v>0.15</v>
          </cell>
          <cell r="I89">
            <v>3.6</v>
          </cell>
          <cell r="J89">
            <v>0.9</v>
          </cell>
          <cell r="K89">
            <v>0.9</v>
          </cell>
          <cell r="L89">
            <v>2.0699999999999998</v>
          </cell>
          <cell r="M89">
            <v>1.55</v>
          </cell>
          <cell r="N89">
            <v>1.53</v>
          </cell>
          <cell r="P89">
            <v>3.44</v>
          </cell>
          <cell r="Q89">
            <v>1.8</v>
          </cell>
          <cell r="R89">
            <v>12.19</v>
          </cell>
          <cell r="S89">
            <v>292.56</v>
          </cell>
        </row>
        <row r="90">
          <cell r="A90" t="str">
            <v>1.1.7.5</v>
          </cell>
          <cell r="B90" t="str">
            <v>200mm dia.</v>
          </cell>
          <cell r="C90">
            <v>24</v>
          </cell>
          <cell r="D90" t="str">
            <v>m</v>
          </cell>
          <cell r="E90">
            <v>0.05</v>
          </cell>
          <cell r="F90">
            <v>1.2</v>
          </cell>
          <cell r="G90">
            <v>0.22</v>
          </cell>
          <cell r="H90">
            <v>7.0000000000000007E-2</v>
          </cell>
          <cell r="I90">
            <v>1.68</v>
          </cell>
          <cell r="J90">
            <v>0.42</v>
          </cell>
          <cell r="K90">
            <v>0.42</v>
          </cell>
          <cell r="L90">
            <v>0.97</v>
          </cell>
          <cell r="M90">
            <v>1.03</v>
          </cell>
          <cell r="N90">
            <v>1.02</v>
          </cell>
          <cell r="P90">
            <v>2.92</v>
          </cell>
          <cell r="Q90">
            <v>1.8</v>
          </cell>
          <cell r="R90">
            <v>8.58</v>
          </cell>
          <cell r="S90">
            <v>205.92</v>
          </cell>
        </row>
        <row r="91">
          <cell r="A91" t="str">
            <v>1.1.7.6</v>
          </cell>
          <cell r="B91" t="str">
            <v>150mm dia.</v>
          </cell>
          <cell r="C91">
            <v>24</v>
          </cell>
          <cell r="D91" t="str">
            <v>m</v>
          </cell>
          <cell r="E91">
            <v>0.03</v>
          </cell>
          <cell r="F91">
            <v>0.72</v>
          </cell>
          <cell r="G91">
            <v>0.17</v>
          </cell>
          <cell r="H91">
            <v>0.05</v>
          </cell>
          <cell r="I91">
            <v>1.2</v>
          </cell>
          <cell r="J91">
            <v>0.3</v>
          </cell>
          <cell r="K91">
            <v>0.3</v>
          </cell>
          <cell r="L91">
            <v>0.69</v>
          </cell>
          <cell r="M91">
            <v>0.46</v>
          </cell>
          <cell r="N91">
            <v>0.45</v>
          </cell>
          <cell r="P91">
            <v>2.56</v>
          </cell>
          <cell r="Q91">
            <v>1.8</v>
          </cell>
          <cell r="R91">
            <v>6.56</v>
          </cell>
          <cell r="S91">
            <v>157.44</v>
          </cell>
        </row>
        <row r="92">
          <cell r="A92" t="str">
            <v>1.1.7.7</v>
          </cell>
          <cell r="B92" t="str">
            <v>100mm dia.</v>
          </cell>
          <cell r="C92">
            <v>24</v>
          </cell>
          <cell r="D92" t="str">
            <v>m</v>
          </cell>
          <cell r="E92">
            <v>0.02</v>
          </cell>
          <cell r="F92">
            <v>0.48</v>
          </cell>
          <cell r="G92">
            <v>0.12</v>
          </cell>
          <cell r="H92">
            <v>0.02</v>
          </cell>
          <cell r="I92">
            <v>0.48</v>
          </cell>
          <cell r="J92">
            <v>0.12</v>
          </cell>
          <cell r="K92">
            <v>0.12</v>
          </cell>
          <cell r="L92">
            <v>0.28000000000000003</v>
          </cell>
          <cell r="M92">
            <v>0.41</v>
          </cell>
          <cell r="N92">
            <v>0.41</v>
          </cell>
          <cell r="P92">
            <v>2.21</v>
          </cell>
          <cell r="Q92">
            <v>1.8</v>
          </cell>
          <cell r="R92">
            <v>5.35</v>
          </cell>
          <cell r="S92">
            <v>128.4</v>
          </cell>
        </row>
        <row r="93">
          <cell r="F93">
            <v>0</v>
          </cell>
          <cell r="H93">
            <v>0</v>
          </cell>
          <cell r="I93">
            <v>0</v>
          </cell>
          <cell r="J93">
            <v>0</v>
          </cell>
          <cell r="K93">
            <v>0</v>
          </cell>
          <cell r="L93">
            <v>0</v>
          </cell>
          <cell r="R93">
            <v>0</v>
          </cell>
          <cell r="S93">
            <v>0</v>
          </cell>
        </row>
        <row r="94">
          <cell r="B94" t="str">
            <v xml:space="preserve">Ditto but with Internal and External protection of </v>
          </cell>
          <cell r="F94">
            <v>0</v>
          </cell>
          <cell r="H94">
            <v>0</v>
          </cell>
          <cell r="I94">
            <v>0</v>
          </cell>
          <cell r="J94">
            <v>0</v>
          </cell>
          <cell r="K94">
            <v>0</v>
          </cell>
          <cell r="L94">
            <v>0</v>
          </cell>
          <cell r="R94">
            <v>0</v>
          </cell>
          <cell r="S94">
            <v>0</v>
          </cell>
        </row>
        <row r="95">
          <cell r="B95" t="str">
            <v>Fusion Bonded Epoxy</v>
          </cell>
          <cell r="F95">
            <v>0</v>
          </cell>
          <cell r="H95">
            <v>0</v>
          </cell>
          <cell r="I95">
            <v>0</v>
          </cell>
          <cell r="J95">
            <v>0</v>
          </cell>
          <cell r="K95">
            <v>0</v>
          </cell>
          <cell r="L95">
            <v>0</v>
          </cell>
          <cell r="R95">
            <v>0</v>
          </cell>
          <cell r="S95">
            <v>0</v>
          </cell>
        </row>
        <row r="96">
          <cell r="F96">
            <v>0</v>
          </cell>
          <cell r="H96">
            <v>0</v>
          </cell>
          <cell r="I96">
            <v>0</v>
          </cell>
          <cell r="J96">
            <v>0</v>
          </cell>
          <cell r="K96">
            <v>0</v>
          </cell>
          <cell r="L96">
            <v>0</v>
          </cell>
          <cell r="R96">
            <v>0</v>
          </cell>
          <cell r="S96">
            <v>0</v>
          </cell>
        </row>
        <row r="97">
          <cell r="A97" t="str">
            <v>1.1.8.1</v>
          </cell>
          <cell r="B97" t="str">
            <v>400mm dia.</v>
          </cell>
          <cell r="C97">
            <v>36</v>
          </cell>
          <cell r="D97" t="str">
            <v>m</v>
          </cell>
          <cell r="E97">
            <v>0.13</v>
          </cell>
          <cell r="F97">
            <v>4.68</v>
          </cell>
          <cell r="G97">
            <v>0.43</v>
          </cell>
          <cell r="H97">
            <v>0.15</v>
          </cell>
          <cell r="I97">
            <v>5.4</v>
          </cell>
          <cell r="J97">
            <v>0.9</v>
          </cell>
          <cell r="K97">
            <v>0.9</v>
          </cell>
          <cell r="L97">
            <v>2.0699999999999998</v>
          </cell>
          <cell r="M97">
            <v>4.13</v>
          </cell>
          <cell r="N97">
            <v>4.07</v>
          </cell>
          <cell r="P97">
            <v>3.95</v>
          </cell>
          <cell r="Q97">
            <v>1.8</v>
          </cell>
          <cell r="R97">
            <v>17.82</v>
          </cell>
          <cell r="S97">
            <v>641.52</v>
          </cell>
        </row>
        <row r="98">
          <cell r="A98" t="str">
            <v>1.1.8.2</v>
          </cell>
          <cell r="B98" t="str">
            <v>250mm dia.</v>
          </cell>
          <cell r="C98">
            <v>18</v>
          </cell>
          <cell r="D98" t="str">
            <v>m</v>
          </cell>
          <cell r="E98">
            <v>0.08</v>
          </cell>
          <cell r="F98">
            <v>1.44</v>
          </cell>
          <cell r="G98">
            <v>0.27</v>
          </cell>
          <cell r="H98">
            <v>0.11</v>
          </cell>
          <cell r="I98">
            <v>1.98</v>
          </cell>
          <cell r="J98">
            <v>0.66</v>
          </cell>
          <cell r="K98">
            <v>0.66</v>
          </cell>
          <cell r="L98">
            <v>1.52</v>
          </cell>
          <cell r="M98">
            <v>1.55</v>
          </cell>
          <cell r="N98">
            <v>1.53</v>
          </cell>
          <cell r="P98">
            <v>3.2</v>
          </cell>
          <cell r="Q98">
            <v>1.8</v>
          </cell>
          <cell r="R98">
            <v>10.92</v>
          </cell>
          <cell r="S98">
            <v>196.56</v>
          </cell>
        </row>
        <row r="99">
          <cell r="A99" t="str">
            <v>1.1.8.3</v>
          </cell>
          <cell r="B99" t="str">
            <v>200mm dia.</v>
          </cell>
          <cell r="C99">
            <v>24</v>
          </cell>
          <cell r="D99" t="str">
            <v>m</v>
          </cell>
          <cell r="E99">
            <v>0.05</v>
          </cell>
          <cell r="F99">
            <v>1.2</v>
          </cell>
          <cell r="G99">
            <v>0.22</v>
          </cell>
          <cell r="H99">
            <v>7.0000000000000007E-2</v>
          </cell>
          <cell r="I99">
            <v>1.68</v>
          </cell>
          <cell r="J99">
            <v>0.42</v>
          </cell>
          <cell r="K99">
            <v>0.42</v>
          </cell>
          <cell r="L99">
            <v>0.97</v>
          </cell>
          <cell r="M99">
            <v>1.03</v>
          </cell>
          <cell r="N99">
            <v>1.02</v>
          </cell>
          <cell r="P99">
            <v>2.92</v>
          </cell>
          <cell r="Q99">
            <v>1.8</v>
          </cell>
          <cell r="R99">
            <v>8.58</v>
          </cell>
          <cell r="S99">
            <v>205.92</v>
          </cell>
        </row>
        <row r="100">
          <cell r="F100">
            <v>0</v>
          </cell>
          <cell r="H100">
            <v>0</v>
          </cell>
          <cell r="I100">
            <v>0</v>
          </cell>
          <cell r="J100">
            <v>0</v>
          </cell>
          <cell r="K100">
            <v>0</v>
          </cell>
          <cell r="L100">
            <v>0</v>
          </cell>
          <cell r="R100">
            <v>0</v>
          </cell>
          <cell r="S100">
            <v>0</v>
          </cell>
        </row>
        <row r="101">
          <cell r="B101" t="str">
            <v>Supply D.I. Pipes as per Item 1.1.1 but with Internal</v>
          </cell>
          <cell r="F101">
            <v>0</v>
          </cell>
          <cell r="H101">
            <v>0</v>
          </cell>
          <cell r="I101">
            <v>0</v>
          </cell>
          <cell r="J101">
            <v>0</v>
          </cell>
          <cell r="K101">
            <v>0</v>
          </cell>
          <cell r="L101">
            <v>0</v>
          </cell>
          <cell r="R101">
            <v>0</v>
          </cell>
          <cell r="S101">
            <v>0</v>
          </cell>
        </row>
        <row r="102">
          <cell r="B102" t="str">
            <v>and External protection of Fusion Bonded Epoxy</v>
          </cell>
          <cell r="F102">
            <v>0</v>
          </cell>
          <cell r="H102">
            <v>0</v>
          </cell>
          <cell r="I102">
            <v>0</v>
          </cell>
          <cell r="J102">
            <v>0</v>
          </cell>
          <cell r="K102">
            <v>0</v>
          </cell>
          <cell r="L102">
            <v>0</v>
          </cell>
          <cell r="R102">
            <v>0</v>
          </cell>
          <cell r="S102">
            <v>0</v>
          </cell>
        </row>
        <row r="103">
          <cell r="B103" t="str">
            <v>of the following pipe sizes:</v>
          </cell>
          <cell r="F103">
            <v>0</v>
          </cell>
          <cell r="H103">
            <v>0</v>
          </cell>
          <cell r="I103">
            <v>0</v>
          </cell>
          <cell r="J103">
            <v>0</v>
          </cell>
          <cell r="K103">
            <v>0</v>
          </cell>
          <cell r="L103">
            <v>0</v>
          </cell>
          <cell r="R103">
            <v>0</v>
          </cell>
          <cell r="S103">
            <v>0</v>
          </cell>
        </row>
        <row r="104">
          <cell r="F104">
            <v>0</v>
          </cell>
          <cell r="H104">
            <v>0</v>
          </cell>
          <cell r="I104">
            <v>0</v>
          </cell>
          <cell r="J104">
            <v>0</v>
          </cell>
          <cell r="K104">
            <v>0</v>
          </cell>
          <cell r="L104">
            <v>0</v>
          </cell>
          <cell r="R104">
            <v>0</v>
          </cell>
          <cell r="S104">
            <v>0</v>
          </cell>
        </row>
        <row r="105">
          <cell r="A105" t="str">
            <v>1.1.9.1</v>
          </cell>
          <cell r="B105" t="str">
            <v>800mm dia.</v>
          </cell>
          <cell r="C105">
            <v>250</v>
          </cell>
          <cell r="D105" t="str">
            <v>m</v>
          </cell>
          <cell r="E105">
            <v>0.37</v>
          </cell>
          <cell r="F105">
            <v>92.5</v>
          </cell>
          <cell r="G105">
            <v>0.84</v>
          </cell>
          <cell r="H105">
            <v>0.55000000000000004</v>
          </cell>
          <cell r="I105">
            <v>137.5</v>
          </cell>
          <cell r="J105">
            <v>3.3</v>
          </cell>
          <cell r="K105">
            <v>3.3</v>
          </cell>
          <cell r="L105">
            <v>7.61</v>
          </cell>
          <cell r="M105">
            <v>12.73</v>
          </cell>
          <cell r="N105">
            <v>12.57</v>
          </cell>
          <cell r="P105">
            <v>5.5</v>
          </cell>
          <cell r="Q105">
            <v>1.8</v>
          </cell>
          <cell r="R105">
            <v>46.81</v>
          </cell>
          <cell r="S105">
            <v>11702.5</v>
          </cell>
        </row>
        <row r="106">
          <cell r="A106" t="str">
            <v>1.1.9.2</v>
          </cell>
          <cell r="B106" t="str">
            <v>400mm dia.</v>
          </cell>
          <cell r="C106">
            <v>160</v>
          </cell>
          <cell r="D106" t="str">
            <v>m</v>
          </cell>
          <cell r="E106">
            <v>0.13</v>
          </cell>
          <cell r="F106">
            <v>20.8</v>
          </cell>
          <cell r="G106">
            <v>0.43</v>
          </cell>
          <cell r="H106">
            <v>0.15</v>
          </cell>
          <cell r="I106">
            <v>24</v>
          </cell>
          <cell r="J106">
            <v>0.9</v>
          </cell>
          <cell r="K106">
            <v>0.9</v>
          </cell>
          <cell r="L106">
            <v>2.0699999999999998</v>
          </cell>
          <cell r="M106">
            <v>4.13</v>
          </cell>
          <cell r="N106">
            <v>4.07</v>
          </cell>
          <cell r="P106">
            <v>3.95</v>
          </cell>
          <cell r="Q106">
            <v>1.8</v>
          </cell>
          <cell r="R106">
            <v>17.82</v>
          </cell>
          <cell r="S106">
            <v>2851.2</v>
          </cell>
        </row>
        <row r="107">
          <cell r="B107" t="str">
            <v xml:space="preserve">Supply Gaskets for spigot/socket pipes or flanged pipes </v>
          </cell>
          <cell r="F107">
            <v>0</v>
          </cell>
          <cell r="I107">
            <v>0</v>
          </cell>
          <cell r="J107">
            <v>0</v>
          </cell>
          <cell r="K107">
            <v>0</v>
          </cell>
          <cell r="L107">
            <v>0</v>
          </cell>
          <cell r="R107">
            <v>0</v>
          </cell>
          <cell r="S107">
            <v>0</v>
          </cell>
        </row>
        <row r="108">
          <cell r="B108" t="str">
            <v>for pipes of the following sizes:</v>
          </cell>
          <cell r="F108">
            <v>0</v>
          </cell>
          <cell r="I108">
            <v>0</v>
          </cell>
          <cell r="J108">
            <v>0</v>
          </cell>
          <cell r="K108">
            <v>0</v>
          </cell>
          <cell r="L108">
            <v>0</v>
          </cell>
          <cell r="R108">
            <v>0</v>
          </cell>
          <cell r="S108">
            <v>0</v>
          </cell>
        </row>
        <row r="109">
          <cell r="F109">
            <v>0</v>
          </cell>
          <cell r="I109">
            <v>0</v>
          </cell>
          <cell r="J109">
            <v>0</v>
          </cell>
          <cell r="K109">
            <v>0</v>
          </cell>
          <cell r="L109">
            <v>0</v>
          </cell>
          <cell r="R109">
            <v>0</v>
          </cell>
          <cell r="S109">
            <v>0</v>
          </cell>
        </row>
        <row r="110">
          <cell r="A110" t="str">
            <v>1.1.10.3</v>
          </cell>
          <cell r="B110" t="str">
            <v>800 mm dia.</v>
          </cell>
          <cell r="C110">
            <v>90</v>
          </cell>
          <cell r="D110" t="str">
            <v>No.</v>
          </cell>
          <cell r="E110">
            <v>0.01</v>
          </cell>
          <cell r="F110">
            <v>0.9</v>
          </cell>
          <cell r="H110">
            <v>0.02</v>
          </cell>
          <cell r="I110">
            <v>1.8</v>
          </cell>
          <cell r="J110">
            <v>0.12</v>
          </cell>
          <cell r="K110">
            <v>0.12</v>
          </cell>
          <cell r="L110">
            <v>0.28000000000000003</v>
          </cell>
          <cell r="M110">
            <v>0.22</v>
          </cell>
          <cell r="N110">
            <v>0.22</v>
          </cell>
          <cell r="R110">
            <v>0.96</v>
          </cell>
          <cell r="S110">
            <v>86.4</v>
          </cell>
        </row>
        <row r="111">
          <cell r="A111" t="str">
            <v>1.1.10.5</v>
          </cell>
          <cell r="B111" t="str">
            <v>600 mm dia.</v>
          </cell>
          <cell r="C111">
            <v>20</v>
          </cell>
          <cell r="D111" t="str">
            <v>No.</v>
          </cell>
          <cell r="E111">
            <v>0.01</v>
          </cell>
          <cell r="F111">
            <v>0.2</v>
          </cell>
          <cell r="H111">
            <v>0.02</v>
          </cell>
          <cell r="I111">
            <v>0.4</v>
          </cell>
          <cell r="J111">
            <v>0.12</v>
          </cell>
          <cell r="K111">
            <v>0.12</v>
          </cell>
          <cell r="L111">
            <v>0.28000000000000003</v>
          </cell>
          <cell r="M111">
            <v>0.22</v>
          </cell>
          <cell r="N111">
            <v>0.22</v>
          </cell>
          <cell r="R111">
            <v>0.96</v>
          </cell>
          <cell r="S111">
            <v>19.2</v>
          </cell>
        </row>
        <row r="112">
          <cell r="A112" t="str">
            <v>1.1.10.6</v>
          </cell>
          <cell r="B112" t="str">
            <v>500 mm dia.</v>
          </cell>
          <cell r="C112">
            <v>20</v>
          </cell>
          <cell r="D112" t="str">
            <v>No.</v>
          </cell>
          <cell r="E112">
            <v>0.01</v>
          </cell>
          <cell r="F112">
            <v>0.2</v>
          </cell>
          <cell r="H112">
            <v>0.02</v>
          </cell>
          <cell r="I112">
            <v>0.4</v>
          </cell>
          <cell r="J112">
            <v>0.12</v>
          </cell>
          <cell r="K112">
            <v>0.12</v>
          </cell>
          <cell r="L112">
            <v>0.28000000000000003</v>
          </cell>
          <cell r="M112">
            <v>0.22</v>
          </cell>
          <cell r="N112">
            <v>0.22</v>
          </cell>
          <cell r="R112">
            <v>0.96</v>
          </cell>
          <cell r="S112">
            <v>19.2</v>
          </cell>
        </row>
        <row r="113">
          <cell r="A113" t="str">
            <v>1.1.10.7</v>
          </cell>
          <cell r="B113" t="str">
            <v>400 mm dia.</v>
          </cell>
          <cell r="C113">
            <v>20</v>
          </cell>
          <cell r="D113" t="str">
            <v>No.</v>
          </cell>
          <cell r="E113">
            <v>0.01</v>
          </cell>
          <cell r="F113">
            <v>0.2</v>
          </cell>
          <cell r="H113">
            <v>0.02</v>
          </cell>
          <cell r="I113">
            <v>0.4</v>
          </cell>
          <cell r="J113">
            <v>0.12</v>
          </cell>
          <cell r="K113">
            <v>0.12</v>
          </cell>
          <cell r="L113">
            <v>0.28000000000000003</v>
          </cell>
          <cell r="M113">
            <v>0.22</v>
          </cell>
          <cell r="N113">
            <v>0.22</v>
          </cell>
          <cell r="R113">
            <v>0.96</v>
          </cell>
          <cell r="S113">
            <v>19.2</v>
          </cell>
        </row>
        <row r="114">
          <cell r="A114" t="str">
            <v>1.1.10.8</v>
          </cell>
          <cell r="B114" t="str">
            <v>300 mm dia.</v>
          </cell>
          <cell r="C114">
            <v>20</v>
          </cell>
          <cell r="D114" t="str">
            <v>No.</v>
          </cell>
          <cell r="E114">
            <v>0.01</v>
          </cell>
          <cell r="F114">
            <v>0.2</v>
          </cell>
          <cell r="H114">
            <v>0.02</v>
          </cell>
          <cell r="I114">
            <v>0.4</v>
          </cell>
          <cell r="J114">
            <v>0.12</v>
          </cell>
          <cell r="K114">
            <v>0.12</v>
          </cell>
          <cell r="L114">
            <v>0.28000000000000003</v>
          </cell>
          <cell r="M114">
            <v>0.22</v>
          </cell>
          <cell r="N114">
            <v>0.22</v>
          </cell>
          <cell r="R114">
            <v>0.96</v>
          </cell>
          <cell r="S114">
            <v>19.2</v>
          </cell>
        </row>
        <row r="115">
          <cell r="A115" t="str">
            <v>1.1.10.9</v>
          </cell>
          <cell r="B115" t="str">
            <v>200 mm dia.</v>
          </cell>
          <cell r="C115">
            <v>20</v>
          </cell>
          <cell r="D115" t="str">
            <v>No.</v>
          </cell>
          <cell r="E115">
            <v>0.01</v>
          </cell>
          <cell r="F115">
            <v>0.2</v>
          </cell>
          <cell r="H115">
            <v>0.02</v>
          </cell>
          <cell r="I115">
            <v>0.4</v>
          </cell>
          <cell r="J115">
            <v>0.12</v>
          </cell>
          <cell r="K115">
            <v>0.12</v>
          </cell>
          <cell r="L115">
            <v>0.28000000000000003</v>
          </cell>
          <cell r="M115">
            <v>0.22</v>
          </cell>
          <cell r="N115">
            <v>0.22</v>
          </cell>
          <cell r="R115">
            <v>0.96</v>
          </cell>
          <cell r="S115">
            <v>19.2</v>
          </cell>
        </row>
        <row r="116">
          <cell r="A116" t="str">
            <v>1.1.10.10</v>
          </cell>
          <cell r="B116" t="str">
            <v>150 mm dia.</v>
          </cell>
          <cell r="C116">
            <v>10</v>
          </cell>
          <cell r="D116" t="str">
            <v>No.</v>
          </cell>
          <cell r="E116">
            <v>0.01</v>
          </cell>
          <cell r="F116">
            <v>0.1</v>
          </cell>
          <cell r="H116">
            <v>0.02</v>
          </cell>
          <cell r="I116">
            <v>0.2</v>
          </cell>
          <cell r="J116">
            <v>0.12</v>
          </cell>
          <cell r="K116">
            <v>0.12</v>
          </cell>
          <cell r="L116">
            <v>0.28000000000000003</v>
          </cell>
          <cell r="M116">
            <v>0.22</v>
          </cell>
          <cell r="N116">
            <v>0.22</v>
          </cell>
          <cell r="R116">
            <v>0.96</v>
          </cell>
          <cell r="S116">
            <v>9.6</v>
          </cell>
        </row>
        <row r="117">
          <cell r="A117" t="str">
            <v>1.1.10.11</v>
          </cell>
          <cell r="B117" t="str">
            <v>100 mm dia.</v>
          </cell>
          <cell r="C117">
            <v>10</v>
          </cell>
          <cell r="D117" t="str">
            <v>No.</v>
          </cell>
          <cell r="E117">
            <v>0.01</v>
          </cell>
          <cell r="F117">
            <v>0.1</v>
          </cell>
          <cell r="H117">
            <v>0.02</v>
          </cell>
          <cell r="I117">
            <v>0.2</v>
          </cell>
          <cell r="J117">
            <v>0.12</v>
          </cell>
          <cell r="K117">
            <v>0.12</v>
          </cell>
          <cell r="L117">
            <v>0.28000000000000003</v>
          </cell>
          <cell r="M117">
            <v>0.22</v>
          </cell>
          <cell r="N117">
            <v>0.22</v>
          </cell>
          <cell r="R117">
            <v>0.96</v>
          </cell>
          <cell r="S117">
            <v>9.6</v>
          </cell>
        </row>
        <row r="118">
          <cell r="A118" t="str">
            <v>1.1.10.12</v>
          </cell>
          <cell r="B118" t="str">
            <v>80 mm dia.</v>
          </cell>
          <cell r="C118">
            <v>10</v>
          </cell>
          <cell r="D118" t="str">
            <v>No.</v>
          </cell>
          <cell r="E118">
            <v>0.01</v>
          </cell>
          <cell r="F118">
            <v>0.1</v>
          </cell>
          <cell r="H118">
            <v>0.02</v>
          </cell>
          <cell r="I118">
            <v>0.2</v>
          </cell>
          <cell r="J118">
            <v>0.12</v>
          </cell>
          <cell r="K118">
            <v>0.12</v>
          </cell>
          <cell r="L118">
            <v>0.28000000000000003</v>
          </cell>
          <cell r="M118">
            <v>0.22</v>
          </cell>
          <cell r="N118">
            <v>0.22</v>
          </cell>
          <cell r="R118">
            <v>0.96</v>
          </cell>
          <cell r="S118">
            <v>9.6</v>
          </cell>
        </row>
        <row r="119">
          <cell r="F119">
            <v>0</v>
          </cell>
          <cell r="H119">
            <v>0</v>
          </cell>
          <cell r="I119">
            <v>0</v>
          </cell>
          <cell r="J119">
            <v>0</v>
          </cell>
          <cell r="K119">
            <v>0</v>
          </cell>
          <cell r="L119">
            <v>0</v>
          </cell>
          <cell r="R119">
            <v>0</v>
          </cell>
          <cell r="S119">
            <v>0</v>
          </cell>
        </row>
        <row r="120">
          <cell r="B120" t="str">
            <v xml:space="preserve">Supply a complete set of bolts, nuts, washers, etc. </v>
          </cell>
          <cell r="F120">
            <v>0</v>
          </cell>
          <cell r="H120">
            <v>0</v>
          </cell>
          <cell r="I120">
            <v>0</v>
          </cell>
          <cell r="J120">
            <v>0</v>
          </cell>
          <cell r="K120">
            <v>0</v>
          </cell>
          <cell r="L120">
            <v>0</v>
          </cell>
          <cell r="R120">
            <v>0</v>
          </cell>
          <cell r="S120">
            <v>0</v>
          </cell>
        </row>
        <row r="121">
          <cell r="B121" t="str">
            <v>required to joint flanged pipes, fitting or valves of the</v>
          </cell>
          <cell r="F121">
            <v>0</v>
          </cell>
          <cell r="H121">
            <v>0</v>
          </cell>
          <cell r="I121">
            <v>0</v>
          </cell>
          <cell r="J121">
            <v>0</v>
          </cell>
          <cell r="K121">
            <v>0</v>
          </cell>
          <cell r="L121">
            <v>0</v>
          </cell>
          <cell r="R121">
            <v>0</v>
          </cell>
          <cell r="S121">
            <v>0</v>
          </cell>
        </row>
        <row r="122">
          <cell r="B122" t="str">
            <v>following sizes:</v>
          </cell>
          <cell r="F122">
            <v>0</v>
          </cell>
          <cell r="H122">
            <v>0</v>
          </cell>
          <cell r="I122">
            <v>0</v>
          </cell>
          <cell r="J122">
            <v>0</v>
          </cell>
          <cell r="K122">
            <v>0</v>
          </cell>
          <cell r="L122">
            <v>0</v>
          </cell>
          <cell r="R122">
            <v>0</v>
          </cell>
          <cell r="S122">
            <v>0</v>
          </cell>
        </row>
        <row r="123">
          <cell r="F123">
            <v>0</v>
          </cell>
          <cell r="H123">
            <v>0</v>
          </cell>
          <cell r="I123">
            <v>0</v>
          </cell>
          <cell r="J123">
            <v>0</v>
          </cell>
          <cell r="K123">
            <v>0</v>
          </cell>
          <cell r="L123">
            <v>0</v>
          </cell>
          <cell r="R123">
            <v>0</v>
          </cell>
          <cell r="S123">
            <v>0</v>
          </cell>
        </row>
        <row r="124">
          <cell r="A124" t="str">
            <v>1.1.10.13</v>
          </cell>
          <cell r="B124" t="str">
            <v>800 mm dia.</v>
          </cell>
          <cell r="C124">
            <v>60</v>
          </cell>
          <cell r="D124" t="str">
            <v>Set</v>
          </cell>
          <cell r="E124">
            <v>0.03</v>
          </cell>
          <cell r="F124">
            <v>1.8</v>
          </cell>
          <cell r="H124">
            <v>7.0000000000000007E-2</v>
          </cell>
          <cell r="I124">
            <v>4.2</v>
          </cell>
          <cell r="J124">
            <v>0.42</v>
          </cell>
          <cell r="K124">
            <v>0.42</v>
          </cell>
          <cell r="L124">
            <v>0.97</v>
          </cell>
          <cell r="M124">
            <v>0.78</v>
          </cell>
          <cell r="N124">
            <v>0.77</v>
          </cell>
          <cell r="R124">
            <v>3.36</v>
          </cell>
          <cell r="S124">
            <v>201.6</v>
          </cell>
        </row>
        <row r="125">
          <cell r="A125" t="str">
            <v>1.1.10.14</v>
          </cell>
          <cell r="B125" t="str">
            <v>600 mm dia</v>
          </cell>
          <cell r="C125">
            <v>20</v>
          </cell>
          <cell r="D125" t="str">
            <v>Set</v>
          </cell>
          <cell r="E125">
            <v>0.02</v>
          </cell>
          <cell r="F125">
            <v>0.4</v>
          </cell>
          <cell r="H125">
            <v>0.05</v>
          </cell>
          <cell r="I125">
            <v>1</v>
          </cell>
          <cell r="J125">
            <v>0.3</v>
          </cell>
          <cell r="K125">
            <v>0.3</v>
          </cell>
          <cell r="L125">
            <v>0.69</v>
          </cell>
          <cell r="M125">
            <v>0.56000000000000005</v>
          </cell>
          <cell r="N125">
            <v>0.55000000000000004</v>
          </cell>
          <cell r="R125">
            <v>2.4</v>
          </cell>
          <cell r="S125">
            <v>48</v>
          </cell>
        </row>
        <row r="126">
          <cell r="A126" t="str">
            <v>1.1.10.15</v>
          </cell>
          <cell r="B126" t="str">
            <v>500 mm dia.</v>
          </cell>
          <cell r="C126">
            <v>20</v>
          </cell>
          <cell r="D126" t="str">
            <v>Set</v>
          </cell>
          <cell r="E126">
            <v>0.01</v>
          </cell>
          <cell r="F126">
            <v>0.2</v>
          </cell>
          <cell r="H126">
            <v>0.02</v>
          </cell>
          <cell r="I126">
            <v>0.4</v>
          </cell>
          <cell r="J126">
            <v>0.12</v>
          </cell>
          <cell r="K126">
            <v>0.12</v>
          </cell>
          <cell r="L126">
            <v>0.28000000000000003</v>
          </cell>
          <cell r="M126">
            <v>0.22</v>
          </cell>
          <cell r="N126">
            <v>0.22</v>
          </cell>
          <cell r="R126">
            <v>0.96</v>
          </cell>
          <cell r="S126">
            <v>19.2</v>
          </cell>
        </row>
        <row r="127">
          <cell r="A127" t="str">
            <v>1.1.10.16</v>
          </cell>
          <cell r="B127" t="str">
            <v>400 mm dia.</v>
          </cell>
          <cell r="C127">
            <v>20</v>
          </cell>
          <cell r="D127" t="str">
            <v>Set</v>
          </cell>
          <cell r="E127">
            <v>0.01</v>
          </cell>
          <cell r="F127">
            <v>0.2</v>
          </cell>
          <cell r="H127">
            <v>0.02</v>
          </cell>
          <cell r="I127">
            <v>0.4</v>
          </cell>
          <cell r="J127">
            <v>0.12</v>
          </cell>
          <cell r="K127">
            <v>0.12</v>
          </cell>
          <cell r="L127">
            <v>0.28000000000000003</v>
          </cell>
          <cell r="M127">
            <v>0.22</v>
          </cell>
          <cell r="N127">
            <v>0.22</v>
          </cell>
          <cell r="R127">
            <v>0.96</v>
          </cell>
          <cell r="S127">
            <v>19.2</v>
          </cell>
        </row>
        <row r="128">
          <cell r="A128" t="str">
            <v>1.1.10.17</v>
          </cell>
          <cell r="B128" t="str">
            <v>300 mm dia.</v>
          </cell>
          <cell r="C128">
            <v>20</v>
          </cell>
          <cell r="D128" t="str">
            <v>Set</v>
          </cell>
          <cell r="E128">
            <v>0.01</v>
          </cell>
          <cell r="F128">
            <v>0.2</v>
          </cell>
          <cell r="H128">
            <v>0.02</v>
          </cell>
          <cell r="I128">
            <v>0.4</v>
          </cell>
          <cell r="J128">
            <v>0.12</v>
          </cell>
          <cell r="K128">
            <v>0.12</v>
          </cell>
          <cell r="L128">
            <v>0.28000000000000003</v>
          </cell>
          <cell r="M128">
            <v>0.22</v>
          </cell>
          <cell r="N128">
            <v>0.22</v>
          </cell>
          <cell r="R128">
            <v>0.96</v>
          </cell>
          <cell r="S128">
            <v>19.2</v>
          </cell>
        </row>
        <row r="129">
          <cell r="A129" t="str">
            <v>1.1.10.18</v>
          </cell>
          <cell r="B129" t="str">
            <v>200 mm dia.</v>
          </cell>
          <cell r="C129">
            <v>20</v>
          </cell>
          <cell r="D129" t="str">
            <v>Set</v>
          </cell>
          <cell r="E129">
            <v>0.01</v>
          </cell>
          <cell r="F129">
            <v>0.2</v>
          </cell>
          <cell r="H129">
            <v>0.02</v>
          </cell>
          <cell r="I129">
            <v>0.4</v>
          </cell>
          <cell r="J129">
            <v>0.12</v>
          </cell>
          <cell r="K129">
            <v>0.12</v>
          </cell>
          <cell r="L129">
            <v>0.28000000000000003</v>
          </cell>
          <cell r="M129">
            <v>0.22</v>
          </cell>
          <cell r="N129">
            <v>0.22</v>
          </cell>
          <cell r="R129">
            <v>0.96</v>
          </cell>
          <cell r="S129">
            <v>19.2</v>
          </cell>
        </row>
        <row r="130">
          <cell r="A130" t="str">
            <v>1.1.10.19</v>
          </cell>
          <cell r="B130" t="str">
            <v>150 mm dia.</v>
          </cell>
          <cell r="C130">
            <v>10</v>
          </cell>
          <cell r="D130" t="str">
            <v>Set</v>
          </cell>
          <cell r="E130">
            <v>0.01</v>
          </cell>
          <cell r="F130">
            <v>0.1</v>
          </cell>
          <cell r="H130">
            <v>0.02</v>
          </cell>
          <cell r="I130">
            <v>0.2</v>
          </cell>
          <cell r="J130">
            <v>0.12</v>
          </cell>
          <cell r="K130">
            <v>0.12</v>
          </cell>
          <cell r="L130">
            <v>0.28000000000000003</v>
          </cell>
          <cell r="M130">
            <v>0.22</v>
          </cell>
          <cell r="N130">
            <v>0.22</v>
          </cell>
          <cell r="R130">
            <v>0.96</v>
          </cell>
          <cell r="S130">
            <v>9.6</v>
          </cell>
        </row>
        <row r="131">
          <cell r="A131" t="str">
            <v>1.1.10.20</v>
          </cell>
          <cell r="B131" t="str">
            <v>100 mm dia.</v>
          </cell>
          <cell r="C131">
            <v>10</v>
          </cell>
          <cell r="D131" t="str">
            <v>Set</v>
          </cell>
          <cell r="E131">
            <v>0.01</v>
          </cell>
          <cell r="F131">
            <v>0.1</v>
          </cell>
          <cell r="H131">
            <v>0.02</v>
          </cell>
          <cell r="I131">
            <v>0.2</v>
          </cell>
          <cell r="J131">
            <v>0.12</v>
          </cell>
          <cell r="K131">
            <v>0.12</v>
          </cell>
          <cell r="L131">
            <v>0.28000000000000003</v>
          </cell>
          <cell r="M131">
            <v>0.22</v>
          </cell>
          <cell r="N131">
            <v>0.22</v>
          </cell>
          <cell r="R131">
            <v>0.96</v>
          </cell>
          <cell r="S131">
            <v>9.6</v>
          </cell>
        </row>
        <row r="132">
          <cell r="A132" t="str">
            <v>1.1.10.21</v>
          </cell>
          <cell r="B132" t="str">
            <v>80 mm dia.</v>
          </cell>
          <cell r="C132">
            <v>10</v>
          </cell>
          <cell r="D132" t="str">
            <v>Set</v>
          </cell>
          <cell r="E132">
            <v>0.01</v>
          </cell>
          <cell r="F132">
            <v>0.1</v>
          </cell>
          <cell r="H132">
            <v>0.02</v>
          </cell>
          <cell r="I132">
            <v>0.2</v>
          </cell>
          <cell r="J132">
            <v>0.12</v>
          </cell>
          <cell r="K132">
            <v>0.12</v>
          </cell>
          <cell r="L132">
            <v>0.28000000000000003</v>
          </cell>
          <cell r="M132">
            <v>0.22</v>
          </cell>
          <cell r="N132">
            <v>0.22</v>
          </cell>
          <cell r="R132">
            <v>0.96</v>
          </cell>
          <cell r="S132">
            <v>9.6</v>
          </cell>
        </row>
        <row r="133">
          <cell r="F133">
            <v>0</v>
          </cell>
          <cell r="H133">
            <v>0</v>
          </cell>
          <cell r="I133">
            <v>0</v>
          </cell>
          <cell r="J133">
            <v>0</v>
          </cell>
          <cell r="K133">
            <v>0</v>
          </cell>
          <cell r="L133">
            <v>0</v>
          </cell>
          <cell r="M133">
            <v>0</v>
          </cell>
          <cell r="R133">
            <v>0</v>
          </cell>
          <cell r="S133">
            <v>0</v>
          </cell>
        </row>
        <row r="134">
          <cell r="B134" t="str">
            <v>Supply ductile iron pipe fittings compatible</v>
          </cell>
          <cell r="F134">
            <v>0</v>
          </cell>
          <cell r="H134">
            <v>0</v>
          </cell>
          <cell r="I134">
            <v>0</v>
          </cell>
          <cell r="J134">
            <v>0</v>
          </cell>
          <cell r="K134">
            <v>0</v>
          </cell>
          <cell r="L134">
            <v>0</v>
          </cell>
          <cell r="M134">
            <v>0</v>
          </cell>
          <cell r="R134">
            <v>0</v>
          </cell>
          <cell r="S134">
            <v>0</v>
          </cell>
        </row>
        <row r="135">
          <cell r="B135" t="str">
            <v>with K9 pipe in accordance with ISO 2531</v>
          </cell>
          <cell r="F135">
            <v>0</v>
          </cell>
          <cell r="H135">
            <v>0</v>
          </cell>
          <cell r="I135">
            <v>0</v>
          </cell>
          <cell r="J135">
            <v>0</v>
          </cell>
          <cell r="K135">
            <v>0</v>
          </cell>
          <cell r="L135">
            <v>0</v>
          </cell>
          <cell r="M135">
            <v>0</v>
          </cell>
          <cell r="R135">
            <v>0</v>
          </cell>
          <cell r="S135">
            <v>0</v>
          </cell>
        </row>
        <row r="136">
          <cell r="B136" t="str">
            <v>including polythene sleeving, gaskets, bolts and nuts</v>
          </cell>
          <cell r="F136">
            <v>0</v>
          </cell>
          <cell r="H136">
            <v>0</v>
          </cell>
          <cell r="I136">
            <v>0</v>
          </cell>
          <cell r="J136">
            <v>0</v>
          </cell>
          <cell r="K136">
            <v>0</v>
          </cell>
          <cell r="L136">
            <v>0</v>
          </cell>
          <cell r="M136">
            <v>0</v>
          </cell>
          <cell r="R136">
            <v>0</v>
          </cell>
          <cell r="S136">
            <v>0</v>
          </cell>
        </row>
        <row r="137">
          <cell r="B137" t="str">
            <v>for flanged fittings, and all other accessories</v>
          </cell>
          <cell r="F137">
            <v>0</v>
          </cell>
          <cell r="H137">
            <v>0</v>
          </cell>
          <cell r="I137">
            <v>0</v>
          </cell>
          <cell r="J137">
            <v>0</v>
          </cell>
          <cell r="K137">
            <v>0</v>
          </cell>
          <cell r="L137">
            <v>0</v>
          </cell>
          <cell r="M137">
            <v>0</v>
          </cell>
          <cell r="R137">
            <v>0</v>
          </cell>
          <cell r="S137">
            <v>0</v>
          </cell>
        </row>
        <row r="138">
          <cell r="B138" t="str">
            <v xml:space="preserve">all as specified (all fittings shall be suitable to </v>
          </cell>
          <cell r="F138">
            <v>0</v>
          </cell>
          <cell r="H138">
            <v>0</v>
          </cell>
          <cell r="I138">
            <v>0</v>
          </cell>
          <cell r="J138">
            <v>0</v>
          </cell>
          <cell r="K138">
            <v>0</v>
          </cell>
          <cell r="L138">
            <v>0</v>
          </cell>
          <cell r="M138">
            <v>0</v>
          </cell>
          <cell r="R138">
            <v>0</v>
          </cell>
          <cell r="S138">
            <v>0</v>
          </cell>
        </row>
        <row r="139">
          <cell r="B139" t="str">
            <v>accept, if required, mechanically restrained joints):</v>
          </cell>
          <cell r="F139">
            <v>0</v>
          </cell>
          <cell r="H139">
            <v>0</v>
          </cell>
          <cell r="I139">
            <v>0</v>
          </cell>
          <cell r="J139">
            <v>0</v>
          </cell>
          <cell r="K139">
            <v>0</v>
          </cell>
          <cell r="L139">
            <v>0</v>
          </cell>
          <cell r="M139">
            <v>0</v>
          </cell>
          <cell r="R139">
            <v>0</v>
          </cell>
          <cell r="S139">
            <v>0</v>
          </cell>
        </row>
        <row r="140">
          <cell r="F140">
            <v>0</v>
          </cell>
          <cell r="H140">
            <v>0</v>
          </cell>
          <cell r="I140">
            <v>0</v>
          </cell>
          <cell r="J140">
            <v>0</v>
          </cell>
          <cell r="K140">
            <v>0</v>
          </cell>
          <cell r="L140">
            <v>0</v>
          </cell>
          <cell r="M140">
            <v>0</v>
          </cell>
          <cell r="R140">
            <v>0</v>
          </cell>
          <cell r="S140">
            <v>0</v>
          </cell>
        </row>
        <row r="141">
          <cell r="B141" t="str">
            <v>Bends - Double Socket (Bituminous/zinc coating</v>
          </cell>
          <cell r="F141">
            <v>0</v>
          </cell>
          <cell r="H141">
            <v>0</v>
          </cell>
          <cell r="I141">
            <v>0</v>
          </cell>
          <cell r="J141">
            <v>0</v>
          </cell>
          <cell r="K141">
            <v>0</v>
          </cell>
          <cell r="L141">
            <v>0</v>
          </cell>
          <cell r="M141">
            <v>0</v>
          </cell>
          <cell r="R141">
            <v>0</v>
          </cell>
          <cell r="S141">
            <v>0</v>
          </cell>
        </row>
        <row r="142">
          <cell r="B142" t="str">
            <v>externally -  cement mortar internally)</v>
          </cell>
          <cell r="F142">
            <v>0</v>
          </cell>
          <cell r="H142">
            <v>0</v>
          </cell>
          <cell r="I142">
            <v>0</v>
          </cell>
          <cell r="J142">
            <v>0</v>
          </cell>
          <cell r="K142">
            <v>0</v>
          </cell>
          <cell r="L142">
            <v>0</v>
          </cell>
          <cell r="M142">
            <v>0</v>
          </cell>
          <cell r="R142">
            <v>0</v>
          </cell>
          <cell r="S142">
            <v>0</v>
          </cell>
        </row>
        <row r="143">
          <cell r="F143">
            <v>0</v>
          </cell>
          <cell r="H143">
            <v>0</v>
          </cell>
          <cell r="I143">
            <v>0</v>
          </cell>
          <cell r="J143">
            <v>0</v>
          </cell>
          <cell r="K143">
            <v>0</v>
          </cell>
          <cell r="L143">
            <v>0</v>
          </cell>
          <cell r="M143">
            <v>0</v>
          </cell>
          <cell r="R143">
            <v>0</v>
          </cell>
          <cell r="S143">
            <v>0</v>
          </cell>
        </row>
        <row r="144">
          <cell r="A144" t="str">
            <v>1.2.1.1</v>
          </cell>
          <cell r="B144" t="str">
            <v>800mm dia. x 450</v>
          </cell>
          <cell r="C144">
            <v>33</v>
          </cell>
          <cell r="D144" t="str">
            <v>No.</v>
          </cell>
          <cell r="E144">
            <v>0.41</v>
          </cell>
          <cell r="F144">
            <v>13.53</v>
          </cell>
          <cell r="H144">
            <v>1.01</v>
          </cell>
          <cell r="I144">
            <v>33.33</v>
          </cell>
          <cell r="J144">
            <v>6.06</v>
          </cell>
          <cell r="K144">
            <v>6.06</v>
          </cell>
          <cell r="L144">
            <v>13.97</v>
          </cell>
          <cell r="M144">
            <v>11.25</v>
          </cell>
          <cell r="N144">
            <v>11.11</v>
          </cell>
          <cell r="R144">
            <v>48.45</v>
          </cell>
          <cell r="S144">
            <v>1598.85</v>
          </cell>
        </row>
        <row r="145">
          <cell r="A145" t="str">
            <v>1.2.1.2</v>
          </cell>
          <cell r="B145" t="e">
            <v>#N/A</v>
          </cell>
          <cell r="C145">
            <v>18</v>
          </cell>
          <cell r="D145" t="str">
            <v>No.</v>
          </cell>
          <cell r="E145">
            <v>0.3</v>
          </cell>
          <cell r="F145">
            <v>5.4</v>
          </cell>
          <cell r="H145">
            <v>0.74</v>
          </cell>
          <cell r="I145">
            <v>13.32</v>
          </cell>
          <cell r="J145">
            <v>4.4400000000000004</v>
          </cell>
          <cell r="K145">
            <v>4.4400000000000004</v>
          </cell>
          <cell r="L145">
            <v>10.23</v>
          </cell>
          <cell r="M145">
            <v>8.24</v>
          </cell>
          <cell r="N145">
            <v>8.14</v>
          </cell>
          <cell r="R145">
            <v>35.49</v>
          </cell>
          <cell r="S145">
            <v>638.82000000000005</v>
          </cell>
        </row>
        <row r="146">
          <cell r="A146" t="str">
            <v>1.2.1.3</v>
          </cell>
          <cell r="B146" t="e">
            <v>#N/A</v>
          </cell>
          <cell r="C146">
            <v>18</v>
          </cell>
          <cell r="D146" t="str">
            <v>No.</v>
          </cell>
          <cell r="E146">
            <v>0.25</v>
          </cell>
          <cell r="F146">
            <v>4.5</v>
          </cell>
          <cell r="H146">
            <v>0.61</v>
          </cell>
          <cell r="I146">
            <v>10.98</v>
          </cell>
          <cell r="J146">
            <v>3.66</v>
          </cell>
          <cell r="K146">
            <v>3.66</v>
          </cell>
          <cell r="L146">
            <v>8.44</v>
          </cell>
          <cell r="M146">
            <v>6.8</v>
          </cell>
          <cell r="N146">
            <v>6.71</v>
          </cell>
          <cell r="R146">
            <v>29.27</v>
          </cell>
          <cell r="S146">
            <v>526.86</v>
          </cell>
        </row>
        <row r="147">
          <cell r="A147" t="str">
            <v>1.2.1.4</v>
          </cell>
          <cell r="B147" t="e">
            <v>#N/A</v>
          </cell>
          <cell r="C147">
            <v>6</v>
          </cell>
          <cell r="D147" t="str">
            <v>No.</v>
          </cell>
          <cell r="E147">
            <v>0.23</v>
          </cell>
          <cell r="F147">
            <v>1.38</v>
          </cell>
          <cell r="H147">
            <v>0.56000000000000005</v>
          </cell>
          <cell r="I147">
            <v>3.36</v>
          </cell>
          <cell r="J147">
            <v>3.36</v>
          </cell>
          <cell r="K147">
            <v>3.36</v>
          </cell>
          <cell r="L147">
            <v>7.74</v>
          </cell>
          <cell r="M147">
            <v>6.24</v>
          </cell>
          <cell r="N147">
            <v>6.16</v>
          </cell>
          <cell r="R147">
            <v>26.86</v>
          </cell>
          <cell r="S147">
            <v>161.16</v>
          </cell>
        </row>
        <row r="148">
          <cell r="A148" t="str">
            <v>1.2.1.5</v>
          </cell>
          <cell r="B148" t="str">
            <v>500mm dia. x 450</v>
          </cell>
          <cell r="C148">
            <v>10</v>
          </cell>
          <cell r="D148" t="str">
            <v>No.</v>
          </cell>
          <cell r="E148">
            <v>0.15</v>
          </cell>
          <cell r="F148">
            <v>1.5</v>
          </cell>
          <cell r="H148">
            <v>0.37</v>
          </cell>
          <cell r="I148">
            <v>3.7</v>
          </cell>
          <cell r="J148">
            <v>2.2200000000000002</v>
          </cell>
          <cell r="K148">
            <v>2.2200000000000002</v>
          </cell>
          <cell r="L148">
            <v>5.12</v>
          </cell>
          <cell r="M148">
            <v>4.12</v>
          </cell>
          <cell r="N148">
            <v>4.07</v>
          </cell>
          <cell r="R148">
            <v>17.75</v>
          </cell>
          <cell r="S148">
            <v>177.5</v>
          </cell>
        </row>
        <row r="149">
          <cell r="A149" t="str">
            <v>1.2.1.6</v>
          </cell>
          <cell r="B149" t="e">
            <v>#N/A</v>
          </cell>
          <cell r="C149">
            <v>8</v>
          </cell>
          <cell r="D149" t="str">
            <v>No.</v>
          </cell>
          <cell r="E149">
            <v>0.11</v>
          </cell>
          <cell r="F149">
            <v>0.88</v>
          </cell>
          <cell r="H149">
            <v>0.27</v>
          </cell>
          <cell r="I149">
            <v>2.16</v>
          </cell>
          <cell r="J149">
            <v>1.62</v>
          </cell>
          <cell r="K149">
            <v>1.62</v>
          </cell>
          <cell r="L149">
            <v>3.73</v>
          </cell>
          <cell r="M149">
            <v>3.01</v>
          </cell>
          <cell r="N149">
            <v>2.97</v>
          </cell>
          <cell r="R149">
            <v>12.95</v>
          </cell>
          <cell r="S149">
            <v>103.6</v>
          </cell>
        </row>
        <row r="150">
          <cell r="A150" t="str">
            <v>1.2.1.7</v>
          </cell>
          <cell r="B150" t="e">
            <v>#N/A</v>
          </cell>
          <cell r="C150">
            <v>8</v>
          </cell>
          <cell r="D150" t="str">
            <v>No.</v>
          </cell>
          <cell r="E150">
            <v>0.1</v>
          </cell>
          <cell r="F150">
            <v>0.8</v>
          </cell>
          <cell r="H150">
            <v>0.25</v>
          </cell>
          <cell r="I150">
            <v>2</v>
          </cell>
          <cell r="J150">
            <v>1.5</v>
          </cell>
          <cell r="K150">
            <v>1.5</v>
          </cell>
          <cell r="L150">
            <v>3.46</v>
          </cell>
          <cell r="M150">
            <v>2.79</v>
          </cell>
          <cell r="N150">
            <v>2.75</v>
          </cell>
          <cell r="R150">
            <v>12</v>
          </cell>
          <cell r="S150">
            <v>96</v>
          </cell>
        </row>
        <row r="151">
          <cell r="A151" t="str">
            <v>1.2.1.8</v>
          </cell>
          <cell r="B151" t="e">
            <v>#N/A</v>
          </cell>
          <cell r="C151">
            <v>19</v>
          </cell>
          <cell r="D151" t="str">
            <v>No.</v>
          </cell>
          <cell r="E151">
            <v>0.14000000000000001</v>
          </cell>
          <cell r="F151">
            <v>2.66</v>
          </cell>
          <cell r="H151">
            <v>0.34</v>
          </cell>
          <cell r="I151">
            <v>6.46</v>
          </cell>
          <cell r="J151">
            <v>2.04</v>
          </cell>
          <cell r="K151">
            <v>2.04</v>
          </cell>
          <cell r="L151">
            <v>4.7</v>
          </cell>
          <cell r="M151">
            <v>3.79</v>
          </cell>
          <cell r="N151">
            <v>3.74</v>
          </cell>
          <cell r="R151">
            <v>16.309999999999999</v>
          </cell>
          <cell r="S151">
            <v>309.89</v>
          </cell>
        </row>
        <row r="152">
          <cell r="A152" t="str">
            <v>1.2.1.9</v>
          </cell>
          <cell r="B152" t="e">
            <v>#N/A</v>
          </cell>
          <cell r="C152">
            <v>12</v>
          </cell>
          <cell r="D152" t="str">
            <v>No.</v>
          </cell>
          <cell r="E152">
            <v>0.09</v>
          </cell>
          <cell r="F152">
            <v>1.08</v>
          </cell>
          <cell r="H152">
            <v>0.22</v>
          </cell>
          <cell r="I152">
            <v>2.64</v>
          </cell>
          <cell r="J152">
            <v>1.32</v>
          </cell>
          <cell r="K152">
            <v>1.32</v>
          </cell>
          <cell r="L152">
            <v>3.04</v>
          </cell>
          <cell r="M152">
            <v>2.4500000000000002</v>
          </cell>
          <cell r="N152">
            <v>2.42</v>
          </cell>
          <cell r="R152">
            <v>10.55</v>
          </cell>
          <cell r="S152">
            <v>126.6</v>
          </cell>
        </row>
        <row r="153">
          <cell r="A153" t="str">
            <v>1.2.1.10</v>
          </cell>
          <cell r="B153" t="e">
            <v>#N/A</v>
          </cell>
          <cell r="C153">
            <v>8</v>
          </cell>
          <cell r="D153" t="str">
            <v>No.</v>
          </cell>
          <cell r="E153">
            <v>7.0000000000000007E-2</v>
          </cell>
          <cell r="F153">
            <v>0.56000000000000005</v>
          </cell>
          <cell r="H153">
            <v>0.17</v>
          </cell>
          <cell r="I153">
            <v>1.36</v>
          </cell>
          <cell r="J153">
            <v>1.02</v>
          </cell>
          <cell r="K153">
            <v>1.02</v>
          </cell>
          <cell r="L153">
            <v>2.35</v>
          </cell>
          <cell r="M153">
            <v>1.89</v>
          </cell>
          <cell r="N153">
            <v>1.87</v>
          </cell>
          <cell r="R153">
            <v>8.15</v>
          </cell>
          <cell r="S153">
            <v>65.2</v>
          </cell>
        </row>
        <row r="154">
          <cell r="A154" t="str">
            <v>1.2.1.11</v>
          </cell>
          <cell r="B154" t="e">
            <v>#N/A</v>
          </cell>
          <cell r="C154">
            <v>8</v>
          </cell>
          <cell r="D154" t="str">
            <v>No.</v>
          </cell>
          <cell r="E154">
            <v>0.06</v>
          </cell>
          <cell r="F154">
            <v>0.48</v>
          </cell>
          <cell r="H154">
            <v>0.15</v>
          </cell>
          <cell r="I154">
            <v>1.2</v>
          </cell>
          <cell r="J154">
            <v>0.9</v>
          </cell>
          <cell r="K154">
            <v>0.9</v>
          </cell>
          <cell r="L154">
            <v>2.0699999999999998</v>
          </cell>
          <cell r="M154">
            <v>1.67</v>
          </cell>
          <cell r="N154">
            <v>1.65</v>
          </cell>
          <cell r="R154">
            <v>7.19</v>
          </cell>
          <cell r="S154">
            <v>57.52</v>
          </cell>
        </row>
        <row r="155">
          <cell r="A155" t="str">
            <v>1.2.1.12</v>
          </cell>
          <cell r="B155" t="e">
            <v>#N/A</v>
          </cell>
          <cell r="C155">
            <v>6</v>
          </cell>
          <cell r="D155" t="str">
            <v>No.</v>
          </cell>
          <cell r="E155">
            <v>7.0000000000000007E-2</v>
          </cell>
          <cell r="F155">
            <v>0.42</v>
          </cell>
          <cell r="H155">
            <v>0.17</v>
          </cell>
          <cell r="I155">
            <v>1.02</v>
          </cell>
          <cell r="J155">
            <v>1.02</v>
          </cell>
          <cell r="K155">
            <v>1.02</v>
          </cell>
          <cell r="L155">
            <v>2.35</v>
          </cell>
          <cell r="M155">
            <v>1.89</v>
          </cell>
          <cell r="N155">
            <v>1.87</v>
          </cell>
          <cell r="R155">
            <v>8.15</v>
          </cell>
          <cell r="S155">
            <v>48.9</v>
          </cell>
        </row>
        <row r="156">
          <cell r="A156" t="str">
            <v>1.2.1.13</v>
          </cell>
          <cell r="B156" t="e">
            <v>#N/A</v>
          </cell>
          <cell r="C156">
            <v>6</v>
          </cell>
          <cell r="D156" t="str">
            <v>No.</v>
          </cell>
          <cell r="E156">
            <v>0.06</v>
          </cell>
          <cell r="F156">
            <v>0.36</v>
          </cell>
          <cell r="H156">
            <v>0.15</v>
          </cell>
          <cell r="I156">
            <v>0.9</v>
          </cell>
          <cell r="J156">
            <v>0.9</v>
          </cell>
          <cell r="K156">
            <v>0.9</v>
          </cell>
          <cell r="L156">
            <v>2.0699999999999998</v>
          </cell>
          <cell r="M156">
            <v>1.67</v>
          </cell>
          <cell r="N156">
            <v>1.65</v>
          </cell>
          <cell r="R156">
            <v>7.19</v>
          </cell>
          <cell r="S156">
            <v>43.14</v>
          </cell>
        </row>
        <row r="157">
          <cell r="A157" t="str">
            <v>1.2.1.14</v>
          </cell>
          <cell r="B157" t="e">
            <v>#N/A</v>
          </cell>
          <cell r="C157">
            <v>6</v>
          </cell>
          <cell r="D157" t="str">
            <v>No.</v>
          </cell>
          <cell r="E157">
            <v>0.04</v>
          </cell>
          <cell r="F157">
            <v>0.24</v>
          </cell>
          <cell r="H157">
            <v>0.1</v>
          </cell>
          <cell r="I157">
            <v>0.6</v>
          </cell>
          <cell r="J157">
            <v>0.6</v>
          </cell>
          <cell r="K157">
            <v>0.6</v>
          </cell>
          <cell r="L157">
            <v>1.38</v>
          </cell>
          <cell r="M157">
            <v>1.1100000000000001</v>
          </cell>
          <cell r="N157">
            <v>1.1000000000000001</v>
          </cell>
          <cell r="R157">
            <v>4.79</v>
          </cell>
          <cell r="S157">
            <v>28.74</v>
          </cell>
        </row>
        <row r="158">
          <cell r="A158" t="str">
            <v>1.2.1.15</v>
          </cell>
          <cell r="B158" t="e">
            <v>#N/A</v>
          </cell>
          <cell r="C158">
            <v>6</v>
          </cell>
          <cell r="D158" t="str">
            <v>No.</v>
          </cell>
          <cell r="E158">
            <v>0.04</v>
          </cell>
          <cell r="F158">
            <v>0.24</v>
          </cell>
          <cell r="H158">
            <v>0.1</v>
          </cell>
          <cell r="I158">
            <v>0.6</v>
          </cell>
          <cell r="J158">
            <v>0.6</v>
          </cell>
          <cell r="K158">
            <v>0.6</v>
          </cell>
          <cell r="L158">
            <v>1.38</v>
          </cell>
          <cell r="M158">
            <v>1.1100000000000001</v>
          </cell>
          <cell r="N158">
            <v>1.1000000000000001</v>
          </cell>
          <cell r="R158">
            <v>4.79</v>
          </cell>
          <cell r="S158">
            <v>28.74</v>
          </cell>
        </row>
        <row r="159">
          <cell r="A159" t="str">
            <v>1.2.1.16</v>
          </cell>
          <cell r="B159" t="e">
            <v>#N/A</v>
          </cell>
          <cell r="C159">
            <v>8</v>
          </cell>
          <cell r="D159" t="str">
            <v>No.</v>
          </cell>
          <cell r="E159">
            <v>0.03</v>
          </cell>
          <cell r="F159">
            <v>0.24</v>
          </cell>
          <cell r="H159">
            <v>7.0000000000000007E-2</v>
          </cell>
          <cell r="I159">
            <v>0.56000000000000005</v>
          </cell>
          <cell r="J159">
            <v>0.42</v>
          </cell>
          <cell r="K159">
            <v>0.42</v>
          </cell>
          <cell r="L159">
            <v>0.97</v>
          </cell>
          <cell r="M159">
            <v>0.78</v>
          </cell>
          <cell r="N159">
            <v>0.77</v>
          </cell>
          <cell r="R159">
            <v>3.36</v>
          </cell>
          <cell r="S159">
            <v>26.88</v>
          </cell>
        </row>
        <row r="160">
          <cell r="A160" t="str">
            <v>1.2.1.17</v>
          </cell>
          <cell r="B160" t="e">
            <v>#N/A</v>
          </cell>
          <cell r="C160">
            <v>8</v>
          </cell>
          <cell r="D160" t="str">
            <v>No.</v>
          </cell>
          <cell r="E160">
            <v>0.02</v>
          </cell>
          <cell r="F160">
            <v>0.16</v>
          </cell>
          <cell r="H160">
            <v>0.05</v>
          </cell>
          <cell r="I160">
            <v>0.4</v>
          </cell>
          <cell r="J160">
            <v>0.3</v>
          </cell>
          <cell r="K160">
            <v>0.3</v>
          </cell>
          <cell r="L160">
            <v>0.69</v>
          </cell>
          <cell r="M160">
            <v>0.56000000000000005</v>
          </cell>
          <cell r="N160">
            <v>0.55000000000000004</v>
          </cell>
          <cell r="R160">
            <v>2.4</v>
          </cell>
          <cell r="S160">
            <v>19.2</v>
          </cell>
        </row>
        <row r="161">
          <cell r="A161" t="str">
            <v>1.2.1.18</v>
          </cell>
          <cell r="B161" t="e">
            <v>#N/A</v>
          </cell>
          <cell r="C161">
            <v>8</v>
          </cell>
          <cell r="D161" t="str">
            <v>No.</v>
          </cell>
          <cell r="E161">
            <v>0.02</v>
          </cell>
          <cell r="F161">
            <v>0.16</v>
          </cell>
          <cell r="H161">
            <v>0.05</v>
          </cell>
          <cell r="I161">
            <v>0.4</v>
          </cell>
          <cell r="J161">
            <v>0.3</v>
          </cell>
          <cell r="K161">
            <v>0.3</v>
          </cell>
          <cell r="L161">
            <v>0.69</v>
          </cell>
          <cell r="M161">
            <v>0.56000000000000005</v>
          </cell>
          <cell r="N161">
            <v>0.55000000000000004</v>
          </cell>
          <cell r="R161">
            <v>2.4</v>
          </cell>
          <cell r="S161">
            <v>19.2</v>
          </cell>
        </row>
        <row r="162">
          <cell r="A162" t="str">
            <v>1.2.1.19</v>
          </cell>
          <cell r="B162" t="e">
            <v>#N/A</v>
          </cell>
          <cell r="C162">
            <v>8</v>
          </cell>
          <cell r="D162" t="str">
            <v>No.</v>
          </cell>
          <cell r="E162">
            <v>0.02</v>
          </cell>
          <cell r="F162">
            <v>0.16</v>
          </cell>
          <cell r="H162">
            <v>0.05</v>
          </cell>
          <cell r="I162">
            <v>0.4</v>
          </cell>
          <cell r="J162">
            <v>0.3</v>
          </cell>
          <cell r="K162">
            <v>0.3</v>
          </cell>
          <cell r="L162">
            <v>0.69</v>
          </cell>
          <cell r="M162">
            <v>0.56000000000000005</v>
          </cell>
          <cell r="N162">
            <v>0.55000000000000004</v>
          </cell>
          <cell r="R162">
            <v>2.4</v>
          </cell>
          <cell r="S162">
            <v>19.2</v>
          </cell>
        </row>
        <row r="163">
          <cell r="A163" t="str">
            <v>1.2.1.20</v>
          </cell>
          <cell r="B163" t="e">
            <v>#N/A</v>
          </cell>
          <cell r="C163">
            <v>7</v>
          </cell>
          <cell r="D163" t="str">
            <v>No.</v>
          </cell>
          <cell r="E163">
            <v>0.02</v>
          </cell>
          <cell r="F163">
            <v>0.14000000000000001</v>
          </cell>
          <cell r="H163">
            <v>0.05</v>
          </cell>
          <cell r="I163">
            <v>0.35</v>
          </cell>
          <cell r="J163">
            <v>0.3</v>
          </cell>
          <cell r="K163">
            <v>0.3</v>
          </cell>
          <cell r="L163">
            <v>0.69</v>
          </cell>
          <cell r="M163">
            <v>0.56000000000000005</v>
          </cell>
          <cell r="N163">
            <v>0.55000000000000004</v>
          </cell>
          <cell r="R163">
            <v>2.4</v>
          </cell>
          <cell r="S163">
            <v>16.8</v>
          </cell>
        </row>
        <row r="164">
          <cell r="A164" t="str">
            <v>1.2.1.21</v>
          </cell>
          <cell r="B164" t="e">
            <v>#N/A</v>
          </cell>
          <cell r="C164">
            <v>7</v>
          </cell>
          <cell r="D164" t="str">
            <v>No.</v>
          </cell>
          <cell r="E164">
            <v>0.02</v>
          </cell>
          <cell r="F164">
            <v>0.14000000000000001</v>
          </cell>
          <cell r="H164">
            <v>0.05</v>
          </cell>
          <cell r="I164">
            <v>0.35</v>
          </cell>
          <cell r="J164">
            <v>0.3</v>
          </cell>
          <cell r="K164">
            <v>0.3</v>
          </cell>
          <cell r="L164">
            <v>0.69</v>
          </cell>
          <cell r="M164">
            <v>0.56000000000000005</v>
          </cell>
          <cell r="N164">
            <v>0.55000000000000004</v>
          </cell>
          <cell r="R164">
            <v>2.4</v>
          </cell>
          <cell r="S164">
            <v>16.8</v>
          </cell>
        </row>
        <row r="165">
          <cell r="A165" t="str">
            <v>1.2.1.22</v>
          </cell>
          <cell r="B165" t="e">
            <v>#N/A</v>
          </cell>
          <cell r="C165">
            <v>7</v>
          </cell>
          <cell r="D165" t="str">
            <v>No.</v>
          </cell>
          <cell r="E165">
            <v>0.01</v>
          </cell>
          <cell r="F165">
            <v>7.0000000000000007E-2</v>
          </cell>
          <cell r="H165">
            <v>0.02</v>
          </cell>
          <cell r="I165">
            <v>0.14000000000000001</v>
          </cell>
          <cell r="J165">
            <v>0.12</v>
          </cell>
          <cell r="K165">
            <v>0.12</v>
          </cell>
          <cell r="L165">
            <v>0.28000000000000003</v>
          </cell>
          <cell r="M165">
            <v>0.22</v>
          </cell>
          <cell r="N165">
            <v>0.22</v>
          </cell>
          <cell r="R165">
            <v>0.96</v>
          </cell>
          <cell r="S165">
            <v>6.72</v>
          </cell>
        </row>
        <row r="166">
          <cell r="A166" t="str">
            <v>1.2.1.23</v>
          </cell>
          <cell r="B166" t="e">
            <v>#N/A</v>
          </cell>
          <cell r="C166">
            <v>7</v>
          </cell>
          <cell r="D166" t="str">
            <v>No.</v>
          </cell>
          <cell r="E166">
            <v>0.01</v>
          </cell>
          <cell r="F166">
            <v>7.0000000000000007E-2</v>
          </cell>
          <cell r="H166">
            <v>0.02</v>
          </cell>
          <cell r="I166">
            <v>0.14000000000000001</v>
          </cell>
          <cell r="J166">
            <v>0.12</v>
          </cell>
          <cell r="K166">
            <v>0.12</v>
          </cell>
          <cell r="L166">
            <v>0.28000000000000003</v>
          </cell>
          <cell r="M166">
            <v>0.22</v>
          </cell>
          <cell r="N166">
            <v>0.22</v>
          </cell>
          <cell r="R166">
            <v>0.96</v>
          </cell>
          <cell r="S166">
            <v>6.72</v>
          </cell>
        </row>
        <row r="167">
          <cell r="A167" t="str">
            <v>1.2.1.24</v>
          </cell>
          <cell r="B167" t="e">
            <v>#N/A</v>
          </cell>
          <cell r="C167">
            <v>6</v>
          </cell>
          <cell r="D167" t="str">
            <v>No.</v>
          </cell>
          <cell r="E167">
            <v>0.01</v>
          </cell>
          <cell r="F167">
            <v>0.06</v>
          </cell>
          <cell r="H167">
            <v>0.02</v>
          </cell>
          <cell r="I167">
            <v>0.12</v>
          </cell>
          <cell r="J167">
            <v>0.12</v>
          </cell>
          <cell r="K167">
            <v>0.12</v>
          </cell>
          <cell r="L167">
            <v>0.28000000000000003</v>
          </cell>
          <cell r="M167">
            <v>0.22</v>
          </cell>
          <cell r="N167">
            <v>0.22</v>
          </cell>
          <cell r="R167">
            <v>0.96</v>
          </cell>
          <cell r="S167">
            <v>5.76</v>
          </cell>
        </row>
        <row r="168">
          <cell r="A168" t="str">
            <v>1.2.1.25</v>
          </cell>
          <cell r="B168" t="e">
            <v>#N/A</v>
          </cell>
          <cell r="C168">
            <v>6</v>
          </cell>
          <cell r="D168" t="str">
            <v>No.</v>
          </cell>
          <cell r="E168">
            <v>0.01</v>
          </cell>
          <cell r="F168">
            <v>0.06</v>
          </cell>
          <cell r="H168">
            <v>0.02</v>
          </cell>
          <cell r="I168">
            <v>0.12</v>
          </cell>
          <cell r="J168">
            <v>0.12</v>
          </cell>
          <cell r="K168">
            <v>0.12</v>
          </cell>
          <cell r="L168">
            <v>0.28000000000000003</v>
          </cell>
          <cell r="M168">
            <v>0.22</v>
          </cell>
          <cell r="N168">
            <v>0.22</v>
          </cell>
          <cell r="R168">
            <v>0.96</v>
          </cell>
          <cell r="S168">
            <v>5.76</v>
          </cell>
        </row>
        <row r="169">
          <cell r="A169" t="str">
            <v>1.2.1.26</v>
          </cell>
          <cell r="B169" t="e">
            <v>#N/A</v>
          </cell>
          <cell r="C169">
            <v>8</v>
          </cell>
          <cell r="D169" t="str">
            <v>No.</v>
          </cell>
          <cell r="E169">
            <v>0.01</v>
          </cell>
          <cell r="F169">
            <v>0.08</v>
          </cell>
          <cell r="H169">
            <v>0.02</v>
          </cell>
          <cell r="I169">
            <v>0.16</v>
          </cell>
          <cell r="J169">
            <v>0.12</v>
          </cell>
          <cell r="K169">
            <v>0.12</v>
          </cell>
          <cell r="L169">
            <v>0.28000000000000003</v>
          </cell>
          <cell r="M169">
            <v>0.22</v>
          </cell>
          <cell r="N169">
            <v>0.22</v>
          </cell>
          <cell r="R169">
            <v>0.96</v>
          </cell>
          <cell r="S169">
            <v>7.68</v>
          </cell>
        </row>
        <row r="170">
          <cell r="A170" t="str">
            <v>1.2.1.27</v>
          </cell>
          <cell r="B170" t="e">
            <v>#N/A</v>
          </cell>
          <cell r="C170">
            <v>6</v>
          </cell>
          <cell r="D170" t="str">
            <v>No.</v>
          </cell>
          <cell r="E170">
            <v>0.01</v>
          </cell>
          <cell r="F170">
            <v>0.06</v>
          </cell>
          <cell r="H170">
            <v>0.02</v>
          </cell>
          <cell r="I170">
            <v>0.12</v>
          </cell>
          <cell r="J170">
            <v>0.12</v>
          </cell>
          <cell r="K170">
            <v>0.12</v>
          </cell>
          <cell r="L170">
            <v>0.28000000000000003</v>
          </cell>
          <cell r="M170">
            <v>0.22</v>
          </cell>
          <cell r="N170">
            <v>0.22</v>
          </cell>
          <cell r="R170">
            <v>0.96</v>
          </cell>
          <cell r="S170">
            <v>5.76</v>
          </cell>
        </row>
        <row r="171">
          <cell r="F171">
            <v>0</v>
          </cell>
          <cell r="H171">
            <v>0</v>
          </cell>
          <cell r="I171">
            <v>0</v>
          </cell>
          <cell r="J171">
            <v>0</v>
          </cell>
          <cell r="K171">
            <v>0</v>
          </cell>
          <cell r="L171">
            <v>0</v>
          </cell>
          <cell r="M171">
            <v>0</v>
          </cell>
          <cell r="N171">
            <v>0</v>
          </cell>
          <cell r="R171">
            <v>0</v>
          </cell>
          <cell r="S171">
            <v>0</v>
          </cell>
        </row>
        <row r="172">
          <cell r="B172" t="str">
            <v>Bends Double Socket (with Polyurethane Coating</v>
          </cell>
          <cell r="F172">
            <v>0</v>
          </cell>
          <cell r="H172">
            <v>0</v>
          </cell>
          <cell r="I172">
            <v>0</v>
          </cell>
          <cell r="J172">
            <v>0</v>
          </cell>
          <cell r="K172">
            <v>0</v>
          </cell>
          <cell r="L172">
            <v>0</v>
          </cell>
          <cell r="M172">
            <v>0</v>
          </cell>
          <cell r="N172">
            <v>0</v>
          </cell>
          <cell r="R172">
            <v>0</v>
          </cell>
          <cell r="S172">
            <v>0</v>
          </cell>
        </row>
        <row r="173">
          <cell r="B173" t="str">
            <v>externally - Cement mortar internally)</v>
          </cell>
          <cell r="F173">
            <v>0</v>
          </cell>
          <cell r="H173">
            <v>0</v>
          </cell>
          <cell r="I173">
            <v>0</v>
          </cell>
          <cell r="J173">
            <v>0</v>
          </cell>
          <cell r="K173">
            <v>0</v>
          </cell>
          <cell r="L173">
            <v>0</v>
          </cell>
          <cell r="M173">
            <v>0</v>
          </cell>
          <cell r="N173">
            <v>0</v>
          </cell>
          <cell r="R173">
            <v>0</v>
          </cell>
          <cell r="S173">
            <v>0</v>
          </cell>
        </row>
        <row r="174">
          <cell r="F174">
            <v>0</v>
          </cell>
          <cell r="H174">
            <v>0</v>
          </cell>
          <cell r="I174">
            <v>0</v>
          </cell>
          <cell r="J174">
            <v>0</v>
          </cell>
          <cell r="K174">
            <v>0</v>
          </cell>
          <cell r="L174">
            <v>0</v>
          </cell>
          <cell r="M174">
            <v>0</v>
          </cell>
          <cell r="N174">
            <v>0</v>
          </cell>
          <cell r="R174">
            <v>0</v>
          </cell>
          <cell r="S174">
            <v>0</v>
          </cell>
        </row>
        <row r="175">
          <cell r="A175" t="str">
            <v>1.2.2.1</v>
          </cell>
          <cell r="B175" t="str">
            <v>800mm dia. x 450</v>
          </cell>
          <cell r="C175">
            <v>10</v>
          </cell>
          <cell r="D175" t="str">
            <v>No.</v>
          </cell>
          <cell r="E175">
            <v>0.41</v>
          </cell>
          <cell r="F175">
            <v>4.0999999999999996</v>
          </cell>
          <cell r="H175">
            <v>1.01</v>
          </cell>
          <cell r="I175">
            <v>10.1</v>
          </cell>
          <cell r="J175">
            <v>6.06</v>
          </cell>
          <cell r="K175">
            <v>6.06</v>
          </cell>
          <cell r="L175">
            <v>13.97</v>
          </cell>
          <cell r="M175">
            <v>11.25</v>
          </cell>
          <cell r="N175">
            <v>11.11</v>
          </cell>
          <cell r="R175">
            <v>48.45</v>
          </cell>
          <cell r="S175">
            <v>484.5</v>
          </cell>
        </row>
        <row r="176">
          <cell r="A176" t="str">
            <v>1.2.2.2</v>
          </cell>
          <cell r="B176" t="e">
            <v>#N/A</v>
          </cell>
          <cell r="C176">
            <v>10</v>
          </cell>
          <cell r="D176" t="str">
            <v>No.</v>
          </cell>
          <cell r="E176">
            <v>0.3</v>
          </cell>
          <cell r="F176">
            <v>3</v>
          </cell>
          <cell r="H176">
            <v>0.74</v>
          </cell>
          <cell r="I176">
            <v>7.4</v>
          </cell>
          <cell r="J176">
            <v>4.4400000000000004</v>
          </cell>
          <cell r="K176">
            <v>4.4400000000000004</v>
          </cell>
          <cell r="L176">
            <v>10.23</v>
          </cell>
          <cell r="M176">
            <v>8.24</v>
          </cell>
          <cell r="N176">
            <v>8.14</v>
          </cell>
          <cell r="R176">
            <v>35.49</v>
          </cell>
          <cell r="S176">
            <v>354.9</v>
          </cell>
        </row>
        <row r="177">
          <cell r="A177" t="str">
            <v>1.2.2.3</v>
          </cell>
          <cell r="B177" t="e">
            <v>#N/A</v>
          </cell>
          <cell r="C177">
            <v>10</v>
          </cell>
          <cell r="D177" t="str">
            <v>No.</v>
          </cell>
          <cell r="E177">
            <v>0.25</v>
          </cell>
          <cell r="F177">
            <v>2.5</v>
          </cell>
          <cell r="H177">
            <v>0.61</v>
          </cell>
          <cell r="I177">
            <v>6.1</v>
          </cell>
          <cell r="J177">
            <v>3.66</v>
          </cell>
          <cell r="K177">
            <v>3.66</v>
          </cell>
          <cell r="L177">
            <v>8.44</v>
          </cell>
          <cell r="M177">
            <v>6.8</v>
          </cell>
          <cell r="N177">
            <v>6.71</v>
          </cell>
          <cell r="R177">
            <v>29.27</v>
          </cell>
          <cell r="S177">
            <v>292.7</v>
          </cell>
        </row>
        <row r="178">
          <cell r="F178">
            <v>0</v>
          </cell>
          <cell r="H178">
            <v>0</v>
          </cell>
          <cell r="I178">
            <v>0</v>
          </cell>
          <cell r="J178">
            <v>0</v>
          </cell>
          <cell r="K178">
            <v>0</v>
          </cell>
          <cell r="L178">
            <v>0</v>
          </cell>
          <cell r="M178">
            <v>0</v>
          </cell>
          <cell r="N178">
            <v>0</v>
          </cell>
          <cell r="R178">
            <v>0</v>
          </cell>
          <cell r="S178">
            <v>0</v>
          </cell>
        </row>
        <row r="179">
          <cell r="B179" t="str">
            <v>Bends - Double Flanged (Bituminous/zinc coating</v>
          </cell>
          <cell r="F179">
            <v>0</v>
          </cell>
          <cell r="H179">
            <v>0</v>
          </cell>
          <cell r="I179">
            <v>0</v>
          </cell>
          <cell r="J179">
            <v>0</v>
          </cell>
          <cell r="K179">
            <v>0</v>
          </cell>
          <cell r="L179">
            <v>0</v>
          </cell>
          <cell r="M179">
            <v>0</v>
          </cell>
          <cell r="N179">
            <v>0</v>
          </cell>
          <cell r="R179">
            <v>0</v>
          </cell>
          <cell r="S179">
            <v>0</v>
          </cell>
        </row>
        <row r="180">
          <cell r="B180" t="str">
            <v>externally - cement mortar internally)</v>
          </cell>
          <cell r="F180">
            <v>0</v>
          </cell>
          <cell r="H180">
            <v>0</v>
          </cell>
          <cell r="I180">
            <v>0</v>
          </cell>
          <cell r="J180">
            <v>0</v>
          </cell>
          <cell r="K180">
            <v>0</v>
          </cell>
          <cell r="L180">
            <v>0</v>
          </cell>
          <cell r="M180">
            <v>0</v>
          </cell>
          <cell r="N180">
            <v>0</v>
          </cell>
          <cell r="R180">
            <v>0</v>
          </cell>
          <cell r="S180">
            <v>0</v>
          </cell>
        </row>
        <row r="181">
          <cell r="F181">
            <v>0</v>
          </cell>
          <cell r="H181">
            <v>0</v>
          </cell>
          <cell r="I181">
            <v>0</v>
          </cell>
          <cell r="J181">
            <v>0</v>
          </cell>
          <cell r="K181">
            <v>0</v>
          </cell>
          <cell r="L181">
            <v>0</v>
          </cell>
          <cell r="M181">
            <v>0</v>
          </cell>
          <cell r="N181">
            <v>0</v>
          </cell>
          <cell r="R181">
            <v>0</v>
          </cell>
          <cell r="S181">
            <v>0</v>
          </cell>
        </row>
        <row r="182">
          <cell r="A182" t="str">
            <v>1.2.3.1</v>
          </cell>
          <cell r="B182" t="str">
            <v>800mm dia. x 900</v>
          </cell>
          <cell r="C182">
            <v>6</v>
          </cell>
          <cell r="D182" t="str">
            <v>No.</v>
          </cell>
          <cell r="E182">
            <v>0.78</v>
          </cell>
          <cell r="F182">
            <v>4.68</v>
          </cell>
          <cell r="H182">
            <v>1.92</v>
          </cell>
          <cell r="I182">
            <v>11.52</v>
          </cell>
          <cell r="J182">
            <v>11.52</v>
          </cell>
          <cell r="K182">
            <v>11.52</v>
          </cell>
          <cell r="L182">
            <v>26.55</v>
          </cell>
          <cell r="M182">
            <v>21.39</v>
          </cell>
          <cell r="N182">
            <v>21.12</v>
          </cell>
          <cell r="R182">
            <v>92.1</v>
          </cell>
          <cell r="S182">
            <v>552.6</v>
          </cell>
        </row>
        <row r="183">
          <cell r="A183" t="str">
            <v>1.2.3.2</v>
          </cell>
          <cell r="B183" t="str">
            <v>800mm dia. x 450</v>
          </cell>
          <cell r="C183">
            <v>6</v>
          </cell>
          <cell r="D183" t="str">
            <v>No</v>
          </cell>
          <cell r="E183">
            <v>0.45</v>
          </cell>
          <cell r="F183">
            <v>2.7</v>
          </cell>
          <cell r="H183">
            <v>1.1100000000000001</v>
          </cell>
          <cell r="I183">
            <v>6.66</v>
          </cell>
          <cell r="J183">
            <v>6.66</v>
          </cell>
          <cell r="K183">
            <v>6.66</v>
          </cell>
          <cell r="L183">
            <v>15.35</v>
          </cell>
          <cell r="M183">
            <v>12.37</v>
          </cell>
          <cell r="N183">
            <v>12.21</v>
          </cell>
          <cell r="R183">
            <v>53.25</v>
          </cell>
          <cell r="S183">
            <v>319.5</v>
          </cell>
        </row>
        <row r="184">
          <cell r="A184" t="str">
            <v>1.2.3.3</v>
          </cell>
          <cell r="B184" t="e">
            <v>#N/A</v>
          </cell>
          <cell r="C184">
            <v>6</v>
          </cell>
          <cell r="D184" t="str">
            <v>No.</v>
          </cell>
          <cell r="E184">
            <v>0.34</v>
          </cell>
          <cell r="F184">
            <v>2.04</v>
          </cell>
          <cell r="H184">
            <v>0.84</v>
          </cell>
          <cell r="I184">
            <v>5.04</v>
          </cell>
          <cell r="J184">
            <v>5.04</v>
          </cell>
          <cell r="K184">
            <v>5.04</v>
          </cell>
          <cell r="L184">
            <v>11.62</v>
          </cell>
          <cell r="M184">
            <v>9.36</v>
          </cell>
          <cell r="N184">
            <v>9.24</v>
          </cell>
          <cell r="R184">
            <v>40.299999999999997</v>
          </cell>
          <cell r="S184">
            <v>241.8</v>
          </cell>
        </row>
        <row r="185">
          <cell r="A185" t="str">
            <v>1.2.3.4</v>
          </cell>
          <cell r="B185" t="e">
            <v>#N/A</v>
          </cell>
          <cell r="C185">
            <v>6</v>
          </cell>
          <cell r="D185" t="str">
            <v>No.</v>
          </cell>
          <cell r="E185">
            <v>0.28999999999999998</v>
          </cell>
          <cell r="F185">
            <v>1.74</v>
          </cell>
          <cell r="H185">
            <v>0.71</v>
          </cell>
          <cell r="I185">
            <v>4.26</v>
          </cell>
          <cell r="J185">
            <v>4.26</v>
          </cell>
          <cell r="K185">
            <v>4.26</v>
          </cell>
          <cell r="L185">
            <v>9.82</v>
          </cell>
          <cell r="M185">
            <v>7.91</v>
          </cell>
          <cell r="N185">
            <v>7.81</v>
          </cell>
          <cell r="R185">
            <v>34.06</v>
          </cell>
          <cell r="S185">
            <v>204.36</v>
          </cell>
        </row>
        <row r="186">
          <cell r="A186" t="str">
            <v>1.2.3.5</v>
          </cell>
          <cell r="B186" t="e">
            <v>#N/A</v>
          </cell>
          <cell r="C186">
            <v>2</v>
          </cell>
          <cell r="D186" t="str">
            <v>No.</v>
          </cell>
          <cell r="E186">
            <v>0.28999999999999998</v>
          </cell>
          <cell r="F186">
            <v>0.57999999999999996</v>
          </cell>
          <cell r="H186">
            <v>0.71</v>
          </cell>
          <cell r="I186">
            <v>1.42</v>
          </cell>
          <cell r="J186">
            <v>4.26</v>
          </cell>
          <cell r="K186">
            <v>4.26</v>
          </cell>
          <cell r="L186">
            <v>9.82</v>
          </cell>
          <cell r="M186">
            <v>7.91</v>
          </cell>
          <cell r="N186">
            <v>7.81</v>
          </cell>
          <cell r="R186">
            <v>34.06</v>
          </cell>
          <cell r="S186">
            <v>68.12</v>
          </cell>
        </row>
        <row r="187">
          <cell r="A187" t="str">
            <v>1.2.3.6</v>
          </cell>
          <cell r="B187" t="str">
            <v>500mm dia. x 450</v>
          </cell>
          <cell r="C187">
            <v>2</v>
          </cell>
          <cell r="D187" t="str">
            <v>No.</v>
          </cell>
          <cell r="E187">
            <v>0.22</v>
          </cell>
          <cell r="F187">
            <v>0.44</v>
          </cell>
          <cell r="H187">
            <v>0.54</v>
          </cell>
          <cell r="I187">
            <v>1.08</v>
          </cell>
          <cell r="J187">
            <v>3.24</v>
          </cell>
          <cell r="K187">
            <v>3.24</v>
          </cell>
          <cell r="L187">
            <v>7.47</v>
          </cell>
          <cell r="M187">
            <v>6.02</v>
          </cell>
          <cell r="N187">
            <v>5.94</v>
          </cell>
          <cell r="R187">
            <v>25.91</v>
          </cell>
          <cell r="S187">
            <v>51.82</v>
          </cell>
        </row>
        <row r="188">
          <cell r="A188" t="str">
            <v>1.2.3.7</v>
          </cell>
          <cell r="B188" t="e">
            <v>#N/A</v>
          </cell>
          <cell r="C188">
            <v>2</v>
          </cell>
          <cell r="D188" t="str">
            <v>No.</v>
          </cell>
          <cell r="E188">
            <v>0.19</v>
          </cell>
          <cell r="F188">
            <v>0.38</v>
          </cell>
          <cell r="H188">
            <v>0.47</v>
          </cell>
          <cell r="I188">
            <v>0.94</v>
          </cell>
          <cell r="J188">
            <v>2.82</v>
          </cell>
          <cell r="K188">
            <v>2.82</v>
          </cell>
          <cell r="L188">
            <v>6.5</v>
          </cell>
          <cell r="M188">
            <v>5.24</v>
          </cell>
          <cell r="N188">
            <v>5.17</v>
          </cell>
          <cell r="R188">
            <v>22.55</v>
          </cell>
          <cell r="S188">
            <v>45.1</v>
          </cell>
        </row>
        <row r="189">
          <cell r="A189" t="str">
            <v>1.2.3.8</v>
          </cell>
          <cell r="B189" t="e">
            <v>#N/A</v>
          </cell>
          <cell r="C189">
            <v>2</v>
          </cell>
          <cell r="D189" t="str">
            <v>No.</v>
          </cell>
          <cell r="E189">
            <v>0.17</v>
          </cell>
          <cell r="F189">
            <v>0.34</v>
          </cell>
          <cell r="H189">
            <v>0.42</v>
          </cell>
          <cell r="I189">
            <v>0.84</v>
          </cell>
          <cell r="J189">
            <v>2.52</v>
          </cell>
          <cell r="K189">
            <v>2.52</v>
          </cell>
          <cell r="L189">
            <v>5.81</v>
          </cell>
          <cell r="M189">
            <v>4.68</v>
          </cell>
          <cell r="N189">
            <v>4.62</v>
          </cell>
          <cell r="R189">
            <v>20.149999999999999</v>
          </cell>
          <cell r="S189">
            <v>40.299999999999997</v>
          </cell>
        </row>
        <row r="190">
          <cell r="A190" t="str">
            <v>1.2.3.9</v>
          </cell>
          <cell r="B190" t="e">
            <v>#N/A</v>
          </cell>
          <cell r="C190">
            <v>4</v>
          </cell>
          <cell r="D190" t="str">
            <v>No</v>
          </cell>
          <cell r="E190">
            <v>0.17</v>
          </cell>
          <cell r="F190">
            <v>0.68</v>
          </cell>
          <cell r="H190">
            <v>0.42</v>
          </cell>
          <cell r="I190">
            <v>1.68</v>
          </cell>
          <cell r="J190">
            <v>2.52</v>
          </cell>
          <cell r="K190">
            <v>2.52</v>
          </cell>
          <cell r="L190">
            <v>5.81</v>
          </cell>
          <cell r="M190">
            <v>4.68</v>
          </cell>
          <cell r="N190">
            <v>4.62</v>
          </cell>
          <cell r="R190">
            <v>20.149999999999999</v>
          </cell>
          <cell r="S190">
            <v>80.599999999999994</v>
          </cell>
        </row>
        <row r="191">
          <cell r="A191" t="str">
            <v>1.2.3.10</v>
          </cell>
          <cell r="B191" t="e">
            <v>#N/A</v>
          </cell>
          <cell r="C191">
            <v>2</v>
          </cell>
          <cell r="D191" t="str">
            <v>No</v>
          </cell>
          <cell r="E191">
            <v>0.13</v>
          </cell>
          <cell r="F191">
            <v>0.26</v>
          </cell>
          <cell r="H191">
            <v>0.32</v>
          </cell>
          <cell r="I191">
            <v>0.64</v>
          </cell>
          <cell r="J191">
            <v>1.92</v>
          </cell>
          <cell r="K191">
            <v>1.92</v>
          </cell>
          <cell r="L191">
            <v>4.43</v>
          </cell>
          <cell r="M191">
            <v>3.56</v>
          </cell>
          <cell r="N191">
            <v>3.52</v>
          </cell>
          <cell r="R191">
            <v>15.35</v>
          </cell>
          <cell r="S191">
            <v>30.7</v>
          </cell>
        </row>
        <row r="192">
          <cell r="A192" t="str">
            <v>1.2.3.11</v>
          </cell>
          <cell r="B192" t="e">
            <v>#N/A</v>
          </cell>
          <cell r="C192">
            <v>2</v>
          </cell>
          <cell r="D192" t="str">
            <v>No</v>
          </cell>
          <cell r="E192">
            <v>0.11</v>
          </cell>
          <cell r="F192">
            <v>0.22</v>
          </cell>
          <cell r="H192">
            <v>0.27</v>
          </cell>
          <cell r="I192">
            <v>0.54</v>
          </cell>
          <cell r="J192">
            <v>1.62</v>
          </cell>
          <cell r="K192">
            <v>1.62</v>
          </cell>
          <cell r="L192">
            <v>3.73</v>
          </cell>
          <cell r="M192">
            <v>3.01</v>
          </cell>
          <cell r="N192">
            <v>2.97</v>
          </cell>
          <cell r="R192">
            <v>12.95</v>
          </cell>
          <cell r="S192">
            <v>25.9</v>
          </cell>
        </row>
        <row r="193">
          <cell r="A193" t="str">
            <v>1.2.3.12</v>
          </cell>
          <cell r="B193" t="e">
            <v>#N/A</v>
          </cell>
          <cell r="C193">
            <v>5</v>
          </cell>
          <cell r="D193" t="str">
            <v>No</v>
          </cell>
          <cell r="E193">
            <v>0.11</v>
          </cell>
          <cell r="F193">
            <v>0.55000000000000004</v>
          </cell>
          <cell r="H193">
            <v>0.27</v>
          </cell>
          <cell r="I193">
            <v>1.35</v>
          </cell>
          <cell r="J193">
            <v>1.62</v>
          </cell>
          <cell r="K193">
            <v>1.62</v>
          </cell>
          <cell r="L193">
            <v>3.73</v>
          </cell>
          <cell r="M193">
            <v>3.01</v>
          </cell>
          <cell r="N193">
            <v>2.97</v>
          </cell>
          <cell r="R193">
            <v>12.95</v>
          </cell>
          <cell r="S193">
            <v>64.75</v>
          </cell>
        </row>
        <row r="194">
          <cell r="A194" t="str">
            <v>1.2.3.13</v>
          </cell>
          <cell r="B194" t="e">
            <v>#N/A</v>
          </cell>
          <cell r="C194">
            <v>10</v>
          </cell>
          <cell r="D194" t="str">
            <v>No</v>
          </cell>
          <cell r="E194">
            <v>0.08</v>
          </cell>
          <cell r="F194">
            <v>0.8</v>
          </cell>
          <cell r="H194">
            <v>0.2</v>
          </cell>
          <cell r="I194">
            <v>2</v>
          </cell>
          <cell r="J194">
            <v>1.2</v>
          </cell>
          <cell r="K194">
            <v>1.2</v>
          </cell>
          <cell r="L194">
            <v>2.77</v>
          </cell>
          <cell r="M194">
            <v>2.23</v>
          </cell>
          <cell r="N194">
            <v>2.2000000000000002</v>
          </cell>
          <cell r="R194">
            <v>9.6</v>
          </cell>
          <cell r="S194">
            <v>96</v>
          </cell>
        </row>
        <row r="195">
          <cell r="A195" t="str">
            <v>1.2.3.14</v>
          </cell>
          <cell r="B195" t="e">
            <v>#N/A</v>
          </cell>
          <cell r="C195">
            <v>2</v>
          </cell>
          <cell r="D195" t="str">
            <v>No</v>
          </cell>
          <cell r="E195">
            <v>0.06</v>
          </cell>
          <cell r="F195">
            <v>0.12</v>
          </cell>
          <cell r="H195">
            <v>0.15</v>
          </cell>
          <cell r="I195">
            <v>0.3</v>
          </cell>
          <cell r="J195">
            <v>0.9</v>
          </cell>
          <cell r="K195">
            <v>0.9</v>
          </cell>
          <cell r="L195">
            <v>2.0699999999999998</v>
          </cell>
          <cell r="M195">
            <v>1.67</v>
          </cell>
          <cell r="N195">
            <v>1.65</v>
          </cell>
          <cell r="R195">
            <v>7.19</v>
          </cell>
          <cell r="S195">
            <v>14.38</v>
          </cell>
        </row>
        <row r="196">
          <cell r="A196" t="str">
            <v>1.2.3.15</v>
          </cell>
          <cell r="B196" t="e">
            <v>#N/A</v>
          </cell>
          <cell r="C196">
            <v>5</v>
          </cell>
          <cell r="D196" t="str">
            <v>No</v>
          </cell>
          <cell r="E196">
            <v>0.05</v>
          </cell>
          <cell r="F196">
            <v>0.25</v>
          </cell>
          <cell r="H196">
            <v>0.12</v>
          </cell>
          <cell r="I196">
            <v>0.6</v>
          </cell>
          <cell r="J196">
            <v>0.72</v>
          </cell>
          <cell r="K196">
            <v>0.72</v>
          </cell>
          <cell r="L196">
            <v>1.66</v>
          </cell>
          <cell r="M196">
            <v>1.34</v>
          </cell>
          <cell r="N196">
            <v>1.32</v>
          </cell>
          <cell r="R196">
            <v>5.76</v>
          </cell>
          <cell r="S196">
            <v>28.8</v>
          </cell>
        </row>
        <row r="197">
          <cell r="A197" t="str">
            <v>1.2.3.16</v>
          </cell>
          <cell r="B197" t="e">
            <v>#N/A</v>
          </cell>
          <cell r="C197">
            <v>2</v>
          </cell>
          <cell r="D197" t="str">
            <v>No</v>
          </cell>
          <cell r="E197">
            <v>0.04</v>
          </cell>
          <cell r="F197">
            <v>0.08</v>
          </cell>
          <cell r="H197">
            <v>0.1</v>
          </cell>
          <cell r="I197">
            <v>0.2</v>
          </cell>
          <cell r="J197">
            <v>0.6</v>
          </cell>
          <cell r="K197">
            <v>0.6</v>
          </cell>
          <cell r="L197">
            <v>1.38</v>
          </cell>
          <cell r="M197">
            <v>1.1100000000000001</v>
          </cell>
          <cell r="N197">
            <v>1.1000000000000001</v>
          </cell>
          <cell r="R197">
            <v>4.79</v>
          </cell>
          <cell r="S197">
            <v>9.58</v>
          </cell>
        </row>
        <row r="198">
          <cell r="A198" t="str">
            <v>1.2.3.17</v>
          </cell>
          <cell r="B198" t="e">
            <v>#N/A</v>
          </cell>
          <cell r="C198">
            <v>2</v>
          </cell>
          <cell r="D198" t="str">
            <v>No</v>
          </cell>
          <cell r="E198">
            <v>0.04</v>
          </cell>
          <cell r="F198">
            <v>0.08</v>
          </cell>
          <cell r="H198">
            <v>0.1</v>
          </cell>
          <cell r="I198">
            <v>0.2</v>
          </cell>
          <cell r="J198">
            <v>0.6</v>
          </cell>
          <cell r="K198">
            <v>0.6</v>
          </cell>
          <cell r="L198">
            <v>1.38</v>
          </cell>
          <cell r="M198">
            <v>1.1100000000000001</v>
          </cell>
          <cell r="N198">
            <v>1.1000000000000001</v>
          </cell>
          <cell r="R198">
            <v>4.79</v>
          </cell>
          <cell r="S198">
            <v>9.58</v>
          </cell>
        </row>
        <row r="199">
          <cell r="A199" t="str">
            <v>1.2.3.18</v>
          </cell>
          <cell r="B199" t="e">
            <v>#N/A</v>
          </cell>
          <cell r="C199">
            <v>2</v>
          </cell>
          <cell r="D199" t="str">
            <v>No</v>
          </cell>
          <cell r="E199">
            <v>0.03</v>
          </cell>
          <cell r="F199">
            <v>0.06</v>
          </cell>
          <cell r="H199">
            <v>7.0000000000000007E-2</v>
          </cell>
          <cell r="I199">
            <v>0.14000000000000001</v>
          </cell>
          <cell r="J199">
            <v>0.42</v>
          </cell>
          <cell r="K199">
            <v>0.42</v>
          </cell>
          <cell r="L199">
            <v>0.97</v>
          </cell>
          <cell r="M199">
            <v>0.78</v>
          </cell>
          <cell r="N199">
            <v>0.77</v>
          </cell>
          <cell r="R199">
            <v>3.36</v>
          </cell>
          <cell r="S199">
            <v>6.72</v>
          </cell>
        </row>
        <row r="200">
          <cell r="A200" t="str">
            <v>1.2.3.19</v>
          </cell>
          <cell r="B200" t="e">
            <v>#N/A</v>
          </cell>
          <cell r="C200">
            <v>5</v>
          </cell>
          <cell r="D200" t="str">
            <v>No</v>
          </cell>
          <cell r="E200">
            <v>0.03</v>
          </cell>
          <cell r="F200">
            <v>0.15</v>
          </cell>
          <cell r="H200">
            <v>7.0000000000000007E-2</v>
          </cell>
          <cell r="I200">
            <v>0.35</v>
          </cell>
          <cell r="J200">
            <v>0.42</v>
          </cell>
          <cell r="K200">
            <v>0.42</v>
          </cell>
          <cell r="L200">
            <v>0.97</v>
          </cell>
          <cell r="M200">
            <v>0.78</v>
          </cell>
          <cell r="N200">
            <v>0.77</v>
          </cell>
          <cell r="R200">
            <v>3.36</v>
          </cell>
          <cell r="S200">
            <v>16.8</v>
          </cell>
        </row>
        <row r="201">
          <cell r="A201" t="str">
            <v>1.2.3.20</v>
          </cell>
          <cell r="B201" t="e">
            <v>#N/A</v>
          </cell>
          <cell r="C201">
            <v>5</v>
          </cell>
          <cell r="D201" t="str">
            <v>No</v>
          </cell>
          <cell r="E201">
            <v>0.03</v>
          </cell>
          <cell r="F201">
            <v>0.15</v>
          </cell>
          <cell r="H201">
            <v>7.0000000000000007E-2</v>
          </cell>
          <cell r="I201">
            <v>0.35</v>
          </cell>
          <cell r="J201">
            <v>0.42</v>
          </cell>
          <cell r="K201">
            <v>0.42</v>
          </cell>
          <cell r="L201">
            <v>0.97</v>
          </cell>
          <cell r="M201">
            <v>0.78</v>
          </cell>
          <cell r="N201">
            <v>0.77</v>
          </cell>
          <cell r="R201">
            <v>3.36</v>
          </cell>
          <cell r="S201">
            <v>16.8</v>
          </cell>
        </row>
        <row r="202">
          <cell r="A202" t="str">
            <v>1.2.3.21</v>
          </cell>
          <cell r="B202" t="e">
            <v>#N/A</v>
          </cell>
          <cell r="C202">
            <v>2</v>
          </cell>
          <cell r="D202" t="str">
            <v>No</v>
          </cell>
          <cell r="E202">
            <v>0.02</v>
          </cell>
          <cell r="F202">
            <v>0.04</v>
          </cell>
          <cell r="H202">
            <v>0.05</v>
          </cell>
          <cell r="I202">
            <v>0.1</v>
          </cell>
          <cell r="J202">
            <v>0.3</v>
          </cell>
          <cell r="K202">
            <v>0.3</v>
          </cell>
          <cell r="L202">
            <v>0.69</v>
          </cell>
          <cell r="M202">
            <v>0.56000000000000005</v>
          </cell>
          <cell r="N202">
            <v>0.55000000000000004</v>
          </cell>
          <cell r="R202">
            <v>2.4</v>
          </cell>
          <cell r="S202">
            <v>4.8</v>
          </cell>
        </row>
        <row r="203">
          <cell r="A203" t="str">
            <v>1.2.3.22</v>
          </cell>
          <cell r="B203" t="e">
            <v>#N/A</v>
          </cell>
          <cell r="C203">
            <v>2</v>
          </cell>
          <cell r="D203" t="str">
            <v>No</v>
          </cell>
          <cell r="E203">
            <v>0.02</v>
          </cell>
          <cell r="F203">
            <v>0.04</v>
          </cell>
          <cell r="H203">
            <v>0.05</v>
          </cell>
          <cell r="I203">
            <v>0.1</v>
          </cell>
          <cell r="J203">
            <v>0.3</v>
          </cell>
          <cell r="K203">
            <v>0.3</v>
          </cell>
          <cell r="L203">
            <v>0.69</v>
          </cell>
          <cell r="M203">
            <v>0.56000000000000005</v>
          </cell>
          <cell r="N203">
            <v>0.55000000000000004</v>
          </cell>
          <cell r="R203">
            <v>2.4</v>
          </cell>
          <cell r="S203">
            <v>4.8</v>
          </cell>
        </row>
        <row r="204">
          <cell r="A204" t="str">
            <v>1.2.3.23</v>
          </cell>
          <cell r="B204" t="e">
            <v>#N/A</v>
          </cell>
          <cell r="C204">
            <v>2</v>
          </cell>
          <cell r="D204" t="str">
            <v>No</v>
          </cell>
          <cell r="E204">
            <v>0.02</v>
          </cell>
          <cell r="F204">
            <v>0.04</v>
          </cell>
          <cell r="H204">
            <v>0.05</v>
          </cell>
          <cell r="I204">
            <v>0.1</v>
          </cell>
          <cell r="J204">
            <v>0.3</v>
          </cell>
          <cell r="K204">
            <v>0.3</v>
          </cell>
          <cell r="L204">
            <v>0.69</v>
          </cell>
          <cell r="M204">
            <v>0.56000000000000005</v>
          </cell>
          <cell r="N204">
            <v>0.55000000000000004</v>
          </cell>
          <cell r="R204">
            <v>2.4</v>
          </cell>
          <cell r="S204">
            <v>4.8</v>
          </cell>
        </row>
        <row r="205">
          <cell r="A205" t="str">
            <v>1.2.3.24</v>
          </cell>
          <cell r="B205" t="e">
            <v>#N/A</v>
          </cell>
          <cell r="C205">
            <v>2</v>
          </cell>
          <cell r="D205" t="str">
            <v>No</v>
          </cell>
          <cell r="E205">
            <v>0.02</v>
          </cell>
          <cell r="F205">
            <v>0.04</v>
          </cell>
          <cell r="H205">
            <v>0.05</v>
          </cell>
          <cell r="I205">
            <v>0.1</v>
          </cell>
          <cell r="J205">
            <v>0.3</v>
          </cell>
          <cell r="K205">
            <v>0.3</v>
          </cell>
          <cell r="L205">
            <v>0.69</v>
          </cell>
          <cell r="M205">
            <v>0.56000000000000005</v>
          </cell>
          <cell r="N205">
            <v>0.55000000000000004</v>
          </cell>
          <cell r="R205">
            <v>2.4</v>
          </cell>
          <cell r="S205">
            <v>4.8</v>
          </cell>
        </row>
        <row r="206">
          <cell r="A206" t="str">
            <v>1.2.3.25</v>
          </cell>
          <cell r="B206" t="str">
            <v>100mm dia. 'S' bend</v>
          </cell>
          <cell r="C206">
            <v>81</v>
          </cell>
          <cell r="D206" t="str">
            <v>No.</v>
          </cell>
          <cell r="E206">
            <v>0.03</v>
          </cell>
          <cell r="F206">
            <v>2.4300000000000002</v>
          </cell>
          <cell r="H206">
            <v>7.0000000000000007E-2</v>
          </cell>
          <cell r="I206">
            <v>5.67</v>
          </cell>
          <cell r="J206">
            <v>0.42</v>
          </cell>
          <cell r="K206">
            <v>0.42</v>
          </cell>
          <cell r="L206">
            <v>0.97</v>
          </cell>
          <cell r="M206">
            <v>0.78</v>
          </cell>
          <cell r="N206">
            <v>0.77</v>
          </cell>
          <cell r="R206">
            <v>3.36</v>
          </cell>
          <cell r="S206">
            <v>272.16000000000003</v>
          </cell>
        </row>
        <row r="207">
          <cell r="A207" t="str">
            <v>1.2.3.26</v>
          </cell>
          <cell r="B207" t="e">
            <v>#N/A</v>
          </cell>
          <cell r="C207">
            <v>20</v>
          </cell>
          <cell r="D207" t="str">
            <v>No.</v>
          </cell>
          <cell r="E207">
            <v>0.01</v>
          </cell>
          <cell r="F207">
            <v>0.2</v>
          </cell>
          <cell r="H207">
            <v>0.02</v>
          </cell>
          <cell r="I207">
            <v>0.4</v>
          </cell>
          <cell r="J207">
            <v>0.12</v>
          </cell>
          <cell r="K207">
            <v>0.12</v>
          </cell>
          <cell r="L207">
            <v>0.28000000000000003</v>
          </cell>
          <cell r="M207">
            <v>0.22</v>
          </cell>
          <cell r="N207">
            <v>0.22</v>
          </cell>
          <cell r="R207">
            <v>0.96</v>
          </cell>
          <cell r="S207">
            <v>19.2</v>
          </cell>
        </row>
        <row r="208">
          <cell r="A208" t="str">
            <v>1.2.3.27</v>
          </cell>
          <cell r="B208" t="e">
            <v>#N/A</v>
          </cell>
          <cell r="C208">
            <v>2</v>
          </cell>
          <cell r="D208" t="str">
            <v>No</v>
          </cell>
          <cell r="E208">
            <v>0.01</v>
          </cell>
          <cell r="F208">
            <v>0.02</v>
          </cell>
          <cell r="H208">
            <v>0.02</v>
          </cell>
          <cell r="I208">
            <v>0.04</v>
          </cell>
          <cell r="J208">
            <v>0.12</v>
          </cell>
          <cell r="K208">
            <v>0.12</v>
          </cell>
          <cell r="L208">
            <v>0.28000000000000003</v>
          </cell>
          <cell r="M208">
            <v>0.22</v>
          </cell>
          <cell r="N208">
            <v>0.22</v>
          </cell>
          <cell r="R208">
            <v>0.96</v>
          </cell>
          <cell r="S208">
            <v>1.92</v>
          </cell>
        </row>
        <row r="209">
          <cell r="A209" t="str">
            <v>1.2.3.28</v>
          </cell>
          <cell r="B209" t="e">
            <v>#N/A</v>
          </cell>
          <cell r="C209">
            <v>2</v>
          </cell>
          <cell r="D209" t="str">
            <v>No</v>
          </cell>
          <cell r="E209">
            <v>0.01</v>
          </cell>
          <cell r="F209">
            <v>0.02</v>
          </cell>
          <cell r="H209">
            <v>0.02</v>
          </cell>
          <cell r="I209">
            <v>0.04</v>
          </cell>
          <cell r="J209">
            <v>0.12</v>
          </cell>
          <cell r="K209">
            <v>0.12</v>
          </cell>
          <cell r="L209">
            <v>0.28000000000000003</v>
          </cell>
          <cell r="M209">
            <v>0.22</v>
          </cell>
          <cell r="N209">
            <v>0.22</v>
          </cell>
          <cell r="R209">
            <v>0.96</v>
          </cell>
          <cell r="S209">
            <v>1.92</v>
          </cell>
        </row>
        <row r="210">
          <cell r="A210" t="str">
            <v>1.2.3.29</v>
          </cell>
          <cell r="B210" t="e">
            <v>#N/A</v>
          </cell>
          <cell r="C210">
            <v>2</v>
          </cell>
          <cell r="D210" t="str">
            <v>No</v>
          </cell>
          <cell r="E210">
            <v>0.01</v>
          </cell>
          <cell r="F210">
            <v>0.02</v>
          </cell>
          <cell r="H210">
            <v>0.02</v>
          </cell>
          <cell r="I210">
            <v>0.04</v>
          </cell>
          <cell r="J210">
            <v>0.12</v>
          </cell>
          <cell r="K210">
            <v>0.12</v>
          </cell>
          <cell r="L210">
            <v>0.28000000000000003</v>
          </cell>
          <cell r="M210">
            <v>0.22</v>
          </cell>
          <cell r="N210">
            <v>0.22</v>
          </cell>
          <cell r="R210">
            <v>0.96</v>
          </cell>
          <cell r="S210">
            <v>1.92</v>
          </cell>
        </row>
        <row r="211">
          <cell r="A211" t="str">
            <v>1.2.3.30</v>
          </cell>
          <cell r="B211" t="e">
            <v>#N/A</v>
          </cell>
          <cell r="C211">
            <v>2</v>
          </cell>
          <cell r="D211" t="str">
            <v>No.</v>
          </cell>
          <cell r="E211">
            <v>0.01</v>
          </cell>
          <cell r="F211">
            <v>0.02</v>
          </cell>
          <cell r="H211">
            <v>0.02</v>
          </cell>
          <cell r="I211">
            <v>0.04</v>
          </cell>
          <cell r="J211">
            <v>0.12</v>
          </cell>
          <cell r="K211">
            <v>0.12</v>
          </cell>
          <cell r="L211">
            <v>0.28000000000000003</v>
          </cell>
          <cell r="M211">
            <v>0.22</v>
          </cell>
          <cell r="N211">
            <v>0.22</v>
          </cell>
          <cell r="R211">
            <v>0.96</v>
          </cell>
          <cell r="S211">
            <v>1.92</v>
          </cell>
        </row>
        <row r="212">
          <cell r="A212" t="str">
            <v>1.2.3.31</v>
          </cell>
          <cell r="B212" t="e">
            <v>#N/A</v>
          </cell>
          <cell r="C212">
            <v>11</v>
          </cell>
          <cell r="D212" t="str">
            <v>No.</v>
          </cell>
          <cell r="E212">
            <v>0.01</v>
          </cell>
          <cell r="F212">
            <v>0.11</v>
          </cell>
          <cell r="H212">
            <v>0.02</v>
          </cell>
          <cell r="I212">
            <v>0.22</v>
          </cell>
          <cell r="J212">
            <v>0.12</v>
          </cell>
          <cell r="K212">
            <v>0.12</v>
          </cell>
          <cell r="L212">
            <v>0.28000000000000003</v>
          </cell>
          <cell r="M212">
            <v>0.22</v>
          </cell>
          <cell r="N212">
            <v>0.22</v>
          </cell>
          <cell r="R212">
            <v>0.96</v>
          </cell>
          <cell r="S212">
            <v>10.56</v>
          </cell>
        </row>
        <row r="213">
          <cell r="F213">
            <v>0</v>
          </cell>
          <cell r="H213">
            <v>0</v>
          </cell>
          <cell r="I213">
            <v>0</v>
          </cell>
          <cell r="J213">
            <v>0</v>
          </cell>
          <cell r="K213">
            <v>0</v>
          </cell>
          <cell r="L213">
            <v>0</v>
          </cell>
          <cell r="M213">
            <v>0</v>
          </cell>
          <cell r="N213">
            <v>0</v>
          </cell>
          <cell r="R213">
            <v>0</v>
          </cell>
          <cell r="S213">
            <v>0</v>
          </cell>
        </row>
        <row r="214">
          <cell r="B214" t="str">
            <v>Bends - Double Flanged (with Internal and External</v>
          </cell>
          <cell r="F214">
            <v>0</v>
          </cell>
          <cell r="H214">
            <v>0</v>
          </cell>
          <cell r="I214">
            <v>0</v>
          </cell>
          <cell r="J214">
            <v>0</v>
          </cell>
          <cell r="K214">
            <v>0</v>
          </cell>
          <cell r="L214">
            <v>0</v>
          </cell>
          <cell r="M214">
            <v>0</v>
          </cell>
          <cell r="N214">
            <v>0</v>
          </cell>
          <cell r="R214">
            <v>0</v>
          </cell>
          <cell r="S214">
            <v>0</v>
          </cell>
        </row>
        <row r="215">
          <cell r="B215" t="str">
            <v>Protection in Fusion Bonded Epoxy)</v>
          </cell>
          <cell r="F215">
            <v>0</v>
          </cell>
          <cell r="H215">
            <v>0</v>
          </cell>
          <cell r="I215">
            <v>0</v>
          </cell>
          <cell r="J215">
            <v>0</v>
          </cell>
          <cell r="K215">
            <v>0</v>
          </cell>
          <cell r="L215">
            <v>0</v>
          </cell>
          <cell r="M215">
            <v>0</v>
          </cell>
          <cell r="N215">
            <v>0</v>
          </cell>
          <cell r="R215">
            <v>0</v>
          </cell>
          <cell r="S215">
            <v>0</v>
          </cell>
        </row>
        <row r="216">
          <cell r="F216">
            <v>0</v>
          </cell>
          <cell r="H216">
            <v>0</v>
          </cell>
          <cell r="I216">
            <v>0</v>
          </cell>
          <cell r="J216">
            <v>0</v>
          </cell>
          <cell r="K216">
            <v>0</v>
          </cell>
          <cell r="L216">
            <v>0</v>
          </cell>
          <cell r="M216">
            <v>0</v>
          </cell>
          <cell r="N216">
            <v>0</v>
          </cell>
          <cell r="R216">
            <v>0</v>
          </cell>
          <cell r="S216">
            <v>0</v>
          </cell>
        </row>
        <row r="217">
          <cell r="A217" t="str">
            <v>1.2.4.1</v>
          </cell>
          <cell r="B217" t="str">
            <v>800mm dia. x 450</v>
          </cell>
          <cell r="C217">
            <v>2</v>
          </cell>
          <cell r="D217" t="str">
            <v>No</v>
          </cell>
          <cell r="E217">
            <v>0.45</v>
          </cell>
          <cell r="F217">
            <v>0.9</v>
          </cell>
          <cell r="H217">
            <v>1.1100000000000001</v>
          </cell>
          <cell r="I217">
            <v>2.2200000000000002</v>
          </cell>
          <cell r="J217">
            <v>6.66</v>
          </cell>
          <cell r="K217">
            <v>6.66</v>
          </cell>
          <cell r="L217">
            <v>15.35</v>
          </cell>
          <cell r="M217">
            <v>12.37</v>
          </cell>
          <cell r="N217">
            <v>12.21</v>
          </cell>
          <cell r="R217">
            <v>53.25</v>
          </cell>
          <cell r="S217">
            <v>106.5</v>
          </cell>
        </row>
        <row r="218">
          <cell r="A218" t="str">
            <v>1.2.4.2</v>
          </cell>
          <cell r="B218" t="e">
            <v>#N/A</v>
          </cell>
          <cell r="C218">
            <v>7</v>
          </cell>
          <cell r="D218" t="str">
            <v>No</v>
          </cell>
          <cell r="E218">
            <v>0.13</v>
          </cell>
          <cell r="F218">
            <v>0.91</v>
          </cell>
          <cell r="H218">
            <v>0.32</v>
          </cell>
          <cell r="I218">
            <v>2.2400000000000002</v>
          </cell>
          <cell r="J218">
            <v>1.92</v>
          </cell>
          <cell r="K218">
            <v>1.92</v>
          </cell>
          <cell r="L218">
            <v>4.43</v>
          </cell>
          <cell r="M218">
            <v>3.56</v>
          </cell>
          <cell r="N218">
            <v>3.52</v>
          </cell>
          <cell r="R218">
            <v>15.35</v>
          </cell>
          <cell r="S218">
            <v>107.45</v>
          </cell>
        </row>
        <row r="219">
          <cell r="A219" t="str">
            <v>1.2.4.3</v>
          </cell>
          <cell r="B219" t="e">
            <v>#N/A</v>
          </cell>
          <cell r="C219">
            <v>1</v>
          </cell>
          <cell r="D219" t="str">
            <v>No</v>
          </cell>
          <cell r="E219">
            <v>0.04</v>
          </cell>
          <cell r="F219">
            <v>0.04</v>
          </cell>
          <cell r="H219">
            <v>0.1</v>
          </cell>
          <cell r="I219">
            <v>0.1</v>
          </cell>
          <cell r="J219">
            <v>0.6</v>
          </cell>
          <cell r="K219">
            <v>0.6</v>
          </cell>
          <cell r="L219">
            <v>1.38</v>
          </cell>
          <cell r="M219">
            <v>1.1100000000000001</v>
          </cell>
          <cell r="N219">
            <v>1.1000000000000001</v>
          </cell>
          <cell r="R219">
            <v>4.79</v>
          </cell>
          <cell r="S219">
            <v>4.79</v>
          </cell>
        </row>
        <row r="220">
          <cell r="A220" t="str">
            <v>1.2.4.4</v>
          </cell>
          <cell r="B220" t="e">
            <v>#N/A</v>
          </cell>
          <cell r="C220">
            <v>1</v>
          </cell>
          <cell r="D220" t="str">
            <v>No.</v>
          </cell>
          <cell r="E220">
            <v>0.03</v>
          </cell>
          <cell r="F220">
            <v>0.03</v>
          </cell>
          <cell r="H220">
            <v>7.0000000000000007E-2</v>
          </cell>
          <cell r="I220">
            <v>7.0000000000000007E-2</v>
          </cell>
          <cell r="J220">
            <v>0.42</v>
          </cell>
          <cell r="K220">
            <v>0.42</v>
          </cell>
          <cell r="L220">
            <v>0.97</v>
          </cell>
          <cell r="M220">
            <v>0.78</v>
          </cell>
          <cell r="N220">
            <v>0.77</v>
          </cell>
          <cell r="R220">
            <v>3.36</v>
          </cell>
          <cell r="S220">
            <v>3.36</v>
          </cell>
        </row>
        <row r="221">
          <cell r="A221" t="str">
            <v>1.2.4.5</v>
          </cell>
          <cell r="B221" t="e">
            <v>#N/A</v>
          </cell>
          <cell r="C221">
            <v>2</v>
          </cell>
          <cell r="D221" t="str">
            <v>No.</v>
          </cell>
          <cell r="E221">
            <v>0.03</v>
          </cell>
          <cell r="F221">
            <v>0.06</v>
          </cell>
          <cell r="H221">
            <v>7.0000000000000007E-2</v>
          </cell>
          <cell r="I221">
            <v>0.14000000000000001</v>
          </cell>
          <cell r="J221">
            <v>0.42</v>
          </cell>
          <cell r="K221">
            <v>0.42</v>
          </cell>
          <cell r="L221">
            <v>0.97</v>
          </cell>
          <cell r="M221">
            <v>0.78</v>
          </cell>
          <cell r="N221">
            <v>0.77</v>
          </cell>
          <cell r="R221">
            <v>3.36</v>
          </cell>
          <cell r="S221">
            <v>6.72</v>
          </cell>
        </row>
        <row r="222">
          <cell r="F222">
            <v>0</v>
          </cell>
          <cell r="H222">
            <v>0</v>
          </cell>
          <cell r="I222">
            <v>0</v>
          </cell>
          <cell r="J222">
            <v>0</v>
          </cell>
          <cell r="K222">
            <v>0</v>
          </cell>
          <cell r="L222">
            <v>0</v>
          </cell>
          <cell r="M222">
            <v>0</v>
          </cell>
          <cell r="N222">
            <v>0</v>
          </cell>
          <cell r="R222">
            <v>0</v>
          </cell>
          <cell r="S222">
            <v>0</v>
          </cell>
        </row>
        <row r="223">
          <cell r="B223" t="str">
            <v>Tees all Socketed (Bituminous/zinc coating</v>
          </cell>
          <cell r="F223">
            <v>0</v>
          </cell>
          <cell r="H223">
            <v>0</v>
          </cell>
          <cell r="I223">
            <v>0</v>
          </cell>
          <cell r="J223">
            <v>0</v>
          </cell>
          <cell r="K223">
            <v>0</v>
          </cell>
          <cell r="L223">
            <v>0</v>
          </cell>
          <cell r="M223">
            <v>0</v>
          </cell>
          <cell r="N223">
            <v>0</v>
          </cell>
          <cell r="R223">
            <v>0</v>
          </cell>
          <cell r="S223">
            <v>0</v>
          </cell>
        </row>
        <row r="224">
          <cell r="B224" t="str">
            <v>externally cement mortar internally)</v>
          </cell>
          <cell r="F224">
            <v>0</v>
          </cell>
          <cell r="H224">
            <v>0</v>
          </cell>
          <cell r="I224">
            <v>0</v>
          </cell>
          <cell r="J224">
            <v>0</v>
          </cell>
          <cell r="K224">
            <v>0</v>
          </cell>
          <cell r="L224">
            <v>0</v>
          </cell>
          <cell r="M224">
            <v>0</v>
          </cell>
          <cell r="N224">
            <v>0</v>
          </cell>
          <cell r="R224">
            <v>0</v>
          </cell>
          <cell r="S224">
            <v>0</v>
          </cell>
        </row>
        <row r="225">
          <cell r="F225">
            <v>0</v>
          </cell>
          <cell r="H225">
            <v>0</v>
          </cell>
          <cell r="I225">
            <v>0</v>
          </cell>
          <cell r="J225">
            <v>0</v>
          </cell>
          <cell r="K225">
            <v>0</v>
          </cell>
          <cell r="L225">
            <v>0</v>
          </cell>
          <cell r="M225">
            <v>0</v>
          </cell>
          <cell r="N225">
            <v>0</v>
          </cell>
          <cell r="R225">
            <v>0</v>
          </cell>
          <cell r="S225">
            <v>0</v>
          </cell>
        </row>
        <row r="226">
          <cell r="A226" t="str">
            <v>1.2.5.1</v>
          </cell>
          <cell r="B226" t="str">
            <v>150 x 150mm dia.</v>
          </cell>
          <cell r="C226">
            <v>4</v>
          </cell>
          <cell r="D226" t="str">
            <v>No.</v>
          </cell>
          <cell r="E226">
            <v>0.04</v>
          </cell>
          <cell r="F226">
            <v>0.16</v>
          </cell>
          <cell r="H226">
            <v>0.1</v>
          </cell>
          <cell r="I226">
            <v>0.4</v>
          </cell>
          <cell r="J226">
            <v>0.6</v>
          </cell>
          <cell r="K226">
            <v>0.6</v>
          </cell>
          <cell r="L226">
            <v>1.38</v>
          </cell>
          <cell r="M226">
            <v>1.1100000000000001</v>
          </cell>
          <cell r="N226">
            <v>1.1000000000000001</v>
          </cell>
          <cell r="R226">
            <v>4.79</v>
          </cell>
          <cell r="S226">
            <v>19.16</v>
          </cell>
        </row>
        <row r="227">
          <cell r="A227" t="str">
            <v>1.2.5.2</v>
          </cell>
          <cell r="B227" t="str">
            <v>150 x 100mm dia.</v>
          </cell>
          <cell r="C227">
            <v>6</v>
          </cell>
          <cell r="D227" t="str">
            <v>No.</v>
          </cell>
          <cell r="E227">
            <v>0.03</v>
          </cell>
          <cell r="F227">
            <v>0.18</v>
          </cell>
          <cell r="H227">
            <v>7.0000000000000007E-2</v>
          </cell>
          <cell r="I227">
            <v>0.42</v>
          </cell>
          <cell r="J227">
            <v>0.42</v>
          </cell>
          <cell r="K227">
            <v>0.42</v>
          </cell>
          <cell r="L227">
            <v>0.97</v>
          </cell>
          <cell r="M227">
            <v>0.78</v>
          </cell>
          <cell r="N227">
            <v>0.77</v>
          </cell>
          <cell r="R227">
            <v>3.36</v>
          </cell>
          <cell r="S227">
            <v>20.16</v>
          </cell>
        </row>
        <row r="228">
          <cell r="A228" t="str">
            <v>1.2.5.3</v>
          </cell>
          <cell r="B228" t="str">
            <v>100 x 100mm dia.</v>
          </cell>
          <cell r="C228">
            <v>4</v>
          </cell>
          <cell r="D228" t="str">
            <v>No.</v>
          </cell>
          <cell r="E228">
            <v>0.02</v>
          </cell>
          <cell r="F228">
            <v>0.08</v>
          </cell>
          <cell r="H228">
            <v>0.05</v>
          </cell>
          <cell r="I228">
            <v>0.2</v>
          </cell>
          <cell r="J228">
            <v>0.3</v>
          </cell>
          <cell r="K228">
            <v>0.3</v>
          </cell>
          <cell r="L228">
            <v>0.69</v>
          </cell>
          <cell r="M228">
            <v>0.56000000000000005</v>
          </cell>
          <cell r="N228">
            <v>0.55000000000000004</v>
          </cell>
          <cell r="R228">
            <v>2.4</v>
          </cell>
          <cell r="S228">
            <v>9.6</v>
          </cell>
        </row>
        <row r="229">
          <cell r="F229">
            <v>0</v>
          </cell>
          <cell r="H229">
            <v>0</v>
          </cell>
          <cell r="I229">
            <v>0</v>
          </cell>
          <cell r="J229">
            <v>0</v>
          </cell>
          <cell r="K229">
            <v>0</v>
          </cell>
          <cell r="L229">
            <v>0</v>
          </cell>
          <cell r="M229">
            <v>0</v>
          </cell>
          <cell r="N229">
            <v>0</v>
          </cell>
          <cell r="R229">
            <v>0</v>
          </cell>
          <cell r="S229">
            <v>0</v>
          </cell>
        </row>
        <row r="230">
          <cell r="B230" t="str">
            <v xml:space="preserve">Tee - Double Socket Flanged Branch  (Bituminous/zinc </v>
          </cell>
          <cell r="F230">
            <v>0</v>
          </cell>
          <cell r="H230">
            <v>0</v>
          </cell>
          <cell r="I230">
            <v>0</v>
          </cell>
          <cell r="J230">
            <v>0</v>
          </cell>
          <cell r="K230">
            <v>0</v>
          </cell>
          <cell r="L230">
            <v>0</v>
          </cell>
          <cell r="M230">
            <v>0</v>
          </cell>
          <cell r="N230">
            <v>0</v>
          </cell>
          <cell r="R230">
            <v>0</v>
          </cell>
          <cell r="S230">
            <v>0</v>
          </cell>
        </row>
        <row r="231">
          <cell r="B231" t="str">
            <v>coating externally - Cement mortar internally)</v>
          </cell>
          <cell r="F231">
            <v>0</v>
          </cell>
          <cell r="H231">
            <v>0</v>
          </cell>
          <cell r="I231">
            <v>0</v>
          </cell>
          <cell r="J231">
            <v>0</v>
          </cell>
          <cell r="K231">
            <v>0</v>
          </cell>
          <cell r="L231">
            <v>0</v>
          </cell>
          <cell r="M231">
            <v>0</v>
          </cell>
          <cell r="N231">
            <v>0</v>
          </cell>
          <cell r="R231">
            <v>0</v>
          </cell>
          <cell r="S231">
            <v>0</v>
          </cell>
        </row>
        <row r="232">
          <cell r="F232">
            <v>0</v>
          </cell>
          <cell r="H232">
            <v>0</v>
          </cell>
          <cell r="I232">
            <v>0</v>
          </cell>
          <cell r="J232">
            <v>0</v>
          </cell>
          <cell r="K232">
            <v>0</v>
          </cell>
          <cell r="L232">
            <v>0</v>
          </cell>
          <cell r="M232">
            <v>0</v>
          </cell>
          <cell r="N232">
            <v>0</v>
          </cell>
          <cell r="R232">
            <v>0</v>
          </cell>
          <cell r="S232">
            <v>0</v>
          </cell>
        </row>
        <row r="233">
          <cell r="A233" t="str">
            <v>1.2.6.1</v>
          </cell>
          <cell r="B233" t="str">
            <v>800 x 800mm dia.</v>
          </cell>
          <cell r="C233">
            <v>1</v>
          </cell>
          <cell r="D233" t="str">
            <v>No.</v>
          </cell>
          <cell r="E233">
            <v>0.67</v>
          </cell>
          <cell r="F233">
            <v>0.67</v>
          </cell>
          <cell r="H233">
            <v>1.65</v>
          </cell>
          <cell r="I233">
            <v>1.65</v>
          </cell>
          <cell r="J233">
            <v>9.9</v>
          </cell>
          <cell r="K233">
            <v>9.9</v>
          </cell>
          <cell r="L233">
            <v>22.82</v>
          </cell>
          <cell r="M233">
            <v>18.38</v>
          </cell>
          <cell r="N233">
            <v>18.149999999999999</v>
          </cell>
          <cell r="R233">
            <v>79.150000000000006</v>
          </cell>
          <cell r="S233">
            <v>79.150000000000006</v>
          </cell>
        </row>
        <row r="234">
          <cell r="A234" t="str">
            <v>1.2.6.2</v>
          </cell>
          <cell r="B234" t="str">
            <v>800 x 400mm dia.</v>
          </cell>
          <cell r="C234">
            <v>11</v>
          </cell>
          <cell r="D234" t="str">
            <v>No.</v>
          </cell>
          <cell r="E234">
            <v>0.43</v>
          </cell>
          <cell r="F234">
            <v>4.7300000000000004</v>
          </cell>
          <cell r="H234">
            <v>1.06</v>
          </cell>
          <cell r="I234">
            <v>11.66</v>
          </cell>
          <cell r="J234">
            <v>6.36</v>
          </cell>
          <cell r="K234">
            <v>6.36</v>
          </cell>
          <cell r="L234">
            <v>14.66</v>
          </cell>
          <cell r="M234">
            <v>11.81</v>
          </cell>
          <cell r="N234">
            <v>11.66</v>
          </cell>
          <cell r="R234">
            <v>50.85</v>
          </cell>
          <cell r="S234">
            <v>559.35</v>
          </cell>
        </row>
        <row r="235">
          <cell r="A235" t="str">
            <v>1.2.6.3</v>
          </cell>
          <cell r="B235" t="str">
            <v>800 x 200mm dia. (level invert/drainage type)</v>
          </cell>
          <cell r="C235">
            <v>14</v>
          </cell>
          <cell r="D235" t="str">
            <v>No.</v>
          </cell>
          <cell r="E235">
            <v>0.54</v>
          </cell>
          <cell r="F235">
            <v>7.56</v>
          </cell>
          <cell r="H235">
            <v>1.33</v>
          </cell>
          <cell r="I235">
            <v>18.62</v>
          </cell>
          <cell r="J235">
            <v>7.98</v>
          </cell>
          <cell r="K235">
            <v>7.98</v>
          </cell>
          <cell r="L235">
            <v>18.39</v>
          </cell>
          <cell r="M235">
            <v>14.82</v>
          </cell>
          <cell r="N235">
            <v>14.63</v>
          </cell>
          <cell r="R235">
            <v>63.8</v>
          </cell>
          <cell r="S235">
            <v>893.2</v>
          </cell>
        </row>
        <row r="236">
          <cell r="A236" t="str">
            <v>1.2.6.4</v>
          </cell>
          <cell r="B236" t="str">
            <v>800 x 150mm dia.</v>
          </cell>
          <cell r="C236">
            <v>24</v>
          </cell>
          <cell r="D236" t="str">
            <v>No.</v>
          </cell>
          <cell r="E236">
            <v>0.33</v>
          </cell>
          <cell r="F236">
            <v>7.92</v>
          </cell>
          <cell r="H236">
            <v>0.81</v>
          </cell>
          <cell r="I236">
            <v>19.440000000000001</v>
          </cell>
          <cell r="J236">
            <v>4.8600000000000003</v>
          </cell>
          <cell r="K236">
            <v>4.8600000000000003</v>
          </cell>
          <cell r="L236">
            <v>11.2</v>
          </cell>
          <cell r="M236">
            <v>9.02</v>
          </cell>
          <cell r="N236">
            <v>8.91</v>
          </cell>
          <cell r="R236">
            <v>38.85</v>
          </cell>
          <cell r="S236">
            <v>932.4</v>
          </cell>
        </row>
        <row r="237">
          <cell r="A237" t="str">
            <v>1.2.6.5</v>
          </cell>
          <cell r="B237" t="str">
            <v>500 x 400mm dia.</v>
          </cell>
          <cell r="C237">
            <v>1</v>
          </cell>
          <cell r="D237" t="str">
            <v>No.</v>
          </cell>
          <cell r="E237">
            <v>0.23</v>
          </cell>
          <cell r="F237">
            <v>0.23</v>
          </cell>
          <cell r="H237">
            <v>0.56000000000000005</v>
          </cell>
          <cell r="I237">
            <v>0.56000000000000005</v>
          </cell>
          <cell r="J237">
            <v>3.36</v>
          </cell>
          <cell r="K237">
            <v>3.36</v>
          </cell>
          <cell r="L237">
            <v>7.74</v>
          </cell>
          <cell r="M237">
            <v>6.24</v>
          </cell>
          <cell r="N237">
            <v>6.16</v>
          </cell>
          <cell r="R237">
            <v>26.86</v>
          </cell>
          <cell r="S237">
            <v>26.86</v>
          </cell>
        </row>
        <row r="238">
          <cell r="A238" t="str">
            <v>1.2.6.6</v>
          </cell>
          <cell r="B238" t="str">
            <v>500 x 300mm dia.</v>
          </cell>
          <cell r="C238">
            <v>3</v>
          </cell>
          <cell r="D238" t="str">
            <v>No.</v>
          </cell>
          <cell r="E238">
            <v>0.19</v>
          </cell>
          <cell r="F238">
            <v>0.56999999999999995</v>
          </cell>
          <cell r="H238">
            <v>0.47</v>
          </cell>
          <cell r="I238">
            <v>1.41</v>
          </cell>
          <cell r="J238">
            <v>2.82</v>
          </cell>
          <cell r="K238">
            <v>2.82</v>
          </cell>
          <cell r="L238">
            <v>6.5</v>
          </cell>
          <cell r="M238">
            <v>5.24</v>
          </cell>
          <cell r="N238">
            <v>5.17</v>
          </cell>
          <cell r="R238">
            <v>22.55</v>
          </cell>
          <cell r="S238">
            <v>67.650000000000006</v>
          </cell>
        </row>
        <row r="239">
          <cell r="A239" t="str">
            <v>1.2.6.7</v>
          </cell>
          <cell r="B239" t="str">
            <v>500 x 200mm dia.</v>
          </cell>
          <cell r="C239">
            <v>1</v>
          </cell>
          <cell r="D239" t="str">
            <v>No.</v>
          </cell>
          <cell r="E239">
            <v>1.19</v>
          </cell>
          <cell r="F239">
            <v>1.19</v>
          </cell>
          <cell r="H239">
            <v>2.92</v>
          </cell>
          <cell r="I239">
            <v>2.92</v>
          </cell>
          <cell r="J239">
            <v>17.52</v>
          </cell>
          <cell r="K239">
            <v>17.52</v>
          </cell>
          <cell r="L239">
            <v>40.380000000000003</v>
          </cell>
          <cell r="M239">
            <v>32.53</v>
          </cell>
          <cell r="N239">
            <v>32.119999999999997</v>
          </cell>
          <cell r="R239">
            <v>140.07</v>
          </cell>
          <cell r="S239">
            <v>140.07</v>
          </cell>
        </row>
        <row r="240">
          <cell r="A240" t="str">
            <v>1.2.6.8</v>
          </cell>
          <cell r="B240" t="str">
            <v>500 x 150mm dia. (level invert/drainage type)</v>
          </cell>
          <cell r="C240">
            <v>3</v>
          </cell>
          <cell r="D240" t="str">
            <v>No.</v>
          </cell>
          <cell r="E240">
            <v>0.15</v>
          </cell>
          <cell r="F240">
            <v>0.45</v>
          </cell>
          <cell r="H240">
            <v>0.37</v>
          </cell>
          <cell r="I240">
            <v>1.1100000000000001</v>
          </cell>
          <cell r="J240">
            <v>2.2200000000000002</v>
          </cell>
          <cell r="K240">
            <v>2.2200000000000002</v>
          </cell>
          <cell r="L240">
            <v>5.12</v>
          </cell>
          <cell r="M240">
            <v>4.12</v>
          </cell>
          <cell r="N240">
            <v>4.07</v>
          </cell>
          <cell r="R240">
            <v>17.75</v>
          </cell>
          <cell r="S240">
            <v>53.25</v>
          </cell>
        </row>
        <row r="241">
          <cell r="A241" t="str">
            <v>1.2.6.9</v>
          </cell>
          <cell r="B241" t="str">
            <v>500 x 100mm dia.</v>
          </cell>
          <cell r="C241">
            <v>5</v>
          </cell>
          <cell r="D241" t="str">
            <v>No.</v>
          </cell>
          <cell r="E241">
            <v>0.13</v>
          </cell>
          <cell r="F241">
            <v>0.65</v>
          </cell>
          <cell r="H241">
            <v>0.32</v>
          </cell>
          <cell r="I241">
            <v>1.6</v>
          </cell>
          <cell r="J241">
            <v>1.92</v>
          </cell>
          <cell r="K241">
            <v>1.92</v>
          </cell>
          <cell r="L241">
            <v>4.43</v>
          </cell>
          <cell r="M241">
            <v>3.56</v>
          </cell>
          <cell r="N241">
            <v>3.52</v>
          </cell>
          <cell r="R241">
            <v>15.35</v>
          </cell>
          <cell r="S241">
            <v>76.75</v>
          </cell>
        </row>
        <row r="242">
          <cell r="A242" t="str">
            <v>1.2.6.10</v>
          </cell>
          <cell r="B242" t="str">
            <v>400 x 400mm dia.</v>
          </cell>
          <cell r="C242">
            <v>11</v>
          </cell>
          <cell r="D242" t="str">
            <v>No.</v>
          </cell>
          <cell r="E242">
            <v>0.2</v>
          </cell>
          <cell r="F242">
            <v>2.2000000000000002</v>
          </cell>
          <cell r="H242">
            <v>0.49</v>
          </cell>
          <cell r="I242">
            <v>5.39</v>
          </cell>
          <cell r="J242">
            <v>2.94</v>
          </cell>
          <cell r="K242">
            <v>2.94</v>
          </cell>
          <cell r="L242">
            <v>6.78</v>
          </cell>
          <cell r="M242">
            <v>5.46</v>
          </cell>
          <cell r="N242">
            <v>5.39</v>
          </cell>
          <cell r="R242">
            <v>23.51</v>
          </cell>
          <cell r="S242">
            <v>258.61</v>
          </cell>
        </row>
        <row r="243">
          <cell r="A243" t="str">
            <v>1.2.6.11</v>
          </cell>
          <cell r="B243" t="str">
            <v>400 x 300mm dia.</v>
          </cell>
          <cell r="C243">
            <v>4</v>
          </cell>
          <cell r="D243" t="str">
            <v>No.</v>
          </cell>
          <cell r="E243">
            <v>0.18</v>
          </cell>
          <cell r="F243">
            <v>0.72</v>
          </cell>
          <cell r="H243">
            <v>0.44</v>
          </cell>
          <cell r="I243">
            <v>1.76</v>
          </cell>
          <cell r="J243">
            <v>2.64</v>
          </cell>
          <cell r="K243">
            <v>2.64</v>
          </cell>
          <cell r="L243">
            <v>6.09</v>
          </cell>
          <cell r="M243">
            <v>4.9000000000000004</v>
          </cell>
          <cell r="N243">
            <v>4.84</v>
          </cell>
          <cell r="R243">
            <v>21.11</v>
          </cell>
          <cell r="S243">
            <v>84.44</v>
          </cell>
        </row>
        <row r="244">
          <cell r="A244" t="str">
            <v>1.2.6.12</v>
          </cell>
          <cell r="B244" t="str">
            <v>400 x 150mm dia.</v>
          </cell>
          <cell r="C244">
            <v>2</v>
          </cell>
          <cell r="D244" t="str">
            <v>No.</v>
          </cell>
          <cell r="E244">
            <v>0.12</v>
          </cell>
          <cell r="F244">
            <v>0.24</v>
          </cell>
          <cell r="H244">
            <v>0.28999999999999998</v>
          </cell>
          <cell r="I244">
            <v>0.57999999999999996</v>
          </cell>
          <cell r="J244">
            <v>1.74</v>
          </cell>
          <cell r="K244">
            <v>1.74</v>
          </cell>
          <cell r="L244">
            <v>4.01</v>
          </cell>
          <cell r="M244">
            <v>3.23</v>
          </cell>
          <cell r="N244">
            <v>3.19</v>
          </cell>
          <cell r="R244">
            <v>13.91</v>
          </cell>
          <cell r="S244">
            <v>27.82</v>
          </cell>
        </row>
        <row r="245">
          <cell r="A245" t="str">
            <v>1.2.6.13</v>
          </cell>
          <cell r="B245" t="str">
            <v>400 x 150mm dia. (level invert/drainage type)</v>
          </cell>
          <cell r="C245">
            <v>7</v>
          </cell>
          <cell r="D245" t="str">
            <v>No.</v>
          </cell>
          <cell r="E245">
            <v>0.12</v>
          </cell>
          <cell r="F245">
            <v>0.84</v>
          </cell>
          <cell r="H245">
            <v>0.28999999999999998</v>
          </cell>
          <cell r="I245">
            <v>2.0299999999999998</v>
          </cell>
          <cell r="J245">
            <v>1.74</v>
          </cell>
          <cell r="K245">
            <v>1.74</v>
          </cell>
          <cell r="L245">
            <v>4.01</v>
          </cell>
          <cell r="M245">
            <v>3.23</v>
          </cell>
          <cell r="N245">
            <v>3.19</v>
          </cell>
          <cell r="R245">
            <v>13.91</v>
          </cell>
          <cell r="S245">
            <v>97.37</v>
          </cell>
        </row>
        <row r="246">
          <cell r="A246" t="str">
            <v>1.2.6.14</v>
          </cell>
          <cell r="B246" t="str">
            <v>400 x 100mm dia.</v>
          </cell>
          <cell r="C246">
            <v>13</v>
          </cell>
          <cell r="D246" t="str">
            <v>No.</v>
          </cell>
          <cell r="E246">
            <v>0.08</v>
          </cell>
          <cell r="F246">
            <v>1.04</v>
          </cell>
          <cell r="H246">
            <v>0.2</v>
          </cell>
          <cell r="I246">
            <v>2.6</v>
          </cell>
          <cell r="J246">
            <v>1.2</v>
          </cell>
          <cell r="K246">
            <v>1.2</v>
          </cell>
          <cell r="L246">
            <v>2.77</v>
          </cell>
          <cell r="M246">
            <v>2.23</v>
          </cell>
          <cell r="N246">
            <v>2.2000000000000002</v>
          </cell>
          <cell r="R246">
            <v>9.6</v>
          </cell>
          <cell r="S246">
            <v>124.8</v>
          </cell>
        </row>
        <row r="247">
          <cell r="A247" t="str">
            <v>1.2.6.15</v>
          </cell>
          <cell r="B247" t="str">
            <v>300 x 300mm dia.</v>
          </cell>
          <cell r="C247">
            <v>2</v>
          </cell>
          <cell r="D247" t="str">
            <v>No.</v>
          </cell>
          <cell r="E247">
            <v>0.1</v>
          </cell>
          <cell r="F247">
            <v>0.2</v>
          </cell>
          <cell r="H247">
            <v>0.25</v>
          </cell>
          <cell r="I247">
            <v>0.5</v>
          </cell>
          <cell r="J247">
            <v>1.5</v>
          </cell>
          <cell r="K247">
            <v>1.5</v>
          </cell>
          <cell r="L247">
            <v>3.46</v>
          </cell>
          <cell r="M247">
            <v>2.79</v>
          </cell>
          <cell r="N247">
            <v>2.75</v>
          </cell>
          <cell r="R247">
            <v>12</v>
          </cell>
          <cell r="S247">
            <v>24</v>
          </cell>
        </row>
        <row r="248">
          <cell r="A248" t="str">
            <v>1.2.6.16</v>
          </cell>
          <cell r="B248" t="str">
            <v>300 x 200mm dia.</v>
          </cell>
          <cell r="C248">
            <v>6</v>
          </cell>
          <cell r="D248" t="str">
            <v>No.</v>
          </cell>
          <cell r="E248">
            <v>0.08</v>
          </cell>
          <cell r="F248">
            <v>0.48</v>
          </cell>
          <cell r="H248">
            <v>0.2</v>
          </cell>
          <cell r="I248">
            <v>1.2</v>
          </cell>
          <cell r="J248">
            <v>1.2</v>
          </cell>
          <cell r="K248">
            <v>1.2</v>
          </cell>
          <cell r="L248">
            <v>2.77</v>
          </cell>
          <cell r="M248">
            <v>2.23</v>
          </cell>
          <cell r="N248">
            <v>2.2000000000000002</v>
          </cell>
          <cell r="R248">
            <v>9.6</v>
          </cell>
          <cell r="S248">
            <v>57.6</v>
          </cell>
        </row>
        <row r="249">
          <cell r="A249" t="str">
            <v>1.2.6.17</v>
          </cell>
          <cell r="B249" t="str">
            <v>300 x 150mm dia.</v>
          </cell>
          <cell r="C249">
            <v>2</v>
          </cell>
          <cell r="D249" t="str">
            <v>No.</v>
          </cell>
          <cell r="E249">
            <v>7.0000000000000007E-2</v>
          </cell>
          <cell r="F249">
            <v>0.14000000000000001</v>
          </cell>
          <cell r="H249">
            <v>0.17</v>
          </cell>
          <cell r="I249">
            <v>0.34</v>
          </cell>
          <cell r="J249">
            <v>1.02</v>
          </cell>
          <cell r="K249">
            <v>1.02</v>
          </cell>
          <cell r="L249">
            <v>2.35</v>
          </cell>
          <cell r="M249">
            <v>1.89</v>
          </cell>
          <cell r="N249">
            <v>1.87</v>
          </cell>
          <cell r="R249">
            <v>8.15</v>
          </cell>
          <cell r="S249">
            <v>16.3</v>
          </cell>
        </row>
        <row r="250">
          <cell r="A250" t="str">
            <v>1.2.6.18</v>
          </cell>
          <cell r="B250" t="str">
            <v>300 x 100mm dia. (level invert/drainage type)</v>
          </cell>
          <cell r="C250">
            <v>2</v>
          </cell>
          <cell r="D250" t="str">
            <v>No.</v>
          </cell>
          <cell r="E250">
            <v>0.05</v>
          </cell>
          <cell r="F250">
            <v>0.1</v>
          </cell>
          <cell r="H250">
            <v>0.12</v>
          </cell>
          <cell r="I250">
            <v>0.24</v>
          </cell>
          <cell r="J250">
            <v>0.72</v>
          </cell>
          <cell r="K250">
            <v>0.72</v>
          </cell>
          <cell r="L250">
            <v>1.66</v>
          </cell>
          <cell r="M250">
            <v>1.34</v>
          </cell>
          <cell r="N250">
            <v>1.32</v>
          </cell>
          <cell r="R250">
            <v>5.76</v>
          </cell>
          <cell r="S250">
            <v>11.52</v>
          </cell>
        </row>
        <row r="251">
          <cell r="A251" t="str">
            <v>1.2.6.19</v>
          </cell>
          <cell r="B251" t="str">
            <v>300 x 100mm dia.</v>
          </cell>
          <cell r="C251">
            <v>1</v>
          </cell>
          <cell r="D251" t="str">
            <v>No.</v>
          </cell>
          <cell r="E251">
            <v>0.04</v>
          </cell>
          <cell r="F251">
            <v>0.04</v>
          </cell>
          <cell r="H251">
            <v>0.1</v>
          </cell>
          <cell r="I251">
            <v>0.1</v>
          </cell>
          <cell r="J251">
            <v>0.6</v>
          </cell>
          <cell r="K251">
            <v>0.6</v>
          </cell>
          <cell r="L251">
            <v>1.38</v>
          </cell>
          <cell r="M251">
            <v>1.1100000000000001</v>
          </cell>
          <cell r="N251">
            <v>1.1000000000000001</v>
          </cell>
          <cell r="R251">
            <v>4.79</v>
          </cell>
          <cell r="S251">
            <v>4.79</v>
          </cell>
        </row>
        <row r="252">
          <cell r="A252" t="str">
            <v>1.2.6.20</v>
          </cell>
          <cell r="B252" t="str">
            <v>300 x 80mm dia.</v>
          </cell>
          <cell r="C252">
            <v>6</v>
          </cell>
          <cell r="D252" t="str">
            <v>No.</v>
          </cell>
          <cell r="E252">
            <v>0.06</v>
          </cell>
          <cell r="F252">
            <v>0.36</v>
          </cell>
          <cell r="H252">
            <v>0.15</v>
          </cell>
          <cell r="I252">
            <v>0.9</v>
          </cell>
          <cell r="J252">
            <v>0.9</v>
          </cell>
          <cell r="K252">
            <v>0.9</v>
          </cell>
          <cell r="L252">
            <v>2.0699999999999998</v>
          </cell>
          <cell r="M252">
            <v>1.67</v>
          </cell>
          <cell r="N252">
            <v>1.65</v>
          </cell>
          <cell r="R252">
            <v>7.19</v>
          </cell>
          <cell r="S252">
            <v>43.14</v>
          </cell>
        </row>
        <row r="253">
          <cell r="A253" t="str">
            <v>1.2.6.21</v>
          </cell>
          <cell r="B253" t="str">
            <v>200 x 200mm dia.</v>
          </cell>
          <cell r="C253">
            <v>1</v>
          </cell>
          <cell r="D253" t="str">
            <v>No.</v>
          </cell>
          <cell r="E253">
            <v>0.05</v>
          </cell>
          <cell r="F253">
            <v>0.05</v>
          </cell>
          <cell r="H253">
            <v>0.12</v>
          </cell>
          <cell r="I253">
            <v>0.12</v>
          </cell>
          <cell r="J253">
            <v>0.72</v>
          </cell>
          <cell r="K253">
            <v>0.72</v>
          </cell>
          <cell r="L253">
            <v>1.66</v>
          </cell>
          <cell r="M253">
            <v>1.34</v>
          </cell>
          <cell r="N253">
            <v>1.32</v>
          </cell>
          <cell r="R253">
            <v>5.76</v>
          </cell>
          <cell r="S253">
            <v>5.76</v>
          </cell>
        </row>
        <row r="254">
          <cell r="A254" t="str">
            <v>1.2.6.22</v>
          </cell>
          <cell r="B254" t="str">
            <v>200 x 150mm dia.</v>
          </cell>
          <cell r="C254">
            <v>1</v>
          </cell>
          <cell r="D254" t="str">
            <v>No.</v>
          </cell>
          <cell r="E254">
            <v>0.04</v>
          </cell>
          <cell r="F254">
            <v>0.04</v>
          </cell>
          <cell r="H254">
            <v>0.1</v>
          </cell>
          <cell r="I254">
            <v>0.1</v>
          </cell>
          <cell r="J254">
            <v>0.6</v>
          </cell>
          <cell r="K254">
            <v>0.6</v>
          </cell>
          <cell r="L254">
            <v>1.38</v>
          </cell>
          <cell r="M254">
            <v>1.1100000000000001</v>
          </cell>
          <cell r="N254">
            <v>1.1000000000000001</v>
          </cell>
          <cell r="R254">
            <v>4.79</v>
          </cell>
          <cell r="S254">
            <v>4.79</v>
          </cell>
        </row>
        <row r="255">
          <cell r="A255" t="str">
            <v>1.2.6.23</v>
          </cell>
          <cell r="B255" t="str">
            <v>200 x 100mm dia.</v>
          </cell>
          <cell r="C255">
            <v>10</v>
          </cell>
          <cell r="D255" t="str">
            <v>No.</v>
          </cell>
          <cell r="E255">
            <v>0.03</v>
          </cell>
          <cell r="F255">
            <v>0.3</v>
          </cell>
          <cell r="H255">
            <v>7.0000000000000007E-2</v>
          </cell>
          <cell r="I255">
            <v>0.7</v>
          </cell>
          <cell r="J255">
            <v>0.42</v>
          </cell>
          <cell r="K255">
            <v>0.42</v>
          </cell>
          <cell r="L255">
            <v>0.97</v>
          </cell>
          <cell r="M255">
            <v>0.78</v>
          </cell>
          <cell r="N255">
            <v>0.77</v>
          </cell>
          <cell r="R255">
            <v>3.36</v>
          </cell>
          <cell r="S255">
            <v>33.6</v>
          </cell>
        </row>
        <row r="256">
          <cell r="A256" t="str">
            <v>1.2.6.24</v>
          </cell>
          <cell r="B256" t="str">
            <v>200 x 80mm dia.</v>
          </cell>
          <cell r="C256">
            <v>2</v>
          </cell>
          <cell r="D256" t="str">
            <v>No.</v>
          </cell>
          <cell r="E256">
            <v>0.03</v>
          </cell>
          <cell r="F256">
            <v>0.06</v>
          </cell>
          <cell r="H256">
            <v>7.0000000000000007E-2</v>
          </cell>
          <cell r="I256">
            <v>0.14000000000000001</v>
          </cell>
          <cell r="J256">
            <v>0.42</v>
          </cell>
          <cell r="K256">
            <v>0.42</v>
          </cell>
          <cell r="L256">
            <v>0.97</v>
          </cell>
          <cell r="M256">
            <v>0.78</v>
          </cell>
          <cell r="N256">
            <v>0.77</v>
          </cell>
          <cell r="R256">
            <v>3.36</v>
          </cell>
          <cell r="S256">
            <v>6.72</v>
          </cell>
        </row>
        <row r="257">
          <cell r="A257" t="str">
            <v>1.2.6.25</v>
          </cell>
          <cell r="B257" t="str">
            <v>150 x 150mm dia.</v>
          </cell>
          <cell r="C257">
            <v>4</v>
          </cell>
          <cell r="D257" t="str">
            <v>No.</v>
          </cell>
          <cell r="E257">
            <v>0.03</v>
          </cell>
          <cell r="F257">
            <v>0.12</v>
          </cell>
          <cell r="H257">
            <v>7.0000000000000007E-2</v>
          </cell>
          <cell r="I257">
            <v>0.28000000000000003</v>
          </cell>
          <cell r="J257">
            <v>0.42</v>
          </cell>
          <cell r="K257">
            <v>0.42</v>
          </cell>
          <cell r="L257">
            <v>0.97</v>
          </cell>
          <cell r="M257">
            <v>0.78</v>
          </cell>
          <cell r="N257">
            <v>0.77</v>
          </cell>
          <cell r="R257">
            <v>3.36</v>
          </cell>
          <cell r="S257">
            <v>13.44</v>
          </cell>
        </row>
        <row r="258">
          <cell r="A258" t="str">
            <v>1.2.6.26</v>
          </cell>
          <cell r="B258" t="str">
            <v>150 x 100mm dia.</v>
          </cell>
          <cell r="C258">
            <v>62</v>
          </cell>
          <cell r="D258" t="str">
            <v>No.</v>
          </cell>
          <cell r="E258">
            <v>0.02</v>
          </cell>
          <cell r="F258">
            <v>1.24</v>
          </cell>
          <cell r="H258">
            <v>0.05</v>
          </cell>
          <cell r="I258">
            <v>3.1</v>
          </cell>
          <cell r="J258">
            <v>0.3</v>
          </cell>
          <cell r="K258">
            <v>0.3</v>
          </cell>
          <cell r="L258">
            <v>0.69</v>
          </cell>
          <cell r="M258">
            <v>0.56000000000000005</v>
          </cell>
          <cell r="N258">
            <v>0.55000000000000004</v>
          </cell>
          <cell r="R258">
            <v>2.4</v>
          </cell>
          <cell r="S258">
            <v>148.80000000000001</v>
          </cell>
        </row>
        <row r="259">
          <cell r="A259" t="str">
            <v>1.2.6.27</v>
          </cell>
          <cell r="B259" t="str">
            <v>150 x 80mm dia.</v>
          </cell>
          <cell r="C259">
            <v>20</v>
          </cell>
          <cell r="D259" t="str">
            <v>No.</v>
          </cell>
          <cell r="E259">
            <v>0.02</v>
          </cell>
          <cell r="F259">
            <v>0.4</v>
          </cell>
          <cell r="H259">
            <v>0.05</v>
          </cell>
          <cell r="I259">
            <v>1</v>
          </cell>
          <cell r="J259">
            <v>0.3</v>
          </cell>
          <cell r="K259">
            <v>0.3</v>
          </cell>
          <cell r="L259">
            <v>0.69</v>
          </cell>
          <cell r="M259">
            <v>0.56000000000000005</v>
          </cell>
          <cell r="N259">
            <v>0.55000000000000004</v>
          </cell>
          <cell r="R259">
            <v>2.4</v>
          </cell>
          <cell r="S259">
            <v>48</v>
          </cell>
        </row>
        <row r="260">
          <cell r="A260" t="str">
            <v>1.2.6.28</v>
          </cell>
          <cell r="B260" t="str">
            <v>100 x 100mm dia.</v>
          </cell>
          <cell r="C260">
            <v>21</v>
          </cell>
          <cell r="D260" t="str">
            <v>No.</v>
          </cell>
          <cell r="E260">
            <v>0.02</v>
          </cell>
          <cell r="F260">
            <v>0.42</v>
          </cell>
          <cell r="H260">
            <v>0.05</v>
          </cell>
          <cell r="I260">
            <v>1.05</v>
          </cell>
          <cell r="J260">
            <v>0.3</v>
          </cell>
          <cell r="K260">
            <v>0.3</v>
          </cell>
          <cell r="L260">
            <v>0.69</v>
          </cell>
          <cell r="M260">
            <v>0.56000000000000005</v>
          </cell>
          <cell r="N260">
            <v>0.55000000000000004</v>
          </cell>
          <cell r="R260">
            <v>2.4</v>
          </cell>
          <cell r="S260">
            <v>50.4</v>
          </cell>
        </row>
        <row r="261">
          <cell r="F261">
            <v>0</v>
          </cell>
          <cell r="H261">
            <v>0</v>
          </cell>
          <cell r="I261">
            <v>0</v>
          </cell>
          <cell r="J261">
            <v>0</v>
          </cell>
          <cell r="K261">
            <v>0</v>
          </cell>
          <cell r="L261">
            <v>0</v>
          </cell>
          <cell r="M261">
            <v>0</v>
          </cell>
          <cell r="N261">
            <v>0</v>
          </cell>
          <cell r="R261">
            <v>0</v>
          </cell>
          <cell r="S261">
            <v>0</v>
          </cell>
        </row>
        <row r="262">
          <cell r="B262" t="str">
            <v>Tee - Double Socket Flanged Branch (with Internal</v>
          </cell>
          <cell r="F262">
            <v>0</v>
          </cell>
          <cell r="H262">
            <v>0</v>
          </cell>
          <cell r="I262">
            <v>0</v>
          </cell>
          <cell r="J262">
            <v>0</v>
          </cell>
          <cell r="K262">
            <v>0</v>
          </cell>
          <cell r="L262">
            <v>0</v>
          </cell>
          <cell r="M262">
            <v>0</v>
          </cell>
          <cell r="N262">
            <v>0</v>
          </cell>
          <cell r="R262">
            <v>0</v>
          </cell>
          <cell r="S262">
            <v>0</v>
          </cell>
        </row>
        <row r="263">
          <cell r="B263" t="str">
            <v>and External Protection in Fusion Bonded Epoxy)</v>
          </cell>
          <cell r="F263">
            <v>0</v>
          </cell>
          <cell r="H263">
            <v>0</v>
          </cell>
          <cell r="I263">
            <v>0</v>
          </cell>
          <cell r="J263">
            <v>0</v>
          </cell>
          <cell r="K263">
            <v>0</v>
          </cell>
          <cell r="L263">
            <v>0</v>
          </cell>
          <cell r="M263">
            <v>0</v>
          </cell>
          <cell r="N263">
            <v>0</v>
          </cell>
          <cell r="R263">
            <v>0</v>
          </cell>
          <cell r="S263">
            <v>0</v>
          </cell>
        </row>
        <row r="264">
          <cell r="F264">
            <v>0</v>
          </cell>
          <cell r="H264">
            <v>0</v>
          </cell>
          <cell r="I264">
            <v>0</v>
          </cell>
          <cell r="J264">
            <v>0</v>
          </cell>
          <cell r="K264">
            <v>0</v>
          </cell>
          <cell r="L264">
            <v>0</v>
          </cell>
          <cell r="M264">
            <v>0</v>
          </cell>
          <cell r="N264">
            <v>0</v>
          </cell>
          <cell r="R264">
            <v>0</v>
          </cell>
          <cell r="S264">
            <v>0</v>
          </cell>
        </row>
        <row r="265">
          <cell r="A265" t="str">
            <v>1.2.7.1</v>
          </cell>
          <cell r="B265" t="str">
            <v>800 x 400mm dia.</v>
          </cell>
          <cell r="C265">
            <v>2</v>
          </cell>
          <cell r="D265" t="str">
            <v>No.</v>
          </cell>
          <cell r="E265">
            <v>0.43</v>
          </cell>
          <cell r="F265">
            <v>0.86</v>
          </cell>
          <cell r="H265">
            <v>1.06</v>
          </cell>
          <cell r="I265">
            <v>2.12</v>
          </cell>
          <cell r="J265">
            <v>6.36</v>
          </cell>
          <cell r="K265">
            <v>6.36</v>
          </cell>
          <cell r="L265">
            <v>14.66</v>
          </cell>
          <cell r="M265">
            <v>11.81</v>
          </cell>
          <cell r="N265">
            <v>11.66</v>
          </cell>
          <cell r="R265">
            <v>50.85</v>
          </cell>
          <cell r="S265">
            <v>101.7</v>
          </cell>
        </row>
        <row r="266">
          <cell r="A266" t="str">
            <v>1.2.7.2</v>
          </cell>
          <cell r="B266" t="str">
            <v>800 x 200mm dia.</v>
          </cell>
          <cell r="C266">
            <v>2</v>
          </cell>
          <cell r="D266" t="str">
            <v>No.</v>
          </cell>
          <cell r="E266">
            <v>0.33</v>
          </cell>
          <cell r="F266">
            <v>0.66</v>
          </cell>
          <cell r="H266">
            <v>0.81</v>
          </cell>
          <cell r="I266">
            <v>1.62</v>
          </cell>
          <cell r="J266">
            <v>4.8600000000000003</v>
          </cell>
          <cell r="K266">
            <v>4.8600000000000003</v>
          </cell>
          <cell r="L266">
            <v>11.2</v>
          </cell>
          <cell r="M266">
            <v>9.02</v>
          </cell>
          <cell r="N266">
            <v>8.91</v>
          </cell>
          <cell r="R266">
            <v>38.85</v>
          </cell>
          <cell r="S266">
            <v>77.7</v>
          </cell>
        </row>
        <row r="267">
          <cell r="F267">
            <v>0</v>
          </cell>
          <cell r="H267">
            <v>0</v>
          </cell>
          <cell r="I267">
            <v>0</v>
          </cell>
          <cell r="J267">
            <v>0</v>
          </cell>
          <cell r="K267">
            <v>0</v>
          </cell>
          <cell r="L267">
            <v>0</v>
          </cell>
          <cell r="M267">
            <v>0</v>
          </cell>
          <cell r="N267">
            <v>0</v>
          </cell>
          <cell r="R267">
            <v>0</v>
          </cell>
          <cell r="S267">
            <v>0</v>
          </cell>
        </row>
        <row r="268">
          <cell r="B268" t="str">
            <v xml:space="preserve">All Flanged Tee (Bituminous/zinc coating externally - </v>
          </cell>
          <cell r="F268">
            <v>0</v>
          </cell>
          <cell r="H268">
            <v>0</v>
          </cell>
          <cell r="I268">
            <v>0</v>
          </cell>
          <cell r="J268">
            <v>0</v>
          </cell>
          <cell r="K268">
            <v>0</v>
          </cell>
          <cell r="L268">
            <v>0</v>
          </cell>
          <cell r="M268">
            <v>0</v>
          </cell>
          <cell r="N268">
            <v>0</v>
          </cell>
          <cell r="R268">
            <v>0</v>
          </cell>
          <cell r="S268">
            <v>0</v>
          </cell>
        </row>
        <row r="269">
          <cell r="B269" t="str">
            <v>Cement mortar internally)</v>
          </cell>
          <cell r="F269">
            <v>0</v>
          </cell>
          <cell r="H269">
            <v>0</v>
          </cell>
          <cell r="I269">
            <v>0</v>
          </cell>
          <cell r="J269">
            <v>0</v>
          </cell>
          <cell r="K269">
            <v>0</v>
          </cell>
          <cell r="L269">
            <v>0</v>
          </cell>
          <cell r="M269">
            <v>0</v>
          </cell>
          <cell r="N269">
            <v>0</v>
          </cell>
          <cell r="R269">
            <v>0</v>
          </cell>
          <cell r="S269">
            <v>0</v>
          </cell>
        </row>
        <row r="270">
          <cell r="F270">
            <v>0</v>
          </cell>
          <cell r="H270">
            <v>0</v>
          </cell>
          <cell r="I270">
            <v>0</v>
          </cell>
          <cell r="J270">
            <v>0</v>
          </cell>
          <cell r="K270">
            <v>0</v>
          </cell>
          <cell r="L270">
            <v>0</v>
          </cell>
          <cell r="M270">
            <v>0</v>
          </cell>
          <cell r="N270">
            <v>0</v>
          </cell>
          <cell r="R270">
            <v>0</v>
          </cell>
          <cell r="S270">
            <v>0</v>
          </cell>
        </row>
        <row r="271">
          <cell r="A271" t="str">
            <v>1.2.8.1</v>
          </cell>
          <cell r="B271" t="str">
            <v>300 x 300mm dia.</v>
          </cell>
          <cell r="C271">
            <v>11</v>
          </cell>
          <cell r="D271" t="str">
            <v>No.</v>
          </cell>
          <cell r="E271">
            <v>0.12</v>
          </cell>
          <cell r="F271">
            <v>1.32</v>
          </cell>
          <cell r="H271">
            <v>0.28999999999999998</v>
          </cell>
          <cell r="I271">
            <v>3.19</v>
          </cell>
          <cell r="J271">
            <v>1.74</v>
          </cell>
          <cell r="K271">
            <v>1.74</v>
          </cell>
          <cell r="L271">
            <v>4.01</v>
          </cell>
          <cell r="M271">
            <v>3.23</v>
          </cell>
          <cell r="N271">
            <v>3.19</v>
          </cell>
          <cell r="R271">
            <v>13.91</v>
          </cell>
          <cell r="S271">
            <v>153.01</v>
          </cell>
        </row>
        <row r="272">
          <cell r="A272" t="str">
            <v>1.2.8.2</v>
          </cell>
          <cell r="B272" t="str">
            <v>300 x 200mm dia.</v>
          </cell>
          <cell r="C272">
            <v>1</v>
          </cell>
          <cell r="D272" t="str">
            <v>No.</v>
          </cell>
          <cell r="E272">
            <v>0.12</v>
          </cell>
          <cell r="F272">
            <v>0.12</v>
          </cell>
          <cell r="H272">
            <v>0.28999999999999998</v>
          </cell>
          <cell r="I272">
            <v>0.28999999999999998</v>
          </cell>
          <cell r="J272">
            <v>1.74</v>
          </cell>
          <cell r="K272">
            <v>1.74</v>
          </cell>
          <cell r="L272">
            <v>4.01</v>
          </cell>
          <cell r="M272">
            <v>3.23</v>
          </cell>
          <cell r="N272">
            <v>3.19</v>
          </cell>
          <cell r="R272">
            <v>13.91</v>
          </cell>
          <cell r="S272">
            <v>13.91</v>
          </cell>
        </row>
        <row r="273">
          <cell r="A273" t="str">
            <v>1.2.8.3</v>
          </cell>
          <cell r="B273" t="str">
            <v>300 x 150mm dia.</v>
          </cell>
          <cell r="C273">
            <v>1</v>
          </cell>
          <cell r="D273" t="str">
            <v>No.</v>
          </cell>
          <cell r="E273">
            <v>0.09</v>
          </cell>
          <cell r="F273">
            <v>0.09</v>
          </cell>
          <cell r="H273">
            <v>0.22</v>
          </cell>
          <cell r="I273">
            <v>0.22</v>
          </cell>
          <cell r="J273">
            <v>1.32</v>
          </cell>
          <cell r="K273">
            <v>1.32</v>
          </cell>
          <cell r="L273">
            <v>3.04</v>
          </cell>
          <cell r="M273">
            <v>2.4500000000000002</v>
          </cell>
          <cell r="N273">
            <v>2.42</v>
          </cell>
          <cell r="R273">
            <v>10.55</v>
          </cell>
          <cell r="S273">
            <v>10.55</v>
          </cell>
        </row>
        <row r="274">
          <cell r="A274" t="str">
            <v>1.2.8.4</v>
          </cell>
          <cell r="B274" t="str">
            <v>300 x 100mm dia.</v>
          </cell>
          <cell r="C274">
            <v>1</v>
          </cell>
          <cell r="D274" t="str">
            <v>No.</v>
          </cell>
          <cell r="E274">
            <v>7.0000000000000007E-2</v>
          </cell>
          <cell r="F274">
            <v>7.0000000000000007E-2</v>
          </cell>
          <cell r="H274">
            <v>0.17</v>
          </cell>
          <cell r="I274">
            <v>0.17</v>
          </cell>
          <cell r="J274">
            <v>1.02</v>
          </cell>
          <cell r="K274">
            <v>1.02</v>
          </cell>
          <cell r="L274">
            <v>2.35</v>
          </cell>
          <cell r="M274">
            <v>1.89</v>
          </cell>
          <cell r="N274">
            <v>1.87</v>
          </cell>
          <cell r="R274">
            <v>8.15</v>
          </cell>
          <cell r="S274">
            <v>8.15</v>
          </cell>
        </row>
        <row r="275">
          <cell r="A275" t="str">
            <v>1.2.8.5</v>
          </cell>
          <cell r="B275" t="str">
            <v>200 x 200mm dia.</v>
          </cell>
          <cell r="C275">
            <v>4</v>
          </cell>
          <cell r="D275" t="str">
            <v>No.</v>
          </cell>
          <cell r="E275">
            <v>0.05</v>
          </cell>
          <cell r="F275">
            <v>0.2</v>
          </cell>
          <cell r="H275">
            <v>0.12</v>
          </cell>
          <cell r="I275">
            <v>0.48</v>
          </cell>
          <cell r="J275">
            <v>0.72</v>
          </cell>
          <cell r="K275">
            <v>0.72</v>
          </cell>
          <cell r="L275">
            <v>1.66</v>
          </cell>
          <cell r="M275">
            <v>1.34</v>
          </cell>
          <cell r="N275">
            <v>1.32</v>
          </cell>
          <cell r="R275">
            <v>5.76</v>
          </cell>
          <cell r="S275">
            <v>23.04</v>
          </cell>
        </row>
        <row r="276">
          <cell r="A276" t="str">
            <v>1.2.8.6</v>
          </cell>
          <cell r="B276" t="str">
            <v>200 x 150mm dia.</v>
          </cell>
          <cell r="C276">
            <v>1</v>
          </cell>
          <cell r="D276" t="str">
            <v>No.</v>
          </cell>
          <cell r="E276">
            <v>0.05</v>
          </cell>
          <cell r="F276">
            <v>0.05</v>
          </cell>
          <cell r="H276">
            <v>0.12</v>
          </cell>
          <cell r="I276">
            <v>0.12</v>
          </cell>
          <cell r="J276">
            <v>0.72</v>
          </cell>
          <cell r="K276">
            <v>0.72</v>
          </cell>
          <cell r="L276">
            <v>1.66</v>
          </cell>
          <cell r="M276">
            <v>1.34</v>
          </cell>
          <cell r="N276">
            <v>1.32</v>
          </cell>
          <cell r="R276">
            <v>5.76</v>
          </cell>
          <cell r="S276">
            <v>5.76</v>
          </cell>
        </row>
        <row r="277">
          <cell r="A277" t="str">
            <v>1.2.8.7</v>
          </cell>
          <cell r="B277" t="str">
            <v>200 x 100mm dia.</v>
          </cell>
          <cell r="C277">
            <v>1</v>
          </cell>
          <cell r="D277" t="str">
            <v>No.</v>
          </cell>
          <cell r="E277">
            <v>0.04</v>
          </cell>
          <cell r="F277">
            <v>0.04</v>
          </cell>
          <cell r="H277">
            <v>0.1</v>
          </cell>
          <cell r="I277">
            <v>0.1</v>
          </cell>
          <cell r="J277">
            <v>0.6</v>
          </cell>
          <cell r="K277">
            <v>0.6</v>
          </cell>
          <cell r="L277">
            <v>1.38</v>
          </cell>
          <cell r="M277">
            <v>1.1100000000000001</v>
          </cell>
          <cell r="N277">
            <v>1.1000000000000001</v>
          </cell>
          <cell r="R277">
            <v>4.79</v>
          </cell>
          <cell r="S277">
            <v>4.79</v>
          </cell>
        </row>
        <row r="278">
          <cell r="F278">
            <v>0</v>
          </cell>
          <cell r="H278">
            <v>0</v>
          </cell>
          <cell r="I278">
            <v>0</v>
          </cell>
          <cell r="J278">
            <v>0</v>
          </cell>
          <cell r="K278">
            <v>0</v>
          </cell>
          <cell r="L278">
            <v>0</v>
          </cell>
          <cell r="M278">
            <v>0</v>
          </cell>
          <cell r="N278">
            <v>0</v>
          </cell>
          <cell r="R278">
            <v>0</v>
          </cell>
          <cell r="S278">
            <v>0</v>
          </cell>
        </row>
        <row r="279">
          <cell r="B279" t="str">
            <v>All Flanged Tee (with Internal and External Protection</v>
          </cell>
          <cell r="F279">
            <v>0</v>
          </cell>
          <cell r="H279">
            <v>0</v>
          </cell>
          <cell r="I279">
            <v>0</v>
          </cell>
          <cell r="J279">
            <v>0</v>
          </cell>
          <cell r="K279">
            <v>0</v>
          </cell>
          <cell r="L279">
            <v>0</v>
          </cell>
          <cell r="M279">
            <v>0</v>
          </cell>
          <cell r="N279">
            <v>0</v>
          </cell>
          <cell r="R279">
            <v>0</v>
          </cell>
          <cell r="S279">
            <v>0</v>
          </cell>
        </row>
        <row r="280">
          <cell r="B280" t="str">
            <v>in Fusion Bonded Epoxy)</v>
          </cell>
          <cell r="F280">
            <v>0</v>
          </cell>
          <cell r="H280">
            <v>0</v>
          </cell>
          <cell r="I280">
            <v>0</v>
          </cell>
          <cell r="J280">
            <v>0</v>
          </cell>
          <cell r="K280">
            <v>0</v>
          </cell>
          <cell r="L280">
            <v>0</v>
          </cell>
          <cell r="M280">
            <v>0</v>
          </cell>
          <cell r="N280">
            <v>0</v>
          </cell>
          <cell r="R280">
            <v>0</v>
          </cell>
          <cell r="S280">
            <v>0</v>
          </cell>
        </row>
        <row r="281">
          <cell r="F281">
            <v>0</v>
          </cell>
          <cell r="H281">
            <v>0</v>
          </cell>
          <cell r="I281">
            <v>0</v>
          </cell>
          <cell r="J281">
            <v>0</v>
          </cell>
          <cell r="K281">
            <v>0</v>
          </cell>
          <cell r="L281">
            <v>0</v>
          </cell>
          <cell r="M281">
            <v>0</v>
          </cell>
          <cell r="N281">
            <v>0</v>
          </cell>
          <cell r="R281">
            <v>0</v>
          </cell>
          <cell r="S281">
            <v>0</v>
          </cell>
        </row>
        <row r="282">
          <cell r="A282" t="str">
            <v>1.2.9.1</v>
          </cell>
          <cell r="B282" t="str">
            <v>800 x 200mm dia. (level invert/drainage type)</v>
          </cell>
          <cell r="C282">
            <v>6</v>
          </cell>
          <cell r="D282" t="str">
            <v>No.</v>
          </cell>
          <cell r="E282">
            <v>0.39</v>
          </cell>
          <cell r="F282">
            <v>2.34</v>
          </cell>
          <cell r="H282">
            <v>0.96</v>
          </cell>
          <cell r="I282">
            <v>5.76</v>
          </cell>
          <cell r="J282">
            <v>5.76</v>
          </cell>
          <cell r="K282">
            <v>5.76</v>
          </cell>
          <cell r="L282">
            <v>13.28</v>
          </cell>
          <cell r="M282">
            <v>10.69</v>
          </cell>
          <cell r="N282">
            <v>10.56</v>
          </cell>
          <cell r="R282">
            <v>46.05</v>
          </cell>
          <cell r="S282">
            <v>276.3</v>
          </cell>
        </row>
        <row r="283">
          <cell r="A283" t="str">
            <v>1.2.9.2</v>
          </cell>
          <cell r="B283" t="str">
            <v>500 x 150mm dia. (level invert/drainage type)</v>
          </cell>
          <cell r="C283">
            <v>4</v>
          </cell>
          <cell r="D283" t="str">
            <v>No.</v>
          </cell>
          <cell r="E283">
            <v>0.25</v>
          </cell>
          <cell r="F283">
            <v>1</v>
          </cell>
          <cell r="H283">
            <v>0.61</v>
          </cell>
          <cell r="I283">
            <v>2.44</v>
          </cell>
          <cell r="J283">
            <v>3.66</v>
          </cell>
          <cell r="K283">
            <v>3.66</v>
          </cell>
          <cell r="L283">
            <v>8.44</v>
          </cell>
          <cell r="M283">
            <v>6.8</v>
          </cell>
          <cell r="N283">
            <v>6.71</v>
          </cell>
          <cell r="R283">
            <v>29.27</v>
          </cell>
          <cell r="S283">
            <v>117.08</v>
          </cell>
        </row>
        <row r="284">
          <cell r="A284" t="str">
            <v>1.2.9.3</v>
          </cell>
          <cell r="B284" t="str">
            <v>400 x 150mm dia. (level invert/drainage type)</v>
          </cell>
          <cell r="C284">
            <v>7</v>
          </cell>
          <cell r="D284" t="str">
            <v>No.</v>
          </cell>
          <cell r="E284">
            <v>0.16</v>
          </cell>
          <cell r="F284">
            <v>1.1200000000000001</v>
          </cell>
          <cell r="H284">
            <v>0.39</v>
          </cell>
          <cell r="I284">
            <v>2.73</v>
          </cell>
          <cell r="J284">
            <v>2.34</v>
          </cell>
          <cell r="K284">
            <v>2.34</v>
          </cell>
          <cell r="L284">
            <v>5.39</v>
          </cell>
          <cell r="M284">
            <v>4.34</v>
          </cell>
          <cell r="N284">
            <v>4.29</v>
          </cell>
          <cell r="R284">
            <v>18.7</v>
          </cell>
          <cell r="S284">
            <v>130.9</v>
          </cell>
        </row>
        <row r="285">
          <cell r="A285" t="str">
            <v>1.2.9.4</v>
          </cell>
          <cell r="B285" t="str">
            <v>300 x 100mm dia. (level invert/drainage type)</v>
          </cell>
          <cell r="C285">
            <v>4</v>
          </cell>
          <cell r="D285" t="str">
            <v>No.</v>
          </cell>
          <cell r="E285">
            <v>0.1</v>
          </cell>
          <cell r="F285">
            <v>0.4</v>
          </cell>
          <cell r="H285">
            <v>0.25</v>
          </cell>
          <cell r="I285">
            <v>1</v>
          </cell>
          <cell r="J285">
            <v>1.5</v>
          </cell>
          <cell r="K285">
            <v>1.5</v>
          </cell>
          <cell r="L285">
            <v>3.46</v>
          </cell>
          <cell r="M285">
            <v>2.79</v>
          </cell>
          <cell r="N285">
            <v>2.75</v>
          </cell>
          <cell r="R285">
            <v>12</v>
          </cell>
          <cell r="S285">
            <v>48</v>
          </cell>
        </row>
        <row r="286">
          <cell r="F286">
            <v>0</v>
          </cell>
          <cell r="H286">
            <v>0</v>
          </cell>
          <cell r="I286">
            <v>0</v>
          </cell>
          <cell r="J286">
            <v>0</v>
          </cell>
          <cell r="K286">
            <v>0</v>
          </cell>
          <cell r="L286">
            <v>0</v>
          </cell>
          <cell r="M286">
            <v>0</v>
          </cell>
          <cell r="N286">
            <v>0</v>
          </cell>
          <cell r="R286">
            <v>0</v>
          </cell>
          <cell r="S286">
            <v>0</v>
          </cell>
        </row>
        <row r="287">
          <cell r="B287" t="str">
            <v>Reducers - Flanged  (Bituminous/zinc coating</v>
          </cell>
          <cell r="F287">
            <v>0</v>
          </cell>
          <cell r="H287">
            <v>0</v>
          </cell>
          <cell r="I287">
            <v>0</v>
          </cell>
          <cell r="J287">
            <v>0</v>
          </cell>
          <cell r="K287">
            <v>0</v>
          </cell>
          <cell r="L287">
            <v>0</v>
          </cell>
          <cell r="M287">
            <v>0</v>
          </cell>
          <cell r="N287">
            <v>0</v>
          </cell>
          <cell r="R287">
            <v>0</v>
          </cell>
          <cell r="S287">
            <v>0</v>
          </cell>
        </row>
        <row r="288">
          <cell r="B288" t="str">
            <v>externally - Cement mortar internally)</v>
          </cell>
          <cell r="F288">
            <v>0</v>
          </cell>
          <cell r="H288">
            <v>0</v>
          </cell>
          <cell r="I288">
            <v>0</v>
          </cell>
          <cell r="J288">
            <v>0</v>
          </cell>
          <cell r="K288">
            <v>0</v>
          </cell>
          <cell r="L288">
            <v>0</v>
          </cell>
          <cell r="M288">
            <v>0</v>
          </cell>
          <cell r="N288">
            <v>0</v>
          </cell>
          <cell r="R288">
            <v>0</v>
          </cell>
          <cell r="S288">
            <v>0</v>
          </cell>
        </row>
        <row r="289">
          <cell r="F289">
            <v>0</v>
          </cell>
          <cell r="H289">
            <v>0</v>
          </cell>
          <cell r="I289">
            <v>0</v>
          </cell>
          <cell r="J289">
            <v>0</v>
          </cell>
          <cell r="K289">
            <v>0</v>
          </cell>
          <cell r="L289">
            <v>0</v>
          </cell>
          <cell r="M289">
            <v>0</v>
          </cell>
          <cell r="N289">
            <v>0</v>
          </cell>
          <cell r="R289">
            <v>0</v>
          </cell>
          <cell r="S289">
            <v>0</v>
          </cell>
        </row>
        <row r="290">
          <cell r="A290" t="str">
            <v>1.2.10.1</v>
          </cell>
          <cell r="B290" t="str">
            <v>800 x 500mm dia.</v>
          </cell>
          <cell r="C290">
            <v>2</v>
          </cell>
          <cell r="D290" t="str">
            <v>No.</v>
          </cell>
          <cell r="E290">
            <v>0.48</v>
          </cell>
          <cell r="F290">
            <v>0.96</v>
          </cell>
          <cell r="H290">
            <v>1.18</v>
          </cell>
          <cell r="I290">
            <v>2.36</v>
          </cell>
          <cell r="J290">
            <v>7.08</v>
          </cell>
          <cell r="K290">
            <v>7.08</v>
          </cell>
          <cell r="L290">
            <v>16.32</v>
          </cell>
          <cell r="M290">
            <v>13.15</v>
          </cell>
          <cell r="N290">
            <v>12.98</v>
          </cell>
          <cell r="R290">
            <v>56.61</v>
          </cell>
          <cell r="S290">
            <v>113.22</v>
          </cell>
        </row>
        <row r="291">
          <cell r="A291" t="str">
            <v>1.2.10.2</v>
          </cell>
          <cell r="B291" t="str">
            <v>500 x 400mm dia.</v>
          </cell>
          <cell r="C291">
            <v>4</v>
          </cell>
          <cell r="D291" t="str">
            <v>No.</v>
          </cell>
          <cell r="E291">
            <v>0.18</v>
          </cell>
          <cell r="F291">
            <v>0.72</v>
          </cell>
          <cell r="H291">
            <v>0.44</v>
          </cell>
          <cell r="I291">
            <v>1.76</v>
          </cell>
          <cell r="J291">
            <v>2.64</v>
          </cell>
          <cell r="K291">
            <v>2.64</v>
          </cell>
          <cell r="L291">
            <v>6.09</v>
          </cell>
          <cell r="M291">
            <v>4.9000000000000004</v>
          </cell>
          <cell r="N291">
            <v>4.84</v>
          </cell>
          <cell r="R291">
            <v>21.11</v>
          </cell>
          <cell r="S291">
            <v>84.44</v>
          </cell>
        </row>
        <row r="292">
          <cell r="A292" t="str">
            <v>1.2.10.3</v>
          </cell>
          <cell r="B292" t="str">
            <v>400 x 300mm dia.</v>
          </cell>
          <cell r="C292">
            <v>40</v>
          </cell>
          <cell r="D292" t="str">
            <v>No.</v>
          </cell>
          <cell r="E292">
            <v>0.08</v>
          </cell>
          <cell r="F292">
            <v>3.2</v>
          </cell>
          <cell r="H292">
            <v>0.2</v>
          </cell>
          <cell r="I292">
            <v>8</v>
          </cell>
          <cell r="J292">
            <v>1.2</v>
          </cell>
          <cell r="K292">
            <v>1.2</v>
          </cell>
          <cell r="L292">
            <v>2.77</v>
          </cell>
          <cell r="M292">
            <v>2.23</v>
          </cell>
          <cell r="N292">
            <v>2.2000000000000002</v>
          </cell>
          <cell r="R292">
            <v>9.6</v>
          </cell>
          <cell r="S292">
            <v>384</v>
          </cell>
        </row>
        <row r="293">
          <cell r="A293" t="str">
            <v>1.2.10.4</v>
          </cell>
          <cell r="B293" t="str">
            <v>300 x 200mm dia.</v>
          </cell>
          <cell r="C293">
            <v>19</v>
          </cell>
          <cell r="D293" t="str">
            <v>No.</v>
          </cell>
          <cell r="E293">
            <v>0.05</v>
          </cell>
          <cell r="F293">
            <v>0.95</v>
          </cell>
          <cell r="H293">
            <v>0.12</v>
          </cell>
          <cell r="I293">
            <v>2.2799999999999998</v>
          </cell>
          <cell r="J293">
            <v>0.72</v>
          </cell>
          <cell r="K293">
            <v>0.72</v>
          </cell>
          <cell r="L293">
            <v>1.66</v>
          </cell>
          <cell r="M293">
            <v>1.34</v>
          </cell>
          <cell r="N293">
            <v>1.32</v>
          </cell>
          <cell r="R293">
            <v>5.76</v>
          </cell>
          <cell r="S293">
            <v>109.44</v>
          </cell>
        </row>
        <row r="294">
          <cell r="A294" t="str">
            <v>1.2.10.5</v>
          </cell>
          <cell r="B294" t="str">
            <v>200 x 150mm dia.</v>
          </cell>
          <cell r="C294">
            <v>11</v>
          </cell>
          <cell r="D294" t="str">
            <v>No.</v>
          </cell>
          <cell r="E294">
            <v>0.02</v>
          </cell>
          <cell r="F294">
            <v>0.22</v>
          </cell>
          <cell r="H294">
            <v>0.05</v>
          </cell>
          <cell r="I294">
            <v>0.55000000000000004</v>
          </cell>
          <cell r="J294">
            <v>0.3</v>
          </cell>
          <cell r="K294">
            <v>0.3</v>
          </cell>
          <cell r="L294">
            <v>0.69</v>
          </cell>
          <cell r="M294">
            <v>0.56000000000000005</v>
          </cell>
          <cell r="N294">
            <v>0.55000000000000004</v>
          </cell>
          <cell r="R294">
            <v>2.4</v>
          </cell>
          <cell r="S294">
            <v>26.4</v>
          </cell>
        </row>
        <row r="295">
          <cell r="A295" t="str">
            <v>1.2.10.6</v>
          </cell>
          <cell r="B295" t="str">
            <v>200 x 100mm dia.</v>
          </cell>
          <cell r="C295">
            <v>2</v>
          </cell>
          <cell r="D295" t="str">
            <v>No.</v>
          </cell>
          <cell r="E295">
            <v>0.02</v>
          </cell>
          <cell r="F295">
            <v>0.04</v>
          </cell>
          <cell r="H295">
            <v>0.05</v>
          </cell>
          <cell r="I295">
            <v>0.1</v>
          </cell>
          <cell r="J295">
            <v>0.3</v>
          </cell>
          <cell r="K295">
            <v>0.3</v>
          </cell>
          <cell r="L295">
            <v>0.69</v>
          </cell>
          <cell r="M295">
            <v>0.56000000000000005</v>
          </cell>
          <cell r="N295">
            <v>0.55000000000000004</v>
          </cell>
          <cell r="R295">
            <v>2.4</v>
          </cell>
          <cell r="S295">
            <v>4.8</v>
          </cell>
        </row>
        <row r="296">
          <cell r="A296" t="str">
            <v>1.2.10.7</v>
          </cell>
          <cell r="B296" t="str">
            <v>150 x 100mm dia.</v>
          </cell>
          <cell r="C296">
            <v>2</v>
          </cell>
          <cell r="D296" t="str">
            <v>No.</v>
          </cell>
          <cell r="E296">
            <v>0.02</v>
          </cell>
          <cell r="F296">
            <v>0.04</v>
          </cell>
          <cell r="H296">
            <v>0.05</v>
          </cell>
          <cell r="I296">
            <v>0.1</v>
          </cell>
          <cell r="J296">
            <v>0.3</v>
          </cell>
          <cell r="K296">
            <v>0.3</v>
          </cell>
          <cell r="L296">
            <v>0.69</v>
          </cell>
          <cell r="M296">
            <v>0.56000000000000005</v>
          </cell>
          <cell r="N296">
            <v>0.55000000000000004</v>
          </cell>
          <cell r="R296">
            <v>2.4</v>
          </cell>
          <cell r="S296">
            <v>4.8</v>
          </cell>
        </row>
        <row r="297">
          <cell r="A297" t="str">
            <v>1.2.10.8</v>
          </cell>
          <cell r="B297" t="str">
            <v>100 x 80mm dia.</v>
          </cell>
          <cell r="C297">
            <v>1</v>
          </cell>
          <cell r="D297" t="str">
            <v>No.</v>
          </cell>
          <cell r="E297">
            <v>0.01</v>
          </cell>
          <cell r="F297">
            <v>0.01</v>
          </cell>
          <cell r="H297">
            <v>0.02</v>
          </cell>
          <cell r="I297">
            <v>0.02</v>
          </cell>
          <cell r="J297">
            <v>0.12</v>
          </cell>
          <cell r="K297">
            <v>0.12</v>
          </cell>
          <cell r="L297">
            <v>0.28000000000000003</v>
          </cell>
          <cell r="M297">
            <v>0.22</v>
          </cell>
          <cell r="N297">
            <v>0.22</v>
          </cell>
          <cell r="R297">
            <v>0.96</v>
          </cell>
          <cell r="S297">
            <v>0.96</v>
          </cell>
        </row>
        <row r="298">
          <cell r="F298">
            <v>0</v>
          </cell>
          <cell r="H298">
            <v>0</v>
          </cell>
          <cell r="I298">
            <v>0</v>
          </cell>
          <cell r="J298">
            <v>0</v>
          </cell>
          <cell r="K298">
            <v>0</v>
          </cell>
          <cell r="L298">
            <v>0</v>
          </cell>
          <cell r="M298">
            <v>0</v>
          </cell>
          <cell r="N298">
            <v>0</v>
          </cell>
          <cell r="R298">
            <v>0</v>
          </cell>
          <cell r="S298">
            <v>0</v>
          </cell>
        </row>
        <row r="299">
          <cell r="B299" t="str">
            <v>Reducers - Flanged (with Internal and External</v>
          </cell>
          <cell r="F299">
            <v>0</v>
          </cell>
          <cell r="H299">
            <v>0</v>
          </cell>
          <cell r="I299">
            <v>0</v>
          </cell>
          <cell r="J299">
            <v>0</v>
          </cell>
          <cell r="K299">
            <v>0</v>
          </cell>
          <cell r="L299">
            <v>0</v>
          </cell>
          <cell r="M299">
            <v>0</v>
          </cell>
          <cell r="N299">
            <v>0</v>
          </cell>
          <cell r="R299">
            <v>0</v>
          </cell>
          <cell r="S299">
            <v>0</v>
          </cell>
        </row>
        <row r="300">
          <cell r="B300" t="str">
            <v>Protection in Fusion Bonded Epoxy)</v>
          </cell>
          <cell r="F300">
            <v>0</v>
          </cell>
          <cell r="H300">
            <v>0</v>
          </cell>
          <cell r="I300">
            <v>0</v>
          </cell>
          <cell r="J300">
            <v>0</v>
          </cell>
          <cell r="K300">
            <v>0</v>
          </cell>
          <cell r="L300">
            <v>0</v>
          </cell>
          <cell r="M300">
            <v>0</v>
          </cell>
          <cell r="N300">
            <v>0</v>
          </cell>
          <cell r="R300">
            <v>0</v>
          </cell>
          <cell r="S300">
            <v>0</v>
          </cell>
        </row>
        <row r="301">
          <cell r="F301">
            <v>0</v>
          </cell>
          <cell r="H301">
            <v>0</v>
          </cell>
          <cell r="I301">
            <v>0</v>
          </cell>
          <cell r="J301">
            <v>0</v>
          </cell>
          <cell r="K301">
            <v>0</v>
          </cell>
          <cell r="L301">
            <v>0</v>
          </cell>
          <cell r="M301">
            <v>0</v>
          </cell>
          <cell r="N301">
            <v>0</v>
          </cell>
          <cell r="R301">
            <v>0</v>
          </cell>
          <cell r="S301">
            <v>0</v>
          </cell>
        </row>
        <row r="302">
          <cell r="A302" t="str">
            <v>1.2.11.1</v>
          </cell>
          <cell r="B302" t="str">
            <v>800 x 600mm dia.</v>
          </cell>
          <cell r="C302">
            <v>1</v>
          </cell>
          <cell r="D302" t="str">
            <v>No.</v>
          </cell>
          <cell r="E302">
            <v>0.37</v>
          </cell>
          <cell r="F302">
            <v>0.37</v>
          </cell>
          <cell r="H302">
            <v>0.91</v>
          </cell>
          <cell r="I302">
            <v>0.91</v>
          </cell>
          <cell r="J302">
            <v>5.46</v>
          </cell>
          <cell r="K302">
            <v>5.46</v>
          </cell>
          <cell r="L302">
            <v>12.59</v>
          </cell>
          <cell r="M302">
            <v>10.14</v>
          </cell>
          <cell r="N302">
            <v>10.01</v>
          </cell>
          <cell r="R302">
            <v>43.66</v>
          </cell>
          <cell r="S302">
            <v>43.66</v>
          </cell>
        </row>
        <row r="303">
          <cell r="A303" t="str">
            <v>1.2.11.2</v>
          </cell>
          <cell r="B303" t="str">
            <v>600 x 400mm dia.</v>
          </cell>
          <cell r="C303">
            <v>1</v>
          </cell>
          <cell r="D303" t="str">
            <v>No.</v>
          </cell>
          <cell r="E303">
            <v>0.21</v>
          </cell>
          <cell r="F303">
            <v>0.21</v>
          </cell>
          <cell r="H303">
            <v>0.52</v>
          </cell>
          <cell r="I303">
            <v>0.52</v>
          </cell>
          <cell r="J303">
            <v>3.12</v>
          </cell>
          <cell r="K303">
            <v>3.12</v>
          </cell>
          <cell r="L303">
            <v>7.19</v>
          </cell>
          <cell r="M303">
            <v>5.79</v>
          </cell>
          <cell r="N303">
            <v>5.72</v>
          </cell>
          <cell r="R303">
            <v>24.94</v>
          </cell>
          <cell r="S303">
            <v>24.94</v>
          </cell>
        </row>
        <row r="304">
          <cell r="A304" t="str">
            <v>1.2.11.3</v>
          </cell>
          <cell r="B304" t="str">
            <v>400 x 250mm dia.</v>
          </cell>
          <cell r="C304">
            <v>1</v>
          </cell>
          <cell r="D304" t="str">
            <v>No.</v>
          </cell>
          <cell r="E304">
            <v>0.08</v>
          </cell>
          <cell r="F304">
            <v>0.08</v>
          </cell>
          <cell r="H304">
            <v>0.2</v>
          </cell>
          <cell r="I304">
            <v>0.2</v>
          </cell>
          <cell r="J304">
            <v>1.2</v>
          </cell>
          <cell r="K304">
            <v>1.2</v>
          </cell>
          <cell r="L304">
            <v>2.77</v>
          </cell>
          <cell r="M304">
            <v>2.23</v>
          </cell>
          <cell r="N304">
            <v>2.2000000000000002</v>
          </cell>
          <cell r="R304">
            <v>9.6</v>
          </cell>
          <cell r="S304">
            <v>9.6</v>
          </cell>
        </row>
        <row r="305">
          <cell r="F305">
            <v>0</v>
          </cell>
          <cell r="H305">
            <v>0</v>
          </cell>
          <cell r="I305">
            <v>0</v>
          </cell>
          <cell r="J305">
            <v>0</v>
          </cell>
          <cell r="K305">
            <v>0</v>
          </cell>
          <cell r="L305">
            <v>0</v>
          </cell>
          <cell r="M305">
            <v>0</v>
          </cell>
          <cell r="N305">
            <v>0</v>
          </cell>
          <cell r="R305">
            <v>0</v>
          </cell>
          <cell r="S305">
            <v>0</v>
          </cell>
        </row>
        <row r="306">
          <cell r="B306" t="str">
            <v>Flanged Spigot Pieces (Bituminous/zinc coating</v>
          </cell>
          <cell r="F306">
            <v>0</v>
          </cell>
          <cell r="H306">
            <v>0</v>
          </cell>
          <cell r="I306">
            <v>0</v>
          </cell>
          <cell r="J306">
            <v>0</v>
          </cell>
          <cell r="K306">
            <v>0</v>
          </cell>
          <cell r="L306">
            <v>0</v>
          </cell>
          <cell r="M306">
            <v>0</v>
          </cell>
          <cell r="N306">
            <v>0</v>
          </cell>
          <cell r="R306">
            <v>0</v>
          </cell>
          <cell r="S306">
            <v>0</v>
          </cell>
        </row>
        <row r="307">
          <cell r="B307" t="str">
            <v>externally - Cement mortar internally)</v>
          </cell>
          <cell r="F307">
            <v>0</v>
          </cell>
          <cell r="H307">
            <v>0</v>
          </cell>
          <cell r="I307">
            <v>0</v>
          </cell>
          <cell r="J307">
            <v>0</v>
          </cell>
          <cell r="K307">
            <v>0</v>
          </cell>
          <cell r="L307">
            <v>0</v>
          </cell>
          <cell r="M307">
            <v>0</v>
          </cell>
          <cell r="N307">
            <v>0</v>
          </cell>
          <cell r="R307">
            <v>0</v>
          </cell>
          <cell r="S307">
            <v>0</v>
          </cell>
        </row>
        <row r="308">
          <cell r="F308">
            <v>0</v>
          </cell>
          <cell r="H308">
            <v>0</v>
          </cell>
          <cell r="I308">
            <v>0</v>
          </cell>
          <cell r="J308">
            <v>0</v>
          </cell>
          <cell r="K308">
            <v>0</v>
          </cell>
          <cell r="L308">
            <v>0</v>
          </cell>
          <cell r="M308">
            <v>0</v>
          </cell>
          <cell r="N308">
            <v>0</v>
          </cell>
          <cell r="R308">
            <v>0</v>
          </cell>
          <cell r="S308">
            <v>0</v>
          </cell>
        </row>
        <row r="309">
          <cell r="A309" t="str">
            <v>1.2.12.1</v>
          </cell>
          <cell r="B309" t="str">
            <v>800mm dia.</v>
          </cell>
          <cell r="C309">
            <v>2</v>
          </cell>
          <cell r="D309" t="str">
            <v>No.</v>
          </cell>
          <cell r="E309">
            <v>0.25</v>
          </cell>
          <cell r="F309">
            <v>0.5</v>
          </cell>
          <cell r="H309">
            <v>0.61</v>
          </cell>
          <cell r="I309">
            <v>1.22</v>
          </cell>
          <cell r="J309">
            <v>3.66</v>
          </cell>
          <cell r="K309">
            <v>3.66</v>
          </cell>
          <cell r="L309">
            <v>8.44</v>
          </cell>
          <cell r="M309">
            <v>6.8</v>
          </cell>
          <cell r="N309">
            <v>6.71</v>
          </cell>
          <cell r="R309">
            <v>29.27</v>
          </cell>
          <cell r="S309">
            <v>58.54</v>
          </cell>
        </row>
        <row r="310">
          <cell r="A310" t="str">
            <v>1.2.12.2</v>
          </cell>
          <cell r="B310" t="str">
            <v>500mm dia.</v>
          </cell>
          <cell r="C310">
            <v>3</v>
          </cell>
          <cell r="D310" t="str">
            <v>No.</v>
          </cell>
          <cell r="E310">
            <v>0.12</v>
          </cell>
          <cell r="F310">
            <v>0.36</v>
          </cell>
          <cell r="H310">
            <v>0.28999999999999998</v>
          </cell>
          <cell r="I310">
            <v>0.87</v>
          </cell>
          <cell r="J310">
            <v>1.74</v>
          </cell>
          <cell r="K310">
            <v>1.74</v>
          </cell>
          <cell r="L310">
            <v>4.01</v>
          </cell>
          <cell r="M310">
            <v>3.23</v>
          </cell>
          <cell r="N310">
            <v>3.19</v>
          </cell>
          <cell r="R310">
            <v>13.91</v>
          </cell>
          <cell r="S310">
            <v>41.73</v>
          </cell>
        </row>
        <row r="311">
          <cell r="A311" t="str">
            <v>1.2.12.3</v>
          </cell>
          <cell r="B311" t="str">
            <v>400mm dia.</v>
          </cell>
          <cell r="C311">
            <v>8</v>
          </cell>
          <cell r="D311" t="str">
            <v>No.</v>
          </cell>
          <cell r="E311">
            <v>7.0000000000000007E-2</v>
          </cell>
          <cell r="F311">
            <v>0.56000000000000005</v>
          </cell>
          <cell r="H311">
            <v>0.17</v>
          </cell>
          <cell r="I311">
            <v>1.36</v>
          </cell>
          <cell r="J311">
            <v>1.02</v>
          </cell>
          <cell r="K311">
            <v>1.02</v>
          </cell>
          <cell r="L311">
            <v>2.35</v>
          </cell>
          <cell r="M311">
            <v>1.89</v>
          </cell>
          <cell r="N311">
            <v>1.87</v>
          </cell>
          <cell r="R311">
            <v>8.15</v>
          </cell>
          <cell r="S311">
            <v>65.2</v>
          </cell>
        </row>
        <row r="312">
          <cell r="A312" t="str">
            <v>1.2.12.4</v>
          </cell>
          <cell r="B312" t="str">
            <v>300mm dia.</v>
          </cell>
          <cell r="C312">
            <v>6</v>
          </cell>
          <cell r="D312" t="str">
            <v>No.</v>
          </cell>
          <cell r="E312">
            <v>0.05</v>
          </cell>
          <cell r="F312">
            <v>0.3</v>
          </cell>
          <cell r="H312">
            <v>0.12</v>
          </cell>
          <cell r="I312">
            <v>0.72</v>
          </cell>
          <cell r="J312">
            <v>0.72</v>
          </cell>
          <cell r="K312">
            <v>0.72</v>
          </cell>
          <cell r="L312">
            <v>1.66</v>
          </cell>
          <cell r="M312">
            <v>1.34</v>
          </cell>
          <cell r="N312">
            <v>1.32</v>
          </cell>
          <cell r="R312">
            <v>5.76</v>
          </cell>
          <cell r="S312">
            <v>34.56</v>
          </cell>
        </row>
        <row r="313">
          <cell r="A313" t="str">
            <v>1.2.12.5</v>
          </cell>
          <cell r="B313" t="str">
            <v>200mm dia.</v>
          </cell>
          <cell r="C313">
            <v>40</v>
          </cell>
          <cell r="D313" t="str">
            <v>No.</v>
          </cell>
          <cell r="E313">
            <v>0.02</v>
          </cell>
          <cell r="F313">
            <v>0.8</v>
          </cell>
          <cell r="H313">
            <v>0.05</v>
          </cell>
          <cell r="I313">
            <v>2</v>
          </cell>
          <cell r="J313">
            <v>0.3</v>
          </cell>
          <cell r="K313">
            <v>0.3</v>
          </cell>
          <cell r="L313">
            <v>0.69</v>
          </cell>
          <cell r="M313">
            <v>0.56000000000000005</v>
          </cell>
          <cell r="N313">
            <v>0.55000000000000004</v>
          </cell>
          <cell r="R313">
            <v>2.4</v>
          </cell>
          <cell r="S313">
            <v>96</v>
          </cell>
        </row>
        <row r="314">
          <cell r="A314" t="str">
            <v>1.2.12.6</v>
          </cell>
          <cell r="B314" t="str">
            <v>150mm dia.</v>
          </cell>
          <cell r="C314">
            <v>30</v>
          </cell>
          <cell r="D314" t="str">
            <v>No.</v>
          </cell>
          <cell r="E314">
            <v>0.02</v>
          </cell>
          <cell r="F314">
            <v>0.6</v>
          </cell>
          <cell r="H314">
            <v>0.05</v>
          </cell>
          <cell r="I314">
            <v>1.5</v>
          </cell>
          <cell r="J314">
            <v>0.3</v>
          </cell>
          <cell r="K314">
            <v>0.3</v>
          </cell>
          <cell r="L314">
            <v>0.69</v>
          </cell>
          <cell r="M314">
            <v>0.56000000000000005</v>
          </cell>
          <cell r="N314">
            <v>0.55000000000000004</v>
          </cell>
          <cell r="R314">
            <v>2.4</v>
          </cell>
          <cell r="S314">
            <v>72</v>
          </cell>
        </row>
        <row r="315">
          <cell r="A315" t="str">
            <v>1.2.12.7</v>
          </cell>
          <cell r="B315" t="str">
            <v>100mm dia.</v>
          </cell>
          <cell r="C315">
            <v>92</v>
          </cell>
          <cell r="D315" t="str">
            <v>No.</v>
          </cell>
          <cell r="E315">
            <v>0.01</v>
          </cell>
          <cell r="F315">
            <v>0.92</v>
          </cell>
          <cell r="H315">
            <v>0.02</v>
          </cell>
          <cell r="I315">
            <v>1.84</v>
          </cell>
          <cell r="J315">
            <v>0.12</v>
          </cell>
          <cell r="K315">
            <v>0.12</v>
          </cell>
          <cell r="L315">
            <v>0.28000000000000003</v>
          </cell>
          <cell r="M315">
            <v>0.22</v>
          </cell>
          <cell r="N315">
            <v>0.22</v>
          </cell>
          <cell r="R315">
            <v>0.96</v>
          </cell>
          <cell r="S315">
            <v>88.32</v>
          </cell>
        </row>
        <row r="316">
          <cell r="F316">
            <v>0</v>
          </cell>
          <cell r="H316">
            <v>0</v>
          </cell>
          <cell r="I316">
            <v>0</v>
          </cell>
          <cell r="J316">
            <v>0</v>
          </cell>
          <cell r="K316">
            <v>0</v>
          </cell>
          <cell r="L316">
            <v>0</v>
          </cell>
          <cell r="M316">
            <v>0</v>
          </cell>
          <cell r="N316">
            <v>0</v>
          </cell>
          <cell r="R316">
            <v>0</v>
          </cell>
          <cell r="S316">
            <v>0</v>
          </cell>
        </row>
        <row r="317">
          <cell r="B317" t="str">
            <v>Flanged Spigot Pieces (with internal and external</v>
          </cell>
          <cell r="F317">
            <v>0</v>
          </cell>
          <cell r="H317">
            <v>0</v>
          </cell>
          <cell r="I317">
            <v>0</v>
          </cell>
          <cell r="J317">
            <v>0</v>
          </cell>
          <cell r="K317">
            <v>0</v>
          </cell>
          <cell r="L317">
            <v>0</v>
          </cell>
          <cell r="M317">
            <v>0</v>
          </cell>
          <cell r="N317">
            <v>0</v>
          </cell>
          <cell r="R317">
            <v>0</v>
          </cell>
          <cell r="S317">
            <v>0</v>
          </cell>
        </row>
        <row r="318">
          <cell r="B318" t="str">
            <v>protection in fusion bonded epoxy)</v>
          </cell>
          <cell r="F318">
            <v>0</v>
          </cell>
          <cell r="H318">
            <v>0</v>
          </cell>
          <cell r="I318">
            <v>0</v>
          </cell>
          <cell r="J318">
            <v>0</v>
          </cell>
          <cell r="K318">
            <v>0</v>
          </cell>
          <cell r="L318">
            <v>0</v>
          </cell>
          <cell r="M318">
            <v>0</v>
          </cell>
          <cell r="N318">
            <v>0</v>
          </cell>
          <cell r="R318">
            <v>0</v>
          </cell>
          <cell r="S318">
            <v>0</v>
          </cell>
        </row>
        <row r="319">
          <cell r="F319">
            <v>0</v>
          </cell>
          <cell r="H319">
            <v>0</v>
          </cell>
          <cell r="I319">
            <v>0</v>
          </cell>
          <cell r="J319">
            <v>0</v>
          </cell>
          <cell r="K319">
            <v>0</v>
          </cell>
          <cell r="L319">
            <v>0</v>
          </cell>
          <cell r="M319">
            <v>0</v>
          </cell>
          <cell r="N319">
            <v>0</v>
          </cell>
          <cell r="R319">
            <v>0</v>
          </cell>
          <cell r="S319">
            <v>0</v>
          </cell>
        </row>
        <row r="320">
          <cell r="A320" t="str">
            <v>1.2.13.1</v>
          </cell>
          <cell r="B320" t="str">
            <v>800mm dia.</v>
          </cell>
          <cell r="C320">
            <v>2</v>
          </cell>
          <cell r="D320" t="str">
            <v>No.</v>
          </cell>
          <cell r="E320">
            <v>0.25</v>
          </cell>
          <cell r="F320">
            <v>0.5</v>
          </cell>
          <cell r="H320">
            <v>0.61</v>
          </cell>
          <cell r="I320">
            <v>1.22</v>
          </cell>
          <cell r="J320">
            <v>3.66</v>
          </cell>
          <cell r="K320">
            <v>3.66</v>
          </cell>
          <cell r="L320">
            <v>8.44</v>
          </cell>
          <cell r="M320">
            <v>6.8</v>
          </cell>
          <cell r="N320">
            <v>6.71</v>
          </cell>
          <cell r="R320">
            <v>29.27</v>
          </cell>
          <cell r="S320">
            <v>58.54</v>
          </cell>
        </row>
        <row r="321">
          <cell r="A321" t="str">
            <v>1.2.13.2</v>
          </cell>
          <cell r="B321" t="str">
            <v>400mm dia.</v>
          </cell>
          <cell r="C321">
            <v>2</v>
          </cell>
          <cell r="D321" t="str">
            <v>No.</v>
          </cell>
          <cell r="E321">
            <v>7.0000000000000007E-2</v>
          </cell>
          <cell r="F321">
            <v>0.14000000000000001</v>
          </cell>
          <cell r="H321">
            <v>0.17</v>
          </cell>
          <cell r="I321">
            <v>0.34</v>
          </cell>
          <cell r="J321">
            <v>1.02</v>
          </cell>
          <cell r="K321">
            <v>1.02</v>
          </cell>
          <cell r="L321">
            <v>2.35</v>
          </cell>
          <cell r="M321">
            <v>1.89</v>
          </cell>
          <cell r="N321">
            <v>1.87</v>
          </cell>
          <cell r="R321">
            <v>8.15</v>
          </cell>
          <cell r="S321">
            <v>16.3</v>
          </cell>
        </row>
        <row r="322">
          <cell r="F322">
            <v>0</v>
          </cell>
          <cell r="H322">
            <v>0</v>
          </cell>
          <cell r="I322">
            <v>0</v>
          </cell>
          <cell r="J322">
            <v>0</v>
          </cell>
          <cell r="K322">
            <v>0</v>
          </cell>
          <cell r="L322">
            <v>0</v>
          </cell>
          <cell r="M322">
            <v>0</v>
          </cell>
          <cell r="N322">
            <v>0</v>
          </cell>
          <cell r="R322">
            <v>0</v>
          </cell>
          <cell r="S322">
            <v>0</v>
          </cell>
        </row>
        <row r="323">
          <cell r="B323" t="str">
            <v xml:space="preserve">Double Flanged Short Pipe Pieces (250 mm long) </v>
          </cell>
          <cell r="F323">
            <v>0</v>
          </cell>
          <cell r="H323">
            <v>0</v>
          </cell>
          <cell r="I323">
            <v>0</v>
          </cell>
          <cell r="J323">
            <v>0</v>
          </cell>
          <cell r="K323">
            <v>0</v>
          </cell>
          <cell r="L323">
            <v>0</v>
          </cell>
          <cell r="M323">
            <v>0</v>
          </cell>
          <cell r="N323">
            <v>0</v>
          </cell>
          <cell r="R323">
            <v>0</v>
          </cell>
          <cell r="S323">
            <v>0</v>
          </cell>
        </row>
        <row r="324">
          <cell r="B324" t="str">
            <v xml:space="preserve">(with internal and external protection in fusion </v>
          </cell>
          <cell r="F324">
            <v>0</v>
          </cell>
          <cell r="H324">
            <v>0</v>
          </cell>
          <cell r="I324">
            <v>0</v>
          </cell>
          <cell r="J324">
            <v>0</v>
          </cell>
          <cell r="K324">
            <v>0</v>
          </cell>
          <cell r="L324">
            <v>0</v>
          </cell>
          <cell r="M324">
            <v>0</v>
          </cell>
          <cell r="N324">
            <v>0</v>
          </cell>
          <cell r="R324">
            <v>0</v>
          </cell>
          <cell r="S324">
            <v>0</v>
          </cell>
        </row>
        <row r="325">
          <cell r="B325" t="str">
            <v>bonded epoxy)</v>
          </cell>
          <cell r="F325">
            <v>0</v>
          </cell>
          <cell r="H325">
            <v>0</v>
          </cell>
          <cell r="I325">
            <v>0</v>
          </cell>
          <cell r="J325">
            <v>0</v>
          </cell>
          <cell r="K325">
            <v>0</v>
          </cell>
          <cell r="L325">
            <v>0</v>
          </cell>
          <cell r="M325">
            <v>0</v>
          </cell>
          <cell r="N325">
            <v>0</v>
          </cell>
          <cell r="R325">
            <v>0</v>
          </cell>
          <cell r="S325">
            <v>0</v>
          </cell>
        </row>
        <row r="326">
          <cell r="F326">
            <v>0</v>
          </cell>
          <cell r="H326">
            <v>0</v>
          </cell>
          <cell r="I326">
            <v>0</v>
          </cell>
          <cell r="J326">
            <v>0</v>
          </cell>
          <cell r="K326">
            <v>0</v>
          </cell>
          <cell r="L326">
            <v>0</v>
          </cell>
          <cell r="M326">
            <v>0</v>
          </cell>
          <cell r="N326">
            <v>0</v>
          </cell>
          <cell r="R326">
            <v>0</v>
          </cell>
          <cell r="S326">
            <v>0</v>
          </cell>
        </row>
        <row r="327">
          <cell r="A327" t="str">
            <v>1.2.14.1</v>
          </cell>
          <cell r="B327" t="str">
            <v>200 mm dia.</v>
          </cell>
          <cell r="C327">
            <v>14</v>
          </cell>
          <cell r="D327" t="str">
            <v>No.</v>
          </cell>
          <cell r="E327">
            <v>0.03</v>
          </cell>
          <cell r="F327">
            <v>0.42</v>
          </cell>
          <cell r="H327">
            <v>7.0000000000000007E-2</v>
          </cell>
          <cell r="I327">
            <v>0.98</v>
          </cell>
          <cell r="J327">
            <v>0.42</v>
          </cell>
          <cell r="K327">
            <v>0.42</v>
          </cell>
          <cell r="L327">
            <v>0.97</v>
          </cell>
          <cell r="M327">
            <v>0.78</v>
          </cell>
          <cell r="N327">
            <v>0.77</v>
          </cell>
          <cell r="R327">
            <v>3.36</v>
          </cell>
          <cell r="S327">
            <v>47.04</v>
          </cell>
        </row>
        <row r="328">
          <cell r="A328" t="str">
            <v>1.2.14.2</v>
          </cell>
          <cell r="B328" t="str">
            <v>150 mm dia.</v>
          </cell>
          <cell r="C328">
            <v>34</v>
          </cell>
          <cell r="D328" t="str">
            <v>No.</v>
          </cell>
          <cell r="E328">
            <v>0.02</v>
          </cell>
          <cell r="F328">
            <v>0.68</v>
          </cell>
          <cell r="H328">
            <v>0.05</v>
          </cell>
          <cell r="I328">
            <v>1.7</v>
          </cell>
          <cell r="J328">
            <v>0.3</v>
          </cell>
          <cell r="K328">
            <v>0.3</v>
          </cell>
          <cell r="L328">
            <v>0.69</v>
          </cell>
          <cell r="M328">
            <v>0.56000000000000005</v>
          </cell>
          <cell r="N328">
            <v>0.55000000000000004</v>
          </cell>
          <cell r="R328">
            <v>2.4</v>
          </cell>
          <cell r="S328">
            <v>81.599999999999994</v>
          </cell>
        </row>
        <row r="329">
          <cell r="A329" t="str">
            <v>1.2.14.3</v>
          </cell>
          <cell r="B329" t="str">
            <v>100 mm dia.</v>
          </cell>
          <cell r="C329">
            <v>243</v>
          </cell>
          <cell r="D329" t="str">
            <v>No.</v>
          </cell>
          <cell r="E329">
            <v>0.01</v>
          </cell>
          <cell r="F329">
            <v>2.4300000000000002</v>
          </cell>
          <cell r="H329">
            <v>0.02</v>
          </cell>
          <cell r="I329">
            <v>4.8600000000000003</v>
          </cell>
          <cell r="J329">
            <v>0.12</v>
          </cell>
          <cell r="K329">
            <v>0.12</v>
          </cell>
          <cell r="L329">
            <v>0.28000000000000003</v>
          </cell>
          <cell r="M329">
            <v>0.22</v>
          </cell>
          <cell r="N329">
            <v>0.22</v>
          </cell>
          <cell r="R329">
            <v>0.96</v>
          </cell>
          <cell r="S329">
            <v>233.28</v>
          </cell>
        </row>
        <row r="330">
          <cell r="A330" t="str">
            <v>1.2.14.4</v>
          </cell>
          <cell r="B330" t="str">
            <v>80 mm dia.</v>
          </cell>
          <cell r="C330">
            <v>29</v>
          </cell>
          <cell r="D330" t="str">
            <v>No.</v>
          </cell>
          <cell r="E330">
            <v>0.01</v>
          </cell>
          <cell r="F330">
            <v>0.28999999999999998</v>
          </cell>
          <cell r="H330">
            <v>0.02</v>
          </cell>
          <cell r="I330">
            <v>0.57999999999999996</v>
          </cell>
          <cell r="J330">
            <v>0.12</v>
          </cell>
          <cell r="K330">
            <v>0.12</v>
          </cell>
          <cell r="L330">
            <v>0.28000000000000003</v>
          </cell>
          <cell r="M330">
            <v>0.22</v>
          </cell>
          <cell r="N330">
            <v>0.22</v>
          </cell>
          <cell r="R330">
            <v>0.96</v>
          </cell>
          <cell r="S330">
            <v>27.84</v>
          </cell>
        </row>
        <row r="331">
          <cell r="F331">
            <v>0</v>
          </cell>
          <cell r="H331">
            <v>0</v>
          </cell>
          <cell r="I331">
            <v>0</v>
          </cell>
          <cell r="J331">
            <v>0</v>
          </cell>
          <cell r="K331">
            <v>0</v>
          </cell>
          <cell r="L331">
            <v>0</v>
          </cell>
          <cell r="M331">
            <v>0</v>
          </cell>
          <cell r="N331">
            <v>0</v>
          </cell>
          <cell r="R331">
            <v>0</v>
          </cell>
          <cell r="S331">
            <v>0</v>
          </cell>
        </row>
        <row r="332">
          <cell r="B332" t="str">
            <v>Flanged Socket Pieces (Bituminous/zinc coating</v>
          </cell>
          <cell r="F332">
            <v>0</v>
          </cell>
          <cell r="H332">
            <v>0</v>
          </cell>
          <cell r="I332">
            <v>0</v>
          </cell>
          <cell r="J332">
            <v>0</v>
          </cell>
          <cell r="K332">
            <v>0</v>
          </cell>
          <cell r="L332">
            <v>0</v>
          </cell>
          <cell r="M332">
            <v>0</v>
          </cell>
          <cell r="N332">
            <v>0</v>
          </cell>
          <cell r="R332">
            <v>0</v>
          </cell>
          <cell r="S332">
            <v>0</v>
          </cell>
        </row>
        <row r="333">
          <cell r="B333" t="str">
            <v>externally - Cement mortar internally)</v>
          </cell>
          <cell r="F333">
            <v>0</v>
          </cell>
          <cell r="H333">
            <v>0</v>
          </cell>
          <cell r="I333">
            <v>0</v>
          </cell>
          <cell r="J333">
            <v>0</v>
          </cell>
          <cell r="K333">
            <v>0</v>
          </cell>
          <cell r="L333">
            <v>0</v>
          </cell>
          <cell r="M333">
            <v>0</v>
          </cell>
          <cell r="N333">
            <v>0</v>
          </cell>
          <cell r="R333">
            <v>0</v>
          </cell>
          <cell r="S333">
            <v>0</v>
          </cell>
        </row>
        <row r="334">
          <cell r="F334">
            <v>0</v>
          </cell>
          <cell r="H334">
            <v>0</v>
          </cell>
          <cell r="I334">
            <v>0</v>
          </cell>
          <cell r="J334">
            <v>0</v>
          </cell>
          <cell r="K334">
            <v>0</v>
          </cell>
          <cell r="L334">
            <v>0</v>
          </cell>
          <cell r="M334">
            <v>0</v>
          </cell>
          <cell r="N334">
            <v>0</v>
          </cell>
          <cell r="R334">
            <v>0</v>
          </cell>
          <cell r="S334">
            <v>0</v>
          </cell>
        </row>
        <row r="335">
          <cell r="A335" t="str">
            <v>1.2.15.1</v>
          </cell>
          <cell r="B335" t="str">
            <v>800mm dia.</v>
          </cell>
          <cell r="C335">
            <v>1</v>
          </cell>
          <cell r="D335" t="str">
            <v>No.</v>
          </cell>
          <cell r="E335">
            <v>0.21</v>
          </cell>
          <cell r="F335">
            <v>0.21</v>
          </cell>
          <cell r="H335">
            <v>0.52</v>
          </cell>
          <cell r="I335">
            <v>0.52</v>
          </cell>
          <cell r="J335">
            <v>3.12</v>
          </cell>
          <cell r="K335">
            <v>3.12</v>
          </cell>
          <cell r="L335">
            <v>7.19</v>
          </cell>
          <cell r="M335">
            <v>5.79</v>
          </cell>
          <cell r="N335">
            <v>5.72</v>
          </cell>
          <cell r="R335">
            <v>24.94</v>
          </cell>
          <cell r="S335">
            <v>24.94</v>
          </cell>
        </row>
        <row r="336">
          <cell r="A336" t="str">
            <v>1.2.15.2</v>
          </cell>
          <cell r="B336" t="str">
            <v>500mm dia.</v>
          </cell>
          <cell r="C336">
            <v>1</v>
          </cell>
          <cell r="D336" t="str">
            <v>No.</v>
          </cell>
          <cell r="E336">
            <v>0.11</v>
          </cell>
          <cell r="F336">
            <v>0.11</v>
          </cell>
          <cell r="H336">
            <v>0.27</v>
          </cell>
          <cell r="I336">
            <v>0.27</v>
          </cell>
          <cell r="J336">
            <v>1.62</v>
          </cell>
          <cell r="K336">
            <v>1.62</v>
          </cell>
          <cell r="L336">
            <v>3.73</v>
          </cell>
          <cell r="M336">
            <v>3.01</v>
          </cell>
          <cell r="N336">
            <v>2.97</v>
          </cell>
          <cell r="R336">
            <v>12.95</v>
          </cell>
          <cell r="S336">
            <v>12.95</v>
          </cell>
        </row>
        <row r="337">
          <cell r="A337" t="str">
            <v>1.2.15.3</v>
          </cell>
          <cell r="B337" t="str">
            <v>400mm dia.</v>
          </cell>
          <cell r="C337">
            <v>28</v>
          </cell>
          <cell r="D337" t="str">
            <v>No.</v>
          </cell>
          <cell r="E337">
            <v>7.0000000000000007E-2</v>
          </cell>
          <cell r="F337">
            <v>1.96</v>
          </cell>
          <cell r="H337">
            <v>0.17</v>
          </cell>
          <cell r="I337">
            <v>4.76</v>
          </cell>
          <cell r="J337">
            <v>1.02</v>
          </cell>
          <cell r="K337">
            <v>1.02</v>
          </cell>
          <cell r="L337">
            <v>2.35</v>
          </cell>
          <cell r="M337">
            <v>1.89</v>
          </cell>
          <cell r="N337">
            <v>1.87</v>
          </cell>
          <cell r="R337">
            <v>8.15</v>
          </cell>
          <cell r="S337">
            <v>228.2</v>
          </cell>
        </row>
        <row r="338">
          <cell r="A338" t="str">
            <v>1.2.15.4</v>
          </cell>
          <cell r="B338" t="str">
            <v>300mm dia.</v>
          </cell>
          <cell r="C338">
            <v>11</v>
          </cell>
          <cell r="D338" t="str">
            <v>No.</v>
          </cell>
          <cell r="E338">
            <v>0.04</v>
          </cell>
          <cell r="F338">
            <v>0.44</v>
          </cell>
          <cell r="H338">
            <v>0.1</v>
          </cell>
          <cell r="I338">
            <v>1.1000000000000001</v>
          </cell>
          <cell r="J338">
            <v>0.6</v>
          </cell>
          <cell r="K338">
            <v>0.6</v>
          </cell>
          <cell r="L338">
            <v>1.38</v>
          </cell>
          <cell r="M338">
            <v>1.1100000000000001</v>
          </cell>
          <cell r="N338">
            <v>1.1000000000000001</v>
          </cell>
          <cell r="R338">
            <v>4.79</v>
          </cell>
          <cell r="S338">
            <v>52.69</v>
          </cell>
        </row>
        <row r="339">
          <cell r="A339" t="str">
            <v>1.2.15.5</v>
          </cell>
          <cell r="B339" t="str">
            <v>200mm dia.</v>
          </cell>
          <cell r="C339">
            <v>4</v>
          </cell>
          <cell r="D339" t="str">
            <v>No.</v>
          </cell>
          <cell r="E339">
            <v>0.02</v>
          </cell>
          <cell r="F339">
            <v>0.08</v>
          </cell>
          <cell r="H339">
            <v>0.05</v>
          </cell>
          <cell r="I339">
            <v>0.2</v>
          </cell>
          <cell r="J339">
            <v>0.3</v>
          </cell>
          <cell r="K339">
            <v>0.3</v>
          </cell>
          <cell r="L339">
            <v>0.69</v>
          </cell>
          <cell r="M339">
            <v>0.56000000000000005</v>
          </cell>
          <cell r="N339">
            <v>0.55000000000000004</v>
          </cell>
          <cell r="R339">
            <v>2.4</v>
          </cell>
          <cell r="S339">
            <v>9.6</v>
          </cell>
        </row>
        <row r="340">
          <cell r="A340" t="str">
            <v>1.2.15.6</v>
          </cell>
          <cell r="B340" t="str">
            <v>150mm dia.</v>
          </cell>
          <cell r="C340">
            <v>7</v>
          </cell>
          <cell r="D340" t="str">
            <v>No.</v>
          </cell>
          <cell r="E340">
            <v>0.02</v>
          </cell>
          <cell r="F340">
            <v>0.14000000000000001</v>
          </cell>
          <cell r="H340">
            <v>0.05</v>
          </cell>
          <cell r="I340">
            <v>0.35</v>
          </cell>
          <cell r="J340">
            <v>0.3</v>
          </cell>
          <cell r="K340">
            <v>0.3</v>
          </cell>
          <cell r="L340">
            <v>0.69</v>
          </cell>
          <cell r="M340">
            <v>0.56000000000000005</v>
          </cell>
          <cell r="N340">
            <v>0.55000000000000004</v>
          </cell>
          <cell r="R340">
            <v>2.4</v>
          </cell>
          <cell r="S340">
            <v>16.8</v>
          </cell>
        </row>
        <row r="341">
          <cell r="A341" t="str">
            <v>1.2.15.7</v>
          </cell>
          <cell r="B341" t="str">
            <v>100mm dia.</v>
          </cell>
          <cell r="C341">
            <v>81</v>
          </cell>
          <cell r="D341" t="str">
            <v>No.</v>
          </cell>
          <cell r="E341">
            <v>0.01</v>
          </cell>
          <cell r="F341">
            <v>0.81</v>
          </cell>
          <cell r="H341">
            <v>0.02</v>
          </cell>
          <cell r="I341">
            <v>1.62</v>
          </cell>
          <cell r="J341">
            <v>0.12</v>
          </cell>
          <cell r="K341">
            <v>0.12</v>
          </cell>
          <cell r="L341">
            <v>0.28000000000000003</v>
          </cell>
          <cell r="M341">
            <v>0.22</v>
          </cell>
          <cell r="N341">
            <v>0.22</v>
          </cell>
          <cell r="R341">
            <v>0.96</v>
          </cell>
          <cell r="S341">
            <v>77.760000000000005</v>
          </cell>
        </row>
        <row r="342">
          <cell r="A342" t="str">
            <v>1.2.15.8</v>
          </cell>
          <cell r="B342" t="str">
            <v>80mm dia.</v>
          </cell>
          <cell r="C342">
            <v>11</v>
          </cell>
          <cell r="D342" t="str">
            <v>No.</v>
          </cell>
          <cell r="E342">
            <v>0.01</v>
          </cell>
          <cell r="F342">
            <v>0.11</v>
          </cell>
          <cell r="H342">
            <v>0.02</v>
          </cell>
          <cell r="I342">
            <v>0.22</v>
          </cell>
          <cell r="J342">
            <v>0.12</v>
          </cell>
          <cell r="K342">
            <v>0.12</v>
          </cell>
          <cell r="L342">
            <v>0.28000000000000003</v>
          </cell>
          <cell r="M342">
            <v>0.22</v>
          </cell>
          <cell r="N342">
            <v>0.22</v>
          </cell>
          <cell r="R342">
            <v>0.96</v>
          </cell>
          <cell r="S342">
            <v>10.56</v>
          </cell>
        </row>
        <row r="343">
          <cell r="F343">
            <v>0</v>
          </cell>
          <cell r="H343">
            <v>0</v>
          </cell>
          <cell r="I343">
            <v>0</v>
          </cell>
          <cell r="J343">
            <v>0</v>
          </cell>
          <cell r="K343">
            <v>0</v>
          </cell>
          <cell r="L343">
            <v>0</v>
          </cell>
          <cell r="M343">
            <v>0</v>
          </cell>
          <cell r="N343">
            <v>0</v>
          </cell>
          <cell r="R343">
            <v>0</v>
          </cell>
          <cell r="S343">
            <v>0</v>
          </cell>
        </row>
        <row r="344">
          <cell r="B344" t="str">
            <v>Flanged Socket Pieces (with internal and external</v>
          </cell>
          <cell r="F344">
            <v>0</v>
          </cell>
          <cell r="H344">
            <v>0</v>
          </cell>
          <cell r="I344">
            <v>0</v>
          </cell>
          <cell r="J344">
            <v>0</v>
          </cell>
          <cell r="K344">
            <v>0</v>
          </cell>
          <cell r="L344">
            <v>0</v>
          </cell>
          <cell r="M344">
            <v>0</v>
          </cell>
          <cell r="N344">
            <v>0</v>
          </cell>
          <cell r="R344">
            <v>0</v>
          </cell>
          <cell r="S344">
            <v>0</v>
          </cell>
        </row>
        <row r="345">
          <cell r="B345" t="str">
            <v>protection in fusion bonded epoxy)</v>
          </cell>
          <cell r="F345">
            <v>0</v>
          </cell>
          <cell r="H345">
            <v>0</v>
          </cell>
          <cell r="I345">
            <v>0</v>
          </cell>
          <cell r="J345">
            <v>0</v>
          </cell>
          <cell r="K345">
            <v>0</v>
          </cell>
          <cell r="L345">
            <v>0</v>
          </cell>
          <cell r="M345">
            <v>0</v>
          </cell>
          <cell r="N345">
            <v>0</v>
          </cell>
          <cell r="R345">
            <v>0</v>
          </cell>
          <cell r="S345">
            <v>0</v>
          </cell>
        </row>
        <row r="346">
          <cell r="F346">
            <v>0</v>
          </cell>
          <cell r="H346">
            <v>0</v>
          </cell>
          <cell r="I346">
            <v>0</v>
          </cell>
          <cell r="J346">
            <v>0</v>
          </cell>
          <cell r="K346">
            <v>0</v>
          </cell>
          <cell r="L346">
            <v>0</v>
          </cell>
          <cell r="M346">
            <v>0</v>
          </cell>
          <cell r="N346">
            <v>0</v>
          </cell>
          <cell r="R346">
            <v>0</v>
          </cell>
          <cell r="S346">
            <v>0</v>
          </cell>
        </row>
        <row r="347">
          <cell r="A347" t="str">
            <v>1.2.16</v>
          </cell>
          <cell r="B347" t="str">
            <v>800mm dia.</v>
          </cell>
          <cell r="C347">
            <v>1</v>
          </cell>
          <cell r="D347" t="str">
            <v>No.</v>
          </cell>
          <cell r="E347">
            <v>0.21</v>
          </cell>
          <cell r="F347">
            <v>0.21</v>
          </cell>
          <cell r="H347">
            <v>0.52</v>
          </cell>
          <cell r="I347">
            <v>0.52</v>
          </cell>
          <cell r="J347">
            <v>3.12</v>
          </cell>
          <cell r="K347">
            <v>3.12</v>
          </cell>
          <cell r="L347">
            <v>7.19</v>
          </cell>
          <cell r="M347">
            <v>5.79</v>
          </cell>
          <cell r="N347">
            <v>5.72</v>
          </cell>
          <cell r="R347">
            <v>24.94</v>
          </cell>
          <cell r="S347">
            <v>24.94</v>
          </cell>
        </row>
        <row r="348">
          <cell r="F348">
            <v>0</v>
          </cell>
          <cell r="H348">
            <v>0</v>
          </cell>
          <cell r="I348">
            <v>0</v>
          </cell>
          <cell r="J348">
            <v>0</v>
          </cell>
          <cell r="K348">
            <v>0</v>
          </cell>
          <cell r="L348">
            <v>0</v>
          </cell>
          <cell r="M348">
            <v>0</v>
          </cell>
          <cell r="N348">
            <v>0</v>
          </cell>
          <cell r="R348">
            <v>0</v>
          </cell>
          <cell r="S348">
            <v>0</v>
          </cell>
        </row>
        <row r="349">
          <cell r="B349" t="str">
            <v>Flanged Spigot Pieces with Factory Cast</v>
          </cell>
          <cell r="F349">
            <v>0</v>
          </cell>
          <cell r="H349">
            <v>0</v>
          </cell>
          <cell r="I349">
            <v>0</v>
          </cell>
          <cell r="J349">
            <v>0</v>
          </cell>
          <cell r="K349">
            <v>0</v>
          </cell>
          <cell r="L349">
            <v>0</v>
          </cell>
          <cell r="M349">
            <v>0</v>
          </cell>
          <cell r="N349">
            <v>0</v>
          </cell>
          <cell r="R349">
            <v>0</v>
          </cell>
          <cell r="S349">
            <v>0</v>
          </cell>
        </row>
        <row r="350">
          <cell r="B350" t="str">
            <v>or Welded Thrust Flanges for Chambers as shown</v>
          </cell>
          <cell r="F350">
            <v>0</v>
          </cell>
          <cell r="H350">
            <v>0</v>
          </cell>
          <cell r="I350">
            <v>0</v>
          </cell>
          <cell r="J350">
            <v>0</v>
          </cell>
          <cell r="K350">
            <v>0</v>
          </cell>
          <cell r="L350">
            <v>0</v>
          </cell>
          <cell r="M350">
            <v>0</v>
          </cell>
          <cell r="N350">
            <v>0</v>
          </cell>
          <cell r="R350">
            <v>0</v>
          </cell>
          <cell r="S350">
            <v>0</v>
          </cell>
        </row>
        <row r="351">
          <cell r="B351" t="str">
            <v xml:space="preserve">on the drawings (with internal and external protection in </v>
          </cell>
          <cell r="F351">
            <v>0</v>
          </cell>
          <cell r="H351">
            <v>0</v>
          </cell>
          <cell r="I351">
            <v>0</v>
          </cell>
          <cell r="J351">
            <v>0</v>
          </cell>
          <cell r="K351">
            <v>0</v>
          </cell>
          <cell r="L351">
            <v>0</v>
          </cell>
          <cell r="M351">
            <v>0</v>
          </cell>
          <cell r="N351">
            <v>0</v>
          </cell>
          <cell r="R351">
            <v>0</v>
          </cell>
          <cell r="S351">
            <v>0</v>
          </cell>
        </row>
        <row r="352">
          <cell r="B352" t="str">
            <v>fusion bonded epoxy)</v>
          </cell>
          <cell r="F352">
            <v>0</v>
          </cell>
          <cell r="H352">
            <v>0</v>
          </cell>
          <cell r="I352">
            <v>0</v>
          </cell>
          <cell r="J352">
            <v>0</v>
          </cell>
          <cell r="K352">
            <v>0</v>
          </cell>
          <cell r="L352">
            <v>0</v>
          </cell>
          <cell r="M352">
            <v>0</v>
          </cell>
          <cell r="N352">
            <v>0</v>
          </cell>
          <cell r="R352">
            <v>0</v>
          </cell>
          <cell r="S352">
            <v>0</v>
          </cell>
        </row>
        <row r="353">
          <cell r="F353">
            <v>0</v>
          </cell>
          <cell r="H353">
            <v>0</v>
          </cell>
          <cell r="I353">
            <v>0</v>
          </cell>
          <cell r="J353">
            <v>0</v>
          </cell>
          <cell r="K353">
            <v>0</v>
          </cell>
          <cell r="L353">
            <v>0</v>
          </cell>
          <cell r="M353">
            <v>0</v>
          </cell>
          <cell r="N353">
            <v>0</v>
          </cell>
          <cell r="R353">
            <v>0</v>
          </cell>
          <cell r="S353">
            <v>0</v>
          </cell>
        </row>
        <row r="354">
          <cell r="A354" t="str">
            <v>1.2.17.1</v>
          </cell>
          <cell r="B354" t="str">
            <v>800mm dia.</v>
          </cell>
          <cell r="C354">
            <v>8</v>
          </cell>
          <cell r="D354" t="str">
            <v>No.</v>
          </cell>
          <cell r="E354">
            <v>0.56000000000000005</v>
          </cell>
          <cell r="F354">
            <v>4.4800000000000004</v>
          </cell>
          <cell r="H354">
            <v>1.38</v>
          </cell>
          <cell r="I354">
            <v>11.04</v>
          </cell>
          <cell r="J354">
            <v>8.2799999999999994</v>
          </cell>
          <cell r="K354">
            <v>8.2799999999999994</v>
          </cell>
          <cell r="L354">
            <v>19.09</v>
          </cell>
          <cell r="M354">
            <v>15.37</v>
          </cell>
          <cell r="N354">
            <v>15.18</v>
          </cell>
          <cell r="R354">
            <v>66.2</v>
          </cell>
          <cell r="S354">
            <v>529.6</v>
          </cell>
        </row>
        <row r="355">
          <cell r="A355" t="str">
            <v>1.2.17.2</v>
          </cell>
          <cell r="B355" t="str">
            <v>500mm dia.</v>
          </cell>
          <cell r="C355">
            <v>4</v>
          </cell>
          <cell r="D355" t="str">
            <v>No.</v>
          </cell>
          <cell r="E355">
            <v>0.21</v>
          </cell>
          <cell r="F355">
            <v>0.84</v>
          </cell>
          <cell r="H355">
            <v>0.52</v>
          </cell>
          <cell r="I355">
            <v>2.08</v>
          </cell>
          <cell r="J355">
            <v>3.12</v>
          </cell>
          <cell r="K355">
            <v>3.12</v>
          </cell>
          <cell r="L355">
            <v>7.19</v>
          </cell>
          <cell r="M355">
            <v>5.79</v>
          </cell>
          <cell r="N355">
            <v>5.72</v>
          </cell>
          <cell r="R355">
            <v>24.94</v>
          </cell>
          <cell r="S355">
            <v>99.76</v>
          </cell>
        </row>
        <row r="356">
          <cell r="A356" t="str">
            <v>1.2.17.3</v>
          </cell>
          <cell r="B356" t="str">
            <v>400mm dia.</v>
          </cell>
          <cell r="C356">
            <v>23</v>
          </cell>
          <cell r="D356" t="str">
            <v>No.</v>
          </cell>
          <cell r="E356">
            <v>0.15</v>
          </cell>
          <cell r="F356">
            <v>3.45</v>
          </cell>
          <cell r="H356">
            <v>0.37</v>
          </cell>
          <cell r="I356">
            <v>8.51</v>
          </cell>
          <cell r="J356">
            <v>2.2200000000000002</v>
          </cell>
          <cell r="K356">
            <v>2.2200000000000002</v>
          </cell>
          <cell r="L356">
            <v>5.12</v>
          </cell>
          <cell r="M356">
            <v>4.12</v>
          </cell>
          <cell r="N356">
            <v>4.07</v>
          </cell>
          <cell r="R356">
            <v>17.75</v>
          </cell>
          <cell r="S356">
            <v>408.25</v>
          </cell>
        </row>
        <row r="357">
          <cell r="A357" t="str">
            <v>1.2.17.4</v>
          </cell>
          <cell r="B357" t="str">
            <v>300mm dia.</v>
          </cell>
          <cell r="C357">
            <v>36</v>
          </cell>
          <cell r="D357" t="str">
            <v>No.</v>
          </cell>
          <cell r="E357">
            <v>0.09</v>
          </cell>
          <cell r="F357">
            <v>3.24</v>
          </cell>
          <cell r="H357">
            <v>0.22</v>
          </cell>
          <cell r="I357">
            <v>7.92</v>
          </cell>
          <cell r="J357">
            <v>1.32</v>
          </cell>
          <cell r="K357">
            <v>1.32</v>
          </cell>
          <cell r="L357">
            <v>3.04</v>
          </cell>
          <cell r="M357">
            <v>2.4500000000000002</v>
          </cell>
          <cell r="N357">
            <v>2.42</v>
          </cell>
          <cell r="R357">
            <v>10.55</v>
          </cell>
          <cell r="S357">
            <v>379.8</v>
          </cell>
        </row>
        <row r="358">
          <cell r="A358" t="str">
            <v>1.2.17.5</v>
          </cell>
          <cell r="B358" t="str">
            <v>200mm dia.</v>
          </cell>
          <cell r="C358">
            <v>47</v>
          </cell>
          <cell r="D358" t="str">
            <v>No.</v>
          </cell>
          <cell r="E358">
            <v>0.04</v>
          </cell>
          <cell r="F358">
            <v>1.88</v>
          </cell>
          <cell r="H358">
            <v>0.1</v>
          </cell>
          <cell r="I358">
            <v>4.7</v>
          </cell>
          <cell r="J358">
            <v>0.6</v>
          </cell>
          <cell r="K358">
            <v>0.6</v>
          </cell>
          <cell r="L358">
            <v>1.38</v>
          </cell>
          <cell r="M358">
            <v>1.1100000000000001</v>
          </cell>
          <cell r="N358">
            <v>1.1000000000000001</v>
          </cell>
          <cell r="R358">
            <v>4.79</v>
          </cell>
          <cell r="S358">
            <v>225.13</v>
          </cell>
        </row>
        <row r="359">
          <cell r="A359" t="str">
            <v>1.2.17.6</v>
          </cell>
          <cell r="B359" t="str">
            <v>150mm dia.</v>
          </cell>
          <cell r="C359">
            <v>35</v>
          </cell>
          <cell r="D359" t="str">
            <v>No.</v>
          </cell>
          <cell r="E359">
            <v>0.03</v>
          </cell>
          <cell r="F359">
            <v>1.05</v>
          </cell>
          <cell r="H359">
            <v>7.0000000000000007E-2</v>
          </cell>
          <cell r="I359">
            <v>2.4500000000000002</v>
          </cell>
          <cell r="J359">
            <v>0.42</v>
          </cell>
          <cell r="K359">
            <v>0.42</v>
          </cell>
          <cell r="L359">
            <v>0.97</v>
          </cell>
          <cell r="M359">
            <v>0.78</v>
          </cell>
          <cell r="N359">
            <v>0.77</v>
          </cell>
          <cell r="R359">
            <v>3.36</v>
          </cell>
          <cell r="S359">
            <v>117.6</v>
          </cell>
        </row>
        <row r="360">
          <cell r="A360" t="str">
            <v>1.2.17.7</v>
          </cell>
          <cell r="B360" t="str">
            <v>100mm dia.</v>
          </cell>
          <cell r="C360">
            <v>2</v>
          </cell>
          <cell r="D360" t="str">
            <v>No.</v>
          </cell>
          <cell r="E360">
            <v>0.02</v>
          </cell>
          <cell r="F360">
            <v>0.04</v>
          </cell>
          <cell r="H360">
            <v>0.05</v>
          </cell>
          <cell r="I360">
            <v>0.1</v>
          </cell>
          <cell r="J360">
            <v>0.3</v>
          </cell>
          <cell r="K360">
            <v>0.3</v>
          </cell>
          <cell r="L360">
            <v>0.69</v>
          </cell>
          <cell r="M360">
            <v>0.56000000000000005</v>
          </cell>
          <cell r="N360">
            <v>0.55000000000000004</v>
          </cell>
          <cell r="R360">
            <v>2.4</v>
          </cell>
          <cell r="S360">
            <v>4.8</v>
          </cell>
        </row>
        <row r="361">
          <cell r="A361" t="str">
            <v>1.2.17.8</v>
          </cell>
          <cell r="B361" t="str">
            <v>80mm dia.</v>
          </cell>
          <cell r="C361">
            <v>22</v>
          </cell>
          <cell r="D361" t="str">
            <v>No.</v>
          </cell>
          <cell r="E361">
            <v>0.02</v>
          </cell>
          <cell r="F361">
            <v>0.44</v>
          </cell>
          <cell r="H361">
            <v>0.05</v>
          </cell>
          <cell r="I361">
            <v>1.1000000000000001</v>
          </cell>
          <cell r="J361">
            <v>0.3</v>
          </cell>
          <cell r="K361">
            <v>0.3</v>
          </cell>
          <cell r="L361">
            <v>0.69</v>
          </cell>
          <cell r="M361">
            <v>0.56000000000000005</v>
          </cell>
          <cell r="N361">
            <v>0.55000000000000004</v>
          </cell>
          <cell r="R361">
            <v>2.4</v>
          </cell>
          <cell r="S361">
            <v>52.8</v>
          </cell>
        </row>
        <row r="362">
          <cell r="F362">
            <v>0</v>
          </cell>
          <cell r="H362">
            <v>0</v>
          </cell>
          <cell r="I362">
            <v>0</v>
          </cell>
          <cell r="J362">
            <v>0</v>
          </cell>
          <cell r="K362">
            <v>0</v>
          </cell>
          <cell r="L362">
            <v>0</v>
          </cell>
          <cell r="M362">
            <v>0</v>
          </cell>
          <cell r="N362">
            <v>0</v>
          </cell>
          <cell r="R362">
            <v>0</v>
          </cell>
          <cell r="S362">
            <v>0</v>
          </cell>
        </row>
        <row r="363">
          <cell r="B363" t="str">
            <v>Double Flanged Pieces with Factory Cast</v>
          </cell>
          <cell r="F363">
            <v>0</v>
          </cell>
          <cell r="H363">
            <v>0</v>
          </cell>
          <cell r="I363">
            <v>0</v>
          </cell>
          <cell r="J363">
            <v>0</v>
          </cell>
          <cell r="K363">
            <v>0</v>
          </cell>
          <cell r="L363">
            <v>0</v>
          </cell>
          <cell r="M363">
            <v>0</v>
          </cell>
          <cell r="N363">
            <v>0</v>
          </cell>
          <cell r="R363">
            <v>0</v>
          </cell>
          <cell r="S363">
            <v>0</v>
          </cell>
        </row>
        <row r="364">
          <cell r="B364" t="str">
            <v>or Welded Thrust Flanges for Chambers as shown</v>
          </cell>
          <cell r="F364">
            <v>0</v>
          </cell>
          <cell r="H364">
            <v>0</v>
          </cell>
          <cell r="I364">
            <v>0</v>
          </cell>
          <cell r="J364">
            <v>0</v>
          </cell>
          <cell r="K364">
            <v>0</v>
          </cell>
          <cell r="L364">
            <v>0</v>
          </cell>
          <cell r="M364">
            <v>0</v>
          </cell>
          <cell r="N364">
            <v>0</v>
          </cell>
          <cell r="R364">
            <v>0</v>
          </cell>
          <cell r="S364">
            <v>0</v>
          </cell>
        </row>
        <row r="365">
          <cell r="B365" t="str">
            <v xml:space="preserve">on the drawings (with internal and external protection in </v>
          </cell>
          <cell r="F365">
            <v>0</v>
          </cell>
          <cell r="H365">
            <v>0</v>
          </cell>
          <cell r="I365">
            <v>0</v>
          </cell>
          <cell r="J365">
            <v>0</v>
          </cell>
          <cell r="K365">
            <v>0</v>
          </cell>
          <cell r="L365">
            <v>0</v>
          </cell>
          <cell r="M365">
            <v>0</v>
          </cell>
          <cell r="N365">
            <v>0</v>
          </cell>
          <cell r="R365">
            <v>0</v>
          </cell>
          <cell r="S365">
            <v>0</v>
          </cell>
        </row>
        <row r="366">
          <cell r="B366" t="str">
            <v>fusion bonded epoxy)</v>
          </cell>
          <cell r="F366">
            <v>0</v>
          </cell>
          <cell r="H366">
            <v>0</v>
          </cell>
          <cell r="I366">
            <v>0</v>
          </cell>
          <cell r="J366">
            <v>0</v>
          </cell>
          <cell r="K366">
            <v>0</v>
          </cell>
          <cell r="L366">
            <v>0</v>
          </cell>
          <cell r="M366">
            <v>0</v>
          </cell>
          <cell r="N366">
            <v>0</v>
          </cell>
          <cell r="R366">
            <v>0</v>
          </cell>
          <cell r="S366">
            <v>0</v>
          </cell>
        </row>
        <row r="367">
          <cell r="F367">
            <v>0</v>
          </cell>
          <cell r="H367">
            <v>0</v>
          </cell>
          <cell r="I367">
            <v>0</v>
          </cell>
          <cell r="J367">
            <v>0</v>
          </cell>
          <cell r="K367">
            <v>0</v>
          </cell>
          <cell r="L367">
            <v>0</v>
          </cell>
          <cell r="M367">
            <v>0</v>
          </cell>
          <cell r="N367">
            <v>0</v>
          </cell>
          <cell r="R367">
            <v>0</v>
          </cell>
          <cell r="S367">
            <v>0</v>
          </cell>
        </row>
        <row r="368">
          <cell r="A368" t="str">
            <v>1.2.18.1</v>
          </cell>
          <cell r="B368" t="str">
            <v>800mm dia.</v>
          </cell>
          <cell r="C368">
            <v>2</v>
          </cell>
          <cell r="D368" t="str">
            <v>No.</v>
          </cell>
          <cell r="E368">
            <v>0.7</v>
          </cell>
          <cell r="F368">
            <v>1.4</v>
          </cell>
          <cell r="H368">
            <v>1.72</v>
          </cell>
          <cell r="I368">
            <v>3.44</v>
          </cell>
          <cell r="J368">
            <v>10.32</v>
          </cell>
          <cell r="K368">
            <v>10.32</v>
          </cell>
          <cell r="L368">
            <v>23.79</v>
          </cell>
          <cell r="M368">
            <v>19.16</v>
          </cell>
          <cell r="N368">
            <v>18.920000000000002</v>
          </cell>
          <cell r="R368">
            <v>82.51</v>
          </cell>
          <cell r="S368">
            <v>165.02</v>
          </cell>
        </row>
        <row r="369">
          <cell r="A369" t="str">
            <v>1.2.18.2</v>
          </cell>
          <cell r="B369" t="str">
            <v>500mm dia.</v>
          </cell>
          <cell r="C369">
            <v>1</v>
          </cell>
          <cell r="D369" t="str">
            <v>No.</v>
          </cell>
          <cell r="E369">
            <v>0.26</v>
          </cell>
          <cell r="F369">
            <v>0.26</v>
          </cell>
          <cell r="H369">
            <v>0.64</v>
          </cell>
          <cell r="I369">
            <v>0.64</v>
          </cell>
          <cell r="J369">
            <v>3.84</v>
          </cell>
          <cell r="K369">
            <v>3.84</v>
          </cell>
          <cell r="L369">
            <v>8.85</v>
          </cell>
          <cell r="M369">
            <v>7.13</v>
          </cell>
          <cell r="N369">
            <v>7.04</v>
          </cell>
          <cell r="R369">
            <v>30.7</v>
          </cell>
          <cell r="S369">
            <v>30.7</v>
          </cell>
        </row>
        <row r="370">
          <cell r="A370" t="str">
            <v>1.2.18.3</v>
          </cell>
          <cell r="B370" t="str">
            <v>400mm dia.</v>
          </cell>
          <cell r="C370">
            <v>10</v>
          </cell>
          <cell r="D370" t="str">
            <v>No.</v>
          </cell>
          <cell r="E370">
            <v>0.18</v>
          </cell>
          <cell r="F370">
            <v>1.8</v>
          </cell>
          <cell r="H370">
            <v>0.44</v>
          </cell>
          <cell r="I370">
            <v>4.4000000000000004</v>
          </cell>
          <cell r="J370">
            <v>2.64</v>
          </cell>
          <cell r="K370">
            <v>2.64</v>
          </cell>
          <cell r="L370">
            <v>6.09</v>
          </cell>
          <cell r="M370">
            <v>4.9000000000000004</v>
          </cell>
          <cell r="N370">
            <v>4.84</v>
          </cell>
          <cell r="R370">
            <v>21.11</v>
          </cell>
          <cell r="S370">
            <v>211.1</v>
          </cell>
        </row>
        <row r="371">
          <cell r="A371" t="str">
            <v>1.2.18.4</v>
          </cell>
          <cell r="B371" t="str">
            <v>300mm dia.</v>
          </cell>
          <cell r="C371">
            <v>20</v>
          </cell>
          <cell r="D371" t="str">
            <v>No.</v>
          </cell>
          <cell r="E371">
            <v>0.11</v>
          </cell>
          <cell r="F371">
            <v>2.2000000000000002</v>
          </cell>
          <cell r="H371">
            <v>0.27</v>
          </cell>
          <cell r="I371">
            <v>5.4</v>
          </cell>
          <cell r="J371">
            <v>1.62</v>
          </cell>
          <cell r="K371">
            <v>1.62</v>
          </cell>
          <cell r="L371">
            <v>3.73</v>
          </cell>
          <cell r="M371">
            <v>3.01</v>
          </cell>
          <cell r="N371">
            <v>2.97</v>
          </cell>
          <cell r="R371">
            <v>12.95</v>
          </cell>
          <cell r="S371">
            <v>259</v>
          </cell>
        </row>
        <row r="372">
          <cell r="A372" t="str">
            <v>1.2.18.5</v>
          </cell>
          <cell r="B372" t="str">
            <v>200mm dia.</v>
          </cell>
          <cell r="C372">
            <v>7</v>
          </cell>
          <cell r="D372" t="str">
            <v>No.</v>
          </cell>
          <cell r="E372">
            <v>0.05</v>
          </cell>
          <cell r="F372">
            <v>0.35</v>
          </cell>
          <cell r="H372">
            <v>0.12</v>
          </cell>
          <cell r="I372">
            <v>0.84</v>
          </cell>
          <cell r="J372">
            <v>0.72</v>
          </cell>
          <cell r="K372">
            <v>0.72</v>
          </cell>
          <cell r="L372">
            <v>1.66</v>
          </cell>
          <cell r="M372">
            <v>1.34</v>
          </cell>
          <cell r="N372">
            <v>1.32</v>
          </cell>
          <cell r="R372">
            <v>5.76</v>
          </cell>
          <cell r="S372">
            <v>40.32</v>
          </cell>
        </row>
        <row r="373">
          <cell r="A373" t="str">
            <v>1.2.18.6</v>
          </cell>
          <cell r="B373" t="str">
            <v>150mm dia.</v>
          </cell>
          <cell r="C373">
            <v>19</v>
          </cell>
          <cell r="D373" t="str">
            <v>No.</v>
          </cell>
          <cell r="E373">
            <v>0.03</v>
          </cell>
          <cell r="F373">
            <v>0.56999999999999995</v>
          </cell>
          <cell r="H373">
            <v>7.0000000000000007E-2</v>
          </cell>
          <cell r="I373">
            <v>1.33</v>
          </cell>
          <cell r="J373">
            <v>0.42</v>
          </cell>
          <cell r="K373">
            <v>0.42</v>
          </cell>
          <cell r="L373">
            <v>0.97</v>
          </cell>
          <cell r="M373">
            <v>0.78</v>
          </cell>
          <cell r="N373">
            <v>0.77</v>
          </cell>
          <cell r="R373">
            <v>3.36</v>
          </cell>
          <cell r="S373">
            <v>63.84</v>
          </cell>
        </row>
        <row r="374">
          <cell r="A374" t="str">
            <v>1.2.18.7</v>
          </cell>
          <cell r="B374" t="str">
            <v>100mm dia.</v>
          </cell>
          <cell r="C374">
            <v>11</v>
          </cell>
          <cell r="D374" t="str">
            <v>No.</v>
          </cell>
          <cell r="E374">
            <v>0.02</v>
          </cell>
          <cell r="F374">
            <v>0.22</v>
          </cell>
          <cell r="H374">
            <v>0.05</v>
          </cell>
          <cell r="I374">
            <v>0.55000000000000004</v>
          </cell>
          <cell r="J374">
            <v>0.3</v>
          </cell>
          <cell r="K374">
            <v>0.3</v>
          </cell>
          <cell r="L374">
            <v>0.69</v>
          </cell>
          <cell r="M374">
            <v>0.56000000000000005</v>
          </cell>
          <cell r="N374">
            <v>0.55000000000000004</v>
          </cell>
          <cell r="R374">
            <v>2.4</v>
          </cell>
          <cell r="S374">
            <v>26.4</v>
          </cell>
        </row>
        <row r="375">
          <cell r="F375">
            <v>0</v>
          </cell>
          <cell r="H375">
            <v>0</v>
          </cell>
          <cell r="I375">
            <v>0</v>
          </cell>
          <cell r="J375">
            <v>0</v>
          </cell>
          <cell r="K375">
            <v>0</v>
          </cell>
          <cell r="L375">
            <v>0</v>
          </cell>
          <cell r="M375">
            <v>0</v>
          </cell>
          <cell r="N375">
            <v>0</v>
          </cell>
          <cell r="R375">
            <v>0</v>
          </cell>
          <cell r="S375">
            <v>0</v>
          </cell>
        </row>
        <row r="376">
          <cell r="B376" t="str">
            <v>Flexible Couplings (Collars/Sleeves)</v>
          </cell>
          <cell r="F376">
            <v>0</v>
          </cell>
          <cell r="H376">
            <v>0</v>
          </cell>
          <cell r="I376">
            <v>0</v>
          </cell>
          <cell r="J376">
            <v>0</v>
          </cell>
          <cell r="K376">
            <v>0</v>
          </cell>
          <cell r="L376">
            <v>0</v>
          </cell>
          <cell r="M376">
            <v>0</v>
          </cell>
          <cell r="N376">
            <v>0</v>
          </cell>
          <cell r="R376">
            <v>0</v>
          </cell>
          <cell r="S376">
            <v>0</v>
          </cell>
        </row>
        <row r="377">
          <cell r="F377">
            <v>0</v>
          </cell>
          <cell r="H377">
            <v>0</v>
          </cell>
          <cell r="I377">
            <v>0</v>
          </cell>
          <cell r="J377">
            <v>0</v>
          </cell>
          <cell r="K377">
            <v>0</v>
          </cell>
          <cell r="L377">
            <v>0</v>
          </cell>
          <cell r="M377">
            <v>0</v>
          </cell>
          <cell r="N377">
            <v>0</v>
          </cell>
          <cell r="R377">
            <v>0</v>
          </cell>
          <cell r="S377">
            <v>0</v>
          </cell>
        </row>
        <row r="378">
          <cell r="A378" t="str">
            <v>1.2.19.1</v>
          </cell>
          <cell r="B378" t="str">
            <v>800mm dia.</v>
          </cell>
          <cell r="C378">
            <v>55</v>
          </cell>
          <cell r="D378" t="str">
            <v>No.</v>
          </cell>
          <cell r="E378">
            <v>0.23</v>
          </cell>
          <cell r="F378">
            <v>12.65</v>
          </cell>
          <cell r="H378">
            <v>0.56000000000000005</v>
          </cell>
          <cell r="I378">
            <v>30.8</v>
          </cell>
          <cell r="J378">
            <v>3.36</v>
          </cell>
          <cell r="K378">
            <v>3.36</v>
          </cell>
          <cell r="L378">
            <v>7.74</v>
          </cell>
          <cell r="M378">
            <v>6.24</v>
          </cell>
          <cell r="N378">
            <v>6.16</v>
          </cell>
          <cell r="R378">
            <v>26.86</v>
          </cell>
          <cell r="S378">
            <v>1477.3</v>
          </cell>
        </row>
        <row r="379">
          <cell r="A379" t="str">
            <v>1.2.19.2</v>
          </cell>
          <cell r="B379" t="str">
            <v>500mm dia.</v>
          </cell>
          <cell r="C379">
            <v>15</v>
          </cell>
          <cell r="D379" t="str">
            <v>No.</v>
          </cell>
          <cell r="E379">
            <v>0.1</v>
          </cell>
          <cell r="F379">
            <v>1.5</v>
          </cell>
          <cell r="H379">
            <v>0.25</v>
          </cell>
          <cell r="I379">
            <v>3.75</v>
          </cell>
          <cell r="J379">
            <v>1.5</v>
          </cell>
          <cell r="K379">
            <v>1.5</v>
          </cell>
          <cell r="L379">
            <v>3.46</v>
          </cell>
          <cell r="M379">
            <v>2.79</v>
          </cell>
          <cell r="N379">
            <v>2.75</v>
          </cell>
          <cell r="R379">
            <v>12</v>
          </cell>
          <cell r="S379">
            <v>180</v>
          </cell>
        </row>
        <row r="380">
          <cell r="A380" t="str">
            <v>1.2.19.3</v>
          </cell>
          <cell r="B380" t="str">
            <v>400mm dia.</v>
          </cell>
          <cell r="C380">
            <v>88</v>
          </cell>
          <cell r="D380" t="str">
            <v>No.</v>
          </cell>
          <cell r="E380">
            <v>7.0000000000000007E-2</v>
          </cell>
          <cell r="F380">
            <v>6.16</v>
          </cell>
          <cell r="H380">
            <v>0.17</v>
          </cell>
          <cell r="I380">
            <v>14.96</v>
          </cell>
          <cell r="J380">
            <v>1.02</v>
          </cell>
          <cell r="K380">
            <v>1.02</v>
          </cell>
          <cell r="L380">
            <v>2.35</v>
          </cell>
          <cell r="M380">
            <v>1.89</v>
          </cell>
          <cell r="N380">
            <v>1.87</v>
          </cell>
          <cell r="R380">
            <v>8.15</v>
          </cell>
          <cell r="S380">
            <v>717.2</v>
          </cell>
        </row>
        <row r="381">
          <cell r="A381" t="str">
            <v>1.2.19.4</v>
          </cell>
          <cell r="B381" t="str">
            <v>300mm dia.</v>
          </cell>
          <cell r="C381">
            <v>69</v>
          </cell>
          <cell r="D381" t="str">
            <v>No.</v>
          </cell>
          <cell r="E381">
            <v>0.05</v>
          </cell>
          <cell r="F381">
            <v>3.45</v>
          </cell>
          <cell r="H381">
            <v>0.12</v>
          </cell>
          <cell r="I381">
            <v>8.2799999999999994</v>
          </cell>
          <cell r="J381">
            <v>0.72</v>
          </cell>
          <cell r="K381">
            <v>0.72</v>
          </cell>
          <cell r="L381">
            <v>1.66</v>
          </cell>
          <cell r="M381">
            <v>1.34</v>
          </cell>
          <cell r="N381">
            <v>1.32</v>
          </cell>
          <cell r="R381">
            <v>5.76</v>
          </cell>
          <cell r="S381">
            <v>397.44</v>
          </cell>
        </row>
        <row r="382">
          <cell r="A382" t="str">
            <v>1.2.19.5</v>
          </cell>
          <cell r="B382" t="str">
            <v>200mm dia.</v>
          </cell>
          <cell r="C382">
            <v>44</v>
          </cell>
          <cell r="D382" t="str">
            <v>No.</v>
          </cell>
          <cell r="E382">
            <v>0.02</v>
          </cell>
          <cell r="F382">
            <v>0.88</v>
          </cell>
          <cell r="H382">
            <v>0.05</v>
          </cell>
          <cell r="I382">
            <v>2.2000000000000002</v>
          </cell>
          <cell r="J382">
            <v>0.3</v>
          </cell>
          <cell r="K382">
            <v>0.3</v>
          </cell>
          <cell r="L382">
            <v>0.69</v>
          </cell>
          <cell r="M382">
            <v>0.56000000000000005</v>
          </cell>
          <cell r="N382">
            <v>0.55000000000000004</v>
          </cell>
          <cell r="R382">
            <v>2.4</v>
          </cell>
          <cell r="S382">
            <v>105.6</v>
          </cell>
        </row>
        <row r="383">
          <cell r="A383" t="str">
            <v>1.2.19.6</v>
          </cell>
          <cell r="B383" t="str">
            <v>150mm dia.</v>
          </cell>
          <cell r="C383">
            <v>97</v>
          </cell>
          <cell r="D383" t="str">
            <v>No.</v>
          </cell>
          <cell r="E383">
            <v>0.02</v>
          </cell>
          <cell r="F383">
            <v>1.94</v>
          </cell>
          <cell r="H383">
            <v>0.05</v>
          </cell>
          <cell r="I383">
            <v>4.8499999999999996</v>
          </cell>
          <cell r="J383">
            <v>0.3</v>
          </cell>
          <cell r="K383">
            <v>0.3</v>
          </cell>
          <cell r="L383">
            <v>0.69</v>
          </cell>
          <cell r="M383">
            <v>0.56000000000000005</v>
          </cell>
          <cell r="N383">
            <v>0.55000000000000004</v>
          </cell>
          <cell r="R383">
            <v>2.4</v>
          </cell>
          <cell r="S383">
            <v>232.8</v>
          </cell>
        </row>
        <row r="384">
          <cell r="A384" t="str">
            <v>1.2.19.7</v>
          </cell>
          <cell r="B384" t="str">
            <v>100mm dia.</v>
          </cell>
          <cell r="C384">
            <v>29</v>
          </cell>
          <cell r="D384" t="str">
            <v>No.</v>
          </cell>
          <cell r="E384">
            <v>0.01</v>
          </cell>
          <cell r="F384">
            <v>0.28999999999999998</v>
          </cell>
          <cell r="H384">
            <v>0.02</v>
          </cell>
          <cell r="I384">
            <v>0.57999999999999996</v>
          </cell>
          <cell r="J384">
            <v>0.12</v>
          </cell>
          <cell r="K384">
            <v>0.12</v>
          </cell>
          <cell r="L384">
            <v>0.28000000000000003</v>
          </cell>
          <cell r="M384">
            <v>0.22</v>
          </cell>
          <cell r="N384">
            <v>0.22</v>
          </cell>
          <cell r="R384">
            <v>0.96</v>
          </cell>
          <cell r="S384">
            <v>27.84</v>
          </cell>
        </row>
        <row r="385">
          <cell r="A385" t="str">
            <v>1.2.19.8</v>
          </cell>
          <cell r="B385" t="str">
            <v>80mm dia.</v>
          </cell>
          <cell r="C385">
            <v>11</v>
          </cell>
          <cell r="D385" t="str">
            <v>No.</v>
          </cell>
          <cell r="E385">
            <v>0.01</v>
          </cell>
          <cell r="F385">
            <v>0.11</v>
          </cell>
          <cell r="H385">
            <v>0.02</v>
          </cell>
          <cell r="I385">
            <v>0.22</v>
          </cell>
          <cell r="J385">
            <v>0.12</v>
          </cell>
          <cell r="K385">
            <v>0.12</v>
          </cell>
          <cell r="L385">
            <v>0.28000000000000003</v>
          </cell>
          <cell r="M385">
            <v>0.22</v>
          </cell>
          <cell r="N385">
            <v>0.22</v>
          </cell>
          <cell r="R385">
            <v>0.96</v>
          </cell>
          <cell r="S385">
            <v>10.56</v>
          </cell>
        </row>
        <row r="386">
          <cell r="F386">
            <v>0</v>
          </cell>
          <cell r="H386">
            <v>0</v>
          </cell>
          <cell r="I386">
            <v>0</v>
          </cell>
          <cell r="J386">
            <v>0</v>
          </cell>
          <cell r="K386">
            <v>0</v>
          </cell>
          <cell r="L386">
            <v>0</v>
          </cell>
          <cell r="M386">
            <v>0</v>
          </cell>
          <cell r="N386">
            <v>0</v>
          </cell>
          <cell r="R386">
            <v>0</v>
          </cell>
          <cell r="S386">
            <v>0</v>
          </cell>
        </row>
        <row r="387">
          <cell r="B387" t="str">
            <v>Rubber gaskets and stainless steel straps</v>
          </cell>
          <cell r="F387">
            <v>0</v>
          </cell>
          <cell r="H387">
            <v>0</v>
          </cell>
          <cell r="I387">
            <v>0</v>
          </cell>
          <cell r="J387">
            <v>0</v>
          </cell>
          <cell r="K387">
            <v>0</v>
          </cell>
          <cell r="L387">
            <v>0</v>
          </cell>
          <cell r="M387">
            <v>0</v>
          </cell>
          <cell r="N387">
            <v>0</v>
          </cell>
          <cell r="R387">
            <v>0</v>
          </cell>
          <cell r="S387">
            <v>0</v>
          </cell>
        </row>
        <row r="388">
          <cell r="F388">
            <v>0</v>
          </cell>
          <cell r="H388">
            <v>0</v>
          </cell>
          <cell r="I388">
            <v>0</v>
          </cell>
          <cell r="J388">
            <v>0</v>
          </cell>
          <cell r="K388">
            <v>0</v>
          </cell>
          <cell r="L388">
            <v>0</v>
          </cell>
          <cell r="M388">
            <v>0</v>
          </cell>
          <cell r="N388">
            <v>0</v>
          </cell>
          <cell r="R388">
            <v>0</v>
          </cell>
          <cell r="S388">
            <v>0</v>
          </cell>
        </row>
        <row r="389">
          <cell r="B389" t="str">
            <v>Supply rubber gaskets and stainless steel strap</v>
          </cell>
          <cell r="F389">
            <v>0</v>
          </cell>
          <cell r="H389">
            <v>0</v>
          </cell>
          <cell r="I389">
            <v>0</v>
          </cell>
          <cell r="J389">
            <v>0</v>
          </cell>
          <cell r="K389">
            <v>0</v>
          </cell>
          <cell r="L389">
            <v>0</v>
          </cell>
          <cell r="M389">
            <v>0</v>
          </cell>
          <cell r="N389">
            <v>0</v>
          </cell>
          <cell r="R389">
            <v>0</v>
          </cell>
          <cell r="S389">
            <v>0</v>
          </cell>
        </row>
        <row r="390">
          <cell r="B390" t="str">
            <v>necessaries for the water proofing of pipes trough</v>
          </cell>
          <cell r="F390">
            <v>0</v>
          </cell>
          <cell r="H390">
            <v>0</v>
          </cell>
          <cell r="I390">
            <v>0</v>
          </cell>
          <cell r="J390">
            <v>0</v>
          </cell>
          <cell r="K390">
            <v>0</v>
          </cell>
          <cell r="L390">
            <v>0</v>
          </cell>
          <cell r="M390">
            <v>0</v>
          </cell>
          <cell r="N390">
            <v>0</v>
          </cell>
          <cell r="R390">
            <v>0</v>
          </cell>
          <cell r="S390">
            <v>0</v>
          </cell>
        </row>
        <row r="391">
          <cell r="B391" t="str">
            <v xml:space="preserve">chambers along the non anchored side as shown </v>
          </cell>
          <cell r="F391">
            <v>0</v>
          </cell>
          <cell r="H391">
            <v>0</v>
          </cell>
          <cell r="I391">
            <v>0</v>
          </cell>
          <cell r="J391">
            <v>0</v>
          </cell>
          <cell r="K391">
            <v>0</v>
          </cell>
          <cell r="L391">
            <v>0</v>
          </cell>
          <cell r="M391">
            <v>0</v>
          </cell>
          <cell r="N391">
            <v>0</v>
          </cell>
          <cell r="R391">
            <v>0</v>
          </cell>
          <cell r="S391">
            <v>0</v>
          </cell>
        </row>
        <row r="392">
          <cell r="B392" t="str">
            <v>on the drawings and as per Specifications:</v>
          </cell>
          <cell r="F392">
            <v>0</v>
          </cell>
          <cell r="H392">
            <v>0</v>
          </cell>
          <cell r="I392">
            <v>0</v>
          </cell>
          <cell r="J392">
            <v>0</v>
          </cell>
          <cell r="K392">
            <v>0</v>
          </cell>
          <cell r="L392">
            <v>0</v>
          </cell>
          <cell r="M392">
            <v>0</v>
          </cell>
          <cell r="N392">
            <v>0</v>
          </cell>
          <cell r="R392">
            <v>0</v>
          </cell>
          <cell r="S392">
            <v>0</v>
          </cell>
        </row>
        <row r="393">
          <cell r="F393">
            <v>0</v>
          </cell>
          <cell r="H393">
            <v>0</v>
          </cell>
          <cell r="I393">
            <v>0</v>
          </cell>
          <cell r="J393">
            <v>0</v>
          </cell>
          <cell r="K393">
            <v>0</v>
          </cell>
          <cell r="L393">
            <v>0</v>
          </cell>
          <cell r="M393">
            <v>0</v>
          </cell>
          <cell r="N393">
            <v>0</v>
          </cell>
          <cell r="R393">
            <v>0</v>
          </cell>
          <cell r="S393">
            <v>0</v>
          </cell>
        </row>
        <row r="394">
          <cell r="A394" t="str">
            <v>1.2.20.1</v>
          </cell>
          <cell r="B394" t="str">
            <v>800mm dia.</v>
          </cell>
          <cell r="C394">
            <v>13</v>
          </cell>
          <cell r="D394" t="str">
            <v>No.</v>
          </cell>
          <cell r="F394">
            <v>0</v>
          </cell>
          <cell r="H394">
            <v>0</v>
          </cell>
          <cell r="I394">
            <v>0</v>
          </cell>
          <cell r="J394">
            <v>0</v>
          </cell>
          <cell r="K394">
            <v>0</v>
          </cell>
          <cell r="L394">
            <v>0</v>
          </cell>
          <cell r="M394">
            <v>0</v>
          </cell>
          <cell r="N394">
            <v>0</v>
          </cell>
          <cell r="R394">
            <v>0</v>
          </cell>
          <cell r="S394">
            <v>0</v>
          </cell>
        </row>
        <row r="395">
          <cell r="A395" t="str">
            <v>1.2.20.2</v>
          </cell>
          <cell r="B395" t="str">
            <v>500mm dia.</v>
          </cell>
          <cell r="C395">
            <v>4</v>
          </cell>
          <cell r="D395" t="str">
            <v>No.</v>
          </cell>
          <cell r="F395">
            <v>0</v>
          </cell>
          <cell r="H395">
            <v>0</v>
          </cell>
          <cell r="I395">
            <v>0</v>
          </cell>
          <cell r="J395">
            <v>0</v>
          </cell>
          <cell r="K395">
            <v>0</v>
          </cell>
          <cell r="L395">
            <v>0</v>
          </cell>
          <cell r="M395">
            <v>0</v>
          </cell>
          <cell r="N395">
            <v>0</v>
          </cell>
          <cell r="R395">
            <v>0</v>
          </cell>
          <cell r="S395">
            <v>0</v>
          </cell>
        </row>
        <row r="396">
          <cell r="A396" t="str">
            <v>1.2.20.3</v>
          </cell>
          <cell r="B396" t="str">
            <v>400mm dia.</v>
          </cell>
          <cell r="C396">
            <v>30</v>
          </cell>
          <cell r="D396" t="str">
            <v>No.</v>
          </cell>
          <cell r="F396">
            <v>0</v>
          </cell>
          <cell r="H396">
            <v>0</v>
          </cell>
          <cell r="I396">
            <v>0</v>
          </cell>
          <cell r="J396">
            <v>0</v>
          </cell>
          <cell r="K396">
            <v>0</v>
          </cell>
          <cell r="L396">
            <v>0</v>
          </cell>
          <cell r="M396">
            <v>0</v>
          </cell>
          <cell r="N396">
            <v>0</v>
          </cell>
          <cell r="R396">
            <v>0</v>
          </cell>
          <cell r="S396">
            <v>0</v>
          </cell>
        </row>
        <row r="397">
          <cell r="A397" t="str">
            <v>1.2.20.4</v>
          </cell>
          <cell r="B397" t="str">
            <v>300mm dia.</v>
          </cell>
          <cell r="C397">
            <v>39</v>
          </cell>
          <cell r="D397" t="str">
            <v>No.</v>
          </cell>
          <cell r="F397">
            <v>0</v>
          </cell>
          <cell r="H397">
            <v>0</v>
          </cell>
          <cell r="I397">
            <v>0</v>
          </cell>
          <cell r="J397">
            <v>0</v>
          </cell>
          <cell r="K397">
            <v>0</v>
          </cell>
          <cell r="L397">
            <v>0</v>
          </cell>
          <cell r="M397">
            <v>0</v>
          </cell>
          <cell r="N397">
            <v>0</v>
          </cell>
          <cell r="R397">
            <v>0</v>
          </cell>
          <cell r="S397">
            <v>0</v>
          </cell>
        </row>
        <row r="398">
          <cell r="A398" t="str">
            <v>1.2.20.5</v>
          </cell>
          <cell r="B398" t="str">
            <v>200mm dia.</v>
          </cell>
          <cell r="C398">
            <v>30</v>
          </cell>
          <cell r="D398" t="str">
            <v>No.</v>
          </cell>
          <cell r="F398">
            <v>0</v>
          </cell>
          <cell r="H398">
            <v>0</v>
          </cell>
          <cell r="I398">
            <v>0</v>
          </cell>
          <cell r="J398">
            <v>0</v>
          </cell>
          <cell r="K398">
            <v>0</v>
          </cell>
          <cell r="L398">
            <v>0</v>
          </cell>
          <cell r="M398">
            <v>0</v>
          </cell>
          <cell r="N398">
            <v>0</v>
          </cell>
          <cell r="R398">
            <v>0</v>
          </cell>
          <cell r="S398">
            <v>0</v>
          </cell>
        </row>
        <row r="399">
          <cell r="A399" t="str">
            <v>1.2.20.6</v>
          </cell>
          <cell r="B399" t="str">
            <v>150mm dia.</v>
          </cell>
          <cell r="C399">
            <v>48</v>
          </cell>
          <cell r="D399" t="str">
            <v>No.</v>
          </cell>
          <cell r="F399">
            <v>0</v>
          </cell>
          <cell r="H399">
            <v>0</v>
          </cell>
          <cell r="I399">
            <v>0</v>
          </cell>
          <cell r="J399">
            <v>0</v>
          </cell>
          <cell r="K399">
            <v>0</v>
          </cell>
          <cell r="L399">
            <v>0</v>
          </cell>
          <cell r="M399">
            <v>0</v>
          </cell>
          <cell r="N399">
            <v>0</v>
          </cell>
          <cell r="R399">
            <v>0</v>
          </cell>
          <cell r="S399">
            <v>0</v>
          </cell>
        </row>
        <row r="400">
          <cell r="A400" t="str">
            <v>1.2.20.7</v>
          </cell>
          <cell r="B400" t="str">
            <v>100mm dia.</v>
          </cell>
          <cell r="C400">
            <v>17</v>
          </cell>
          <cell r="D400" t="str">
            <v>No.</v>
          </cell>
          <cell r="F400">
            <v>0</v>
          </cell>
          <cell r="H400">
            <v>0</v>
          </cell>
          <cell r="I400">
            <v>0</v>
          </cell>
          <cell r="J400">
            <v>0</v>
          </cell>
          <cell r="K400">
            <v>0</v>
          </cell>
          <cell r="L400">
            <v>0</v>
          </cell>
          <cell r="M400">
            <v>0</v>
          </cell>
          <cell r="N400">
            <v>0</v>
          </cell>
          <cell r="R400">
            <v>0</v>
          </cell>
          <cell r="S400">
            <v>0</v>
          </cell>
        </row>
        <row r="401">
          <cell r="A401" t="str">
            <v>1.2.20.8</v>
          </cell>
          <cell r="B401" t="str">
            <v>80mm dia.</v>
          </cell>
          <cell r="C401">
            <v>11</v>
          </cell>
          <cell r="D401" t="str">
            <v>No.</v>
          </cell>
          <cell r="F401">
            <v>0</v>
          </cell>
          <cell r="H401">
            <v>0</v>
          </cell>
          <cell r="I401">
            <v>0</v>
          </cell>
          <cell r="J401">
            <v>0</v>
          </cell>
          <cell r="K401">
            <v>0</v>
          </cell>
          <cell r="L401">
            <v>0</v>
          </cell>
          <cell r="M401">
            <v>0</v>
          </cell>
          <cell r="N401">
            <v>0</v>
          </cell>
          <cell r="R401">
            <v>0</v>
          </cell>
          <cell r="S401">
            <v>0</v>
          </cell>
        </row>
        <row r="402">
          <cell r="B402" t="str">
            <v xml:space="preserve">Blank Flanges (with internal and external protection in </v>
          </cell>
          <cell r="F402">
            <v>0</v>
          </cell>
          <cell r="H402">
            <v>0</v>
          </cell>
          <cell r="I402">
            <v>0</v>
          </cell>
          <cell r="J402">
            <v>0</v>
          </cell>
          <cell r="K402">
            <v>0</v>
          </cell>
          <cell r="L402">
            <v>0</v>
          </cell>
          <cell r="M402">
            <v>0</v>
          </cell>
          <cell r="N402">
            <v>0</v>
          </cell>
          <cell r="R402">
            <v>0</v>
          </cell>
          <cell r="S402">
            <v>0</v>
          </cell>
        </row>
        <row r="403">
          <cell r="B403" t="str">
            <v>fusion bonded epoxy)</v>
          </cell>
          <cell r="F403">
            <v>0</v>
          </cell>
          <cell r="H403">
            <v>0</v>
          </cell>
          <cell r="I403">
            <v>0</v>
          </cell>
          <cell r="J403">
            <v>0</v>
          </cell>
          <cell r="K403">
            <v>0</v>
          </cell>
          <cell r="L403">
            <v>0</v>
          </cell>
          <cell r="M403">
            <v>0</v>
          </cell>
          <cell r="N403">
            <v>0</v>
          </cell>
          <cell r="R403">
            <v>0</v>
          </cell>
          <cell r="S403">
            <v>0</v>
          </cell>
        </row>
        <row r="404">
          <cell r="F404">
            <v>0</v>
          </cell>
          <cell r="H404">
            <v>0</v>
          </cell>
          <cell r="I404">
            <v>0</v>
          </cell>
          <cell r="J404">
            <v>0</v>
          </cell>
          <cell r="K404">
            <v>0</v>
          </cell>
          <cell r="L404">
            <v>0</v>
          </cell>
          <cell r="M404">
            <v>0</v>
          </cell>
          <cell r="N404">
            <v>0</v>
          </cell>
          <cell r="R404">
            <v>0</v>
          </cell>
          <cell r="S404">
            <v>0</v>
          </cell>
        </row>
        <row r="405">
          <cell r="A405" t="str">
            <v>1.2.21.1</v>
          </cell>
          <cell r="B405" t="str">
            <v>800mm dia.</v>
          </cell>
          <cell r="C405">
            <v>1</v>
          </cell>
          <cell r="D405" t="str">
            <v>No.</v>
          </cell>
          <cell r="E405">
            <v>0.23</v>
          </cell>
          <cell r="F405">
            <v>0.23</v>
          </cell>
          <cell r="H405">
            <v>0.56000000000000005</v>
          </cell>
          <cell r="I405">
            <v>0.56000000000000005</v>
          </cell>
          <cell r="J405">
            <v>3.36</v>
          </cell>
          <cell r="K405">
            <v>3.36</v>
          </cell>
          <cell r="L405">
            <v>7.74</v>
          </cell>
          <cell r="M405">
            <v>6.24</v>
          </cell>
          <cell r="N405">
            <v>6.16</v>
          </cell>
          <cell r="R405">
            <v>26.86</v>
          </cell>
          <cell r="S405">
            <v>26.86</v>
          </cell>
        </row>
        <row r="406">
          <cell r="A406" t="str">
            <v>1.2.21.2</v>
          </cell>
          <cell r="B406" t="str">
            <v>500mm dia.</v>
          </cell>
          <cell r="C406">
            <v>1</v>
          </cell>
          <cell r="D406" t="str">
            <v>No.</v>
          </cell>
          <cell r="E406">
            <v>0.08</v>
          </cell>
          <cell r="F406">
            <v>0.08</v>
          </cell>
          <cell r="H406">
            <v>0.2</v>
          </cell>
          <cell r="I406">
            <v>0.2</v>
          </cell>
          <cell r="J406">
            <v>1.2</v>
          </cell>
          <cell r="K406">
            <v>1.2</v>
          </cell>
          <cell r="L406">
            <v>2.77</v>
          </cell>
          <cell r="M406">
            <v>2.23</v>
          </cell>
          <cell r="N406">
            <v>2.2000000000000002</v>
          </cell>
          <cell r="R406">
            <v>9.6</v>
          </cell>
          <cell r="S406">
            <v>9.6</v>
          </cell>
        </row>
        <row r="407">
          <cell r="A407" t="str">
            <v>1.2.21.3</v>
          </cell>
          <cell r="B407" t="str">
            <v>400mm dia.</v>
          </cell>
          <cell r="C407">
            <v>2</v>
          </cell>
          <cell r="D407" t="str">
            <v>No.</v>
          </cell>
          <cell r="E407">
            <v>0.05</v>
          </cell>
          <cell r="F407">
            <v>0.1</v>
          </cell>
          <cell r="H407">
            <v>0.12</v>
          </cell>
          <cell r="I407">
            <v>0.24</v>
          </cell>
          <cell r="J407">
            <v>0.72</v>
          </cell>
          <cell r="K407">
            <v>0.72</v>
          </cell>
          <cell r="L407">
            <v>1.66</v>
          </cell>
          <cell r="M407">
            <v>1.34</v>
          </cell>
          <cell r="N407">
            <v>1.32</v>
          </cell>
          <cell r="R407">
            <v>5.76</v>
          </cell>
          <cell r="S407">
            <v>11.52</v>
          </cell>
        </row>
        <row r="408">
          <cell r="A408" t="str">
            <v>1.2.21.4</v>
          </cell>
          <cell r="B408" t="str">
            <v>300mm dia.</v>
          </cell>
          <cell r="C408">
            <v>15</v>
          </cell>
          <cell r="D408" t="str">
            <v>No.</v>
          </cell>
          <cell r="E408">
            <v>0.03</v>
          </cell>
          <cell r="F408">
            <v>0.45</v>
          </cell>
          <cell r="H408">
            <v>7.0000000000000007E-2</v>
          </cell>
          <cell r="I408">
            <v>1.05</v>
          </cell>
          <cell r="J408">
            <v>0.42</v>
          </cell>
          <cell r="K408">
            <v>0.42</v>
          </cell>
          <cell r="L408">
            <v>0.97</v>
          </cell>
          <cell r="M408">
            <v>0.78</v>
          </cell>
          <cell r="N408">
            <v>0.77</v>
          </cell>
          <cell r="R408">
            <v>3.36</v>
          </cell>
          <cell r="S408">
            <v>50.4</v>
          </cell>
        </row>
        <row r="409">
          <cell r="A409" t="str">
            <v>1.2.21.5</v>
          </cell>
          <cell r="B409" t="str">
            <v>200mm dia.</v>
          </cell>
          <cell r="C409">
            <v>22</v>
          </cell>
          <cell r="D409" t="str">
            <v>No.</v>
          </cell>
          <cell r="E409">
            <v>0.01</v>
          </cell>
          <cell r="F409">
            <v>0.22</v>
          </cell>
          <cell r="H409">
            <v>0.02</v>
          </cell>
          <cell r="I409">
            <v>0.44</v>
          </cell>
          <cell r="J409">
            <v>0.12</v>
          </cell>
          <cell r="K409">
            <v>0.12</v>
          </cell>
          <cell r="L409">
            <v>0.28000000000000003</v>
          </cell>
          <cell r="M409">
            <v>0.22</v>
          </cell>
          <cell r="N409">
            <v>0.22</v>
          </cell>
          <cell r="R409">
            <v>0.96</v>
          </cell>
          <cell r="S409">
            <v>21.12</v>
          </cell>
        </row>
        <row r="410">
          <cell r="A410" t="str">
            <v>1.2.21.6</v>
          </cell>
          <cell r="B410" t="str">
            <v>150mm dia.</v>
          </cell>
          <cell r="C410">
            <v>30</v>
          </cell>
          <cell r="D410" t="str">
            <v>No.</v>
          </cell>
          <cell r="E410">
            <v>0.01</v>
          </cell>
          <cell r="F410">
            <v>0.3</v>
          </cell>
          <cell r="H410">
            <v>0.02</v>
          </cell>
          <cell r="I410">
            <v>0.6</v>
          </cell>
          <cell r="J410">
            <v>0.12</v>
          </cell>
          <cell r="K410">
            <v>0.12</v>
          </cell>
          <cell r="L410">
            <v>0.28000000000000003</v>
          </cell>
          <cell r="M410">
            <v>0.22</v>
          </cell>
          <cell r="N410">
            <v>0.22</v>
          </cell>
          <cell r="R410">
            <v>0.96</v>
          </cell>
          <cell r="S410">
            <v>28.8</v>
          </cell>
        </row>
        <row r="411">
          <cell r="A411" t="str">
            <v>1.2.21.7</v>
          </cell>
          <cell r="B411" t="str">
            <v>100mm dia.</v>
          </cell>
          <cell r="C411">
            <v>11</v>
          </cell>
          <cell r="D411" t="str">
            <v>No.</v>
          </cell>
          <cell r="E411">
            <v>0.01</v>
          </cell>
          <cell r="F411">
            <v>0.11</v>
          </cell>
          <cell r="H411">
            <v>0.02</v>
          </cell>
          <cell r="I411">
            <v>0.22</v>
          </cell>
          <cell r="J411">
            <v>0.12</v>
          </cell>
          <cell r="K411">
            <v>0.12</v>
          </cell>
          <cell r="L411">
            <v>0.28000000000000003</v>
          </cell>
          <cell r="M411">
            <v>0.22</v>
          </cell>
          <cell r="N411">
            <v>0.22</v>
          </cell>
          <cell r="R411">
            <v>0.96</v>
          </cell>
          <cell r="S411">
            <v>10.56</v>
          </cell>
        </row>
        <row r="412">
          <cell r="A412" t="str">
            <v>1.2.21.8</v>
          </cell>
          <cell r="B412" t="str">
            <v>80mm dia.</v>
          </cell>
          <cell r="C412">
            <v>11</v>
          </cell>
          <cell r="D412" t="str">
            <v>No.</v>
          </cell>
          <cell r="E412">
            <v>0.01</v>
          </cell>
          <cell r="F412">
            <v>0.11</v>
          </cell>
          <cell r="H412">
            <v>0.02</v>
          </cell>
          <cell r="I412">
            <v>0.22</v>
          </cell>
          <cell r="J412">
            <v>0.12</v>
          </cell>
          <cell r="K412">
            <v>0.12</v>
          </cell>
          <cell r="L412">
            <v>0.28000000000000003</v>
          </cell>
          <cell r="M412">
            <v>0.22</v>
          </cell>
          <cell r="N412">
            <v>0.22</v>
          </cell>
          <cell r="R412">
            <v>0.96</v>
          </cell>
          <cell r="S412">
            <v>10.56</v>
          </cell>
        </row>
        <row r="413">
          <cell r="B413" t="e">
            <v>#N/A</v>
          </cell>
          <cell r="F413">
            <v>0</v>
          </cell>
          <cell r="H413">
            <v>0</v>
          </cell>
          <cell r="I413">
            <v>0</v>
          </cell>
          <cell r="J413">
            <v>0</v>
          </cell>
          <cell r="K413">
            <v>0</v>
          </cell>
          <cell r="L413">
            <v>0</v>
          </cell>
          <cell r="M413">
            <v>0</v>
          </cell>
          <cell r="N413">
            <v>0</v>
          </cell>
          <cell r="R413">
            <v>0</v>
          </cell>
          <cell r="S413">
            <v>0</v>
          </cell>
        </row>
        <row r="414">
          <cell r="F414">
            <v>0</v>
          </cell>
          <cell r="H414">
            <v>0</v>
          </cell>
          <cell r="I414">
            <v>0</v>
          </cell>
          <cell r="J414">
            <v>0</v>
          </cell>
          <cell r="K414">
            <v>0</v>
          </cell>
          <cell r="L414">
            <v>0</v>
          </cell>
          <cell r="M414">
            <v>0</v>
          </cell>
          <cell r="N414">
            <v>0</v>
          </cell>
          <cell r="R414">
            <v>0</v>
          </cell>
          <cell r="S414">
            <v>0</v>
          </cell>
        </row>
        <row r="415">
          <cell r="B415" t="e">
            <v>#N/A</v>
          </cell>
          <cell r="F415">
            <v>0</v>
          </cell>
          <cell r="H415">
            <v>0</v>
          </cell>
          <cell r="I415">
            <v>0</v>
          </cell>
          <cell r="J415">
            <v>0</v>
          </cell>
          <cell r="K415">
            <v>0</v>
          </cell>
          <cell r="L415">
            <v>0</v>
          </cell>
          <cell r="M415">
            <v>0</v>
          </cell>
          <cell r="N415">
            <v>0</v>
          </cell>
          <cell r="R415">
            <v>0</v>
          </cell>
          <cell r="S415">
            <v>0</v>
          </cell>
        </row>
        <row r="416">
          <cell r="F416">
            <v>0</v>
          </cell>
          <cell r="H416">
            <v>0</v>
          </cell>
          <cell r="I416">
            <v>0</v>
          </cell>
          <cell r="J416">
            <v>0</v>
          </cell>
          <cell r="K416">
            <v>0</v>
          </cell>
          <cell r="L416">
            <v>0</v>
          </cell>
          <cell r="M416">
            <v>0</v>
          </cell>
          <cell r="N416">
            <v>0</v>
          </cell>
          <cell r="R416">
            <v>0</v>
          </cell>
          <cell r="S416">
            <v>0</v>
          </cell>
        </row>
        <row r="417">
          <cell r="B417" t="e">
            <v>#N/A</v>
          </cell>
          <cell r="F417">
            <v>0</v>
          </cell>
          <cell r="H417">
            <v>0</v>
          </cell>
          <cell r="I417">
            <v>0</v>
          </cell>
          <cell r="J417">
            <v>0</v>
          </cell>
          <cell r="K417">
            <v>0</v>
          </cell>
          <cell r="L417">
            <v>0</v>
          </cell>
          <cell r="M417">
            <v>0</v>
          </cell>
          <cell r="N417">
            <v>0</v>
          </cell>
          <cell r="R417">
            <v>0</v>
          </cell>
          <cell r="S417">
            <v>0</v>
          </cell>
        </row>
        <row r="418">
          <cell r="B418" t="e">
            <v>#N/A</v>
          </cell>
          <cell r="F418">
            <v>0</v>
          </cell>
          <cell r="H418">
            <v>0</v>
          </cell>
          <cell r="I418">
            <v>0</v>
          </cell>
          <cell r="J418">
            <v>0</v>
          </cell>
          <cell r="K418">
            <v>0</v>
          </cell>
          <cell r="L418">
            <v>0</v>
          </cell>
          <cell r="M418">
            <v>0</v>
          </cell>
          <cell r="N418">
            <v>0</v>
          </cell>
          <cell r="R418">
            <v>0</v>
          </cell>
          <cell r="S418">
            <v>0</v>
          </cell>
        </row>
        <row r="419">
          <cell r="B419" t="e">
            <v>#N/A</v>
          </cell>
          <cell r="F419">
            <v>0</v>
          </cell>
          <cell r="H419">
            <v>0</v>
          </cell>
          <cell r="I419">
            <v>0</v>
          </cell>
          <cell r="J419">
            <v>0</v>
          </cell>
          <cell r="K419">
            <v>0</v>
          </cell>
          <cell r="L419">
            <v>0</v>
          </cell>
          <cell r="M419">
            <v>0</v>
          </cell>
          <cell r="N419">
            <v>0</v>
          </cell>
          <cell r="R419">
            <v>0</v>
          </cell>
          <cell r="S419">
            <v>0</v>
          </cell>
        </row>
        <row r="420">
          <cell r="B420" t="e">
            <v>#N/A</v>
          </cell>
          <cell r="F420">
            <v>0</v>
          </cell>
          <cell r="H420">
            <v>0</v>
          </cell>
          <cell r="I420">
            <v>0</v>
          </cell>
          <cell r="J420">
            <v>0</v>
          </cell>
          <cell r="K420">
            <v>0</v>
          </cell>
          <cell r="L420">
            <v>0</v>
          </cell>
          <cell r="M420">
            <v>0</v>
          </cell>
          <cell r="N420">
            <v>0</v>
          </cell>
          <cell r="R420">
            <v>0</v>
          </cell>
          <cell r="S420">
            <v>0</v>
          </cell>
        </row>
        <row r="421">
          <cell r="B421" t="e">
            <v>#N/A</v>
          </cell>
          <cell r="F421">
            <v>0</v>
          </cell>
          <cell r="H421">
            <v>0</v>
          </cell>
          <cell r="I421">
            <v>0</v>
          </cell>
          <cell r="J421">
            <v>0</v>
          </cell>
          <cell r="K421">
            <v>0</v>
          </cell>
          <cell r="L421">
            <v>0</v>
          </cell>
          <cell r="M421">
            <v>0</v>
          </cell>
          <cell r="N421">
            <v>0</v>
          </cell>
          <cell r="R421">
            <v>0</v>
          </cell>
          <cell r="S421">
            <v>0</v>
          </cell>
        </row>
        <row r="422">
          <cell r="F422">
            <v>0</v>
          </cell>
          <cell r="H422">
            <v>0</v>
          </cell>
          <cell r="I422">
            <v>0</v>
          </cell>
          <cell r="J422">
            <v>0</v>
          </cell>
          <cell r="K422">
            <v>0</v>
          </cell>
          <cell r="L422">
            <v>0</v>
          </cell>
          <cell r="M422">
            <v>0</v>
          </cell>
          <cell r="N422">
            <v>0</v>
          </cell>
          <cell r="R422">
            <v>0</v>
          </cell>
          <cell r="S422">
            <v>0</v>
          </cell>
        </row>
        <row r="423">
          <cell r="A423" t="e">
            <v>#N/A</v>
          </cell>
          <cell r="B423" t="e">
            <v>#N/A</v>
          </cell>
          <cell r="C423">
            <v>12</v>
          </cell>
          <cell r="D423" t="str">
            <v>No.</v>
          </cell>
          <cell r="E423">
            <v>0.64</v>
          </cell>
          <cell r="F423">
            <v>7.68</v>
          </cell>
          <cell r="H423">
            <v>1.57</v>
          </cell>
          <cell r="I423">
            <v>18.84</v>
          </cell>
          <cell r="J423">
            <v>9.42</v>
          </cell>
          <cell r="K423">
            <v>9.42</v>
          </cell>
          <cell r="L423">
            <v>21.71</v>
          </cell>
          <cell r="M423">
            <v>17.489999999999998</v>
          </cell>
          <cell r="N423">
            <v>17.27</v>
          </cell>
          <cell r="R423">
            <v>75.31</v>
          </cell>
          <cell r="S423">
            <v>903.72</v>
          </cell>
        </row>
        <row r="424">
          <cell r="A424" t="e">
            <v>#N/A</v>
          </cell>
          <cell r="B424" t="e">
            <v>#N/A</v>
          </cell>
          <cell r="C424">
            <v>2</v>
          </cell>
          <cell r="D424" t="str">
            <v>No.</v>
          </cell>
          <cell r="E424">
            <v>0.24</v>
          </cell>
          <cell r="F424">
            <v>0.48</v>
          </cell>
          <cell r="H424">
            <v>0.59</v>
          </cell>
          <cell r="I424">
            <v>1.18</v>
          </cell>
          <cell r="J424">
            <v>3.54</v>
          </cell>
          <cell r="K424">
            <v>3.54</v>
          </cell>
          <cell r="L424">
            <v>8.16</v>
          </cell>
          <cell r="M424">
            <v>6.57</v>
          </cell>
          <cell r="N424">
            <v>6.49</v>
          </cell>
          <cell r="R424">
            <v>28.3</v>
          </cell>
          <cell r="S424">
            <v>56.6</v>
          </cell>
        </row>
        <row r="425">
          <cell r="A425" t="e">
            <v>#N/A</v>
          </cell>
          <cell r="B425" t="e">
            <v>#N/A</v>
          </cell>
          <cell r="C425">
            <v>24</v>
          </cell>
          <cell r="D425" t="str">
            <v>No.</v>
          </cell>
          <cell r="E425">
            <v>0.15</v>
          </cell>
          <cell r="F425">
            <v>3.6</v>
          </cell>
          <cell r="H425">
            <v>0.37</v>
          </cell>
          <cell r="I425">
            <v>8.8800000000000008</v>
          </cell>
          <cell r="J425">
            <v>2.2200000000000002</v>
          </cell>
          <cell r="K425">
            <v>2.2200000000000002</v>
          </cell>
          <cell r="L425">
            <v>5.12</v>
          </cell>
          <cell r="M425">
            <v>4.12</v>
          </cell>
          <cell r="N425">
            <v>4.07</v>
          </cell>
          <cell r="R425">
            <v>17.75</v>
          </cell>
          <cell r="S425">
            <v>426</v>
          </cell>
        </row>
        <row r="426">
          <cell r="A426" t="e">
            <v>#N/A</v>
          </cell>
          <cell r="B426" t="e">
            <v>#N/A</v>
          </cell>
          <cell r="C426">
            <v>8</v>
          </cell>
          <cell r="D426" t="str">
            <v>No.</v>
          </cell>
          <cell r="E426">
            <v>0.05</v>
          </cell>
          <cell r="F426">
            <v>0.4</v>
          </cell>
          <cell r="H426">
            <v>0.12</v>
          </cell>
          <cell r="I426">
            <v>0.96</v>
          </cell>
          <cell r="J426">
            <v>0.72</v>
          </cell>
          <cell r="K426">
            <v>0.72</v>
          </cell>
          <cell r="L426">
            <v>1.66</v>
          </cell>
          <cell r="M426">
            <v>1.34</v>
          </cell>
          <cell r="N426">
            <v>1.32</v>
          </cell>
          <cell r="R426">
            <v>5.76</v>
          </cell>
          <cell r="S426">
            <v>46.08</v>
          </cell>
        </row>
        <row r="427">
          <cell r="F427">
            <v>0</v>
          </cell>
          <cell r="H427">
            <v>0</v>
          </cell>
          <cell r="I427">
            <v>0</v>
          </cell>
          <cell r="J427">
            <v>0</v>
          </cell>
          <cell r="K427">
            <v>0</v>
          </cell>
          <cell r="L427">
            <v>0</v>
          </cell>
          <cell r="M427">
            <v>0</v>
          </cell>
          <cell r="N427">
            <v>0</v>
          </cell>
          <cell r="R427">
            <v>0</v>
          </cell>
          <cell r="S427">
            <v>0</v>
          </cell>
        </row>
        <row r="428">
          <cell r="B428" t="e">
            <v>#N/A</v>
          </cell>
          <cell r="F428">
            <v>0</v>
          </cell>
          <cell r="H428">
            <v>0</v>
          </cell>
          <cell r="I428">
            <v>0</v>
          </cell>
          <cell r="J428">
            <v>0</v>
          </cell>
          <cell r="K428">
            <v>0</v>
          </cell>
          <cell r="L428">
            <v>0</v>
          </cell>
          <cell r="M428">
            <v>0</v>
          </cell>
          <cell r="N428">
            <v>0</v>
          </cell>
          <cell r="R428">
            <v>0</v>
          </cell>
          <cell r="S428">
            <v>0</v>
          </cell>
        </row>
        <row r="429">
          <cell r="F429">
            <v>0</v>
          </cell>
          <cell r="H429">
            <v>0</v>
          </cell>
          <cell r="I429">
            <v>0</v>
          </cell>
          <cell r="J429">
            <v>0</v>
          </cell>
          <cell r="K429">
            <v>0</v>
          </cell>
          <cell r="L429">
            <v>0</v>
          </cell>
          <cell r="M429">
            <v>0</v>
          </cell>
          <cell r="N429">
            <v>0</v>
          </cell>
          <cell r="R429">
            <v>0</v>
          </cell>
          <cell r="S429">
            <v>0</v>
          </cell>
        </row>
        <row r="430">
          <cell r="B430" t="e">
            <v>#N/A</v>
          </cell>
          <cell r="F430">
            <v>0</v>
          </cell>
          <cell r="H430">
            <v>0</v>
          </cell>
          <cell r="I430">
            <v>0</v>
          </cell>
          <cell r="J430">
            <v>0</v>
          </cell>
          <cell r="K430">
            <v>0</v>
          </cell>
          <cell r="L430">
            <v>0</v>
          </cell>
          <cell r="M430">
            <v>0</v>
          </cell>
          <cell r="N430">
            <v>0</v>
          </cell>
          <cell r="R430">
            <v>0</v>
          </cell>
          <cell r="S430">
            <v>0</v>
          </cell>
        </row>
        <row r="431">
          <cell r="B431" t="e">
            <v>#N/A</v>
          </cell>
          <cell r="F431">
            <v>0</v>
          </cell>
          <cell r="H431">
            <v>0</v>
          </cell>
          <cell r="I431">
            <v>0</v>
          </cell>
          <cell r="J431">
            <v>0</v>
          </cell>
          <cell r="K431">
            <v>0</v>
          </cell>
          <cell r="L431">
            <v>0</v>
          </cell>
          <cell r="M431">
            <v>0</v>
          </cell>
          <cell r="N431">
            <v>0</v>
          </cell>
          <cell r="R431">
            <v>0</v>
          </cell>
          <cell r="S431">
            <v>0</v>
          </cell>
        </row>
        <row r="432">
          <cell r="B432" t="e">
            <v>#N/A</v>
          </cell>
          <cell r="F432">
            <v>0</v>
          </cell>
          <cell r="H432">
            <v>0</v>
          </cell>
          <cell r="I432">
            <v>0</v>
          </cell>
          <cell r="J432">
            <v>0</v>
          </cell>
          <cell r="K432">
            <v>0</v>
          </cell>
          <cell r="L432">
            <v>0</v>
          </cell>
          <cell r="M432">
            <v>0</v>
          </cell>
          <cell r="N432">
            <v>0</v>
          </cell>
          <cell r="R432">
            <v>0</v>
          </cell>
          <cell r="S432">
            <v>0</v>
          </cell>
        </row>
        <row r="433">
          <cell r="B433" t="e">
            <v>#N/A</v>
          </cell>
          <cell r="F433">
            <v>0</v>
          </cell>
          <cell r="H433">
            <v>0</v>
          </cell>
          <cell r="I433">
            <v>0</v>
          </cell>
          <cell r="J433">
            <v>0</v>
          </cell>
          <cell r="K433">
            <v>0</v>
          </cell>
          <cell r="L433">
            <v>0</v>
          </cell>
          <cell r="M433">
            <v>0</v>
          </cell>
          <cell r="N433">
            <v>0</v>
          </cell>
          <cell r="R433">
            <v>0</v>
          </cell>
          <cell r="S433">
            <v>0</v>
          </cell>
        </row>
        <row r="434">
          <cell r="B434" t="e">
            <v>#N/A</v>
          </cell>
          <cell r="F434">
            <v>0</v>
          </cell>
          <cell r="H434">
            <v>0</v>
          </cell>
          <cell r="I434">
            <v>0</v>
          </cell>
          <cell r="J434">
            <v>0</v>
          </cell>
          <cell r="K434">
            <v>0</v>
          </cell>
          <cell r="L434">
            <v>0</v>
          </cell>
          <cell r="M434">
            <v>0</v>
          </cell>
          <cell r="N434">
            <v>0</v>
          </cell>
          <cell r="R434">
            <v>0</v>
          </cell>
          <cell r="S434">
            <v>0</v>
          </cell>
        </row>
        <row r="435">
          <cell r="F435">
            <v>0</v>
          </cell>
          <cell r="H435">
            <v>0</v>
          </cell>
          <cell r="I435">
            <v>0</v>
          </cell>
          <cell r="J435">
            <v>0</v>
          </cell>
          <cell r="K435">
            <v>0</v>
          </cell>
          <cell r="L435">
            <v>0</v>
          </cell>
          <cell r="M435">
            <v>0</v>
          </cell>
          <cell r="N435">
            <v>0</v>
          </cell>
          <cell r="R435">
            <v>0</v>
          </cell>
          <cell r="S435">
            <v>0</v>
          </cell>
        </row>
        <row r="436">
          <cell r="A436" t="e">
            <v>#N/A</v>
          </cell>
          <cell r="B436" t="str">
            <v>300mm dia.</v>
          </cell>
          <cell r="C436">
            <v>22</v>
          </cell>
          <cell r="D436" t="str">
            <v>No.</v>
          </cell>
          <cell r="E436">
            <v>0.14000000000000001</v>
          </cell>
          <cell r="F436">
            <v>3.08</v>
          </cell>
          <cell r="H436">
            <v>0.34</v>
          </cell>
          <cell r="I436">
            <v>7.48</v>
          </cell>
          <cell r="J436">
            <v>2.04</v>
          </cell>
          <cell r="K436">
            <v>2.04</v>
          </cell>
          <cell r="L436">
            <v>4.7</v>
          </cell>
          <cell r="M436">
            <v>3.79</v>
          </cell>
          <cell r="N436">
            <v>3.74</v>
          </cell>
          <cell r="R436">
            <v>16.309999999999999</v>
          </cell>
          <cell r="S436">
            <v>358.82</v>
          </cell>
        </row>
        <row r="437">
          <cell r="A437" t="str">
            <v>1.4.2.2</v>
          </cell>
          <cell r="B437" t="str">
            <v>250mm dia.</v>
          </cell>
          <cell r="C437">
            <v>2</v>
          </cell>
          <cell r="D437" t="str">
            <v>No.</v>
          </cell>
          <cell r="E437">
            <v>0.1</v>
          </cell>
          <cell r="F437">
            <v>0.2</v>
          </cell>
          <cell r="H437">
            <v>0.25</v>
          </cell>
          <cell r="I437">
            <v>0.5</v>
          </cell>
          <cell r="J437">
            <v>1.5</v>
          </cell>
          <cell r="K437">
            <v>1.5</v>
          </cell>
          <cell r="L437">
            <v>3.46</v>
          </cell>
          <cell r="M437">
            <v>2.79</v>
          </cell>
          <cell r="N437">
            <v>2.75</v>
          </cell>
          <cell r="R437">
            <v>12</v>
          </cell>
          <cell r="S437">
            <v>24</v>
          </cell>
        </row>
        <row r="438">
          <cell r="A438" t="str">
            <v>1.4.2.3</v>
          </cell>
          <cell r="B438" t="str">
            <v>200mm dia.</v>
          </cell>
          <cell r="C438">
            <v>34</v>
          </cell>
          <cell r="D438" t="str">
            <v>No.</v>
          </cell>
          <cell r="E438">
            <v>7.0000000000000007E-2</v>
          </cell>
          <cell r="F438">
            <v>2.38</v>
          </cell>
          <cell r="H438">
            <v>0.17</v>
          </cell>
          <cell r="I438">
            <v>5.78</v>
          </cell>
          <cell r="J438">
            <v>1.02</v>
          </cell>
          <cell r="K438">
            <v>1.02</v>
          </cell>
          <cell r="L438">
            <v>2.35</v>
          </cell>
          <cell r="M438">
            <v>1.89</v>
          </cell>
          <cell r="N438">
            <v>1.87</v>
          </cell>
          <cell r="R438">
            <v>8.15</v>
          </cell>
          <cell r="S438">
            <v>277.10000000000002</v>
          </cell>
        </row>
        <row r="439">
          <cell r="A439" t="str">
            <v>1.4.2.4</v>
          </cell>
          <cell r="B439" t="str">
            <v>150mm dia.</v>
          </cell>
          <cell r="C439">
            <v>47</v>
          </cell>
          <cell r="D439" t="str">
            <v>No.</v>
          </cell>
          <cell r="E439">
            <v>0.05</v>
          </cell>
          <cell r="F439">
            <v>2.35</v>
          </cell>
          <cell r="H439">
            <v>0.12</v>
          </cell>
          <cell r="I439">
            <v>5.64</v>
          </cell>
          <cell r="J439">
            <v>0.72</v>
          </cell>
          <cell r="K439">
            <v>0.72</v>
          </cell>
          <cell r="L439">
            <v>1.66</v>
          </cell>
          <cell r="M439">
            <v>1.34</v>
          </cell>
          <cell r="N439">
            <v>1.32</v>
          </cell>
          <cell r="R439">
            <v>5.76</v>
          </cell>
          <cell r="S439">
            <v>270.72000000000003</v>
          </cell>
        </row>
        <row r="440">
          <cell r="A440" t="str">
            <v>1.4.2.5</v>
          </cell>
          <cell r="B440" t="str">
            <v>100mm dia.</v>
          </cell>
          <cell r="C440">
            <v>17</v>
          </cell>
          <cell r="D440" t="str">
            <v>No.</v>
          </cell>
          <cell r="E440">
            <v>0.03</v>
          </cell>
          <cell r="F440">
            <v>0.51</v>
          </cell>
          <cell r="H440">
            <v>7.0000000000000007E-2</v>
          </cell>
          <cell r="I440">
            <v>1.19</v>
          </cell>
          <cell r="J440">
            <v>0.42</v>
          </cell>
          <cell r="K440">
            <v>0.42</v>
          </cell>
          <cell r="L440">
            <v>0.97</v>
          </cell>
          <cell r="M440">
            <v>0.78</v>
          </cell>
          <cell r="N440">
            <v>0.77</v>
          </cell>
          <cell r="R440">
            <v>3.36</v>
          </cell>
          <cell r="S440">
            <v>57.12</v>
          </cell>
        </row>
        <row r="441">
          <cell r="A441" t="str">
            <v>1.4.2.6</v>
          </cell>
          <cell r="B441" t="str">
            <v>80mm dia.</v>
          </cell>
          <cell r="C441">
            <v>11</v>
          </cell>
          <cell r="D441" t="str">
            <v>No.</v>
          </cell>
          <cell r="E441">
            <v>0.02</v>
          </cell>
          <cell r="F441">
            <v>0.22</v>
          </cell>
          <cell r="H441">
            <v>0.05</v>
          </cell>
          <cell r="I441">
            <v>0.55000000000000004</v>
          </cell>
          <cell r="J441">
            <v>0.3</v>
          </cell>
          <cell r="K441">
            <v>0.3</v>
          </cell>
          <cell r="L441">
            <v>0.69</v>
          </cell>
          <cell r="M441">
            <v>0.56000000000000005</v>
          </cell>
          <cell r="N441">
            <v>0.55000000000000004</v>
          </cell>
          <cell r="R441">
            <v>2.4</v>
          </cell>
          <cell r="S441">
            <v>26.4</v>
          </cell>
        </row>
        <row r="442">
          <cell r="F442">
            <v>0</v>
          </cell>
          <cell r="H442">
            <v>0</v>
          </cell>
          <cell r="I442">
            <v>0</v>
          </cell>
          <cell r="J442">
            <v>0</v>
          </cell>
          <cell r="K442">
            <v>0</v>
          </cell>
          <cell r="L442">
            <v>0</v>
          </cell>
          <cell r="M442">
            <v>0</v>
          </cell>
          <cell r="N442">
            <v>0</v>
          </cell>
          <cell r="R442">
            <v>0</v>
          </cell>
          <cell r="S442">
            <v>0</v>
          </cell>
        </row>
        <row r="443">
          <cell r="B443" t="str">
            <v>Supply Pilot Operated Valves complete as specified:</v>
          </cell>
          <cell r="F443">
            <v>0</v>
          </cell>
          <cell r="H443">
            <v>0</v>
          </cell>
          <cell r="I443">
            <v>0</v>
          </cell>
          <cell r="J443">
            <v>0</v>
          </cell>
          <cell r="K443">
            <v>0</v>
          </cell>
          <cell r="L443">
            <v>0</v>
          </cell>
          <cell r="M443">
            <v>0</v>
          </cell>
          <cell r="N443">
            <v>0</v>
          </cell>
          <cell r="R443">
            <v>0</v>
          </cell>
          <cell r="S443">
            <v>0</v>
          </cell>
        </row>
        <row r="444">
          <cell r="F444">
            <v>0</v>
          </cell>
          <cell r="H444">
            <v>0</v>
          </cell>
          <cell r="I444">
            <v>0</v>
          </cell>
          <cell r="J444">
            <v>0</v>
          </cell>
          <cell r="K444">
            <v>0</v>
          </cell>
          <cell r="L444">
            <v>0</v>
          </cell>
          <cell r="M444">
            <v>0</v>
          </cell>
          <cell r="N444">
            <v>0</v>
          </cell>
          <cell r="R444">
            <v>0</v>
          </cell>
          <cell r="S444">
            <v>0</v>
          </cell>
        </row>
        <row r="445">
          <cell r="A445" t="str">
            <v>1.4.3.1</v>
          </cell>
          <cell r="B445" t="str">
            <v>400mm dia.(float valve - non modulating)</v>
          </cell>
          <cell r="C445">
            <v>2</v>
          </cell>
          <cell r="D445" t="str">
            <v>No.</v>
          </cell>
          <cell r="E445">
            <v>0.15</v>
          </cell>
          <cell r="F445">
            <v>0.3</v>
          </cell>
          <cell r="H445">
            <v>0.37</v>
          </cell>
          <cell r="I445">
            <v>0.74</v>
          </cell>
          <cell r="J445">
            <v>2.2200000000000002</v>
          </cell>
          <cell r="K445">
            <v>2.2200000000000002</v>
          </cell>
          <cell r="L445">
            <v>5.12</v>
          </cell>
          <cell r="M445">
            <v>4.12</v>
          </cell>
          <cell r="N445">
            <v>4.07</v>
          </cell>
          <cell r="R445">
            <v>17.75</v>
          </cell>
          <cell r="S445">
            <v>35.5</v>
          </cell>
        </row>
        <row r="446">
          <cell r="A446" t="str">
            <v>1.4.3.2</v>
          </cell>
          <cell r="B446" t="str">
            <v>250mm dia.(float valve  - non modulating)</v>
          </cell>
          <cell r="C446">
            <v>1</v>
          </cell>
          <cell r="D446" t="str">
            <v>No.</v>
          </cell>
          <cell r="E446">
            <v>0.13</v>
          </cell>
          <cell r="F446">
            <v>0.13</v>
          </cell>
          <cell r="H446">
            <v>0.32</v>
          </cell>
          <cell r="I446">
            <v>0.32</v>
          </cell>
          <cell r="J446">
            <v>1.92</v>
          </cell>
          <cell r="K446">
            <v>1.92</v>
          </cell>
          <cell r="L446">
            <v>4.43</v>
          </cell>
          <cell r="M446">
            <v>3.56</v>
          </cell>
          <cell r="N446">
            <v>3.52</v>
          </cell>
          <cell r="R446">
            <v>15.35</v>
          </cell>
          <cell r="S446">
            <v>15.35</v>
          </cell>
        </row>
        <row r="447">
          <cell r="A447" t="str">
            <v>1.4.3.3</v>
          </cell>
          <cell r="B447" t="str">
            <v>200mm dia.(float valve  - non modulating)</v>
          </cell>
          <cell r="C447">
            <v>2</v>
          </cell>
          <cell r="D447" t="str">
            <v>No.</v>
          </cell>
          <cell r="E447">
            <v>0.1</v>
          </cell>
          <cell r="F447">
            <v>0.2</v>
          </cell>
          <cell r="H447">
            <v>0.25</v>
          </cell>
          <cell r="I447">
            <v>0.5</v>
          </cell>
          <cell r="J447">
            <v>1.5</v>
          </cell>
          <cell r="K447">
            <v>1.5</v>
          </cell>
          <cell r="L447">
            <v>3.46</v>
          </cell>
          <cell r="M447">
            <v>2.79</v>
          </cell>
          <cell r="N447">
            <v>2.75</v>
          </cell>
          <cell r="R447">
            <v>12</v>
          </cell>
          <cell r="S447">
            <v>24</v>
          </cell>
        </row>
        <row r="448">
          <cell r="A448" t="str">
            <v>1.4.3.4</v>
          </cell>
          <cell r="B448" t="str">
            <v>300mm dia.(flow control)</v>
          </cell>
          <cell r="C448">
            <v>2</v>
          </cell>
          <cell r="D448" t="str">
            <v>No.</v>
          </cell>
          <cell r="E448">
            <v>0.13</v>
          </cell>
          <cell r="F448">
            <v>0.26</v>
          </cell>
          <cell r="H448">
            <v>0.32</v>
          </cell>
          <cell r="I448">
            <v>0.64</v>
          </cell>
          <cell r="J448">
            <v>1.92</v>
          </cell>
          <cell r="K448">
            <v>1.92</v>
          </cell>
          <cell r="L448">
            <v>4.43</v>
          </cell>
          <cell r="M448">
            <v>3.56</v>
          </cell>
          <cell r="N448">
            <v>3.52</v>
          </cell>
          <cell r="R448">
            <v>15.35</v>
          </cell>
          <cell r="S448">
            <v>30.7</v>
          </cell>
        </row>
        <row r="449">
          <cell r="A449" t="str">
            <v>1.4.3.5</v>
          </cell>
          <cell r="B449" t="str">
            <v>150mm dia.(flow control)</v>
          </cell>
          <cell r="C449">
            <v>1</v>
          </cell>
          <cell r="D449" t="str">
            <v>No.</v>
          </cell>
          <cell r="E449">
            <v>0.1</v>
          </cell>
          <cell r="F449">
            <v>0.1</v>
          </cell>
          <cell r="H449">
            <v>0.25</v>
          </cell>
          <cell r="I449">
            <v>0.25</v>
          </cell>
          <cell r="J449">
            <v>1.5</v>
          </cell>
          <cell r="K449">
            <v>1.5</v>
          </cell>
          <cell r="L449">
            <v>3.46</v>
          </cell>
          <cell r="M449">
            <v>2.79</v>
          </cell>
          <cell r="N449">
            <v>2.75</v>
          </cell>
          <cell r="R449">
            <v>12</v>
          </cell>
          <cell r="S449">
            <v>12</v>
          </cell>
        </row>
        <row r="450">
          <cell r="A450" t="str">
            <v>1.4.3.6</v>
          </cell>
          <cell r="B450" t="str">
            <v>400mm dia.(pressure reducing)</v>
          </cell>
          <cell r="C450">
            <v>1</v>
          </cell>
          <cell r="D450" t="str">
            <v>No.</v>
          </cell>
          <cell r="E450">
            <v>0.15</v>
          </cell>
          <cell r="F450">
            <v>0.15</v>
          </cell>
          <cell r="H450">
            <v>0.37</v>
          </cell>
          <cell r="I450">
            <v>0.37</v>
          </cell>
          <cell r="J450">
            <v>2.2200000000000002</v>
          </cell>
          <cell r="K450">
            <v>2.2200000000000002</v>
          </cell>
          <cell r="L450">
            <v>5.12</v>
          </cell>
          <cell r="M450">
            <v>4.12</v>
          </cell>
          <cell r="N450">
            <v>4.07</v>
          </cell>
          <cell r="R450">
            <v>17.75</v>
          </cell>
          <cell r="S450">
            <v>17.75</v>
          </cell>
        </row>
        <row r="451">
          <cell r="F451">
            <v>0</v>
          </cell>
          <cell r="H451">
            <v>0</v>
          </cell>
          <cell r="I451">
            <v>0</v>
          </cell>
          <cell r="J451">
            <v>0</v>
          </cell>
          <cell r="K451">
            <v>0</v>
          </cell>
          <cell r="L451">
            <v>0</v>
          </cell>
          <cell r="M451">
            <v>0</v>
          </cell>
          <cell r="N451">
            <v>0</v>
          </cell>
          <cell r="R451">
            <v>0</v>
          </cell>
          <cell r="S451">
            <v>0</v>
          </cell>
        </row>
        <row r="452">
          <cell r="B452" t="str">
            <v xml:space="preserve">Air Valves </v>
          </cell>
          <cell r="F452">
            <v>0</v>
          </cell>
          <cell r="H452">
            <v>0</v>
          </cell>
          <cell r="I452">
            <v>0</v>
          </cell>
          <cell r="J452">
            <v>0</v>
          </cell>
          <cell r="K452">
            <v>0</v>
          </cell>
          <cell r="L452">
            <v>0</v>
          </cell>
          <cell r="M452">
            <v>0</v>
          </cell>
          <cell r="N452">
            <v>0</v>
          </cell>
          <cell r="R452">
            <v>0</v>
          </cell>
          <cell r="S452">
            <v>0</v>
          </cell>
        </row>
        <row r="453">
          <cell r="F453">
            <v>0</v>
          </cell>
          <cell r="H453">
            <v>0</v>
          </cell>
          <cell r="I453">
            <v>0</v>
          </cell>
          <cell r="J453">
            <v>0</v>
          </cell>
          <cell r="K453">
            <v>0</v>
          </cell>
          <cell r="L453">
            <v>0</v>
          </cell>
          <cell r="M453">
            <v>0</v>
          </cell>
          <cell r="N453">
            <v>0</v>
          </cell>
          <cell r="R453">
            <v>0</v>
          </cell>
          <cell r="S453">
            <v>0</v>
          </cell>
        </row>
        <row r="454">
          <cell r="B454" t="str">
            <v>Supply D.I. Air Valves plus geared isolating gate valve</v>
          </cell>
          <cell r="F454">
            <v>0</v>
          </cell>
          <cell r="H454">
            <v>0</v>
          </cell>
          <cell r="I454">
            <v>0</v>
          </cell>
          <cell r="J454">
            <v>0</v>
          </cell>
          <cell r="K454">
            <v>0</v>
          </cell>
          <cell r="L454">
            <v>0</v>
          </cell>
          <cell r="M454">
            <v>0</v>
          </cell>
          <cell r="N454">
            <v>0</v>
          </cell>
          <cell r="R454">
            <v>0</v>
          </cell>
          <cell r="S454">
            <v>0</v>
          </cell>
        </row>
        <row r="455">
          <cell r="B455" t="str">
            <v>and hand wheel complete with all accessories and</v>
          </cell>
          <cell r="F455">
            <v>0</v>
          </cell>
          <cell r="H455">
            <v>0</v>
          </cell>
          <cell r="I455">
            <v>0</v>
          </cell>
          <cell r="J455">
            <v>0</v>
          </cell>
          <cell r="K455">
            <v>0</v>
          </cell>
          <cell r="L455">
            <v>0</v>
          </cell>
          <cell r="M455">
            <v>0</v>
          </cell>
          <cell r="N455">
            <v>0</v>
          </cell>
          <cell r="R455">
            <v>0</v>
          </cell>
          <cell r="S455">
            <v>0</v>
          </cell>
        </row>
        <row r="456">
          <cell r="B456" t="str">
            <v>all as specifications:</v>
          </cell>
          <cell r="F456">
            <v>0</v>
          </cell>
          <cell r="H456">
            <v>0</v>
          </cell>
          <cell r="I456">
            <v>0</v>
          </cell>
          <cell r="J456">
            <v>0</v>
          </cell>
          <cell r="K456">
            <v>0</v>
          </cell>
          <cell r="L456">
            <v>0</v>
          </cell>
          <cell r="M456">
            <v>0</v>
          </cell>
          <cell r="N456">
            <v>0</v>
          </cell>
          <cell r="R456">
            <v>0</v>
          </cell>
          <cell r="S456">
            <v>0</v>
          </cell>
        </row>
        <row r="457">
          <cell r="F457">
            <v>0</v>
          </cell>
          <cell r="H457">
            <v>0</v>
          </cell>
          <cell r="I457">
            <v>0</v>
          </cell>
          <cell r="J457">
            <v>0</v>
          </cell>
          <cell r="K457">
            <v>0</v>
          </cell>
          <cell r="L457">
            <v>0</v>
          </cell>
          <cell r="M457">
            <v>0</v>
          </cell>
          <cell r="N457">
            <v>0</v>
          </cell>
          <cell r="R457">
            <v>0</v>
          </cell>
          <cell r="S457">
            <v>0</v>
          </cell>
        </row>
        <row r="458">
          <cell r="A458" t="str">
            <v>1.4.4.1</v>
          </cell>
          <cell r="B458" t="str">
            <v>150mm dia.</v>
          </cell>
          <cell r="C458">
            <v>24</v>
          </cell>
          <cell r="D458" t="str">
            <v>No.</v>
          </cell>
          <cell r="E458">
            <v>0.1</v>
          </cell>
          <cell r="F458">
            <v>2.4</v>
          </cell>
          <cell r="H458">
            <v>0.25</v>
          </cell>
          <cell r="I458">
            <v>6</v>
          </cell>
          <cell r="J458">
            <v>1.5</v>
          </cell>
          <cell r="K458">
            <v>1.5</v>
          </cell>
          <cell r="L458">
            <v>3.46</v>
          </cell>
          <cell r="M458">
            <v>2.79</v>
          </cell>
          <cell r="N458">
            <v>2.75</v>
          </cell>
          <cell r="R458">
            <v>12</v>
          </cell>
          <cell r="S458">
            <v>288</v>
          </cell>
        </row>
        <row r="459">
          <cell r="A459" t="str">
            <v>1.4.4.2</v>
          </cell>
          <cell r="B459" t="str">
            <v>100mm dia.</v>
          </cell>
          <cell r="C459">
            <v>19</v>
          </cell>
          <cell r="D459" t="str">
            <v>No.</v>
          </cell>
          <cell r="E459">
            <v>0.09</v>
          </cell>
          <cell r="F459">
            <v>1.71</v>
          </cell>
          <cell r="H459">
            <v>0.22</v>
          </cell>
          <cell r="I459">
            <v>4.18</v>
          </cell>
          <cell r="J459">
            <v>1.32</v>
          </cell>
          <cell r="K459">
            <v>1.32</v>
          </cell>
          <cell r="L459">
            <v>3.04</v>
          </cell>
          <cell r="M459">
            <v>2.4500000000000002</v>
          </cell>
          <cell r="N459">
            <v>2.42</v>
          </cell>
          <cell r="R459">
            <v>10.55</v>
          </cell>
          <cell r="S459">
            <v>200.45</v>
          </cell>
        </row>
        <row r="460">
          <cell r="A460" t="str">
            <v>1.4.4.3</v>
          </cell>
          <cell r="B460" t="str">
            <v>80mm dia.</v>
          </cell>
          <cell r="C460">
            <v>6</v>
          </cell>
          <cell r="D460" t="str">
            <v>No.</v>
          </cell>
          <cell r="E460">
            <v>0.08</v>
          </cell>
          <cell r="F460">
            <v>0.48</v>
          </cell>
          <cell r="H460">
            <v>0.2</v>
          </cell>
          <cell r="I460">
            <v>1.2</v>
          </cell>
          <cell r="J460">
            <v>1.2</v>
          </cell>
          <cell r="K460">
            <v>1.2</v>
          </cell>
          <cell r="L460">
            <v>2.77</v>
          </cell>
          <cell r="M460">
            <v>2.23</v>
          </cell>
          <cell r="N460">
            <v>2.2000000000000002</v>
          </cell>
          <cell r="R460">
            <v>9.6</v>
          </cell>
          <cell r="S460">
            <v>57.6</v>
          </cell>
        </row>
        <row r="461">
          <cell r="B461" t="str">
            <v>Valve Operating Keys</v>
          </cell>
          <cell r="F461">
            <v>0</v>
          </cell>
          <cell r="H461">
            <v>0</v>
          </cell>
          <cell r="I461">
            <v>0</v>
          </cell>
          <cell r="J461">
            <v>0</v>
          </cell>
          <cell r="K461">
            <v>0</v>
          </cell>
          <cell r="L461">
            <v>0</v>
          </cell>
          <cell r="M461">
            <v>0</v>
          </cell>
          <cell r="N461">
            <v>0</v>
          </cell>
          <cell r="R461">
            <v>0</v>
          </cell>
          <cell r="S461">
            <v>0</v>
          </cell>
        </row>
        <row r="462">
          <cell r="F462">
            <v>0</v>
          </cell>
          <cell r="H462">
            <v>0</v>
          </cell>
          <cell r="I462">
            <v>0</v>
          </cell>
          <cell r="J462">
            <v>0</v>
          </cell>
          <cell r="K462">
            <v>0</v>
          </cell>
          <cell r="L462">
            <v>0</v>
          </cell>
          <cell r="M462">
            <v>0</v>
          </cell>
          <cell r="N462">
            <v>0</v>
          </cell>
          <cell r="R462">
            <v>0</v>
          </cell>
          <cell r="S462">
            <v>0</v>
          </cell>
        </row>
        <row r="463">
          <cell r="A463" t="str">
            <v>1.4.7</v>
          </cell>
          <cell r="B463" t="str">
            <v>Supply valve operating T-key to ADWEA</v>
          </cell>
          <cell r="F463">
            <v>0</v>
          </cell>
          <cell r="H463">
            <v>0</v>
          </cell>
          <cell r="I463">
            <v>0</v>
          </cell>
          <cell r="J463">
            <v>0</v>
          </cell>
          <cell r="K463">
            <v>0</v>
          </cell>
          <cell r="L463">
            <v>0</v>
          </cell>
          <cell r="M463">
            <v>0</v>
          </cell>
          <cell r="N463">
            <v>0</v>
          </cell>
          <cell r="R463">
            <v>0</v>
          </cell>
          <cell r="S463">
            <v>0</v>
          </cell>
        </row>
        <row r="464">
          <cell r="B464" t="str">
            <v xml:space="preserve">requirements suitable for surface chamber </v>
          </cell>
          <cell r="F464">
            <v>0</v>
          </cell>
          <cell r="H464">
            <v>0</v>
          </cell>
          <cell r="I464">
            <v>0</v>
          </cell>
          <cell r="J464">
            <v>0</v>
          </cell>
          <cell r="K464">
            <v>0</v>
          </cell>
          <cell r="L464">
            <v>0</v>
          </cell>
          <cell r="M464">
            <v>0</v>
          </cell>
          <cell r="N464">
            <v>0</v>
          </cell>
          <cell r="R464">
            <v>0</v>
          </cell>
          <cell r="S464">
            <v>0</v>
          </cell>
        </row>
        <row r="465">
          <cell r="B465" t="str">
            <v>covers:</v>
          </cell>
          <cell r="C465">
            <v>20</v>
          </cell>
          <cell r="D465" t="str">
            <v>No.</v>
          </cell>
          <cell r="F465">
            <v>0</v>
          </cell>
          <cell r="H465">
            <v>0</v>
          </cell>
          <cell r="I465">
            <v>0</v>
          </cell>
          <cell r="J465">
            <v>0</v>
          </cell>
          <cell r="K465">
            <v>0</v>
          </cell>
          <cell r="L465">
            <v>0</v>
          </cell>
          <cell r="M465">
            <v>0</v>
          </cell>
          <cell r="N465">
            <v>0</v>
          </cell>
          <cell r="R465">
            <v>0</v>
          </cell>
          <cell r="S465">
            <v>0</v>
          </cell>
        </row>
        <row r="466">
          <cell r="F466">
            <v>0</v>
          </cell>
          <cell r="H466">
            <v>0</v>
          </cell>
          <cell r="I466">
            <v>0</v>
          </cell>
          <cell r="J466">
            <v>0</v>
          </cell>
          <cell r="K466">
            <v>0</v>
          </cell>
          <cell r="L466">
            <v>0</v>
          </cell>
          <cell r="M466">
            <v>0</v>
          </cell>
          <cell r="N466">
            <v>0</v>
          </cell>
          <cell r="R466">
            <v>0</v>
          </cell>
          <cell r="S466">
            <v>0</v>
          </cell>
        </row>
        <row r="467">
          <cell r="B467" t="str">
            <v>Supply Noiseless Spring Loaded Check Valve of</v>
          </cell>
          <cell r="F467">
            <v>0</v>
          </cell>
          <cell r="H467">
            <v>0</v>
          </cell>
          <cell r="I467">
            <v>0</v>
          </cell>
          <cell r="J467">
            <v>0</v>
          </cell>
          <cell r="K467">
            <v>0</v>
          </cell>
          <cell r="L467">
            <v>0</v>
          </cell>
          <cell r="M467">
            <v>0</v>
          </cell>
          <cell r="N467">
            <v>0</v>
          </cell>
          <cell r="R467">
            <v>0</v>
          </cell>
          <cell r="S467">
            <v>0</v>
          </cell>
        </row>
        <row r="468">
          <cell r="B468" t="str">
            <v>the following size:</v>
          </cell>
          <cell r="F468">
            <v>0</v>
          </cell>
          <cell r="H468">
            <v>0</v>
          </cell>
          <cell r="I468">
            <v>0</v>
          </cell>
          <cell r="J468">
            <v>0</v>
          </cell>
          <cell r="K468">
            <v>0</v>
          </cell>
          <cell r="L468">
            <v>0</v>
          </cell>
          <cell r="M468">
            <v>0</v>
          </cell>
          <cell r="N468">
            <v>0</v>
          </cell>
          <cell r="R468">
            <v>0</v>
          </cell>
          <cell r="S468">
            <v>0</v>
          </cell>
        </row>
        <row r="469">
          <cell r="F469">
            <v>0</v>
          </cell>
          <cell r="H469">
            <v>0</v>
          </cell>
          <cell r="I469">
            <v>0</v>
          </cell>
          <cell r="J469">
            <v>0</v>
          </cell>
          <cell r="K469">
            <v>0</v>
          </cell>
          <cell r="L469">
            <v>0</v>
          </cell>
          <cell r="M469">
            <v>0</v>
          </cell>
          <cell r="N469">
            <v>0</v>
          </cell>
          <cell r="R469">
            <v>0</v>
          </cell>
          <cell r="S469">
            <v>0</v>
          </cell>
        </row>
        <row r="470">
          <cell r="A470" t="str">
            <v>1.10.9</v>
          </cell>
          <cell r="B470" t="str">
            <v>100 mm dia.</v>
          </cell>
          <cell r="C470">
            <v>3</v>
          </cell>
          <cell r="D470" t="str">
            <v>No.</v>
          </cell>
          <cell r="E470">
            <v>0.05</v>
          </cell>
          <cell r="F470">
            <v>0.15</v>
          </cell>
          <cell r="H470">
            <v>0.12</v>
          </cell>
          <cell r="I470">
            <v>0.36</v>
          </cell>
          <cell r="J470">
            <v>0.72</v>
          </cell>
          <cell r="K470">
            <v>0.72</v>
          </cell>
          <cell r="L470">
            <v>1.66</v>
          </cell>
          <cell r="M470">
            <v>1.34</v>
          </cell>
          <cell r="N470">
            <v>1.32</v>
          </cell>
          <cell r="R470">
            <v>5.76</v>
          </cell>
          <cell r="S470">
            <v>17.28</v>
          </cell>
        </row>
        <row r="471">
          <cell r="F471">
            <v>0</v>
          </cell>
          <cell r="H471">
            <v>0</v>
          </cell>
          <cell r="I471">
            <v>0</v>
          </cell>
          <cell r="J471">
            <v>0</v>
          </cell>
          <cell r="K471">
            <v>0</v>
          </cell>
          <cell r="L471">
            <v>0</v>
          </cell>
          <cell r="M471">
            <v>0</v>
          </cell>
          <cell r="N471">
            <v>0</v>
          </cell>
          <cell r="R471">
            <v>0</v>
          </cell>
          <cell r="S471">
            <v>0</v>
          </cell>
        </row>
        <row r="472">
          <cell r="B472" t="str">
            <v>Supply double flanged Gate Valve complete with all</v>
          </cell>
          <cell r="F472">
            <v>0</v>
          </cell>
          <cell r="H472">
            <v>0</v>
          </cell>
          <cell r="I472">
            <v>0</v>
          </cell>
          <cell r="J472">
            <v>0</v>
          </cell>
          <cell r="K472">
            <v>0</v>
          </cell>
          <cell r="L472">
            <v>0</v>
          </cell>
          <cell r="M472">
            <v>0</v>
          </cell>
          <cell r="N472">
            <v>0</v>
          </cell>
          <cell r="R472">
            <v>0</v>
          </cell>
          <cell r="S472">
            <v>0</v>
          </cell>
        </row>
        <row r="473">
          <cell r="B473" t="str">
            <v>accessories of the following sizes:</v>
          </cell>
          <cell r="F473">
            <v>0</v>
          </cell>
          <cell r="H473">
            <v>0</v>
          </cell>
          <cell r="I473">
            <v>0</v>
          </cell>
          <cell r="J473">
            <v>0</v>
          </cell>
          <cell r="K473">
            <v>0</v>
          </cell>
          <cell r="L473">
            <v>0</v>
          </cell>
          <cell r="M473">
            <v>0</v>
          </cell>
          <cell r="N473">
            <v>0</v>
          </cell>
          <cell r="R473">
            <v>0</v>
          </cell>
          <cell r="S473">
            <v>0</v>
          </cell>
        </row>
        <row r="474">
          <cell r="F474">
            <v>0</v>
          </cell>
          <cell r="H474">
            <v>0</v>
          </cell>
          <cell r="I474">
            <v>0</v>
          </cell>
          <cell r="J474">
            <v>0</v>
          </cell>
          <cell r="K474">
            <v>0</v>
          </cell>
          <cell r="L474">
            <v>0</v>
          </cell>
          <cell r="M474">
            <v>0</v>
          </cell>
          <cell r="N474">
            <v>0</v>
          </cell>
          <cell r="R474">
            <v>0</v>
          </cell>
          <cell r="S474">
            <v>0</v>
          </cell>
        </row>
        <row r="475">
          <cell r="A475" t="str">
            <v>1.10.10</v>
          </cell>
          <cell r="B475" t="str">
            <v>100 mm dia.</v>
          </cell>
          <cell r="C475">
            <v>6</v>
          </cell>
          <cell r="D475" t="str">
            <v>No.</v>
          </cell>
          <cell r="E475">
            <v>0.1</v>
          </cell>
          <cell r="F475">
            <v>0.6</v>
          </cell>
          <cell r="H475">
            <v>0.25</v>
          </cell>
          <cell r="I475">
            <v>1.5</v>
          </cell>
          <cell r="J475">
            <v>1.5</v>
          </cell>
          <cell r="K475">
            <v>1.5</v>
          </cell>
          <cell r="L475">
            <v>3.46</v>
          </cell>
          <cell r="M475">
            <v>2.79</v>
          </cell>
          <cell r="N475">
            <v>2.75</v>
          </cell>
          <cell r="R475">
            <v>12</v>
          </cell>
          <cell r="S475">
            <v>72</v>
          </cell>
        </row>
        <row r="476">
          <cell r="B476" t="str">
            <v xml:space="preserve">Supply flanged butterfly valves, complete </v>
          </cell>
          <cell r="F476">
            <v>0</v>
          </cell>
          <cell r="H476">
            <v>0</v>
          </cell>
          <cell r="I476">
            <v>0</v>
          </cell>
          <cell r="J476">
            <v>0</v>
          </cell>
          <cell r="K476">
            <v>0</v>
          </cell>
          <cell r="L476">
            <v>0</v>
          </cell>
          <cell r="M476">
            <v>0</v>
          </cell>
          <cell r="N476">
            <v>0</v>
          </cell>
          <cell r="R476">
            <v>0</v>
          </cell>
          <cell r="S476">
            <v>0</v>
          </cell>
        </row>
        <row r="477">
          <cell r="B477" t="str">
            <v>with all accessories of the following sizes:</v>
          </cell>
          <cell r="F477">
            <v>0</v>
          </cell>
          <cell r="H477">
            <v>0</v>
          </cell>
          <cell r="I477">
            <v>0</v>
          </cell>
          <cell r="J477">
            <v>0</v>
          </cell>
          <cell r="K477">
            <v>0</v>
          </cell>
          <cell r="L477">
            <v>0</v>
          </cell>
          <cell r="M477">
            <v>0</v>
          </cell>
          <cell r="N477">
            <v>0</v>
          </cell>
          <cell r="R477">
            <v>0</v>
          </cell>
          <cell r="S477">
            <v>0</v>
          </cell>
        </row>
        <row r="478">
          <cell r="F478">
            <v>0</v>
          </cell>
          <cell r="H478">
            <v>0</v>
          </cell>
          <cell r="I478">
            <v>0</v>
          </cell>
          <cell r="J478">
            <v>0</v>
          </cell>
          <cell r="K478">
            <v>0</v>
          </cell>
          <cell r="L478">
            <v>0</v>
          </cell>
          <cell r="M478">
            <v>0</v>
          </cell>
          <cell r="N478">
            <v>0</v>
          </cell>
          <cell r="R478">
            <v>0</v>
          </cell>
          <cell r="S478">
            <v>0</v>
          </cell>
        </row>
        <row r="479">
          <cell r="A479" t="str">
            <v>1.12.2.1</v>
          </cell>
          <cell r="B479" t="str">
            <v>400mm dia.</v>
          </cell>
          <cell r="C479">
            <v>24</v>
          </cell>
          <cell r="D479" t="str">
            <v>No.</v>
          </cell>
          <cell r="E479">
            <v>0.15</v>
          </cell>
          <cell r="F479">
            <v>3.6</v>
          </cell>
          <cell r="H479">
            <v>0.37</v>
          </cell>
          <cell r="I479">
            <v>8.8800000000000008</v>
          </cell>
          <cell r="J479">
            <v>2.2200000000000002</v>
          </cell>
          <cell r="K479">
            <v>2.2200000000000002</v>
          </cell>
          <cell r="L479">
            <v>5.12</v>
          </cell>
          <cell r="M479">
            <v>4.12</v>
          </cell>
          <cell r="N479">
            <v>4.07</v>
          </cell>
          <cell r="R479">
            <v>17.75</v>
          </cell>
          <cell r="S479">
            <v>426</v>
          </cell>
        </row>
        <row r="480">
          <cell r="A480" t="str">
            <v>1.12.2.2</v>
          </cell>
          <cell r="B480" t="str">
            <v>300mm dia.</v>
          </cell>
          <cell r="C480">
            <v>8</v>
          </cell>
          <cell r="D480" t="str">
            <v>No.</v>
          </cell>
          <cell r="E480">
            <v>0.12</v>
          </cell>
          <cell r="F480">
            <v>0.96</v>
          </cell>
          <cell r="H480">
            <v>0.28999999999999998</v>
          </cell>
          <cell r="I480">
            <v>2.3199999999999998</v>
          </cell>
          <cell r="J480">
            <v>1.74</v>
          </cell>
          <cell r="K480">
            <v>1.74</v>
          </cell>
          <cell r="L480">
            <v>4.01</v>
          </cell>
          <cell r="M480">
            <v>3.23</v>
          </cell>
          <cell r="N480">
            <v>3.19</v>
          </cell>
          <cell r="R480">
            <v>13.91</v>
          </cell>
          <cell r="S480">
            <v>111.28</v>
          </cell>
        </row>
        <row r="481">
          <cell r="F481">
            <v>0</v>
          </cell>
          <cell r="H481">
            <v>0</v>
          </cell>
          <cell r="I481">
            <v>0</v>
          </cell>
          <cell r="J481">
            <v>0</v>
          </cell>
          <cell r="K481">
            <v>0</v>
          </cell>
          <cell r="L481">
            <v>0</v>
          </cell>
          <cell r="M481">
            <v>0</v>
          </cell>
          <cell r="N481">
            <v>0</v>
          </cell>
          <cell r="R481">
            <v>0</v>
          </cell>
          <cell r="S481">
            <v>0</v>
          </cell>
        </row>
        <row r="482">
          <cell r="B482" t="str">
            <v xml:space="preserve">Supply pilot operated float valves, complete </v>
          </cell>
          <cell r="F482">
            <v>0</v>
          </cell>
          <cell r="H482">
            <v>0</v>
          </cell>
          <cell r="I482">
            <v>0</v>
          </cell>
          <cell r="J482">
            <v>0</v>
          </cell>
          <cell r="K482">
            <v>0</v>
          </cell>
          <cell r="L482">
            <v>0</v>
          </cell>
          <cell r="M482">
            <v>0</v>
          </cell>
          <cell r="N482">
            <v>0</v>
          </cell>
          <cell r="R482">
            <v>0</v>
          </cell>
          <cell r="S482">
            <v>0</v>
          </cell>
        </row>
        <row r="483">
          <cell r="B483" t="str">
            <v>with all accessories ( float control, flow</v>
          </cell>
          <cell r="F483">
            <v>0</v>
          </cell>
          <cell r="H483">
            <v>0</v>
          </cell>
          <cell r="I483">
            <v>0</v>
          </cell>
          <cell r="J483">
            <v>0</v>
          </cell>
          <cell r="K483">
            <v>0</v>
          </cell>
          <cell r="L483">
            <v>0</v>
          </cell>
          <cell r="M483">
            <v>0</v>
          </cell>
          <cell r="N483">
            <v>0</v>
          </cell>
          <cell r="R483">
            <v>0</v>
          </cell>
          <cell r="S483">
            <v>0</v>
          </cell>
        </row>
        <row r="484">
          <cell r="B484" t="str">
            <v>controls, stilling well, float rod and linkage,</v>
          </cell>
          <cell r="F484">
            <v>0</v>
          </cell>
          <cell r="H484">
            <v>0</v>
          </cell>
          <cell r="I484">
            <v>0</v>
          </cell>
          <cell r="J484">
            <v>0</v>
          </cell>
          <cell r="K484">
            <v>0</v>
          </cell>
          <cell r="L484">
            <v>0</v>
          </cell>
          <cell r="M484">
            <v>0</v>
          </cell>
          <cell r="N484">
            <v>0</v>
          </cell>
          <cell r="R484">
            <v>0</v>
          </cell>
          <cell r="S484">
            <v>0</v>
          </cell>
        </row>
        <row r="485">
          <cell r="B485" t="str">
            <v>etc.) of the following size:</v>
          </cell>
          <cell r="F485">
            <v>0</v>
          </cell>
          <cell r="H485">
            <v>0</v>
          </cell>
          <cell r="I485">
            <v>0</v>
          </cell>
          <cell r="J485">
            <v>0</v>
          </cell>
          <cell r="K485">
            <v>0</v>
          </cell>
          <cell r="L485">
            <v>0</v>
          </cell>
          <cell r="M485">
            <v>0</v>
          </cell>
          <cell r="N485">
            <v>0</v>
          </cell>
          <cell r="R485">
            <v>0</v>
          </cell>
          <cell r="S485">
            <v>0</v>
          </cell>
        </row>
        <row r="486">
          <cell r="F486">
            <v>0</v>
          </cell>
          <cell r="H486">
            <v>0</v>
          </cell>
          <cell r="I486">
            <v>0</v>
          </cell>
          <cell r="J486">
            <v>0</v>
          </cell>
          <cell r="K486">
            <v>0</v>
          </cell>
          <cell r="L486">
            <v>0</v>
          </cell>
          <cell r="M486">
            <v>0</v>
          </cell>
          <cell r="N486">
            <v>0</v>
          </cell>
          <cell r="R486">
            <v>0</v>
          </cell>
          <cell r="S486">
            <v>0</v>
          </cell>
        </row>
        <row r="487">
          <cell r="A487" t="str">
            <v>1.12.3</v>
          </cell>
          <cell r="B487" t="str">
            <v xml:space="preserve">300mm dia. </v>
          </cell>
          <cell r="C487">
            <v>8</v>
          </cell>
          <cell r="D487" t="str">
            <v>No.</v>
          </cell>
          <cell r="E487">
            <v>0.12</v>
          </cell>
          <cell r="F487">
            <v>0.96</v>
          </cell>
          <cell r="H487">
            <v>0.28999999999999998</v>
          </cell>
          <cell r="I487">
            <v>2.3199999999999998</v>
          </cell>
          <cell r="J487">
            <v>1.74</v>
          </cell>
          <cell r="K487">
            <v>1.74</v>
          </cell>
          <cell r="L487">
            <v>4.01</v>
          </cell>
          <cell r="M487">
            <v>3.23</v>
          </cell>
          <cell r="N487">
            <v>3.19</v>
          </cell>
          <cell r="R487">
            <v>13.91</v>
          </cell>
          <cell r="S487">
            <v>111.28</v>
          </cell>
        </row>
        <row r="488">
          <cell r="F488">
            <v>0</v>
          </cell>
          <cell r="H488">
            <v>0</v>
          </cell>
          <cell r="I488">
            <v>0</v>
          </cell>
          <cell r="J488">
            <v>0</v>
          </cell>
          <cell r="K488">
            <v>0</v>
          </cell>
          <cell r="L488">
            <v>0</v>
          </cell>
          <cell r="M488">
            <v>0</v>
          </cell>
          <cell r="N488">
            <v>0</v>
          </cell>
          <cell r="R488">
            <v>0</v>
          </cell>
          <cell r="S488">
            <v>0</v>
          </cell>
        </row>
        <row r="489">
          <cell r="B489" t="str">
            <v>Supply Pilot Opretated Valves, complete as specified:</v>
          </cell>
          <cell r="F489">
            <v>0</v>
          </cell>
          <cell r="H489">
            <v>0</v>
          </cell>
          <cell r="I489">
            <v>0</v>
          </cell>
          <cell r="J489">
            <v>0</v>
          </cell>
          <cell r="K489">
            <v>0</v>
          </cell>
          <cell r="L489">
            <v>0</v>
          </cell>
          <cell r="M489">
            <v>0</v>
          </cell>
          <cell r="N489">
            <v>0</v>
          </cell>
          <cell r="R489">
            <v>0</v>
          </cell>
          <cell r="S489">
            <v>0</v>
          </cell>
        </row>
        <row r="490">
          <cell r="F490">
            <v>0</v>
          </cell>
          <cell r="H490">
            <v>0</v>
          </cell>
          <cell r="I490">
            <v>0</v>
          </cell>
          <cell r="J490">
            <v>0</v>
          </cell>
          <cell r="K490">
            <v>0</v>
          </cell>
          <cell r="L490">
            <v>0</v>
          </cell>
          <cell r="M490">
            <v>0</v>
          </cell>
          <cell r="N490">
            <v>0</v>
          </cell>
          <cell r="R490">
            <v>0</v>
          </cell>
          <cell r="S490">
            <v>0</v>
          </cell>
        </row>
        <row r="491">
          <cell r="A491" t="str">
            <v>1.14.4</v>
          </cell>
          <cell r="B491" t="str">
            <v>300 mm dia. (flow control)</v>
          </cell>
          <cell r="C491">
            <v>4</v>
          </cell>
          <cell r="D491" t="str">
            <v>No.</v>
          </cell>
          <cell r="E491">
            <v>0.12</v>
          </cell>
          <cell r="F491">
            <v>0.48</v>
          </cell>
          <cell r="H491">
            <v>0.28999999999999998</v>
          </cell>
          <cell r="I491">
            <v>1.1599999999999999</v>
          </cell>
          <cell r="J491">
            <v>1.74</v>
          </cell>
          <cell r="K491">
            <v>1.74</v>
          </cell>
          <cell r="L491">
            <v>4.01</v>
          </cell>
          <cell r="M491">
            <v>3.23</v>
          </cell>
          <cell r="N491">
            <v>3.19</v>
          </cell>
          <cell r="R491">
            <v>13.91</v>
          </cell>
          <cell r="S491">
            <v>55.64</v>
          </cell>
        </row>
        <row r="492">
          <cell r="F492">
            <v>0</v>
          </cell>
          <cell r="H492">
            <v>0</v>
          </cell>
          <cell r="I492">
            <v>0</v>
          </cell>
          <cell r="J492">
            <v>0</v>
          </cell>
          <cell r="K492">
            <v>0</v>
          </cell>
          <cell r="L492">
            <v>0</v>
          </cell>
          <cell r="M492">
            <v>0</v>
          </cell>
          <cell r="N492">
            <v>0</v>
          </cell>
          <cell r="R492">
            <v>0</v>
          </cell>
          <cell r="S492">
            <v>0</v>
          </cell>
        </row>
        <row r="493">
          <cell r="B493" t="str">
            <v>Supply double-flanged  electromagnetic type</v>
          </cell>
          <cell r="F493">
            <v>0</v>
          </cell>
          <cell r="H493">
            <v>0</v>
          </cell>
          <cell r="I493">
            <v>0</v>
          </cell>
          <cell r="J493">
            <v>0</v>
          </cell>
          <cell r="K493">
            <v>0</v>
          </cell>
          <cell r="L493">
            <v>0</v>
          </cell>
          <cell r="M493">
            <v>0</v>
          </cell>
          <cell r="N493">
            <v>0</v>
          </cell>
          <cell r="R493">
            <v>0</v>
          </cell>
          <cell r="S493">
            <v>0</v>
          </cell>
        </row>
        <row r="494">
          <cell r="B494" t="str">
            <v>flowmeter and transmitter, complete of</v>
          </cell>
          <cell r="F494">
            <v>0</v>
          </cell>
          <cell r="H494">
            <v>0</v>
          </cell>
          <cell r="I494">
            <v>0</v>
          </cell>
          <cell r="J494">
            <v>0</v>
          </cell>
          <cell r="K494">
            <v>0</v>
          </cell>
          <cell r="L494">
            <v>0</v>
          </cell>
          <cell r="M494">
            <v>0</v>
          </cell>
          <cell r="N494">
            <v>0</v>
          </cell>
          <cell r="R494">
            <v>0</v>
          </cell>
          <cell r="S494">
            <v>0</v>
          </cell>
        </row>
        <row r="495">
          <cell r="B495" t="str">
            <v>gauge/air vent sample-drain valve assemblies</v>
          </cell>
          <cell r="F495">
            <v>0</v>
          </cell>
          <cell r="H495">
            <v>0</v>
          </cell>
          <cell r="I495">
            <v>0</v>
          </cell>
          <cell r="J495">
            <v>0</v>
          </cell>
          <cell r="K495">
            <v>0</v>
          </cell>
          <cell r="L495">
            <v>0</v>
          </cell>
          <cell r="M495">
            <v>0</v>
          </cell>
          <cell r="N495">
            <v>0</v>
          </cell>
          <cell r="R495">
            <v>0</v>
          </cell>
          <cell r="S495">
            <v>0</v>
          </cell>
        </row>
        <row r="496">
          <cell r="B496" t="str">
            <v>saddle straps, copper piping, complete</v>
          </cell>
          <cell r="F496">
            <v>0</v>
          </cell>
          <cell r="H496">
            <v>0</v>
          </cell>
          <cell r="I496">
            <v>0</v>
          </cell>
          <cell r="J496">
            <v>0</v>
          </cell>
          <cell r="K496">
            <v>0</v>
          </cell>
          <cell r="L496">
            <v>0</v>
          </cell>
          <cell r="M496">
            <v>0</v>
          </cell>
          <cell r="N496">
            <v>0</v>
          </cell>
          <cell r="R496">
            <v>0</v>
          </cell>
          <cell r="S496">
            <v>0</v>
          </cell>
        </row>
        <row r="497">
          <cell r="B497" t="str">
            <v xml:space="preserve"> of the following sizes:</v>
          </cell>
          <cell r="F497">
            <v>0</v>
          </cell>
          <cell r="H497">
            <v>0</v>
          </cell>
          <cell r="I497">
            <v>0</v>
          </cell>
          <cell r="J497">
            <v>0</v>
          </cell>
          <cell r="K497">
            <v>0</v>
          </cell>
          <cell r="L497">
            <v>0</v>
          </cell>
          <cell r="M497">
            <v>0</v>
          </cell>
          <cell r="N497">
            <v>0</v>
          </cell>
          <cell r="R497">
            <v>0</v>
          </cell>
          <cell r="S497">
            <v>0</v>
          </cell>
        </row>
        <row r="498">
          <cell r="F498">
            <v>0</v>
          </cell>
          <cell r="H498">
            <v>0</v>
          </cell>
          <cell r="I498">
            <v>0</v>
          </cell>
          <cell r="J498">
            <v>0</v>
          </cell>
          <cell r="K498">
            <v>0</v>
          </cell>
          <cell r="L498">
            <v>0</v>
          </cell>
          <cell r="M498">
            <v>0</v>
          </cell>
          <cell r="N498">
            <v>0</v>
          </cell>
          <cell r="R498">
            <v>0</v>
          </cell>
          <cell r="S498">
            <v>0</v>
          </cell>
        </row>
        <row r="499">
          <cell r="A499" t="str">
            <v>1.14.3</v>
          </cell>
          <cell r="B499" t="str">
            <v>300 mm dia</v>
          </cell>
          <cell r="C499">
            <v>8</v>
          </cell>
          <cell r="D499" t="str">
            <v>No.</v>
          </cell>
          <cell r="E499">
            <v>0.1</v>
          </cell>
          <cell r="F499">
            <v>0.8</v>
          </cell>
          <cell r="H499">
            <v>0.25</v>
          </cell>
          <cell r="I499">
            <v>2</v>
          </cell>
          <cell r="J499">
            <v>1.5</v>
          </cell>
          <cell r="K499">
            <v>1.5</v>
          </cell>
          <cell r="L499">
            <v>3.46</v>
          </cell>
          <cell r="M499">
            <v>2.79</v>
          </cell>
          <cell r="N499">
            <v>2.75</v>
          </cell>
          <cell r="R499">
            <v>12</v>
          </cell>
          <cell r="S499">
            <v>96</v>
          </cell>
        </row>
        <row r="500">
          <cell r="F500">
            <v>0</v>
          </cell>
          <cell r="H500">
            <v>0</v>
          </cell>
          <cell r="I500">
            <v>0</v>
          </cell>
          <cell r="J500">
            <v>0</v>
          </cell>
          <cell r="K500">
            <v>0</v>
          </cell>
          <cell r="L500">
            <v>0</v>
          </cell>
          <cell r="M500">
            <v>0</v>
          </cell>
          <cell r="N500">
            <v>0</v>
          </cell>
          <cell r="R500">
            <v>0</v>
          </cell>
          <cell r="S500">
            <v>0</v>
          </cell>
        </row>
        <row r="501">
          <cell r="B501" t="str">
            <v>Supply Pilot Opretated Valves, complete as specified:</v>
          </cell>
          <cell r="F501">
            <v>0</v>
          </cell>
          <cell r="H501">
            <v>0</v>
          </cell>
          <cell r="I501">
            <v>0</v>
          </cell>
          <cell r="J501">
            <v>0</v>
          </cell>
          <cell r="K501">
            <v>0</v>
          </cell>
          <cell r="L501">
            <v>0</v>
          </cell>
          <cell r="M501">
            <v>0</v>
          </cell>
          <cell r="N501">
            <v>0</v>
          </cell>
          <cell r="R501">
            <v>0</v>
          </cell>
          <cell r="S501">
            <v>0</v>
          </cell>
        </row>
        <row r="502">
          <cell r="F502">
            <v>0</v>
          </cell>
          <cell r="H502">
            <v>0</v>
          </cell>
          <cell r="I502">
            <v>0</v>
          </cell>
          <cell r="J502">
            <v>0</v>
          </cell>
          <cell r="K502">
            <v>0</v>
          </cell>
          <cell r="L502">
            <v>0</v>
          </cell>
          <cell r="M502">
            <v>0</v>
          </cell>
          <cell r="N502">
            <v>0</v>
          </cell>
          <cell r="R502">
            <v>0</v>
          </cell>
          <cell r="S502">
            <v>0</v>
          </cell>
        </row>
        <row r="503">
          <cell r="A503" t="str">
            <v>1.14.4</v>
          </cell>
          <cell r="B503" t="str">
            <v>300 mm dia. (flow control)</v>
          </cell>
          <cell r="C503">
            <v>4</v>
          </cell>
          <cell r="D503" t="str">
            <v>No.</v>
          </cell>
          <cell r="E503">
            <v>0.1</v>
          </cell>
          <cell r="F503">
            <v>0.4</v>
          </cell>
          <cell r="H503">
            <v>0.25</v>
          </cell>
          <cell r="I503">
            <v>1</v>
          </cell>
          <cell r="J503">
            <v>1.5</v>
          </cell>
          <cell r="K503">
            <v>1.5</v>
          </cell>
          <cell r="L503">
            <v>3.46</v>
          </cell>
          <cell r="M503">
            <v>2.79</v>
          </cell>
          <cell r="N503">
            <v>2.75</v>
          </cell>
          <cell r="R503">
            <v>12</v>
          </cell>
          <cell r="S503">
            <v>48</v>
          </cell>
        </row>
        <row r="504">
          <cell r="B504" t="str">
            <v>Supply double-flanged  electromagnetic type</v>
          </cell>
          <cell r="F504">
            <v>0</v>
          </cell>
          <cell r="H504">
            <v>0</v>
          </cell>
          <cell r="I504">
            <v>0</v>
          </cell>
          <cell r="J504">
            <v>0</v>
          </cell>
          <cell r="K504">
            <v>0</v>
          </cell>
          <cell r="L504">
            <v>0</v>
          </cell>
          <cell r="M504">
            <v>0</v>
          </cell>
          <cell r="N504">
            <v>0</v>
          </cell>
          <cell r="R504">
            <v>0</v>
          </cell>
          <cell r="S504">
            <v>0</v>
          </cell>
        </row>
        <row r="505">
          <cell r="B505" t="str">
            <v>flowmeter and transmitter, complete of</v>
          </cell>
          <cell r="F505">
            <v>0</v>
          </cell>
          <cell r="H505">
            <v>0</v>
          </cell>
          <cell r="I505">
            <v>0</v>
          </cell>
          <cell r="J505">
            <v>0</v>
          </cell>
          <cell r="K505">
            <v>0</v>
          </cell>
          <cell r="L505">
            <v>0</v>
          </cell>
          <cell r="M505">
            <v>0</v>
          </cell>
          <cell r="N505">
            <v>0</v>
          </cell>
          <cell r="R505">
            <v>0</v>
          </cell>
          <cell r="S505">
            <v>0</v>
          </cell>
        </row>
        <row r="506">
          <cell r="B506" t="str">
            <v>gauge/air vent sample-drain valve assemblies</v>
          </cell>
          <cell r="F506">
            <v>0</v>
          </cell>
          <cell r="H506">
            <v>0</v>
          </cell>
          <cell r="I506">
            <v>0</v>
          </cell>
          <cell r="J506">
            <v>0</v>
          </cell>
          <cell r="K506">
            <v>0</v>
          </cell>
          <cell r="L506">
            <v>0</v>
          </cell>
          <cell r="M506">
            <v>0</v>
          </cell>
          <cell r="N506">
            <v>0</v>
          </cell>
          <cell r="R506">
            <v>0</v>
          </cell>
          <cell r="S506">
            <v>0</v>
          </cell>
        </row>
        <row r="507">
          <cell r="B507" t="str">
            <v>saddle straps, copper piping, complete</v>
          </cell>
          <cell r="F507">
            <v>0</v>
          </cell>
          <cell r="H507">
            <v>0</v>
          </cell>
          <cell r="I507">
            <v>0</v>
          </cell>
          <cell r="J507">
            <v>0</v>
          </cell>
          <cell r="K507">
            <v>0</v>
          </cell>
          <cell r="L507">
            <v>0</v>
          </cell>
          <cell r="M507">
            <v>0</v>
          </cell>
          <cell r="N507">
            <v>0</v>
          </cell>
          <cell r="R507">
            <v>0</v>
          </cell>
          <cell r="S507">
            <v>0</v>
          </cell>
        </row>
        <row r="508">
          <cell r="B508" t="str">
            <v xml:space="preserve"> of the following sizes:</v>
          </cell>
          <cell r="F508">
            <v>0</v>
          </cell>
          <cell r="H508">
            <v>0</v>
          </cell>
          <cell r="I508">
            <v>0</v>
          </cell>
          <cell r="J508">
            <v>0</v>
          </cell>
          <cell r="K508">
            <v>0</v>
          </cell>
          <cell r="L508">
            <v>0</v>
          </cell>
          <cell r="M508">
            <v>0</v>
          </cell>
          <cell r="N508">
            <v>0</v>
          </cell>
          <cell r="R508">
            <v>0</v>
          </cell>
          <cell r="S508">
            <v>0</v>
          </cell>
        </row>
        <row r="509">
          <cell r="F509">
            <v>0</v>
          </cell>
          <cell r="H509">
            <v>0</v>
          </cell>
          <cell r="I509">
            <v>0</v>
          </cell>
          <cell r="J509">
            <v>0</v>
          </cell>
          <cell r="K509">
            <v>0</v>
          </cell>
          <cell r="L509">
            <v>0</v>
          </cell>
          <cell r="M509">
            <v>0</v>
          </cell>
          <cell r="N509">
            <v>0</v>
          </cell>
          <cell r="R509">
            <v>0</v>
          </cell>
          <cell r="S509">
            <v>0</v>
          </cell>
        </row>
        <row r="510">
          <cell r="A510" t="str">
            <v>1.15.1</v>
          </cell>
          <cell r="B510" t="str">
            <v>200 mm dia</v>
          </cell>
          <cell r="C510">
            <v>2</v>
          </cell>
          <cell r="D510" t="str">
            <v>No.</v>
          </cell>
          <cell r="E510">
            <v>0.09</v>
          </cell>
          <cell r="F510">
            <v>0.18</v>
          </cell>
          <cell r="H510">
            <v>0.22</v>
          </cell>
          <cell r="I510">
            <v>0.44</v>
          </cell>
          <cell r="J510">
            <v>1.32</v>
          </cell>
          <cell r="K510">
            <v>1.32</v>
          </cell>
          <cell r="L510">
            <v>3.04</v>
          </cell>
          <cell r="M510">
            <v>2.4500000000000002</v>
          </cell>
          <cell r="N510">
            <v>2.42</v>
          </cell>
          <cell r="R510">
            <v>10.55</v>
          </cell>
          <cell r="S510">
            <v>21.1</v>
          </cell>
        </row>
        <row r="511">
          <cell r="F511">
            <v>0</v>
          </cell>
          <cell r="H511">
            <v>0</v>
          </cell>
          <cell r="I511">
            <v>0</v>
          </cell>
          <cell r="J511">
            <v>0</v>
          </cell>
          <cell r="K511">
            <v>0</v>
          </cell>
          <cell r="L511">
            <v>0</v>
          </cell>
          <cell r="M511">
            <v>0</v>
          </cell>
          <cell r="N511">
            <v>0</v>
          </cell>
          <cell r="R511">
            <v>0</v>
          </cell>
          <cell r="S511">
            <v>0</v>
          </cell>
        </row>
        <row r="512">
          <cell r="B512" t="str">
            <v>Supply Pilot Operated Valves complete as specified:</v>
          </cell>
          <cell r="F512">
            <v>0</v>
          </cell>
          <cell r="H512">
            <v>0</v>
          </cell>
          <cell r="I512">
            <v>0</v>
          </cell>
          <cell r="J512">
            <v>0</v>
          </cell>
          <cell r="K512">
            <v>0</v>
          </cell>
          <cell r="L512">
            <v>0</v>
          </cell>
          <cell r="M512">
            <v>0</v>
          </cell>
          <cell r="N512">
            <v>0</v>
          </cell>
          <cell r="R512">
            <v>0</v>
          </cell>
          <cell r="S512">
            <v>0</v>
          </cell>
        </row>
        <row r="513">
          <cell r="F513">
            <v>0</v>
          </cell>
          <cell r="H513">
            <v>0</v>
          </cell>
          <cell r="I513">
            <v>0</v>
          </cell>
          <cell r="J513">
            <v>0</v>
          </cell>
          <cell r="K513">
            <v>0</v>
          </cell>
          <cell r="L513">
            <v>0</v>
          </cell>
          <cell r="M513">
            <v>0</v>
          </cell>
          <cell r="N513">
            <v>0</v>
          </cell>
          <cell r="R513">
            <v>0</v>
          </cell>
          <cell r="S513">
            <v>0</v>
          </cell>
        </row>
        <row r="514">
          <cell r="A514" t="str">
            <v>1.15.2</v>
          </cell>
          <cell r="B514" t="str">
            <v>200mm dia. (float valve - modulating)</v>
          </cell>
          <cell r="C514">
            <v>2</v>
          </cell>
          <cell r="D514" t="str">
            <v>No.</v>
          </cell>
          <cell r="E514">
            <v>0.1</v>
          </cell>
          <cell r="F514">
            <v>0.2</v>
          </cell>
          <cell r="H514">
            <v>0.25</v>
          </cell>
          <cell r="I514">
            <v>0.5</v>
          </cell>
          <cell r="J514">
            <v>1.5</v>
          </cell>
          <cell r="K514">
            <v>1.5</v>
          </cell>
          <cell r="L514">
            <v>3.46</v>
          </cell>
          <cell r="M514">
            <v>2.79</v>
          </cell>
          <cell r="N514">
            <v>2.75</v>
          </cell>
          <cell r="R514">
            <v>12</v>
          </cell>
          <cell r="S514">
            <v>24</v>
          </cell>
        </row>
        <row r="515">
          <cell r="B515" t="str">
            <v>Supply double-flanged  electromagnetic type</v>
          </cell>
          <cell r="F515">
            <v>0</v>
          </cell>
          <cell r="H515">
            <v>0</v>
          </cell>
          <cell r="I515">
            <v>0</v>
          </cell>
          <cell r="J515">
            <v>0</v>
          </cell>
          <cell r="K515">
            <v>0</v>
          </cell>
          <cell r="L515">
            <v>0</v>
          </cell>
          <cell r="M515">
            <v>0</v>
          </cell>
          <cell r="N515">
            <v>0</v>
          </cell>
          <cell r="R515">
            <v>0</v>
          </cell>
          <cell r="S515">
            <v>0</v>
          </cell>
        </row>
        <row r="516">
          <cell r="B516" t="str">
            <v>flowmeter and transmitter, complete of</v>
          </cell>
          <cell r="F516">
            <v>0</v>
          </cell>
          <cell r="H516">
            <v>0</v>
          </cell>
          <cell r="I516">
            <v>0</v>
          </cell>
          <cell r="J516">
            <v>0</v>
          </cell>
          <cell r="K516">
            <v>0</v>
          </cell>
          <cell r="L516">
            <v>0</v>
          </cell>
          <cell r="M516">
            <v>0</v>
          </cell>
          <cell r="N516">
            <v>0</v>
          </cell>
          <cell r="R516">
            <v>0</v>
          </cell>
          <cell r="S516">
            <v>0</v>
          </cell>
        </row>
        <row r="517">
          <cell r="B517" t="str">
            <v>gauge/air vent sample-drain valve assemblies</v>
          </cell>
          <cell r="F517">
            <v>0</v>
          </cell>
          <cell r="H517">
            <v>0</v>
          </cell>
          <cell r="I517">
            <v>0</v>
          </cell>
          <cell r="J517">
            <v>0</v>
          </cell>
          <cell r="K517">
            <v>0</v>
          </cell>
          <cell r="L517">
            <v>0</v>
          </cell>
          <cell r="M517">
            <v>0</v>
          </cell>
          <cell r="N517">
            <v>0</v>
          </cell>
          <cell r="R517">
            <v>0</v>
          </cell>
          <cell r="S517">
            <v>0</v>
          </cell>
        </row>
        <row r="518">
          <cell r="B518" t="str">
            <v>saddle straps, copper piping, complete</v>
          </cell>
          <cell r="F518">
            <v>0</v>
          </cell>
          <cell r="H518">
            <v>0</v>
          </cell>
          <cell r="I518">
            <v>0</v>
          </cell>
          <cell r="J518">
            <v>0</v>
          </cell>
          <cell r="K518">
            <v>0</v>
          </cell>
          <cell r="L518">
            <v>0</v>
          </cell>
          <cell r="M518">
            <v>0</v>
          </cell>
          <cell r="N518">
            <v>0</v>
          </cell>
          <cell r="R518">
            <v>0</v>
          </cell>
          <cell r="S518">
            <v>0</v>
          </cell>
        </row>
        <row r="519">
          <cell r="B519" t="str">
            <v>of the following sizes:</v>
          </cell>
          <cell r="F519">
            <v>0</v>
          </cell>
          <cell r="H519">
            <v>0</v>
          </cell>
          <cell r="I519">
            <v>0</v>
          </cell>
          <cell r="J519">
            <v>0</v>
          </cell>
          <cell r="K519">
            <v>0</v>
          </cell>
          <cell r="L519">
            <v>0</v>
          </cell>
          <cell r="M519">
            <v>0</v>
          </cell>
          <cell r="N519">
            <v>0</v>
          </cell>
          <cell r="R519">
            <v>0</v>
          </cell>
          <cell r="S519">
            <v>0</v>
          </cell>
        </row>
        <row r="520">
          <cell r="F520">
            <v>0</v>
          </cell>
          <cell r="H520">
            <v>0</v>
          </cell>
          <cell r="I520">
            <v>0</v>
          </cell>
          <cell r="J520">
            <v>0</v>
          </cell>
          <cell r="K520">
            <v>0</v>
          </cell>
          <cell r="L520">
            <v>0</v>
          </cell>
          <cell r="M520">
            <v>0</v>
          </cell>
          <cell r="N520">
            <v>0</v>
          </cell>
          <cell r="R520">
            <v>0</v>
          </cell>
          <cell r="S520">
            <v>0</v>
          </cell>
        </row>
        <row r="521">
          <cell r="A521" t="str">
            <v>1.16.1</v>
          </cell>
          <cell r="B521" t="str">
            <v>200 mm dia</v>
          </cell>
          <cell r="C521">
            <v>2</v>
          </cell>
          <cell r="D521" t="str">
            <v>No.</v>
          </cell>
          <cell r="E521">
            <v>0.1</v>
          </cell>
          <cell r="F521">
            <v>0.2</v>
          </cell>
          <cell r="H521">
            <v>0.25</v>
          </cell>
          <cell r="I521">
            <v>0.5</v>
          </cell>
          <cell r="J521">
            <v>1.5</v>
          </cell>
          <cell r="K521">
            <v>1.5</v>
          </cell>
          <cell r="L521">
            <v>3.46</v>
          </cell>
          <cell r="M521">
            <v>2.79</v>
          </cell>
          <cell r="N521">
            <v>2.75</v>
          </cell>
          <cell r="R521">
            <v>12</v>
          </cell>
          <cell r="S521">
            <v>24</v>
          </cell>
        </row>
        <row r="522">
          <cell r="F522">
            <v>0</v>
          </cell>
          <cell r="H522">
            <v>0</v>
          </cell>
          <cell r="I522">
            <v>0</v>
          </cell>
          <cell r="J522">
            <v>0</v>
          </cell>
          <cell r="K522">
            <v>0</v>
          </cell>
          <cell r="L522">
            <v>0</v>
          </cell>
          <cell r="M522">
            <v>0</v>
          </cell>
          <cell r="N522">
            <v>0</v>
          </cell>
          <cell r="R522">
            <v>0</v>
          </cell>
          <cell r="S522">
            <v>0</v>
          </cell>
        </row>
        <row r="523">
          <cell r="B523" t="str">
            <v>Supply Pilot Operated Valves complete as specified:</v>
          </cell>
          <cell r="F523">
            <v>0</v>
          </cell>
          <cell r="H523">
            <v>0</v>
          </cell>
          <cell r="I523">
            <v>0</v>
          </cell>
          <cell r="J523">
            <v>0</v>
          </cell>
          <cell r="K523">
            <v>0</v>
          </cell>
          <cell r="L523">
            <v>0</v>
          </cell>
          <cell r="M523">
            <v>0</v>
          </cell>
          <cell r="N523">
            <v>0</v>
          </cell>
          <cell r="R523">
            <v>0</v>
          </cell>
          <cell r="S523">
            <v>0</v>
          </cell>
        </row>
        <row r="524">
          <cell r="F524">
            <v>0</v>
          </cell>
          <cell r="H524">
            <v>0</v>
          </cell>
          <cell r="I524">
            <v>0</v>
          </cell>
          <cell r="J524">
            <v>0</v>
          </cell>
          <cell r="K524">
            <v>0</v>
          </cell>
          <cell r="L524">
            <v>0</v>
          </cell>
          <cell r="M524">
            <v>0</v>
          </cell>
          <cell r="N524">
            <v>0</v>
          </cell>
          <cell r="R524">
            <v>0</v>
          </cell>
          <cell r="S524">
            <v>0</v>
          </cell>
        </row>
        <row r="525">
          <cell r="A525" t="str">
            <v>1.16.2</v>
          </cell>
          <cell r="B525" t="str">
            <v>200mm dia. (float valve - modulating)</v>
          </cell>
          <cell r="C525">
            <v>2</v>
          </cell>
          <cell r="D525" t="str">
            <v>No.</v>
          </cell>
          <cell r="E525">
            <v>0.12</v>
          </cell>
          <cell r="F525">
            <v>0.24</v>
          </cell>
          <cell r="H525">
            <v>0.28999999999999998</v>
          </cell>
          <cell r="I525">
            <v>0.57999999999999996</v>
          </cell>
          <cell r="J525">
            <v>1.74</v>
          </cell>
          <cell r="K525">
            <v>1.74</v>
          </cell>
          <cell r="L525">
            <v>4.01</v>
          </cell>
          <cell r="M525">
            <v>3.23</v>
          </cell>
          <cell r="N525">
            <v>3.19</v>
          </cell>
          <cell r="R525">
            <v>13.91</v>
          </cell>
          <cell r="S525">
            <v>27.82</v>
          </cell>
        </row>
        <row r="526">
          <cell r="B526" t="str">
            <v>Pillar Type Fire Hydrant</v>
          </cell>
          <cell r="F526">
            <v>0</v>
          </cell>
          <cell r="H526">
            <v>0</v>
          </cell>
          <cell r="I526">
            <v>0</v>
          </cell>
          <cell r="J526">
            <v>0</v>
          </cell>
          <cell r="K526">
            <v>0</v>
          </cell>
          <cell r="L526">
            <v>0</v>
          </cell>
          <cell r="M526">
            <v>0</v>
          </cell>
          <cell r="N526">
            <v>0</v>
          </cell>
          <cell r="R526">
            <v>0</v>
          </cell>
          <cell r="S526">
            <v>0</v>
          </cell>
        </row>
        <row r="527">
          <cell r="F527">
            <v>0</v>
          </cell>
          <cell r="H527">
            <v>0</v>
          </cell>
          <cell r="I527">
            <v>0</v>
          </cell>
          <cell r="J527">
            <v>0</v>
          </cell>
          <cell r="K527">
            <v>0</v>
          </cell>
          <cell r="L527">
            <v>0</v>
          </cell>
          <cell r="M527">
            <v>0</v>
          </cell>
          <cell r="N527">
            <v>0</v>
          </cell>
          <cell r="R527">
            <v>0</v>
          </cell>
          <cell r="S527">
            <v>0</v>
          </cell>
        </row>
        <row r="528">
          <cell r="B528" t="str">
            <v xml:space="preserve">Supply pillar fire hydrant with 2 Nos. 2½ </v>
          </cell>
          <cell r="F528">
            <v>0</v>
          </cell>
          <cell r="H528">
            <v>0</v>
          </cell>
          <cell r="I528">
            <v>0</v>
          </cell>
          <cell r="J528">
            <v>0</v>
          </cell>
          <cell r="K528">
            <v>0</v>
          </cell>
          <cell r="L528">
            <v>0</v>
          </cell>
          <cell r="M528">
            <v>0</v>
          </cell>
          <cell r="N528">
            <v>0</v>
          </cell>
          <cell r="R528">
            <v>0</v>
          </cell>
          <cell r="S528">
            <v>0</v>
          </cell>
        </row>
        <row r="529">
          <cell r="B529" t="str">
            <v>instantaneous female connects and a No. 4"</v>
          </cell>
          <cell r="F529">
            <v>0</v>
          </cell>
          <cell r="H529">
            <v>0</v>
          </cell>
          <cell r="I529">
            <v>0</v>
          </cell>
          <cell r="J529">
            <v>0</v>
          </cell>
          <cell r="K529">
            <v>0</v>
          </cell>
          <cell r="L529">
            <v>0</v>
          </cell>
          <cell r="M529">
            <v>0</v>
          </cell>
          <cell r="N529">
            <v>0</v>
          </cell>
          <cell r="R529">
            <v>0</v>
          </cell>
          <cell r="S529">
            <v>0</v>
          </cell>
        </row>
        <row r="530">
          <cell r="B530" t="str">
            <v>screwed hydrant coupling complete with</v>
          </cell>
          <cell r="F530">
            <v>0</v>
          </cell>
          <cell r="H530">
            <v>0</v>
          </cell>
          <cell r="I530">
            <v>0</v>
          </cell>
          <cell r="J530">
            <v>0</v>
          </cell>
          <cell r="K530">
            <v>0</v>
          </cell>
          <cell r="L530">
            <v>0</v>
          </cell>
          <cell r="M530">
            <v>0</v>
          </cell>
          <cell r="N530">
            <v>0</v>
          </cell>
          <cell r="R530">
            <v>0</v>
          </cell>
          <cell r="S530">
            <v>0</v>
          </cell>
        </row>
        <row r="531">
          <cell r="B531" t="str">
            <v>accessories and all as per Specifications:</v>
          </cell>
          <cell r="F531">
            <v>0</v>
          </cell>
          <cell r="H531">
            <v>0</v>
          </cell>
          <cell r="I531">
            <v>0</v>
          </cell>
          <cell r="J531">
            <v>0</v>
          </cell>
          <cell r="K531">
            <v>0</v>
          </cell>
          <cell r="L531">
            <v>0</v>
          </cell>
          <cell r="M531">
            <v>0</v>
          </cell>
          <cell r="N531">
            <v>0</v>
          </cell>
          <cell r="R531">
            <v>0</v>
          </cell>
          <cell r="S531">
            <v>0</v>
          </cell>
        </row>
        <row r="532">
          <cell r="F532">
            <v>0</v>
          </cell>
          <cell r="H532">
            <v>0</v>
          </cell>
          <cell r="I532">
            <v>0</v>
          </cell>
          <cell r="J532">
            <v>0</v>
          </cell>
          <cell r="K532">
            <v>0</v>
          </cell>
          <cell r="L532">
            <v>0</v>
          </cell>
          <cell r="M532">
            <v>0</v>
          </cell>
          <cell r="N532">
            <v>0</v>
          </cell>
          <cell r="R532">
            <v>0</v>
          </cell>
          <cell r="S532">
            <v>0</v>
          </cell>
        </row>
        <row r="533">
          <cell r="A533" t="str">
            <v>1.4.5</v>
          </cell>
          <cell r="B533" t="str">
            <v>4"/100 dia.</v>
          </cell>
          <cell r="C533">
            <v>81</v>
          </cell>
          <cell r="D533" t="str">
            <v>No.</v>
          </cell>
          <cell r="E533">
            <v>0.1</v>
          </cell>
          <cell r="F533">
            <v>8.1</v>
          </cell>
          <cell r="H533">
            <v>0.25</v>
          </cell>
          <cell r="I533">
            <v>20.25</v>
          </cell>
          <cell r="J533">
            <v>1.5</v>
          </cell>
          <cell r="K533">
            <v>1.5</v>
          </cell>
          <cell r="L533">
            <v>3.46</v>
          </cell>
          <cell r="M533">
            <v>2.79</v>
          </cell>
          <cell r="N533">
            <v>2.75</v>
          </cell>
          <cell r="R533">
            <v>12</v>
          </cell>
          <cell r="S533">
            <v>972</v>
          </cell>
        </row>
        <row r="534">
          <cell r="F534">
            <v>0</v>
          </cell>
          <cell r="H534">
            <v>0</v>
          </cell>
          <cell r="I534">
            <v>0</v>
          </cell>
          <cell r="J534">
            <v>0</v>
          </cell>
          <cell r="K534">
            <v>0</v>
          </cell>
          <cell r="L534">
            <v>0</v>
          </cell>
          <cell r="M534">
            <v>0</v>
          </cell>
          <cell r="N534">
            <v>0</v>
          </cell>
          <cell r="R534">
            <v>0</v>
          </cell>
          <cell r="S534">
            <v>0</v>
          </cell>
        </row>
        <row r="535">
          <cell r="B535" t="str">
            <v>Underground Type Fire Hydrant</v>
          </cell>
          <cell r="F535">
            <v>0</v>
          </cell>
          <cell r="H535">
            <v>0</v>
          </cell>
          <cell r="I535">
            <v>0</v>
          </cell>
          <cell r="J535">
            <v>0</v>
          </cell>
          <cell r="K535">
            <v>0</v>
          </cell>
          <cell r="L535">
            <v>0</v>
          </cell>
          <cell r="M535">
            <v>0</v>
          </cell>
          <cell r="N535">
            <v>0</v>
          </cell>
          <cell r="R535">
            <v>0</v>
          </cell>
          <cell r="S535">
            <v>0</v>
          </cell>
        </row>
        <row r="536">
          <cell r="F536">
            <v>0</v>
          </cell>
          <cell r="H536">
            <v>0</v>
          </cell>
          <cell r="I536">
            <v>0</v>
          </cell>
          <cell r="J536">
            <v>0</v>
          </cell>
          <cell r="K536">
            <v>0</v>
          </cell>
          <cell r="L536">
            <v>0</v>
          </cell>
          <cell r="M536">
            <v>0</v>
          </cell>
          <cell r="N536">
            <v>0</v>
          </cell>
          <cell r="R536">
            <v>0</v>
          </cell>
          <cell r="S536">
            <v>0</v>
          </cell>
        </row>
        <row r="537">
          <cell r="B537" t="str">
            <v xml:space="preserve">Supply Fire Hydrant for Installation in precast </v>
          </cell>
          <cell r="F537">
            <v>0</v>
          </cell>
          <cell r="H537">
            <v>0</v>
          </cell>
          <cell r="I537">
            <v>0</v>
          </cell>
          <cell r="J537">
            <v>0</v>
          </cell>
          <cell r="K537">
            <v>0</v>
          </cell>
          <cell r="L537">
            <v>0</v>
          </cell>
          <cell r="M537">
            <v>0</v>
          </cell>
          <cell r="N537">
            <v>0</v>
          </cell>
          <cell r="R537">
            <v>0</v>
          </cell>
          <cell r="S537">
            <v>0</v>
          </cell>
        </row>
        <row r="538">
          <cell r="B538" t="str">
            <v>chambers with 2½" screwed hydrant coupling complete</v>
          </cell>
          <cell r="F538">
            <v>0</v>
          </cell>
          <cell r="H538">
            <v>0</v>
          </cell>
          <cell r="I538">
            <v>0</v>
          </cell>
          <cell r="J538">
            <v>0</v>
          </cell>
          <cell r="K538">
            <v>0</v>
          </cell>
          <cell r="L538">
            <v>0</v>
          </cell>
          <cell r="M538">
            <v>0</v>
          </cell>
          <cell r="N538">
            <v>0</v>
          </cell>
          <cell r="R538">
            <v>0</v>
          </cell>
          <cell r="S538">
            <v>0</v>
          </cell>
        </row>
        <row r="539">
          <cell r="A539" t="str">
            <v>1.4.6</v>
          </cell>
          <cell r="B539" t="str">
            <v xml:space="preserve">with all accessories </v>
          </cell>
          <cell r="C539">
            <v>10</v>
          </cell>
          <cell r="D539" t="str">
            <v>No.</v>
          </cell>
          <cell r="E539">
            <v>0.1</v>
          </cell>
          <cell r="F539">
            <v>1</v>
          </cell>
          <cell r="H539">
            <v>0.25</v>
          </cell>
          <cell r="I539">
            <v>2.5</v>
          </cell>
          <cell r="J539">
            <v>1.5</v>
          </cell>
          <cell r="K539">
            <v>1.5</v>
          </cell>
          <cell r="L539">
            <v>3.46</v>
          </cell>
          <cell r="M539">
            <v>2.79</v>
          </cell>
          <cell r="N539">
            <v>2.75</v>
          </cell>
          <cell r="R539">
            <v>12</v>
          </cell>
          <cell r="S539">
            <v>120</v>
          </cell>
        </row>
        <row r="540">
          <cell r="H540">
            <v>0</v>
          </cell>
          <cell r="I540">
            <v>0</v>
          </cell>
          <cell r="J540">
            <v>0</v>
          </cell>
          <cell r="K540">
            <v>0</v>
          </cell>
          <cell r="L540">
            <v>0</v>
          </cell>
          <cell r="M540">
            <v>0</v>
          </cell>
          <cell r="N540">
            <v>0</v>
          </cell>
          <cell r="R540">
            <v>0</v>
          </cell>
          <cell r="S540">
            <v>0</v>
          </cell>
        </row>
        <row r="541">
          <cell r="B541" t="str">
            <v xml:space="preserve">Flange Adapters </v>
          </cell>
          <cell r="F541">
            <v>0</v>
          </cell>
          <cell r="H541">
            <v>0</v>
          </cell>
          <cell r="I541">
            <v>0</v>
          </cell>
          <cell r="J541">
            <v>0</v>
          </cell>
          <cell r="K541">
            <v>0</v>
          </cell>
          <cell r="L541">
            <v>0</v>
          </cell>
          <cell r="M541">
            <v>0</v>
          </cell>
          <cell r="N541">
            <v>0</v>
          </cell>
          <cell r="R541">
            <v>0</v>
          </cell>
          <cell r="S541">
            <v>0</v>
          </cell>
        </row>
        <row r="542">
          <cell r="F542">
            <v>0</v>
          </cell>
          <cell r="H542">
            <v>0</v>
          </cell>
          <cell r="I542">
            <v>0</v>
          </cell>
          <cell r="J542">
            <v>0</v>
          </cell>
          <cell r="K542">
            <v>0</v>
          </cell>
          <cell r="L542">
            <v>0</v>
          </cell>
          <cell r="M542">
            <v>0</v>
          </cell>
          <cell r="N542">
            <v>0</v>
          </cell>
          <cell r="R542">
            <v>0</v>
          </cell>
          <cell r="S542">
            <v>0</v>
          </cell>
        </row>
        <row r="543">
          <cell r="A543" t="str">
            <v>1.2.22.1</v>
          </cell>
          <cell r="B543" t="str">
            <v>800mm dia.</v>
          </cell>
          <cell r="C543">
            <v>17</v>
          </cell>
          <cell r="D543" t="str">
            <v>No.</v>
          </cell>
          <cell r="E543">
            <v>0.2</v>
          </cell>
          <cell r="F543">
            <v>3.4</v>
          </cell>
          <cell r="H543">
            <v>0.49</v>
          </cell>
          <cell r="I543">
            <v>8.33</v>
          </cell>
          <cell r="J543">
            <v>2.94</v>
          </cell>
          <cell r="K543">
            <v>2.94</v>
          </cell>
          <cell r="L543">
            <v>6.78</v>
          </cell>
          <cell r="M543">
            <v>5.46</v>
          </cell>
          <cell r="N543">
            <v>5.39</v>
          </cell>
          <cell r="R543">
            <v>23.51</v>
          </cell>
          <cell r="S543">
            <v>399.67</v>
          </cell>
        </row>
        <row r="544">
          <cell r="A544" t="str">
            <v>1.2.22.2</v>
          </cell>
          <cell r="B544" t="str">
            <v>500mm dia.</v>
          </cell>
          <cell r="C544">
            <v>4</v>
          </cell>
          <cell r="D544" t="str">
            <v>No.</v>
          </cell>
          <cell r="E544">
            <v>0.15</v>
          </cell>
          <cell r="F544">
            <v>0.6</v>
          </cell>
          <cell r="H544">
            <v>0.37</v>
          </cell>
          <cell r="I544">
            <v>1.48</v>
          </cell>
          <cell r="J544">
            <v>2.2200000000000002</v>
          </cell>
          <cell r="K544">
            <v>2.2200000000000002</v>
          </cell>
          <cell r="L544">
            <v>5.12</v>
          </cell>
          <cell r="M544">
            <v>4.12</v>
          </cell>
          <cell r="N544">
            <v>4.07</v>
          </cell>
          <cell r="R544">
            <v>17.75</v>
          </cell>
          <cell r="S544">
            <v>71</v>
          </cell>
        </row>
        <row r="545">
          <cell r="A545" t="str">
            <v>1.2.22.3</v>
          </cell>
          <cell r="B545" t="str">
            <v>400mm dia.</v>
          </cell>
          <cell r="C545">
            <v>31</v>
          </cell>
          <cell r="D545" t="str">
            <v>No.</v>
          </cell>
          <cell r="E545">
            <v>0.1</v>
          </cell>
          <cell r="F545">
            <v>3.1</v>
          </cell>
          <cell r="H545">
            <v>0.25</v>
          </cell>
          <cell r="I545">
            <v>7.75</v>
          </cell>
          <cell r="J545">
            <v>1.5</v>
          </cell>
          <cell r="K545">
            <v>1.5</v>
          </cell>
          <cell r="L545">
            <v>3.46</v>
          </cell>
          <cell r="M545">
            <v>2.79</v>
          </cell>
          <cell r="N545">
            <v>2.75</v>
          </cell>
          <cell r="R545">
            <v>12</v>
          </cell>
          <cell r="S545">
            <v>372</v>
          </cell>
        </row>
        <row r="546">
          <cell r="A546" t="str">
            <v>1.2.22.4</v>
          </cell>
          <cell r="B546" t="str">
            <v>300mm dia.</v>
          </cell>
          <cell r="C546">
            <v>40</v>
          </cell>
          <cell r="D546" t="str">
            <v>No.</v>
          </cell>
          <cell r="E546">
            <v>0.08</v>
          </cell>
          <cell r="F546">
            <v>3.2</v>
          </cell>
          <cell r="H546">
            <v>0.2</v>
          </cell>
          <cell r="I546">
            <v>8</v>
          </cell>
          <cell r="J546">
            <v>1.2</v>
          </cell>
          <cell r="K546">
            <v>1.2</v>
          </cell>
          <cell r="L546">
            <v>2.77</v>
          </cell>
          <cell r="M546">
            <v>2.23</v>
          </cell>
          <cell r="N546">
            <v>2.2000000000000002</v>
          </cell>
          <cell r="R546">
            <v>9.6</v>
          </cell>
          <cell r="S546">
            <v>384</v>
          </cell>
        </row>
        <row r="547">
          <cell r="A547" t="str">
            <v>1.2.22.5</v>
          </cell>
          <cell r="B547" t="str">
            <v>200mm dia.</v>
          </cell>
          <cell r="C547">
            <v>38</v>
          </cell>
          <cell r="D547" t="str">
            <v>No.</v>
          </cell>
          <cell r="E547">
            <v>0.05</v>
          </cell>
          <cell r="F547">
            <v>1.9</v>
          </cell>
          <cell r="H547">
            <v>0.12</v>
          </cell>
          <cell r="I547">
            <v>4.5599999999999996</v>
          </cell>
          <cell r="J547">
            <v>0.72</v>
          </cell>
          <cell r="K547">
            <v>0.72</v>
          </cell>
          <cell r="L547">
            <v>1.66</v>
          </cell>
          <cell r="M547">
            <v>1.34</v>
          </cell>
          <cell r="N547">
            <v>1.32</v>
          </cell>
          <cell r="R547">
            <v>5.76</v>
          </cell>
          <cell r="S547">
            <v>218.88</v>
          </cell>
        </row>
        <row r="548">
          <cell r="A548" t="str">
            <v>1.2.22.6</v>
          </cell>
          <cell r="B548" t="str">
            <v>150mm dia.</v>
          </cell>
          <cell r="C548">
            <v>48</v>
          </cell>
          <cell r="D548" t="str">
            <v>No.</v>
          </cell>
          <cell r="E548">
            <v>0.03</v>
          </cell>
          <cell r="F548">
            <v>1.44</v>
          </cell>
          <cell r="H548">
            <v>7.0000000000000007E-2</v>
          </cell>
          <cell r="I548">
            <v>3.36</v>
          </cell>
          <cell r="J548">
            <v>0.42</v>
          </cell>
          <cell r="K548">
            <v>0.42</v>
          </cell>
          <cell r="L548">
            <v>0.97</v>
          </cell>
          <cell r="M548">
            <v>0.78</v>
          </cell>
          <cell r="N548">
            <v>0.77</v>
          </cell>
          <cell r="R548">
            <v>3.36</v>
          </cell>
          <cell r="S548">
            <v>161.28</v>
          </cell>
        </row>
        <row r="549">
          <cell r="A549" t="str">
            <v>1.2.22.7</v>
          </cell>
          <cell r="B549" t="str">
            <v>100mm dia.</v>
          </cell>
          <cell r="C549">
            <v>17</v>
          </cell>
          <cell r="D549" t="str">
            <v>No.</v>
          </cell>
          <cell r="E549">
            <v>0.03</v>
          </cell>
          <cell r="F549">
            <v>0.51</v>
          </cell>
          <cell r="H549">
            <v>7.0000000000000007E-2</v>
          </cell>
          <cell r="I549">
            <v>1.19</v>
          </cell>
          <cell r="J549">
            <v>0.42</v>
          </cell>
          <cell r="K549">
            <v>0.42</v>
          </cell>
          <cell r="L549">
            <v>0.97</v>
          </cell>
          <cell r="M549">
            <v>0.78</v>
          </cell>
          <cell r="N549">
            <v>0.77</v>
          </cell>
          <cell r="R549">
            <v>3.36</v>
          </cell>
          <cell r="S549">
            <v>57.12</v>
          </cell>
        </row>
        <row r="550">
          <cell r="A550" t="str">
            <v>1.2.22.8</v>
          </cell>
          <cell r="B550" t="str">
            <v>80mm dia.</v>
          </cell>
          <cell r="C550">
            <v>11</v>
          </cell>
          <cell r="D550" t="str">
            <v>No.</v>
          </cell>
          <cell r="E550">
            <v>0.01</v>
          </cell>
          <cell r="F550">
            <v>0.11</v>
          </cell>
          <cell r="H550">
            <v>0.02</v>
          </cell>
          <cell r="I550">
            <v>0.22</v>
          </cell>
          <cell r="J550">
            <v>0.12</v>
          </cell>
          <cell r="K550">
            <v>0.12</v>
          </cell>
          <cell r="L550">
            <v>0.28000000000000003</v>
          </cell>
          <cell r="M550">
            <v>0.22</v>
          </cell>
          <cell r="N550">
            <v>0.22</v>
          </cell>
          <cell r="R550">
            <v>0.96</v>
          </cell>
          <cell r="S550">
            <v>10.56</v>
          </cell>
        </row>
        <row r="551">
          <cell r="B551" t="str">
            <v>Supply Noiseless Spring Loaded Check Valve of</v>
          </cell>
          <cell r="F551">
            <v>0</v>
          </cell>
          <cell r="H551">
            <v>0</v>
          </cell>
          <cell r="I551">
            <v>0</v>
          </cell>
          <cell r="J551">
            <v>0</v>
          </cell>
          <cell r="K551">
            <v>0</v>
          </cell>
          <cell r="L551">
            <v>0</v>
          </cell>
          <cell r="M551">
            <v>0</v>
          </cell>
          <cell r="N551">
            <v>0</v>
          </cell>
          <cell r="R551">
            <v>0</v>
          </cell>
          <cell r="S551">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7BFC6-37F3-496B-B73C-99A51EA70312}">
  <sheetPr>
    <pageSetUpPr fitToPage="1"/>
  </sheetPr>
  <dimension ref="A1:AT52"/>
  <sheetViews>
    <sheetView view="pageBreakPreview" zoomScale="55" zoomScaleNormal="55" zoomScaleSheetLayoutView="55" workbookViewId="0">
      <selection activeCell="E11" sqref="E11"/>
    </sheetView>
  </sheetViews>
  <sheetFormatPr defaultRowHeight="13.2" x14ac:dyDescent="0.25"/>
  <cols>
    <col min="2" max="2" width="10.33203125" customWidth="1"/>
    <col min="3" max="3" width="9.44140625" customWidth="1"/>
    <col min="4" max="5" width="9.77734375" customWidth="1"/>
    <col min="6" max="7" width="9.33203125" customWidth="1"/>
    <col min="8" max="8" width="1.88671875" customWidth="1"/>
    <col min="9" max="9" width="9.44140625" customWidth="1"/>
    <col min="10" max="10" width="9.88671875" customWidth="1"/>
    <col min="12" max="12" width="1.33203125" customWidth="1"/>
    <col min="13" max="13" width="11.5546875" customWidth="1"/>
    <col min="14" max="14" width="9.21875" customWidth="1"/>
    <col min="16" max="16" width="1.21875" customWidth="1"/>
    <col min="17" max="17" width="9" customWidth="1"/>
    <col min="20" max="20" width="1.33203125" customWidth="1"/>
    <col min="23" max="23" width="9.77734375" customWidth="1"/>
    <col min="24" max="24" width="1.21875" customWidth="1"/>
    <col min="26" max="26" width="1" customWidth="1"/>
    <col min="32" max="32" width="1.77734375" customWidth="1"/>
    <col min="33" max="33" width="9.77734375" customWidth="1"/>
    <col min="36" max="36" width="1.109375" customWidth="1"/>
    <col min="39" max="39" width="8.109375" customWidth="1"/>
    <col min="40" max="40" width="1.77734375" customWidth="1"/>
    <col min="48" max="48" width="19.33203125" customWidth="1"/>
  </cols>
  <sheetData>
    <row r="1" spans="1:46" ht="13.8" thickBot="1" x14ac:dyDescent="0.3"/>
    <row r="2" spans="1:46" ht="45" customHeight="1" x14ac:dyDescent="0.25">
      <c r="A2" s="125"/>
      <c r="B2" s="126"/>
      <c r="C2" s="126"/>
      <c r="D2" s="126"/>
      <c r="E2" s="126"/>
      <c r="F2" s="126"/>
      <c r="G2" s="127"/>
      <c r="H2" s="131" t="s">
        <v>89</v>
      </c>
      <c r="I2" s="132"/>
      <c r="J2" s="132"/>
      <c r="K2" s="132"/>
      <c r="L2" s="132"/>
      <c r="M2" s="132"/>
      <c r="N2" s="132"/>
      <c r="O2" s="132"/>
      <c r="P2" s="132"/>
      <c r="Q2" s="132"/>
      <c r="R2" s="132"/>
      <c r="S2" s="132"/>
      <c r="T2" s="132"/>
      <c r="U2" s="132"/>
      <c r="V2" s="132"/>
      <c r="W2" s="132"/>
      <c r="X2" s="132"/>
      <c r="Y2" s="132"/>
      <c r="Z2" s="132"/>
      <c r="AA2" s="132"/>
      <c r="AB2" s="132"/>
      <c r="AC2" s="132"/>
      <c r="AD2" s="132"/>
      <c r="AE2" s="132"/>
      <c r="AF2" s="133" t="s">
        <v>75</v>
      </c>
      <c r="AG2" s="134"/>
      <c r="AH2" s="134"/>
      <c r="AI2" s="134"/>
      <c r="AJ2" s="21"/>
      <c r="AK2" s="135">
        <v>36</v>
      </c>
      <c r="AL2" s="136"/>
      <c r="AM2" s="137"/>
      <c r="AN2" s="137"/>
      <c r="AO2" s="138"/>
      <c r="AP2" s="138"/>
      <c r="AQ2" s="138"/>
      <c r="AR2" s="138"/>
      <c r="AS2" s="138"/>
      <c r="AT2" s="139"/>
    </row>
    <row r="3" spans="1:46" ht="45.45" customHeight="1" thickBot="1" x14ac:dyDescent="0.3">
      <c r="A3" s="128"/>
      <c r="B3" s="129"/>
      <c r="C3" s="129"/>
      <c r="D3" s="129"/>
      <c r="E3" s="129"/>
      <c r="F3" s="129"/>
      <c r="G3" s="130"/>
      <c r="H3" s="143" t="s">
        <v>77</v>
      </c>
      <c r="I3" s="144"/>
      <c r="J3" s="144"/>
      <c r="K3" s="144"/>
      <c r="L3" s="144"/>
      <c r="M3" s="144"/>
      <c r="N3" s="144"/>
      <c r="O3" s="144"/>
      <c r="P3" s="144"/>
      <c r="Q3" s="144"/>
      <c r="R3" s="144"/>
      <c r="S3" s="144"/>
      <c r="T3" s="144"/>
      <c r="U3" s="144"/>
      <c r="V3" s="144"/>
      <c r="W3" s="144"/>
      <c r="X3" s="144"/>
      <c r="Y3" s="144"/>
      <c r="Z3" s="144"/>
      <c r="AA3" s="144"/>
      <c r="AB3" s="144"/>
      <c r="AC3" s="144"/>
      <c r="AD3" s="144"/>
      <c r="AE3" s="144"/>
      <c r="AF3" s="145" t="s">
        <v>76</v>
      </c>
      <c r="AG3" s="146"/>
      <c r="AH3" s="146"/>
      <c r="AI3" s="146"/>
      <c r="AJ3" s="22"/>
      <c r="AK3" s="147">
        <v>43323</v>
      </c>
      <c r="AL3" s="148"/>
      <c r="AM3" s="140"/>
      <c r="AN3" s="140"/>
      <c r="AO3" s="141"/>
      <c r="AP3" s="141"/>
      <c r="AQ3" s="141"/>
      <c r="AR3" s="141"/>
      <c r="AS3" s="141"/>
      <c r="AT3" s="142"/>
    </row>
    <row r="4" spans="1:46" x14ac:dyDescent="0.25">
      <c r="A4" s="29"/>
      <c r="B4" s="30"/>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1"/>
    </row>
    <row r="5" spans="1:46" ht="21.45" customHeight="1" x14ac:dyDescent="0.25">
      <c r="A5" s="159" t="s">
        <v>155</v>
      </c>
      <c r="B5" s="159"/>
      <c r="C5" s="160" t="s">
        <v>92</v>
      </c>
      <c r="D5" s="161"/>
      <c r="E5" s="162"/>
      <c r="F5" s="163" t="s">
        <v>93</v>
      </c>
      <c r="G5" s="164"/>
      <c r="H5" s="165"/>
      <c r="I5" s="154" t="s">
        <v>153</v>
      </c>
      <c r="J5" s="154"/>
      <c r="K5" s="153" t="s">
        <v>156</v>
      </c>
      <c r="L5" s="153"/>
      <c r="M5" s="153"/>
      <c r="N5" s="154" t="s">
        <v>157</v>
      </c>
      <c r="O5" s="154"/>
      <c r="P5" s="30"/>
      <c r="Q5" s="153" t="s">
        <v>158</v>
      </c>
      <c r="R5" s="153"/>
      <c r="S5" s="153"/>
      <c r="T5" s="251" t="s">
        <v>159</v>
      </c>
      <c r="U5" s="252"/>
      <c r="V5" s="253"/>
      <c r="W5" s="153" t="s">
        <v>95</v>
      </c>
      <c r="X5" s="153"/>
      <c r="Y5" s="153"/>
      <c r="Z5" s="154" t="s">
        <v>154</v>
      </c>
      <c r="AA5" s="154"/>
      <c r="AB5" s="154"/>
      <c r="AC5" s="153" t="s">
        <v>94</v>
      </c>
      <c r="AD5" s="153"/>
      <c r="AE5" s="153"/>
      <c r="AF5" s="154" t="s">
        <v>160</v>
      </c>
      <c r="AG5" s="154"/>
      <c r="AH5" s="154"/>
      <c r="AI5" s="153" t="s">
        <v>162</v>
      </c>
      <c r="AJ5" s="153"/>
      <c r="AK5" s="153"/>
      <c r="AL5" s="251" t="s">
        <v>161</v>
      </c>
      <c r="AM5" s="252"/>
      <c r="AN5" s="252"/>
      <c r="AO5" s="254" t="s">
        <v>96</v>
      </c>
      <c r="AP5" s="255"/>
      <c r="AQ5" s="256"/>
      <c r="AR5" s="252" t="s">
        <v>163</v>
      </c>
      <c r="AS5" s="252"/>
      <c r="AT5" s="253"/>
    </row>
    <row r="6" spans="1:46" x14ac:dyDescent="0.25">
      <c r="A6" s="29"/>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0"/>
      <c r="AT6" s="31"/>
    </row>
    <row r="7" spans="1:46" ht="36.450000000000003" customHeight="1" x14ac:dyDescent="0.25">
      <c r="A7" s="182" t="s">
        <v>6</v>
      </c>
      <c r="B7" s="183"/>
      <c r="C7" s="183"/>
      <c r="D7" s="183"/>
      <c r="E7" s="183"/>
      <c r="F7" s="183"/>
      <c r="G7" s="183"/>
      <c r="H7" s="30"/>
      <c r="I7" s="184" t="s">
        <v>19</v>
      </c>
      <c r="J7" s="185"/>
      <c r="K7" s="185"/>
      <c r="L7" s="185"/>
      <c r="M7" s="185"/>
      <c r="N7" s="185"/>
      <c r="O7" s="185"/>
      <c r="P7" s="185"/>
      <c r="Q7" s="185"/>
      <c r="R7" s="185"/>
      <c r="S7" s="186"/>
      <c r="T7" s="30"/>
      <c r="U7" s="187" t="s">
        <v>73</v>
      </c>
      <c r="V7" s="188"/>
      <c r="W7" s="188"/>
      <c r="X7" s="188"/>
      <c r="Y7" s="188"/>
      <c r="Z7" s="188"/>
      <c r="AA7" s="188"/>
      <c r="AB7" s="188"/>
      <c r="AC7" s="188"/>
      <c r="AD7" s="188"/>
      <c r="AE7" s="188"/>
      <c r="AF7" s="188"/>
      <c r="AG7" s="188"/>
      <c r="AH7" s="189"/>
      <c r="AI7" s="30"/>
      <c r="AJ7" s="30"/>
      <c r="AK7" s="30"/>
    </row>
    <row r="8" spans="1:46" ht="31.05" customHeight="1" x14ac:dyDescent="0.25">
      <c r="A8" s="200" t="s">
        <v>3</v>
      </c>
      <c r="B8" s="202" t="s">
        <v>7</v>
      </c>
      <c r="C8" s="203"/>
      <c r="D8" s="206" t="s">
        <v>1</v>
      </c>
      <c r="E8" s="206" t="s">
        <v>17</v>
      </c>
      <c r="F8" s="206" t="s">
        <v>18</v>
      </c>
      <c r="G8" s="206" t="s">
        <v>104</v>
      </c>
      <c r="H8" s="30"/>
      <c r="I8" s="206" t="s">
        <v>3</v>
      </c>
      <c r="J8" s="202" t="s">
        <v>7</v>
      </c>
      <c r="K8" s="231"/>
      <c r="L8" s="203"/>
      <c r="M8" s="233" t="s">
        <v>22</v>
      </c>
      <c r="N8" s="234"/>
      <c r="O8" s="235"/>
      <c r="P8" s="233" t="s">
        <v>36</v>
      </c>
      <c r="Q8" s="234"/>
      <c r="R8" s="234"/>
      <c r="S8" s="235"/>
      <c r="T8" s="30"/>
      <c r="U8" s="236" t="s">
        <v>3</v>
      </c>
      <c r="V8" s="237" t="s">
        <v>7</v>
      </c>
      <c r="W8" s="238"/>
      <c r="X8" s="239"/>
      <c r="Y8" s="217" t="s">
        <v>150</v>
      </c>
      <c r="Z8" s="217" t="s">
        <v>151</v>
      </c>
      <c r="AA8" s="219"/>
      <c r="AB8" s="221" t="s">
        <v>22</v>
      </c>
      <c r="AC8" s="222"/>
      <c r="AD8" s="223"/>
      <c r="AE8" s="221" t="s">
        <v>36</v>
      </c>
      <c r="AF8" s="222"/>
      <c r="AG8" s="222"/>
      <c r="AH8" s="223"/>
      <c r="AI8" s="30"/>
      <c r="AJ8" s="30"/>
      <c r="AK8" s="30"/>
    </row>
    <row r="9" spans="1:46" ht="31.95" customHeight="1" x14ac:dyDescent="0.25">
      <c r="A9" s="201"/>
      <c r="B9" s="204"/>
      <c r="C9" s="205"/>
      <c r="D9" s="207"/>
      <c r="E9" s="207"/>
      <c r="F9" s="207"/>
      <c r="G9" s="207"/>
      <c r="H9" s="30"/>
      <c r="I9" s="207"/>
      <c r="J9" s="204"/>
      <c r="K9" s="232"/>
      <c r="L9" s="205"/>
      <c r="M9" s="45" t="s">
        <v>23</v>
      </c>
      <c r="N9" s="5" t="s">
        <v>0</v>
      </c>
      <c r="O9" s="5" t="s">
        <v>2</v>
      </c>
      <c r="P9" s="12" t="s">
        <v>24</v>
      </c>
      <c r="Q9" s="13"/>
      <c r="R9" s="5" t="s">
        <v>0</v>
      </c>
      <c r="S9" s="5" t="s">
        <v>2</v>
      </c>
      <c r="T9" s="30"/>
      <c r="U9" s="207"/>
      <c r="V9" s="204"/>
      <c r="W9" s="232"/>
      <c r="X9" s="205"/>
      <c r="Y9" s="218"/>
      <c r="Z9" s="218"/>
      <c r="AA9" s="220"/>
      <c r="AB9" s="12" t="s">
        <v>23</v>
      </c>
      <c r="AC9" s="45" t="s">
        <v>74</v>
      </c>
      <c r="AD9" s="49" t="s">
        <v>2</v>
      </c>
      <c r="AE9" s="163" t="s">
        <v>23</v>
      </c>
      <c r="AF9" s="165"/>
      <c r="AG9" s="45" t="s">
        <v>74</v>
      </c>
      <c r="AH9" s="49" t="s">
        <v>2</v>
      </c>
      <c r="AI9" s="30"/>
      <c r="AJ9" s="30"/>
      <c r="AK9" s="30"/>
    </row>
    <row r="10" spans="1:46" ht="31.05" customHeight="1" x14ac:dyDescent="0.25">
      <c r="A10" s="27">
        <v>1</v>
      </c>
      <c r="B10" s="224" t="s">
        <v>8</v>
      </c>
      <c r="C10" s="225"/>
      <c r="D10" s="2">
        <v>0</v>
      </c>
      <c r="E10" s="2">
        <v>0</v>
      </c>
      <c r="F10" s="2">
        <v>0</v>
      </c>
      <c r="G10" s="2">
        <v>0</v>
      </c>
      <c r="H10" s="30"/>
      <c r="I10" s="2">
        <v>1</v>
      </c>
      <c r="J10" s="226" t="s">
        <v>8</v>
      </c>
      <c r="K10" s="227"/>
      <c r="L10" s="228"/>
      <c r="M10" s="9">
        <v>0</v>
      </c>
      <c r="N10" s="9">
        <v>0</v>
      </c>
      <c r="O10" s="9">
        <v>0</v>
      </c>
      <c r="P10" s="229">
        <v>0</v>
      </c>
      <c r="Q10" s="230"/>
      <c r="R10" s="9">
        <v>0</v>
      </c>
      <c r="S10" s="9">
        <v>0</v>
      </c>
      <c r="T10" s="30"/>
      <c r="U10" s="2">
        <v>1</v>
      </c>
      <c r="V10" s="226" t="s">
        <v>8</v>
      </c>
      <c r="W10" s="227"/>
      <c r="X10" s="227"/>
      <c r="Y10" s="18"/>
      <c r="Z10" s="229"/>
      <c r="AA10" s="230"/>
      <c r="AB10" s="18"/>
      <c r="AC10" s="18"/>
      <c r="AD10" s="17"/>
      <c r="AE10" s="249"/>
      <c r="AF10" s="250"/>
      <c r="AG10" s="18"/>
      <c r="AH10" s="17"/>
      <c r="AI10" s="30"/>
      <c r="AJ10" s="30"/>
      <c r="AK10" s="30"/>
    </row>
    <row r="11" spans="1:46" ht="31.05" customHeight="1" x14ac:dyDescent="0.25">
      <c r="A11" s="28">
        <f>+A10+1</f>
        <v>2</v>
      </c>
      <c r="B11" s="240" t="s">
        <v>9</v>
      </c>
      <c r="C11" s="241"/>
      <c r="D11" s="3">
        <v>0</v>
      </c>
      <c r="E11" s="3">
        <v>0</v>
      </c>
      <c r="F11" s="3">
        <v>0</v>
      </c>
      <c r="G11" s="3">
        <v>0</v>
      </c>
      <c r="H11" s="30"/>
      <c r="I11" s="3">
        <f>+I10+1</f>
        <v>2</v>
      </c>
      <c r="J11" s="242" t="s">
        <v>9</v>
      </c>
      <c r="K11" s="243"/>
      <c r="L11" s="244"/>
      <c r="M11" s="10">
        <v>0</v>
      </c>
      <c r="N11" s="10">
        <v>0</v>
      </c>
      <c r="O11" s="10">
        <v>0</v>
      </c>
      <c r="P11" s="245">
        <v>0</v>
      </c>
      <c r="Q11" s="246"/>
      <c r="R11" s="10">
        <v>0</v>
      </c>
      <c r="S11" s="10">
        <v>0</v>
      </c>
      <c r="T11" s="30"/>
      <c r="U11" s="3">
        <f>+U10+1</f>
        <v>2</v>
      </c>
      <c r="V11" s="242" t="s">
        <v>9</v>
      </c>
      <c r="W11" s="243"/>
      <c r="X11" s="243"/>
      <c r="Y11" s="19"/>
      <c r="Z11" s="245"/>
      <c r="AA11" s="246"/>
      <c r="AB11" s="19"/>
      <c r="AC11" s="19"/>
      <c r="AD11" s="16"/>
      <c r="AE11" s="247"/>
      <c r="AF11" s="248"/>
      <c r="AG11" s="19"/>
      <c r="AH11" s="16"/>
      <c r="AI11" s="30"/>
      <c r="AJ11" s="30"/>
      <c r="AK11" s="30"/>
    </row>
    <row r="12" spans="1:46" ht="31.05" customHeight="1" x14ac:dyDescent="0.25">
      <c r="A12" s="28">
        <f t="shared" ref="A12:A18" si="0">+A11+1</f>
        <v>3</v>
      </c>
      <c r="B12" s="240" t="s">
        <v>10</v>
      </c>
      <c r="C12" s="241"/>
      <c r="D12" s="3">
        <v>0</v>
      </c>
      <c r="E12" s="3">
        <v>0</v>
      </c>
      <c r="F12" s="3">
        <v>0</v>
      </c>
      <c r="G12" s="3">
        <v>0</v>
      </c>
      <c r="H12" s="30"/>
      <c r="I12" s="3">
        <f t="shared" ref="I12:I18" si="1">+I11+1</f>
        <v>3</v>
      </c>
      <c r="J12" s="242" t="s">
        <v>10</v>
      </c>
      <c r="K12" s="243"/>
      <c r="L12" s="244"/>
      <c r="M12" s="10">
        <v>0</v>
      </c>
      <c r="N12" s="10">
        <v>0</v>
      </c>
      <c r="O12" s="10">
        <v>0</v>
      </c>
      <c r="P12" s="245">
        <v>0</v>
      </c>
      <c r="Q12" s="246"/>
      <c r="R12" s="10">
        <v>0</v>
      </c>
      <c r="S12" s="10">
        <v>0</v>
      </c>
      <c r="T12" s="30"/>
      <c r="U12" s="3">
        <f t="shared" ref="U12:U18" si="2">+U11+1</f>
        <v>3</v>
      </c>
      <c r="V12" s="242" t="s">
        <v>10</v>
      </c>
      <c r="W12" s="243"/>
      <c r="X12" s="243"/>
      <c r="Y12" s="19"/>
      <c r="Z12" s="245"/>
      <c r="AA12" s="246"/>
      <c r="AB12" s="19"/>
      <c r="AC12" s="19"/>
      <c r="AD12" s="16"/>
      <c r="AE12" s="247"/>
      <c r="AF12" s="248"/>
      <c r="AG12" s="19"/>
      <c r="AH12" s="16"/>
      <c r="AI12" s="30"/>
      <c r="AJ12" s="30"/>
      <c r="AK12" s="30"/>
    </row>
    <row r="13" spans="1:46" ht="31.05" customHeight="1" x14ac:dyDescent="0.25">
      <c r="A13" s="28">
        <f t="shared" si="0"/>
        <v>4</v>
      </c>
      <c r="B13" s="240" t="s">
        <v>11</v>
      </c>
      <c r="C13" s="241"/>
      <c r="D13" s="3">
        <v>0</v>
      </c>
      <c r="E13" s="3">
        <v>0</v>
      </c>
      <c r="F13" s="3">
        <v>0</v>
      </c>
      <c r="G13" s="3">
        <v>0</v>
      </c>
      <c r="H13" s="30"/>
      <c r="I13" s="3">
        <f t="shared" si="1"/>
        <v>4</v>
      </c>
      <c r="J13" s="242" t="s">
        <v>11</v>
      </c>
      <c r="K13" s="243"/>
      <c r="L13" s="244"/>
      <c r="M13" s="10">
        <v>0</v>
      </c>
      <c r="N13" s="10">
        <v>0</v>
      </c>
      <c r="O13" s="10">
        <v>0</v>
      </c>
      <c r="P13" s="245">
        <v>0</v>
      </c>
      <c r="Q13" s="246"/>
      <c r="R13" s="10">
        <v>0</v>
      </c>
      <c r="S13" s="10">
        <v>0</v>
      </c>
      <c r="T13" s="30"/>
      <c r="U13" s="3">
        <f t="shared" si="2"/>
        <v>4</v>
      </c>
      <c r="V13" s="242" t="s">
        <v>11</v>
      </c>
      <c r="W13" s="243"/>
      <c r="X13" s="243"/>
      <c r="Y13" s="19"/>
      <c r="Z13" s="245"/>
      <c r="AA13" s="246"/>
      <c r="AB13" s="19"/>
      <c r="AC13" s="19"/>
      <c r="AD13" s="16"/>
      <c r="AE13" s="247"/>
      <c r="AF13" s="248"/>
      <c r="AG13" s="19"/>
      <c r="AH13" s="16"/>
      <c r="AI13" s="30"/>
      <c r="AJ13" s="30"/>
      <c r="AK13" s="30"/>
    </row>
    <row r="14" spans="1:46" ht="31.05" customHeight="1" x14ac:dyDescent="0.25">
      <c r="A14" s="28">
        <f t="shared" si="0"/>
        <v>5</v>
      </c>
      <c r="B14" s="240" t="s">
        <v>12</v>
      </c>
      <c r="C14" s="241"/>
      <c r="D14" s="3">
        <v>0</v>
      </c>
      <c r="E14" s="3">
        <v>0</v>
      </c>
      <c r="F14" s="3">
        <v>0</v>
      </c>
      <c r="G14" s="3">
        <v>0</v>
      </c>
      <c r="H14" s="30"/>
      <c r="I14" s="3">
        <f t="shared" si="1"/>
        <v>5</v>
      </c>
      <c r="J14" s="242" t="s">
        <v>12</v>
      </c>
      <c r="K14" s="243"/>
      <c r="L14" s="244"/>
      <c r="M14" s="10">
        <v>0</v>
      </c>
      <c r="N14" s="10">
        <v>0</v>
      </c>
      <c r="O14" s="10">
        <v>0</v>
      </c>
      <c r="P14" s="245">
        <v>0</v>
      </c>
      <c r="Q14" s="246"/>
      <c r="R14" s="10">
        <v>0</v>
      </c>
      <c r="S14" s="10">
        <v>0</v>
      </c>
      <c r="T14" s="30"/>
      <c r="U14" s="3">
        <f t="shared" si="2"/>
        <v>5</v>
      </c>
      <c r="V14" s="242" t="s">
        <v>12</v>
      </c>
      <c r="W14" s="243"/>
      <c r="X14" s="243"/>
      <c r="Y14" s="19"/>
      <c r="Z14" s="245"/>
      <c r="AA14" s="246"/>
      <c r="AB14" s="19"/>
      <c r="AC14" s="19"/>
      <c r="AD14" s="16"/>
      <c r="AE14" s="247"/>
      <c r="AF14" s="248"/>
      <c r="AG14" s="19"/>
      <c r="AH14" s="16"/>
      <c r="AI14" s="30"/>
      <c r="AJ14" s="30"/>
      <c r="AK14" s="30"/>
    </row>
    <row r="15" spans="1:46" ht="31.05" customHeight="1" x14ac:dyDescent="0.25">
      <c r="A15" s="28">
        <f t="shared" si="0"/>
        <v>6</v>
      </c>
      <c r="B15" s="240" t="s">
        <v>13</v>
      </c>
      <c r="C15" s="241"/>
      <c r="D15" s="3">
        <v>0</v>
      </c>
      <c r="E15" s="3">
        <v>0</v>
      </c>
      <c r="F15" s="3">
        <v>0</v>
      </c>
      <c r="G15" s="3">
        <v>0</v>
      </c>
      <c r="H15" s="30"/>
      <c r="I15" s="3">
        <f t="shared" si="1"/>
        <v>6</v>
      </c>
      <c r="J15" s="242" t="s">
        <v>13</v>
      </c>
      <c r="K15" s="243"/>
      <c r="L15" s="244"/>
      <c r="M15" s="10">
        <v>0</v>
      </c>
      <c r="N15" s="10">
        <v>0</v>
      </c>
      <c r="O15" s="10">
        <v>0</v>
      </c>
      <c r="P15" s="245">
        <v>0</v>
      </c>
      <c r="Q15" s="246"/>
      <c r="R15" s="10">
        <v>0</v>
      </c>
      <c r="S15" s="10">
        <v>0</v>
      </c>
      <c r="T15" s="30"/>
      <c r="U15" s="3">
        <f t="shared" si="2"/>
        <v>6</v>
      </c>
      <c r="V15" s="242" t="s">
        <v>13</v>
      </c>
      <c r="W15" s="243"/>
      <c r="X15" s="243"/>
      <c r="Y15" s="19"/>
      <c r="Z15" s="245"/>
      <c r="AA15" s="246"/>
      <c r="AB15" s="19"/>
      <c r="AC15" s="19"/>
      <c r="AD15" s="16"/>
      <c r="AE15" s="247"/>
      <c r="AF15" s="248"/>
      <c r="AG15" s="19"/>
      <c r="AH15" s="16"/>
      <c r="AI15" s="30"/>
      <c r="AJ15" s="30"/>
      <c r="AK15" s="30"/>
    </row>
    <row r="16" spans="1:46" ht="31.05" customHeight="1" x14ac:dyDescent="0.25">
      <c r="A16" s="28">
        <f t="shared" si="0"/>
        <v>7</v>
      </c>
      <c r="B16" s="240" t="s">
        <v>14</v>
      </c>
      <c r="C16" s="241"/>
      <c r="D16" s="3">
        <v>0</v>
      </c>
      <c r="E16" s="3">
        <v>0</v>
      </c>
      <c r="F16" s="3">
        <v>0</v>
      </c>
      <c r="G16" s="3">
        <v>0</v>
      </c>
      <c r="H16" s="30"/>
      <c r="I16" s="3">
        <f t="shared" si="1"/>
        <v>7</v>
      </c>
      <c r="J16" s="242" t="s">
        <v>14</v>
      </c>
      <c r="K16" s="243"/>
      <c r="L16" s="244"/>
      <c r="M16" s="10">
        <v>0</v>
      </c>
      <c r="N16" s="10">
        <v>0</v>
      </c>
      <c r="O16" s="10">
        <v>0</v>
      </c>
      <c r="P16" s="245">
        <v>0</v>
      </c>
      <c r="Q16" s="246"/>
      <c r="R16" s="10">
        <v>0</v>
      </c>
      <c r="S16" s="10">
        <v>0</v>
      </c>
      <c r="T16" s="30"/>
      <c r="U16" s="3">
        <f t="shared" si="2"/>
        <v>7</v>
      </c>
      <c r="V16" s="242" t="s">
        <v>14</v>
      </c>
      <c r="W16" s="243"/>
      <c r="X16" s="243"/>
      <c r="Y16" s="19"/>
      <c r="Z16" s="245"/>
      <c r="AA16" s="246"/>
      <c r="AB16" s="19"/>
      <c r="AC16" s="19"/>
      <c r="AD16" s="16"/>
      <c r="AE16" s="247"/>
      <c r="AF16" s="248"/>
      <c r="AG16" s="19"/>
      <c r="AH16" s="16"/>
      <c r="AI16" s="30"/>
      <c r="AJ16" s="30"/>
      <c r="AK16" s="30"/>
    </row>
    <row r="17" spans="1:46" ht="31.05" customHeight="1" x14ac:dyDescent="0.25">
      <c r="A17" s="28">
        <f t="shared" si="0"/>
        <v>8</v>
      </c>
      <c r="B17" s="240" t="s">
        <v>15</v>
      </c>
      <c r="C17" s="241"/>
      <c r="D17" s="3">
        <v>0</v>
      </c>
      <c r="E17" s="3">
        <v>0</v>
      </c>
      <c r="F17" s="3">
        <v>0</v>
      </c>
      <c r="G17" s="3">
        <v>0</v>
      </c>
      <c r="H17" s="30"/>
      <c r="I17" s="3">
        <f t="shared" si="1"/>
        <v>8</v>
      </c>
      <c r="J17" s="242" t="s">
        <v>15</v>
      </c>
      <c r="K17" s="243"/>
      <c r="L17" s="244"/>
      <c r="M17" s="10">
        <v>0</v>
      </c>
      <c r="N17" s="10">
        <v>0</v>
      </c>
      <c r="O17" s="10">
        <v>0</v>
      </c>
      <c r="P17" s="245">
        <v>0</v>
      </c>
      <c r="Q17" s="246"/>
      <c r="R17" s="10">
        <v>0</v>
      </c>
      <c r="S17" s="10">
        <v>0</v>
      </c>
      <c r="T17" s="30"/>
      <c r="U17" s="3">
        <f t="shared" si="2"/>
        <v>8</v>
      </c>
      <c r="V17" s="242" t="s">
        <v>15</v>
      </c>
      <c r="W17" s="243"/>
      <c r="X17" s="243"/>
      <c r="Y17" s="19"/>
      <c r="Z17" s="245"/>
      <c r="AA17" s="246"/>
      <c r="AB17" s="19"/>
      <c r="AC17" s="19"/>
      <c r="AD17" s="16"/>
      <c r="AE17" s="247"/>
      <c r="AF17" s="248"/>
      <c r="AG17" s="19"/>
      <c r="AH17" s="16"/>
      <c r="AI17" s="30"/>
      <c r="AJ17" s="30"/>
      <c r="AK17" s="30"/>
    </row>
    <row r="18" spans="1:46" ht="31.05" customHeight="1" x14ac:dyDescent="0.25">
      <c r="A18" s="28">
        <f t="shared" si="0"/>
        <v>9</v>
      </c>
      <c r="B18" s="240" t="s">
        <v>20</v>
      </c>
      <c r="C18" s="241"/>
      <c r="D18" s="6">
        <v>0</v>
      </c>
      <c r="E18" s="6">
        <v>0</v>
      </c>
      <c r="F18" s="6">
        <v>0</v>
      </c>
      <c r="G18" s="6">
        <v>0</v>
      </c>
      <c r="H18" s="30"/>
      <c r="I18" s="3">
        <f t="shared" si="1"/>
        <v>9</v>
      </c>
      <c r="J18" s="242" t="s">
        <v>21</v>
      </c>
      <c r="K18" s="243"/>
      <c r="L18" s="244"/>
      <c r="M18" s="10">
        <v>0</v>
      </c>
      <c r="N18" s="10">
        <v>0</v>
      </c>
      <c r="O18" s="10">
        <v>0</v>
      </c>
      <c r="P18" s="265">
        <v>0</v>
      </c>
      <c r="Q18" s="266"/>
      <c r="R18" s="10">
        <v>0</v>
      </c>
      <c r="S18" s="10">
        <v>0</v>
      </c>
      <c r="T18" s="30"/>
      <c r="U18" s="3">
        <f t="shared" si="2"/>
        <v>9</v>
      </c>
      <c r="V18" s="242" t="s">
        <v>21</v>
      </c>
      <c r="W18" s="243"/>
      <c r="X18" s="243"/>
      <c r="Y18" s="111"/>
      <c r="Z18" s="265"/>
      <c r="AA18" s="266"/>
      <c r="AB18" s="19"/>
      <c r="AC18" s="19"/>
      <c r="AD18" s="16"/>
      <c r="AE18" s="247"/>
      <c r="AF18" s="248"/>
      <c r="AG18" s="19"/>
      <c r="AH18" s="16"/>
      <c r="AI18" s="30"/>
      <c r="AJ18" s="30"/>
      <c r="AK18" s="30"/>
    </row>
    <row r="19" spans="1:46" ht="28.5" customHeight="1" x14ac:dyDescent="0.25">
      <c r="A19" s="257" t="s">
        <v>16</v>
      </c>
      <c r="B19" s="258"/>
      <c r="C19" s="259"/>
      <c r="D19" s="7">
        <f>+SUM(D10:D18)</f>
        <v>0</v>
      </c>
      <c r="E19" s="7">
        <f t="shared" ref="E19:F19" si="3">+SUM(E10:E18)</f>
        <v>0</v>
      </c>
      <c r="F19" s="7">
        <f t="shared" si="3"/>
        <v>0</v>
      </c>
      <c r="G19" s="7">
        <f t="shared" ref="G19" si="4">+SUM(G10:G18)</f>
        <v>0</v>
      </c>
      <c r="H19" s="30"/>
      <c r="I19" s="260" t="s">
        <v>16</v>
      </c>
      <c r="J19" s="258"/>
      <c r="K19" s="258"/>
      <c r="L19" s="259"/>
      <c r="M19" s="11">
        <v>0</v>
      </c>
      <c r="N19" s="11">
        <v>0</v>
      </c>
      <c r="O19" s="11">
        <v>0</v>
      </c>
      <c r="P19" s="261">
        <v>0</v>
      </c>
      <c r="Q19" s="262"/>
      <c r="R19" s="11">
        <v>0</v>
      </c>
      <c r="S19" s="11">
        <v>0</v>
      </c>
      <c r="T19" s="30"/>
      <c r="U19" s="260" t="s">
        <v>16</v>
      </c>
      <c r="V19" s="258"/>
      <c r="W19" s="258"/>
      <c r="X19" s="259"/>
      <c r="Y19" s="58">
        <f>SUM(Y10:Y18)</f>
        <v>0</v>
      </c>
      <c r="Z19" s="263">
        <f>+SUM(Z10:AA18)</f>
        <v>0</v>
      </c>
      <c r="AA19" s="264"/>
      <c r="AB19" s="58">
        <f>SUM(AB10:AB18)</f>
        <v>0</v>
      </c>
      <c r="AC19" s="57">
        <v>0.1</v>
      </c>
      <c r="AD19" s="57">
        <v>0.1</v>
      </c>
      <c r="AE19" s="263">
        <v>0.1</v>
      </c>
      <c r="AF19" s="264"/>
      <c r="AG19" s="57">
        <v>0.1</v>
      </c>
      <c r="AH19" s="57">
        <v>0.1</v>
      </c>
      <c r="AI19" s="30"/>
      <c r="AJ19" s="30"/>
      <c r="AK19" s="30"/>
    </row>
    <row r="20" spans="1:46" ht="17.399999999999999" x14ac:dyDescent="0.3">
      <c r="A20" s="35" t="s">
        <v>68</v>
      </c>
      <c r="B20" s="30"/>
      <c r="C20" s="30"/>
      <c r="D20" s="30"/>
      <c r="E20" s="30"/>
      <c r="F20" s="30"/>
      <c r="G20" s="30"/>
      <c r="H20" s="30"/>
      <c r="I20" s="30"/>
      <c r="J20" s="30"/>
      <c r="K20" s="30"/>
      <c r="L20" s="30"/>
      <c r="M20" s="30"/>
      <c r="N20" s="30"/>
      <c r="O20" s="30"/>
      <c r="P20" s="30"/>
      <c r="Q20" s="36" t="s">
        <v>149</v>
      </c>
      <c r="R20" s="30"/>
      <c r="S20" s="30"/>
      <c r="T20" s="36"/>
      <c r="U20" s="36"/>
      <c r="V20" s="36"/>
      <c r="W20" s="30"/>
      <c r="X20" s="30"/>
      <c r="Y20" s="30"/>
      <c r="Z20" s="30"/>
      <c r="AA20" s="30"/>
      <c r="AB20" s="30"/>
      <c r="AC20" s="30"/>
      <c r="AD20" s="30"/>
      <c r="AE20" s="30"/>
      <c r="AF20" s="30"/>
      <c r="AG20" s="30"/>
      <c r="AH20" s="36" t="s">
        <v>152</v>
      </c>
      <c r="AI20" s="30"/>
      <c r="AJ20" s="30"/>
      <c r="AK20" s="30"/>
      <c r="AL20" s="30"/>
      <c r="AM20" s="30"/>
      <c r="AN20" s="30"/>
      <c r="AO20" s="30"/>
      <c r="AP20" s="30"/>
      <c r="AQ20" s="30"/>
      <c r="AR20" s="30"/>
      <c r="AS20" s="30"/>
      <c r="AT20" s="31"/>
    </row>
    <row r="21" spans="1:46" ht="17.399999999999999" x14ac:dyDescent="0.3">
      <c r="O21" s="30"/>
      <c r="P21" s="30"/>
      <c r="Q21" s="30"/>
      <c r="R21" s="30"/>
      <c r="S21" s="30"/>
      <c r="T21" s="30"/>
      <c r="U21" s="30"/>
      <c r="V21" s="36"/>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1"/>
    </row>
    <row r="22" spans="1:46" ht="15.45" customHeight="1" x14ac:dyDescent="0.3">
      <c r="O22" s="30"/>
      <c r="P22" s="30"/>
      <c r="Q22" s="30"/>
      <c r="R22" s="30"/>
      <c r="S22" s="30"/>
      <c r="T22" s="30"/>
      <c r="U22" s="30"/>
      <c r="V22" s="36"/>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1"/>
    </row>
    <row r="23" spans="1:46" ht="13.95" customHeight="1" x14ac:dyDescent="0.25">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1"/>
    </row>
    <row r="24" spans="1:46" ht="24.45" customHeight="1" x14ac:dyDescent="0.25">
      <c r="O24" s="30"/>
      <c r="P24" s="30"/>
      <c r="Q24" s="30"/>
      <c r="R24" s="30"/>
      <c r="S24" s="30"/>
      <c r="T24" s="30"/>
      <c r="U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1"/>
    </row>
    <row r="25" spans="1:46" ht="24.45" customHeight="1" x14ac:dyDescent="0.25">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1"/>
    </row>
    <row r="26" spans="1:46" ht="24.45" customHeight="1" x14ac:dyDescent="0.25">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1"/>
    </row>
    <row r="27" spans="1:46" ht="24.45" customHeight="1" x14ac:dyDescent="0.25">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1"/>
    </row>
    <row r="28" spans="1:46" ht="24.45" customHeight="1" x14ac:dyDescent="0.25">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1"/>
    </row>
    <row r="29" spans="1:46" ht="24.45" customHeight="1" x14ac:dyDescent="0.25">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1"/>
    </row>
    <row r="30" spans="1:46" ht="24.45" customHeight="1" x14ac:dyDescent="0.25">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1"/>
    </row>
    <row r="31" spans="1:46" ht="24.45" customHeight="1" x14ac:dyDescent="0.25">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1"/>
    </row>
    <row r="32" spans="1:46" ht="24.45" customHeight="1" x14ac:dyDescent="0.25">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1"/>
    </row>
    <row r="33" spans="1:46" ht="20.399999999999999" customHeight="1" x14ac:dyDescent="0.25">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row>
    <row r="34" spans="1:46" ht="26.55" customHeight="1" x14ac:dyDescent="0.3">
      <c r="A34" s="155" t="s">
        <v>78</v>
      </c>
      <c r="B34" s="155"/>
      <c r="C34" s="156"/>
      <c r="D34" s="157"/>
      <c r="E34" s="158"/>
      <c r="F34" s="158"/>
      <c r="G34" s="56" t="s">
        <v>26</v>
      </c>
      <c r="H34" s="32"/>
      <c r="I34" s="155" t="s">
        <v>81</v>
      </c>
      <c r="J34" s="155"/>
      <c r="K34" s="156"/>
      <c r="L34" s="149"/>
      <c r="M34" s="150"/>
      <c r="N34" s="150"/>
      <c r="O34" s="48" t="s">
        <v>27</v>
      </c>
      <c r="P34" s="30"/>
      <c r="Q34" s="155" t="s">
        <v>86</v>
      </c>
      <c r="R34" s="155"/>
      <c r="S34" s="156"/>
      <c r="T34" s="166"/>
      <c r="U34" s="167"/>
      <c r="V34" s="167"/>
      <c r="W34" s="25" t="s">
        <v>101</v>
      </c>
      <c r="X34" s="30"/>
      <c r="Y34" s="156" t="s">
        <v>30</v>
      </c>
      <c r="Z34" s="168"/>
      <c r="AA34" s="168"/>
      <c r="AB34" s="168"/>
      <c r="AC34" s="149"/>
      <c r="AD34" s="150"/>
      <c r="AE34" s="24" t="s">
        <v>25</v>
      </c>
      <c r="AF34" s="30"/>
      <c r="AG34" s="155" t="s">
        <v>83</v>
      </c>
      <c r="AH34" s="155"/>
      <c r="AI34" s="155"/>
      <c r="AJ34" s="155"/>
      <c r="AK34" s="149"/>
      <c r="AL34" s="150"/>
      <c r="AM34" s="24" t="s">
        <v>33</v>
      </c>
      <c r="AN34" s="30"/>
      <c r="AO34" s="23" t="s">
        <v>35</v>
      </c>
      <c r="AP34" s="26"/>
      <c r="AQ34" s="26"/>
      <c r="AR34" s="151"/>
      <c r="AS34" s="152"/>
      <c r="AT34" s="112" t="s">
        <v>33</v>
      </c>
    </row>
    <row r="35" spans="1:46" ht="26.55" customHeight="1" x14ac:dyDescent="0.3">
      <c r="A35" s="155" t="s">
        <v>79</v>
      </c>
      <c r="B35" s="155"/>
      <c r="C35" s="156"/>
      <c r="D35" s="157"/>
      <c r="E35" s="158"/>
      <c r="F35" s="158"/>
      <c r="G35" s="56" t="s">
        <v>26</v>
      </c>
      <c r="H35" s="32"/>
      <c r="I35" s="46" t="s">
        <v>29</v>
      </c>
      <c r="J35" s="46"/>
      <c r="K35" s="47"/>
      <c r="L35" s="166"/>
      <c r="M35" s="167"/>
      <c r="N35" s="167"/>
      <c r="O35" s="48" t="s">
        <v>27</v>
      </c>
      <c r="P35" s="30"/>
      <c r="Q35" s="155" t="s">
        <v>87</v>
      </c>
      <c r="R35" s="155"/>
      <c r="S35" s="156"/>
      <c r="T35" s="166"/>
      <c r="U35" s="167"/>
      <c r="V35" s="167"/>
      <c r="W35" s="25" t="s">
        <v>28</v>
      </c>
      <c r="X35" s="30"/>
      <c r="Y35" s="156" t="s">
        <v>31</v>
      </c>
      <c r="Z35" s="168"/>
      <c r="AA35" s="168"/>
      <c r="AB35" s="169"/>
      <c r="AC35" s="166"/>
      <c r="AD35" s="167"/>
      <c r="AE35" s="25" t="s">
        <v>25</v>
      </c>
      <c r="AF35" s="30"/>
      <c r="AG35" s="155" t="s">
        <v>109</v>
      </c>
      <c r="AH35" s="155"/>
      <c r="AI35" s="155"/>
      <c r="AJ35" s="155"/>
      <c r="AK35" s="166"/>
      <c r="AL35" s="167"/>
      <c r="AM35" s="25" t="s">
        <v>33</v>
      </c>
      <c r="AN35" s="30"/>
      <c r="AO35" s="23" t="s">
        <v>90</v>
      </c>
      <c r="AP35" s="26"/>
      <c r="AQ35" s="26"/>
      <c r="AR35" s="151"/>
      <c r="AS35" s="152"/>
      <c r="AT35" s="42" t="s">
        <v>33</v>
      </c>
    </row>
    <row r="36" spans="1:46" ht="26.55" customHeight="1" x14ac:dyDescent="0.3">
      <c r="A36" s="155" t="s">
        <v>80</v>
      </c>
      <c r="B36" s="155"/>
      <c r="C36" s="156"/>
      <c r="D36" s="157"/>
      <c r="E36" s="158"/>
      <c r="F36" s="158"/>
      <c r="G36" s="56" t="s">
        <v>26</v>
      </c>
      <c r="H36" s="32"/>
      <c r="I36" s="155" t="s">
        <v>82</v>
      </c>
      <c r="J36" s="155"/>
      <c r="K36" s="156"/>
      <c r="L36" s="149"/>
      <c r="M36" s="150"/>
      <c r="N36" s="150"/>
      <c r="O36" s="48" t="s">
        <v>27</v>
      </c>
      <c r="P36" s="30"/>
      <c r="Q36" s="155" t="s">
        <v>88</v>
      </c>
      <c r="R36" s="155"/>
      <c r="S36" s="156"/>
      <c r="T36" s="166"/>
      <c r="U36" s="167"/>
      <c r="V36" s="167"/>
      <c r="W36" s="25" t="s">
        <v>28</v>
      </c>
      <c r="X36" s="30"/>
      <c r="Y36" s="156" t="s">
        <v>32</v>
      </c>
      <c r="Z36" s="168"/>
      <c r="AA36" s="168"/>
      <c r="AB36" s="169"/>
      <c r="AC36" s="166"/>
      <c r="AD36" s="167"/>
      <c r="AE36" s="25" t="s">
        <v>25</v>
      </c>
      <c r="AF36" s="30"/>
      <c r="AG36" s="155" t="s">
        <v>84</v>
      </c>
      <c r="AH36" s="155"/>
      <c r="AI36" s="155"/>
      <c r="AJ36" s="155"/>
      <c r="AK36" s="166"/>
      <c r="AL36" s="167"/>
      <c r="AM36" s="25" t="s">
        <v>33</v>
      </c>
      <c r="AN36" s="30"/>
      <c r="AO36" s="23" t="s">
        <v>34</v>
      </c>
      <c r="AP36" s="26"/>
      <c r="AQ36" s="26"/>
      <c r="AR36" s="151"/>
      <c r="AS36" s="152"/>
      <c r="AT36" s="42" t="s">
        <v>33</v>
      </c>
    </row>
    <row r="37" spans="1:46" ht="26.55" customHeight="1" x14ac:dyDescent="0.3">
      <c r="A37" s="155" t="s">
        <v>100</v>
      </c>
      <c r="B37" s="155"/>
      <c r="C37" s="156"/>
      <c r="D37" s="157"/>
      <c r="E37" s="158"/>
      <c r="F37" s="158"/>
      <c r="G37" s="56" t="s">
        <v>26</v>
      </c>
      <c r="H37" s="32"/>
      <c r="I37" s="155" t="s">
        <v>105</v>
      </c>
      <c r="J37" s="155"/>
      <c r="K37" s="156"/>
      <c r="L37" s="149"/>
      <c r="M37" s="150"/>
      <c r="N37" s="150"/>
      <c r="O37" s="48" t="s">
        <v>27</v>
      </c>
      <c r="P37" s="30"/>
      <c r="Q37" s="155" t="s">
        <v>106</v>
      </c>
      <c r="R37" s="155"/>
      <c r="S37" s="156"/>
      <c r="T37" s="166"/>
      <c r="U37" s="167"/>
      <c r="V37" s="167"/>
      <c r="W37" s="25" t="s">
        <v>28</v>
      </c>
      <c r="X37" s="30"/>
      <c r="Y37" s="156" t="s">
        <v>103</v>
      </c>
      <c r="Z37" s="168"/>
      <c r="AA37" s="168"/>
      <c r="AB37" s="169"/>
      <c r="AC37" s="166"/>
      <c r="AD37" s="167"/>
      <c r="AE37" s="25" t="s">
        <v>25</v>
      </c>
      <c r="AF37" s="30"/>
      <c r="AG37" s="155" t="s">
        <v>85</v>
      </c>
      <c r="AH37" s="155"/>
      <c r="AI37" s="155"/>
      <c r="AJ37" s="155"/>
      <c r="AK37" s="166"/>
      <c r="AL37" s="167"/>
      <c r="AM37" s="25" t="s">
        <v>33</v>
      </c>
      <c r="AN37" s="30"/>
      <c r="AO37" s="23" t="s">
        <v>107</v>
      </c>
      <c r="AP37" s="26"/>
      <c r="AQ37" s="26"/>
      <c r="AR37" s="151"/>
      <c r="AS37" s="152"/>
      <c r="AT37" s="42" t="s">
        <v>33</v>
      </c>
    </row>
    <row r="38" spans="1:46" x14ac:dyDescent="0.25">
      <c r="A38" s="29"/>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1"/>
    </row>
    <row r="39" spans="1:46" ht="28.05" customHeight="1" x14ac:dyDescent="0.25">
      <c r="A39" s="208" t="s">
        <v>91</v>
      </c>
      <c r="B39" s="209"/>
      <c r="C39" s="209"/>
      <c r="D39" s="209"/>
      <c r="E39" s="209"/>
      <c r="F39" s="209"/>
      <c r="G39" s="209"/>
      <c r="H39" s="209"/>
      <c r="I39" s="209"/>
      <c r="J39" s="209"/>
      <c r="K39" s="210"/>
      <c r="L39" s="30"/>
      <c r="M39" s="211" t="s">
        <v>5</v>
      </c>
      <c r="N39" s="212"/>
      <c r="O39" s="212"/>
      <c r="P39" s="212"/>
      <c r="Q39" s="212"/>
      <c r="R39" s="212"/>
      <c r="S39" s="212"/>
      <c r="T39" s="212"/>
      <c r="U39" s="212"/>
      <c r="V39" s="212"/>
      <c r="W39" s="213"/>
      <c r="X39" s="30"/>
      <c r="Y39" s="214" t="s">
        <v>71</v>
      </c>
      <c r="Z39" s="215"/>
      <c r="AA39" s="215"/>
      <c r="AB39" s="215"/>
      <c r="AC39" s="215"/>
      <c r="AD39" s="215"/>
      <c r="AE39" s="215"/>
      <c r="AF39" s="215"/>
      <c r="AG39" s="215"/>
      <c r="AH39" s="215"/>
      <c r="AI39" s="216"/>
      <c r="AJ39" s="30"/>
      <c r="AK39" s="170" t="s">
        <v>69</v>
      </c>
      <c r="AL39" s="171"/>
      <c r="AM39" s="171"/>
      <c r="AN39" s="171"/>
      <c r="AO39" s="171"/>
      <c r="AP39" s="171"/>
      <c r="AQ39" s="171"/>
      <c r="AR39" s="171"/>
      <c r="AS39" s="171"/>
      <c r="AT39" s="172"/>
    </row>
    <row r="40" spans="1:46" ht="22.95" customHeight="1" x14ac:dyDescent="0.3">
      <c r="A40" s="33" t="s">
        <v>3</v>
      </c>
      <c r="B40" s="173" t="s">
        <v>4</v>
      </c>
      <c r="C40" s="173"/>
      <c r="D40" s="173"/>
      <c r="E40" s="173"/>
      <c r="F40" s="173"/>
      <c r="G40" s="173"/>
      <c r="H40" s="173"/>
      <c r="I40" s="173"/>
      <c r="J40" s="173"/>
      <c r="K40" s="173"/>
      <c r="L40" s="30"/>
      <c r="M40" s="1" t="s">
        <v>3</v>
      </c>
      <c r="N40" s="173" t="s">
        <v>4</v>
      </c>
      <c r="O40" s="173"/>
      <c r="P40" s="173"/>
      <c r="Q40" s="173"/>
      <c r="R40" s="173"/>
      <c r="S40" s="173"/>
      <c r="T40" s="173"/>
      <c r="U40" s="173"/>
      <c r="V40" s="173"/>
      <c r="W40" s="173"/>
      <c r="X40" s="30"/>
      <c r="Y40" s="1" t="s">
        <v>3</v>
      </c>
      <c r="Z40" s="173" t="s">
        <v>4</v>
      </c>
      <c r="AA40" s="173"/>
      <c r="AB40" s="173"/>
      <c r="AC40" s="173"/>
      <c r="AD40" s="173"/>
      <c r="AE40" s="173"/>
      <c r="AF40" s="173"/>
      <c r="AG40" s="173"/>
      <c r="AH40" s="173"/>
      <c r="AI40" s="173"/>
      <c r="AJ40" s="30"/>
      <c r="AK40" s="1" t="s">
        <v>3</v>
      </c>
      <c r="AL40" s="173" t="s">
        <v>4</v>
      </c>
      <c r="AM40" s="173"/>
      <c r="AN40" s="173"/>
      <c r="AO40" s="173"/>
      <c r="AP40" s="173"/>
      <c r="AQ40" s="173"/>
      <c r="AR40" s="173"/>
      <c r="AS40" s="173"/>
      <c r="AT40" s="174"/>
    </row>
    <row r="41" spans="1:46" ht="27.45" customHeight="1" x14ac:dyDescent="0.25">
      <c r="A41" s="27">
        <v>1</v>
      </c>
      <c r="B41" s="177"/>
      <c r="C41" s="177"/>
      <c r="D41" s="177"/>
      <c r="E41" s="177"/>
      <c r="F41" s="177"/>
      <c r="G41" s="177"/>
      <c r="H41" s="177"/>
      <c r="I41" s="177"/>
      <c r="J41" s="177"/>
      <c r="K41" s="177"/>
      <c r="L41" s="30"/>
      <c r="M41" s="2">
        <v>1</v>
      </c>
      <c r="N41" s="177"/>
      <c r="O41" s="177"/>
      <c r="P41" s="177"/>
      <c r="Q41" s="177"/>
      <c r="R41" s="177"/>
      <c r="S41" s="177"/>
      <c r="T41" s="177"/>
      <c r="U41" s="177"/>
      <c r="V41" s="177"/>
      <c r="W41" s="177"/>
      <c r="X41" s="30"/>
      <c r="Y41" s="2">
        <v>1</v>
      </c>
      <c r="Z41" s="177"/>
      <c r="AA41" s="177"/>
      <c r="AB41" s="177"/>
      <c r="AC41" s="177"/>
      <c r="AD41" s="177"/>
      <c r="AE41" s="177"/>
      <c r="AF41" s="177"/>
      <c r="AG41" s="177"/>
      <c r="AH41" s="177"/>
      <c r="AI41" s="177"/>
      <c r="AJ41" s="30"/>
      <c r="AK41" s="2">
        <v>1</v>
      </c>
      <c r="AL41" s="177"/>
      <c r="AM41" s="177"/>
      <c r="AN41" s="177"/>
      <c r="AO41" s="177"/>
      <c r="AP41" s="177"/>
      <c r="AQ41" s="177"/>
      <c r="AR41" s="177"/>
      <c r="AS41" s="177"/>
      <c r="AT41" s="178"/>
    </row>
    <row r="42" spans="1:46" ht="27.45" customHeight="1" x14ac:dyDescent="0.25">
      <c r="A42" s="28">
        <f>+A41+1</f>
        <v>2</v>
      </c>
      <c r="B42" s="175"/>
      <c r="C42" s="175"/>
      <c r="D42" s="175"/>
      <c r="E42" s="175"/>
      <c r="F42" s="175"/>
      <c r="G42" s="175"/>
      <c r="H42" s="175"/>
      <c r="I42" s="175"/>
      <c r="J42" s="175"/>
      <c r="K42" s="175"/>
      <c r="L42" s="30"/>
      <c r="M42" s="3">
        <f>+M41+1</f>
        <v>2</v>
      </c>
      <c r="N42" s="175"/>
      <c r="O42" s="175"/>
      <c r="P42" s="175"/>
      <c r="Q42" s="175"/>
      <c r="R42" s="175"/>
      <c r="S42" s="175"/>
      <c r="T42" s="175"/>
      <c r="U42" s="175"/>
      <c r="V42" s="175"/>
      <c r="W42" s="175"/>
      <c r="X42" s="30"/>
      <c r="Y42" s="3">
        <f>+Y41+1</f>
        <v>2</v>
      </c>
      <c r="Z42" s="175"/>
      <c r="AA42" s="175"/>
      <c r="AB42" s="175"/>
      <c r="AC42" s="175"/>
      <c r="AD42" s="175"/>
      <c r="AE42" s="175"/>
      <c r="AF42" s="175"/>
      <c r="AG42" s="175"/>
      <c r="AH42" s="175"/>
      <c r="AI42" s="175"/>
      <c r="AJ42" s="30"/>
      <c r="AK42" s="3">
        <f>+AK41+1</f>
        <v>2</v>
      </c>
      <c r="AL42" s="175"/>
      <c r="AM42" s="175"/>
      <c r="AN42" s="175"/>
      <c r="AO42" s="175"/>
      <c r="AP42" s="175"/>
      <c r="AQ42" s="175"/>
      <c r="AR42" s="175"/>
      <c r="AS42" s="175"/>
      <c r="AT42" s="176"/>
    </row>
    <row r="43" spans="1:46" ht="27.45" customHeight="1" x14ac:dyDescent="0.25">
      <c r="A43" s="28">
        <f t="shared" ref="A43:A48" si="5">+A42+1</f>
        <v>3</v>
      </c>
      <c r="B43" s="175"/>
      <c r="C43" s="175"/>
      <c r="D43" s="175"/>
      <c r="E43" s="175"/>
      <c r="F43" s="175"/>
      <c r="G43" s="175"/>
      <c r="H43" s="175"/>
      <c r="I43" s="175"/>
      <c r="J43" s="175"/>
      <c r="K43" s="175"/>
      <c r="L43" s="30"/>
      <c r="M43" s="3">
        <f t="shared" ref="M43:M48" si="6">+M42+1</f>
        <v>3</v>
      </c>
      <c r="N43" s="175"/>
      <c r="O43" s="175"/>
      <c r="P43" s="175"/>
      <c r="Q43" s="175"/>
      <c r="R43" s="175"/>
      <c r="S43" s="175"/>
      <c r="T43" s="175"/>
      <c r="U43" s="175"/>
      <c r="V43" s="175"/>
      <c r="W43" s="175"/>
      <c r="X43" s="30"/>
      <c r="Y43" s="3">
        <f t="shared" ref="Y43:Y48" si="7">+Y42+1</f>
        <v>3</v>
      </c>
      <c r="Z43" s="175"/>
      <c r="AA43" s="175"/>
      <c r="AB43" s="175"/>
      <c r="AC43" s="175"/>
      <c r="AD43" s="175"/>
      <c r="AE43" s="175"/>
      <c r="AF43" s="175"/>
      <c r="AG43" s="175"/>
      <c r="AH43" s="175"/>
      <c r="AI43" s="175"/>
      <c r="AJ43" s="30"/>
      <c r="AK43" s="3">
        <f t="shared" ref="AK43:AK48" si="8">+AK42+1</f>
        <v>3</v>
      </c>
      <c r="AL43" s="175"/>
      <c r="AM43" s="175"/>
      <c r="AN43" s="175"/>
      <c r="AO43" s="175"/>
      <c r="AP43" s="175"/>
      <c r="AQ43" s="175"/>
      <c r="AR43" s="175"/>
      <c r="AS43" s="175"/>
      <c r="AT43" s="176"/>
    </row>
    <row r="44" spans="1:46" ht="27.45" customHeight="1" x14ac:dyDescent="0.25">
      <c r="A44" s="28">
        <f t="shared" si="5"/>
        <v>4</v>
      </c>
      <c r="B44" s="175"/>
      <c r="C44" s="175"/>
      <c r="D44" s="175"/>
      <c r="E44" s="175"/>
      <c r="F44" s="175"/>
      <c r="G44" s="175"/>
      <c r="H44" s="175"/>
      <c r="I44" s="175"/>
      <c r="J44" s="175"/>
      <c r="K44" s="175"/>
      <c r="L44" s="30"/>
      <c r="M44" s="3">
        <f t="shared" si="6"/>
        <v>4</v>
      </c>
      <c r="N44" s="175"/>
      <c r="O44" s="175"/>
      <c r="P44" s="175"/>
      <c r="Q44" s="175"/>
      <c r="R44" s="175"/>
      <c r="S44" s="175"/>
      <c r="T44" s="175"/>
      <c r="U44" s="175"/>
      <c r="V44" s="175"/>
      <c r="W44" s="175"/>
      <c r="X44" s="30"/>
      <c r="Y44" s="3">
        <f t="shared" si="7"/>
        <v>4</v>
      </c>
      <c r="Z44" s="175"/>
      <c r="AA44" s="175"/>
      <c r="AB44" s="175"/>
      <c r="AC44" s="175"/>
      <c r="AD44" s="175"/>
      <c r="AE44" s="175"/>
      <c r="AF44" s="175"/>
      <c r="AG44" s="175"/>
      <c r="AH44" s="175"/>
      <c r="AI44" s="175"/>
      <c r="AJ44" s="30"/>
      <c r="AK44" s="3">
        <f t="shared" si="8"/>
        <v>4</v>
      </c>
      <c r="AL44" s="175"/>
      <c r="AM44" s="175"/>
      <c r="AN44" s="175"/>
      <c r="AO44" s="175"/>
      <c r="AP44" s="175"/>
      <c r="AQ44" s="175"/>
      <c r="AR44" s="175"/>
      <c r="AS44" s="175"/>
      <c r="AT44" s="176"/>
    </row>
    <row r="45" spans="1:46" ht="27.45" customHeight="1" x14ac:dyDescent="0.25">
      <c r="A45" s="28">
        <f t="shared" si="5"/>
        <v>5</v>
      </c>
      <c r="B45" s="175"/>
      <c r="C45" s="175"/>
      <c r="D45" s="175"/>
      <c r="E45" s="175"/>
      <c r="F45" s="175"/>
      <c r="G45" s="175"/>
      <c r="H45" s="175"/>
      <c r="I45" s="175"/>
      <c r="J45" s="175"/>
      <c r="K45" s="175"/>
      <c r="L45" s="30"/>
      <c r="M45" s="3">
        <f t="shared" si="6"/>
        <v>5</v>
      </c>
      <c r="N45" s="175"/>
      <c r="O45" s="175"/>
      <c r="P45" s="175"/>
      <c r="Q45" s="175"/>
      <c r="R45" s="175"/>
      <c r="S45" s="175"/>
      <c r="T45" s="175"/>
      <c r="U45" s="175"/>
      <c r="V45" s="175"/>
      <c r="W45" s="175"/>
      <c r="X45" s="30"/>
      <c r="Y45" s="3">
        <f t="shared" si="7"/>
        <v>5</v>
      </c>
      <c r="Z45" s="192"/>
      <c r="AA45" s="192"/>
      <c r="AB45" s="192"/>
      <c r="AC45" s="192"/>
      <c r="AD45" s="192"/>
      <c r="AE45" s="192"/>
      <c r="AF45" s="192"/>
      <c r="AG45" s="192"/>
      <c r="AH45" s="192"/>
      <c r="AI45" s="192"/>
      <c r="AJ45" s="30"/>
      <c r="AK45" s="3">
        <f t="shared" si="8"/>
        <v>5</v>
      </c>
      <c r="AL45" s="192"/>
      <c r="AM45" s="192"/>
      <c r="AN45" s="192"/>
      <c r="AO45" s="192"/>
      <c r="AP45" s="192"/>
      <c r="AQ45" s="192"/>
      <c r="AR45" s="192"/>
      <c r="AS45" s="192"/>
      <c r="AT45" s="193"/>
    </row>
    <row r="46" spans="1:46" ht="27.45" customHeight="1" x14ac:dyDescent="0.25">
      <c r="A46" s="28">
        <f t="shared" si="5"/>
        <v>6</v>
      </c>
      <c r="B46" s="175"/>
      <c r="C46" s="175"/>
      <c r="D46" s="175"/>
      <c r="E46" s="175"/>
      <c r="F46" s="175"/>
      <c r="G46" s="175"/>
      <c r="H46" s="175"/>
      <c r="I46" s="175"/>
      <c r="J46" s="175"/>
      <c r="K46" s="175"/>
      <c r="L46" s="30"/>
      <c r="M46" s="3">
        <f t="shared" si="6"/>
        <v>6</v>
      </c>
      <c r="N46" s="175"/>
      <c r="O46" s="175"/>
      <c r="P46" s="175"/>
      <c r="Q46" s="175"/>
      <c r="R46" s="175"/>
      <c r="S46" s="175"/>
      <c r="T46" s="175"/>
      <c r="U46" s="175"/>
      <c r="V46" s="175"/>
      <c r="W46" s="175"/>
      <c r="X46" s="30"/>
      <c r="Y46" s="194" t="s">
        <v>72</v>
      </c>
      <c r="Z46" s="195"/>
      <c r="AA46" s="195"/>
      <c r="AB46" s="195"/>
      <c r="AC46" s="195"/>
      <c r="AD46" s="195"/>
      <c r="AE46" s="195"/>
      <c r="AF46" s="195"/>
      <c r="AG46" s="195"/>
      <c r="AH46" s="195"/>
      <c r="AI46" s="196"/>
      <c r="AJ46" s="30"/>
      <c r="AK46" s="197" t="s">
        <v>70</v>
      </c>
      <c r="AL46" s="198"/>
      <c r="AM46" s="198"/>
      <c r="AN46" s="198"/>
      <c r="AO46" s="198"/>
      <c r="AP46" s="198"/>
      <c r="AQ46" s="198"/>
      <c r="AR46" s="198"/>
      <c r="AS46" s="198"/>
      <c r="AT46" s="199"/>
    </row>
    <row r="47" spans="1:46" ht="27.45" customHeight="1" x14ac:dyDescent="0.25">
      <c r="A47" s="28">
        <f t="shared" si="5"/>
        <v>7</v>
      </c>
      <c r="B47" s="175"/>
      <c r="C47" s="175"/>
      <c r="D47" s="175"/>
      <c r="E47" s="175"/>
      <c r="F47" s="175"/>
      <c r="G47" s="175"/>
      <c r="H47" s="175"/>
      <c r="I47" s="175"/>
      <c r="J47" s="175"/>
      <c r="K47" s="175"/>
      <c r="L47" s="30"/>
      <c r="M47" s="3">
        <f t="shared" si="6"/>
        <v>7</v>
      </c>
      <c r="N47" s="175"/>
      <c r="O47" s="175"/>
      <c r="P47" s="175"/>
      <c r="Q47" s="175"/>
      <c r="R47" s="175"/>
      <c r="S47" s="175"/>
      <c r="T47" s="175"/>
      <c r="U47" s="175"/>
      <c r="V47" s="175"/>
      <c r="W47" s="175"/>
      <c r="X47" s="30"/>
      <c r="Y47" s="20">
        <v>1</v>
      </c>
      <c r="Z47" s="190"/>
      <c r="AA47" s="190"/>
      <c r="AB47" s="190"/>
      <c r="AC47" s="190"/>
      <c r="AD47" s="190"/>
      <c r="AE47" s="190"/>
      <c r="AF47" s="190"/>
      <c r="AG47" s="190"/>
      <c r="AH47" s="190"/>
      <c r="AI47" s="190"/>
      <c r="AJ47" s="30"/>
      <c r="AK47" s="20">
        <v>1</v>
      </c>
      <c r="AL47" s="190"/>
      <c r="AM47" s="190"/>
      <c r="AN47" s="190"/>
      <c r="AO47" s="190"/>
      <c r="AP47" s="190"/>
      <c r="AQ47" s="190"/>
      <c r="AR47" s="190"/>
      <c r="AS47" s="190"/>
      <c r="AT47" s="191"/>
    </row>
    <row r="48" spans="1:46" ht="27.45" customHeight="1" x14ac:dyDescent="0.25">
      <c r="A48" s="28">
        <f t="shared" si="5"/>
        <v>8</v>
      </c>
      <c r="B48" s="175"/>
      <c r="C48" s="175"/>
      <c r="D48" s="175"/>
      <c r="E48" s="175"/>
      <c r="F48" s="175"/>
      <c r="G48" s="175"/>
      <c r="H48" s="175"/>
      <c r="I48" s="175"/>
      <c r="J48" s="175"/>
      <c r="K48" s="175"/>
      <c r="L48" s="30"/>
      <c r="M48" s="3">
        <f t="shared" si="6"/>
        <v>8</v>
      </c>
      <c r="N48" s="175"/>
      <c r="O48" s="175"/>
      <c r="P48" s="175"/>
      <c r="Q48" s="175"/>
      <c r="R48" s="175"/>
      <c r="S48" s="175"/>
      <c r="T48" s="175"/>
      <c r="U48" s="175"/>
      <c r="V48" s="175"/>
      <c r="W48" s="175"/>
      <c r="X48" s="30"/>
      <c r="Y48" s="3">
        <f t="shared" si="7"/>
        <v>2</v>
      </c>
      <c r="Z48" s="175"/>
      <c r="AA48" s="175"/>
      <c r="AB48" s="175"/>
      <c r="AC48" s="175"/>
      <c r="AD48" s="175"/>
      <c r="AE48" s="175"/>
      <c r="AF48" s="175"/>
      <c r="AG48" s="175"/>
      <c r="AH48" s="175"/>
      <c r="AI48" s="175"/>
      <c r="AJ48" s="30"/>
      <c r="AK48" s="3">
        <f t="shared" si="8"/>
        <v>2</v>
      </c>
      <c r="AL48" s="175"/>
      <c r="AM48" s="175"/>
      <c r="AN48" s="175"/>
      <c r="AO48" s="175"/>
      <c r="AP48" s="175"/>
      <c r="AQ48" s="175"/>
      <c r="AR48" s="175"/>
      <c r="AS48" s="175"/>
      <c r="AT48" s="176"/>
    </row>
    <row r="49" spans="1:46" ht="27.45" customHeight="1" x14ac:dyDescent="0.25">
      <c r="A49" s="34">
        <f>+A48+1</f>
        <v>9</v>
      </c>
      <c r="B49" s="179"/>
      <c r="C49" s="179"/>
      <c r="D49" s="179"/>
      <c r="E49" s="179"/>
      <c r="F49" s="179"/>
      <c r="G49" s="179"/>
      <c r="H49" s="179"/>
      <c r="I49" s="179"/>
      <c r="J49" s="179"/>
      <c r="K49" s="179"/>
      <c r="L49" s="30"/>
      <c r="M49" s="4">
        <f>+M48+1</f>
        <v>9</v>
      </c>
      <c r="N49" s="179"/>
      <c r="O49" s="179"/>
      <c r="P49" s="179"/>
      <c r="Q49" s="179"/>
      <c r="R49" s="179"/>
      <c r="S49" s="179"/>
      <c r="T49" s="179"/>
      <c r="U49" s="179"/>
      <c r="V49" s="179"/>
      <c r="W49" s="179"/>
      <c r="X49" s="30"/>
      <c r="Y49" s="4">
        <f>+Y48+1</f>
        <v>3</v>
      </c>
      <c r="Z49" s="179"/>
      <c r="AA49" s="179"/>
      <c r="AB49" s="179"/>
      <c r="AC49" s="179"/>
      <c r="AD49" s="179"/>
      <c r="AE49" s="179"/>
      <c r="AF49" s="179"/>
      <c r="AG49" s="179"/>
      <c r="AH49" s="179"/>
      <c r="AI49" s="179"/>
      <c r="AJ49" s="30"/>
      <c r="AK49" s="4">
        <f>+AK48+1</f>
        <v>3</v>
      </c>
      <c r="AL49" s="179"/>
      <c r="AM49" s="179"/>
      <c r="AN49" s="179"/>
      <c r="AO49" s="179"/>
      <c r="AP49" s="179"/>
      <c r="AQ49" s="179"/>
      <c r="AR49" s="179"/>
      <c r="AS49" s="179"/>
      <c r="AT49" s="180"/>
    </row>
    <row r="50" spans="1:46" ht="16.5" customHeight="1" x14ac:dyDescent="0.25">
      <c r="A50" s="29"/>
      <c r="B50" s="181"/>
      <c r="C50" s="181"/>
      <c r="D50" s="181"/>
      <c r="E50" s="181"/>
      <c r="F50" s="181"/>
      <c r="G50" s="181"/>
      <c r="H50" s="181"/>
      <c r="I50" s="181"/>
      <c r="J50" s="181"/>
      <c r="K50" s="181"/>
      <c r="L50" s="50"/>
      <c r="M50" s="30"/>
      <c r="N50" s="30"/>
      <c r="O50" s="30"/>
      <c r="P50" s="30"/>
      <c r="Q50" s="30"/>
      <c r="R50" s="30"/>
      <c r="S50" s="30"/>
      <c r="T50" s="30"/>
      <c r="U50" s="30"/>
      <c r="V50" s="35"/>
      <c r="W50" s="35"/>
      <c r="X50" s="35"/>
      <c r="Y50" s="35"/>
      <c r="Z50" s="35"/>
      <c r="AA50" s="35"/>
      <c r="AB50" s="35"/>
      <c r="AC50" s="35"/>
      <c r="AD50" s="35"/>
      <c r="AE50" s="35"/>
      <c r="AF50" s="35"/>
      <c r="AG50" s="35"/>
      <c r="AH50" s="35"/>
      <c r="AI50" s="30"/>
      <c r="AJ50" s="30"/>
      <c r="AK50" s="30"/>
      <c r="AL50" s="30"/>
      <c r="AM50" s="30"/>
      <c r="AN50" s="30"/>
      <c r="AO50" s="30"/>
      <c r="AP50" s="30"/>
      <c r="AQ50" s="30"/>
      <c r="AR50" s="30"/>
      <c r="AS50" s="30"/>
      <c r="AT50" s="31"/>
    </row>
    <row r="51" spans="1:46" ht="12.6" customHeight="1" x14ac:dyDescent="0.25">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row>
    <row r="52" spans="1:46" ht="24" customHeight="1" x14ac:dyDescent="0.35">
      <c r="A52" s="44" t="s">
        <v>108</v>
      </c>
      <c r="B52" s="44"/>
      <c r="C52" s="44"/>
    </row>
  </sheetData>
  <mergeCells count="192">
    <mergeCell ref="T5:V5"/>
    <mergeCell ref="AI5:AK5"/>
    <mergeCell ref="AL5:AN5"/>
    <mergeCell ref="AO5:AQ5"/>
    <mergeCell ref="AR5:AT5"/>
    <mergeCell ref="A19:C19"/>
    <mergeCell ref="I19:L19"/>
    <mergeCell ref="P19:Q19"/>
    <mergeCell ref="U19:X19"/>
    <mergeCell ref="Z19:AA19"/>
    <mergeCell ref="AE19:AF19"/>
    <mergeCell ref="B18:C18"/>
    <mergeCell ref="J18:L18"/>
    <mergeCell ref="P18:Q18"/>
    <mergeCell ref="V18:X18"/>
    <mergeCell ref="Z18:AA18"/>
    <mergeCell ref="AE18:AF18"/>
    <mergeCell ref="B17:C17"/>
    <mergeCell ref="J17:L17"/>
    <mergeCell ref="P17:Q17"/>
    <mergeCell ref="V17:X17"/>
    <mergeCell ref="Z17:AA17"/>
    <mergeCell ref="AE17:AF17"/>
    <mergeCell ref="B16:C16"/>
    <mergeCell ref="J16:L16"/>
    <mergeCell ref="P16:Q16"/>
    <mergeCell ref="V16:X16"/>
    <mergeCell ref="Z16:AA16"/>
    <mergeCell ref="AE16:AF16"/>
    <mergeCell ref="B15:C15"/>
    <mergeCell ref="J15:L15"/>
    <mergeCell ref="P15:Q15"/>
    <mergeCell ref="V15:X15"/>
    <mergeCell ref="Z15:AA15"/>
    <mergeCell ref="AE15:AF15"/>
    <mergeCell ref="B14:C14"/>
    <mergeCell ref="J14:L14"/>
    <mergeCell ref="P14:Q14"/>
    <mergeCell ref="V14:X14"/>
    <mergeCell ref="Z14:AA14"/>
    <mergeCell ref="AE14:AF14"/>
    <mergeCell ref="B13:C13"/>
    <mergeCell ref="J13:L13"/>
    <mergeCell ref="P13:Q13"/>
    <mergeCell ref="V13:X13"/>
    <mergeCell ref="Z13:AA13"/>
    <mergeCell ref="AE13:AF13"/>
    <mergeCell ref="B12:C12"/>
    <mergeCell ref="J12:L12"/>
    <mergeCell ref="P12:Q12"/>
    <mergeCell ref="V12:X12"/>
    <mergeCell ref="Z12:AA12"/>
    <mergeCell ref="AE12:AF12"/>
    <mergeCell ref="AE10:AF10"/>
    <mergeCell ref="B11:C11"/>
    <mergeCell ref="J11:L11"/>
    <mergeCell ref="P11:Q11"/>
    <mergeCell ref="V11:X11"/>
    <mergeCell ref="Z11:AA11"/>
    <mergeCell ref="AE11:AF11"/>
    <mergeCell ref="B10:C10"/>
    <mergeCell ref="J10:L10"/>
    <mergeCell ref="P10:Q10"/>
    <mergeCell ref="V10:X10"/>
    <mergeCell ref="Z10:AA10"/>
    <mergeCell ref="I8:I9"/>
    <mergeCell ref="J8:L9"/>
    <mergeCell ref="M8:O8"/>
    <mergeCell ref="P8:S8"/>
    <mergeCell ref="U8:U9"/>
    <mergeCell ref="V8:X9"/>
    <mergeCell ref="A8:A9"/>
    <mergeCell ref="B8:C9"/>
    <mergeCell ref="D8:D9"/>
    <mergeCell ref="E8:E9"/>
    <mergeCell ref="F8:F9"/>
    <mergeCell ref="G8:G9"/>
    <mergeCell ref="B49:K49"/>
    <mergeCell ref="N49:W49"/>
    <mergeCell ref="Z49:AI49"/>
    <mergeCell ref="A39:K39"/>
    <mergeCell ref="M39:W39"/>
    <mergeCell ref="Y39:AI39"/>
    <mergeCell ref="Y36:AB36"/>
    <mergeCell ref="AC36:AD36"/>
    <mergeCell ref="AG36:AJ36"/>
    <mergeCell ref="T34:V34"/>
    <mergeCell ref="Y34:AB34"/>
    <mergeCell ref="AC34:AD34"/>
    <mergeCell ref="AG34:AJ34"/>
    <mergeCell ref="Y8:Y9"/>
    <mergeCell ref="Z8:AA9"/>
    <mergeCell ref="AB8:AD8"/>
    <mergeCell ref="AE8:AH8"/>
    <mergeCell ref="AE9:AF9"/>
    <mergeCell ref="AL49:AT49"/>
    <mergeCell ref="B50:K50"/>
    <mergeCell ref="A7:G7"/>
    <mergeCell ref="I7:S7"/>
    <mergeCell ref="U7:AH7"/>
    <mergeCell ref="B47:K47"/>
    <mergeCell ref="N47:W47"/>
    <mergeCell ref="Z47:AI47"/>
    <mergeCell ref="AL47:AT47"/>
    <mergeCell ref="B48:K48"/>
    <mergeCell ref="N48:W48"/>
    <mergeCell ref="Z48:AI48"/>
    <mergeCell ref="AL48:AT48"/>
    <mergeCell ref="B45:K45"/>
    <mergeCell ref="N45:W45"/>
    <mergeCell ref="Z45:AI45"/>
    <mergeCell ref="AL45:AT45"/>
    <mergeCell ref="B46:K46"/>
    <mergeCell ref="N46:W46"/>
    <mergeCell ref="Y46:AI46"/>
    <mergeCell ref="AK46:AT46"/>
    <mergeCell ref="B43:K43"/>
    <mergeCell ref="N43:W43"/>
    <mergeCell ref="Z43:AI43"/>
    <mergeCell ref="AL43:AT43"/>
    <mergeCell ref="B44:K44"/>
    <mergeCell ref="N44:W44"/>
    <mergeCell ref="Z44:AI44"/>
    <mergeCell ref="AL44:AT44"/>
    <mergeCell ref="B41:K41"/>
    <mergeCell ref="N41:W41"/>
    <mergeCell ref="Z41:AI41"/>
    <mergeCell ref="AL41:AT41"/>
    <mergeCell ref="B42:K42"/>
    <mergeCell ref="N42:W42"/>
    <mergeCell ref="Z42:AI42"/>
    <mergeCell ref="AL42:AT42"/>
    <mergeCell ref="Y35:AB35"/>
    <mergeCell ref="AK39:AT39"/>
    <mergeCell ref="B40:K40"/>
    <mergeCell ref="N40:W40"/>
    <mergeCell ref="Z40:AI40"/>
    <mergeCell ref="AL40:AT40"/>
    <mergeCell ref="T37:V37"/>
    <mergeCell ref="Y37:AB37"/>
    <mergeCell ref="AC37:AD37"/>
    <mergeCell ref="AG37:AJ37"/>
    <mergeCell ref="AK37:AL37"/>
    <mergeCell ref="AR37:AS37"/>
    <mergeCell ref="K5:M5"/>
    <mergeCell ref="N5:O5"/>
    <mergeCell ref="AK36:AL36"/>
    <mergeCell ref="AR36:AS36"/>
    <mergeCell ref="A37:C37"/>
    <mergeCell ref="D37:F37"/>
    <mergeCell ref="I37:K37"/>
    <mergeCell ref="L37:N37"/>
    <mergeCell ref="Q37:S37"/>
    <mergeCell ref="AC35:AD35"/>
    <mergeCell ref="AG35:AJ35"/>
    <mergeCell ref="AK35:AL35"/>
    <mergeCell ref="AR35:AS35"/>
    <mergeCell ref="A36:C36"/>
    <mergeCell ref="D36:F36"/>
    <mergeCell ref="I36:K36"/>
    <mergeCell ref="L36:N36"/>
    <mergeCell ref="Q36:S36"/>
    <mergeCell ref="T36:V36"/>
    <mergeCell ref="A35:C35"/>
    <mergeCell ref="D35:F35"/>
    <mergeCell ref="L35:N35"/>
    <mergeCell ref="Q35:S35"/>
    <mergeCell ref="T35:V35"/>
    <mergeCell ref="A2:G3"/>
    <mergeCell ref="H2:AE2"/>
    <mergeCell ref="AF2:AI2"/>
    <mergeCell ref="AK2:AL2"/>
    <mergeCell ref="AM2:AT3"/>
    <mergeCell ref="H3:AE3"/>
    <mergeCell ref="AF3:AI3"/>
    <mergeCell ref="AK3:AL3"/>
    <mergeCell ref="AK34:AL34"/>
    <mergeCell ref="AR34:AS34"/>
    <mergeCell ref="Q5:S5"/>
    <mergeCell ref="W5:Y5"/>
    <mergeCell ref="Z5:AB5"/>
    <mergeCell ref="AC5:AE5"/>
    <mergeCell ref="AF5:AH5"/>
    <mergeCell ref="A34:C34"/>
    <mergeCell ref="D34:F34"/>
    <mergeCell ref="I34:K34"/>
    <mergeCell ref="L34:N34"/>
    <mergeCell ref="Q34:S34"/>
    <mergeCell ref="A5:B5"/>
    <mergeCell ref="C5:E5"/>
    <mergeCell ref="F5:H5"/>
    <mergeCell ref="I5:J5"/>
  </mergeCells>
  <pageMargins left="0.70866141732283472" right="0.70866141732283472" top="0.74803149606299213" bottom="0.74803149606299213" header="0.31496062992125984" footer="0.31496062992125984"/>
  <pageSetup paperSize="8" scale="55" fitToHeight="0" orientation="landscape" horizontalDpi="1200" verticalDpi="1200" r:id="rId1"/>
  <headerFooter>
    <oddFooter>&amp;R&amp;14Document Rev. 1   Dated  24-Sep-18</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08869-0F3D-4F25-9F15-D1701194DD92}">
  <sheetPr>
    <pageSetUpPr fitToPage="1"/>
  </sheetPr>
  <dimension ref="A1:AT52"/>
  <sheetViews>
    <sheetView view="pageBreakPreview" topLeftCell="A22" zoomScale="55" zoomScaleNormal="55" zoomScaleSheetLayoutView="55" workbookViewId="0">
      <selection activeCell="AL18" sqref="AL18:AT18"/>
    </sheetView>
  </sheetViews>
  <sheetFormatPr defaultRowHeight="13.2" x14ac:dyDescent="0.25"/>
  <cols>
    <col min="2" max="2" width="10.33203125" customWidth="1"/>
    <col min="3" max="3" width="9.44140625" customWidth="1"/>
    <col min="4" max="5" width="9.77734375" customWidth="1"/>
    <col min="6" max="7" width="9.33203125" customWidth="1"/>
    <col min="8" max="8" width="1.88671875" customWidth="1"/>
    <col min="9" max="9" width="9.44140625" customWidth="1"/>
    <col min="10" max="10" width="9.88671875" customWidth="1"/>
    <col min="12" max="12" width="1.33203125" customWidth="1"/>
    <col min="13" max="13" width="11.5546875" customWidth="1"/>
    <col min="14" max="14" width="9.21875" customWidth="1"/>
    <col min="16" max="16" width="1.21875" customWidth="1"/>
    <col min="17" max="17" width="9" customWidth="1"/>
    <col min="20" max="20" width="1.33203125" customWidth="1"/>
    <col min="23" max="23" width="9.77734375" customWidth="1"/>
    <col min="24" max="24" width="1.21875" customWidth="1"/>
    <col min="26" max="26" width="1" customWidth="1"/>
    <col min="32" max="32" width="1.77734375" customWidth="1"/>
    <col min="33" max="33" width="9.77734375" customWidth="1"/>
    <col min="36" max="36" width="1.109375" customWidth="1"/>
    <col min="39" max="39" width="8.109375" customWidth="1"/>
    <col min="40" max="40" width="1.77734375" customWidth="1"/>
    <col min="48" max="48" width="19.33203125" customWidth="1"/>
  </cols>
  <sheetData>
    <row r="1" spans="1:46" ht="13.8" thickBot="1" x14ac:dyDescent="0.3"/>
    <row r="2" spans="1:46" ht="45" customHeight="1" x14ac:dyDescent="0.25">
      <c r="A2" s="125"/>
      <c r="B2" s="126"/>
      <c r="C2" s="126"/>
      <c r="D2" s="126"/>
      <c r="E2" s="126"/>
      <c r="F2" s="126"/>
      <c r="G2" s="127"/>
      <c r="H2" s="131" t="s">
        <v>89</v>
      </c>
      <c r="I2" s="132"/>
      <c r="J2" s="132"/>
      <c r="K2" s="132"/>
      <c r="L2" s="132"/>
      <c r="M2" s="132"/>
      <c r="N2" s="132"/>
      <c r="O2" s="132"/>
      <c r="P2" s="132"/>
      <c r="Q2" s="132"/>
      <c r="R2" s="132"/>
      <c r="S2" s="132"/>
      <c r="T2" s="132"/>
      <c r="U2" s="132"/>
      <c r="V2" s="132"/>
      <c r="W2" s="132"/>
      <c r="X2" s="132"/>
      <c r="Y2" s="132"/>
      <c r="Z2" s="132"/>
      <c r="AA2" s="132"/>
      <c r="AB2" s="132"/>
      <c r="AC2" s="132"/>
      <c r="AD2" s="132"/>
      <c r="AE2" s="132"/>
      <c r="AF2" s="133" t="s">
        <v>75</v>
      </c>
      <c r="AG2" s="134"/>
      <c r="AH2" s="134"/>
      <c r="AI2" s="134"/>
      <c r="AJ2" s="21"/>
      <c r="AK2" s="135">
        <v>36</v>
      </c>
      <c r="AL2" s="136"/>
      <c r="AM2" s="137"/>
      <c r="AN2" s="137"/>
      <c r="AO2" s="138"/>
      <c r="AP2" s="138"/>
      <c r="AQ2" s="138"/>
      <c r="AR2" s="138"/>
      <c r="AS2" s="138"/>
      <c r="AT2" s="139"/>
    </row>
    <row r="3" spans="1:46" ht="45.45" customHeight="1" thickBot="1" x14ac:dyDescent="0.3">
      <c r="A3" s="128"/>
      <c r="B3" s="129"/>
      <c r="C3" s="129"/>
      <c r="D3" s="129"/>
      <c r="E3" s="129"/>
      <c r="F3" s="129"/>
      <c r="G3" s="130"/>
      <c r="H3" s="143" t="s">
        <v>77</v>
      </c>
      <c r="I3" s="144"/>
      <c r="J3" s="144"/>
      <c r="K3" s="144"/>
      <c r="L3" s="144"/>
      <c r="M3" s="144"/>
      <c r="N3" s="144"/>
      <c r="O3" s="144"/>
      <c r="P3" s="144"/>
      <c r="Q3" s="144"/>
      <c r="R3" s="144"/>
      <c r="S3" s="144"/>
      <c r="T3" s="144"/>
      <c r="U3" s="144"/>
      <c r="V3" s="144"/>
      <c r="W3" s="144"/>
      <c r="X3" s="144"/>
      <c r="Y3" s="144"/>
      <c r="Z3" s="144"/>
      <c r="AA3" s="144"/>
      <c r="AB3" s="144"/>
      <c r="AC3" s="144"/>
      <c r="AD3" s="144"/>
      <c r="AE3" s="144"/>
      <c r="AF3" s="145" t="s">
        <v>76</v>
      </c>
      <c r="AG3" s="146"/>
      <c r="AH3" s="146"/>
      <c r="AI3" s="146"/>
      <c r="AJ3" s="22"/>
      <c r="AK3" s="147">
        <v>43323</v>
      </c>
      <c r="AL3" s="148"/>
      <c r="AM3" s="140"/>
      <c r="AN3" s="140"/>
      <c r="AO3" s="141"/>
      <c r="AP3" s="141"/>
      <c r="AQ3" s="141"/>
      <c r="AR3" s="141"/>
      <c r="AS3" s="141"/>
      <c r="AT3" s="142"/>
    </row>
    <row r="4" spans="1:46" x14ac:dyDescent="0.25">
      <c r="A4" s="29"/>
      <c r="B4" s="30"/>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1"/>
    </row>
    <row r="5" spans="1:46" ht="21.45" customHeight="1" x14ac:dyDescent="0.25">
      <c r="A5" s="159" t="s">
        <v>155</v>
      </c>
      <c r="B5" s="159"/>
      <c r="C5" s="160" t="s">
        <v>92</v>
      </c>
      <c r="D5" s="161"/>
      <c r="E5" s="162"/>
      <c r="F5" s="163" t="s">
        <v>93</v>
      </c>
      <c r="G5" s="164"/>
      <c r="H5" s="165"/>
      <c r="I5" s="154" t="s">
        <v>153</v>
      </c>
      <c r="J5" s="154"/>
      <c r="K5" s="153" t="s">
        <v>156</v>
      </c>
      <c r="L5" s="153"/>
      <c r="M5" s="153"/>
      <c r="N5" s="154" t="s">
        <v>157</v>
      </c>
      <c r="O5" s="154"/>
      <c r="P5" s="30"/>
      <c r="Q5" s="153" t="s">
        <v>158</v>
      </c>
      <c r="R5" s="153"/>
      <c r="S5" s="153"/>
      <c r="T5" s="251" t="s">
        <v>159</v>
      </c>
      <c r="U5" s="252"/>
      <c r="V5" s="253"/>
      <c r="W5" s="153" t="s">
        <v>95</v>
      </c>
      <c r="X5" s="153"/>
      <c r="Y5" s="153"/>
      <c r="Z5" s="154" t="s">
        <v>154</v>
      </c>
      <c r="AA5" s="154"/>
      <c r="AB5" s="154"/>
      <c r="AC5" s="153" t="s">
        <v>94</v>
      </c>
      <c r="AD5" s="153"/>
      <c r="AE5" s="153"/>
      <c r="AF5" s="154" t="s">
        <v>160</v>
      </c>
      <c r="AG5" s="154"/>
      <c r="AH5" s="154"/>
      <c r="AI5" s="153" t="s">
        <v>162</v>
      </c>
      <c r="AJ5" s="153"/>
      <c r="AK5" s="153"/>
      <c r="AL5" s="251" t="s">
        <v>161</v>
      </c>
      <c r="AM5" s="252"/>
      <c r="AN5" s="252"/>
      <c r="AO5" s="254" t="s">
        <v>96</v>
      </c>
      <c r="AP5" s="255"/>
      <c r="AQ5" s="256"/>
      <c r="AR5" s="252" t="s">
        <v>163</v>
      </c>
      <c r="AS5" s="252"/>
      <c r="AT5" s="253"/>
    </row>
    <row r="6" spans="1:46" x14ac:dyDescent="0.25">
      <c r="A6" s="29"/>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0"/>
      <c r="AT6" s="31"/>
    </row>
    <row r="7" spans="1:46" ht="26.55" customHeight="1" x14ac:dyDescent="0.3">
      <c r="A7" s="267" t="s">
        <v>78</v>
      </c>
      <c r="B7" s="155"/>
      <c r="C7" s="156"/>
      <c r="D7" s="157"/>
      <c r="E7" s="158"/>
      <c r="F7" s="158"/>
      <c r="G7" s="56" t="s">
        <v>26</v>
      </c>
      <c r="H7" s="32"/>
      <c r="I7" s="155" t="s">
        <v>81</v>
      </c>
      <c r="J7" s="155"/>
      <c r="K7" s="156"/>
      <c r="L7" s="149"/>
      <c r="M7" s="150"/>
      <c r="N7" s="150"/>
      <c r="O7" s="14" t="s">
        <v>27</v>
      </c>
      <c r="P7" s="30"/>
      <c r="Q7" s="155" t="s">
        <v>86</v>
      </c>
      <c r="R7" s="155"/>
      <c r="S7" s="156"/>
      <c r="T7" s="166"/>
      <c r="U7" s="167"/>
      <c r="V7" s="167"/>
      <c r="W7" s="25" t="s">
        <v>101</v>
      </c>
      <c r="X7" s="30"/>
      <c r="Y7" s="156" t="s">
        <v>30</v>
      </c>
      <c r="Z7" s="168"/>
      <c r="AA7" s="168"/>
      <c r="AB7" s="168"/>
      <c r="AC7" s="149"/>
      <c r="AD7" s="150"/>
      <c r="AE7" s="24" t="s">
        <v>25</v>
      </c>
      <c r="AF7" s="30"/>
      <c r="AG7" s="155" t="s">
        <v>83</v>
      </c>
      <c r="AH7" s="155"/>
      <c r="AI7" s="155"/>
      <c r="AJ7" s="155"/>
      <c r="AK7" s="149"/>
      <c r="AL7" s="150"/>
      <c r="AM7" s="24" t="s">
        <v>33</v>
      </c>
      <c r="AN7" s="30"/>
      <c r="AO7" s="23" t="s">
        <v>35</v>
      </c>
      <c r="AP7" s="26"/>
      <c r="AQ7" s="26"/>
      <c r="AR7" s="151"/>
      <c r="AS7" s="152"/>
      <c r="AT7" s="42" t="s">
        <v>33</v>
      </c>
    </row>
    <row r="8" spans="1:46" ht="26.55" customHeight="1" x14ac:dyDescent="0.3">
      <c r="A8" s="267" t="s">
        <v>79</v>
      </c>
      <c r="B8" s="155"/>
      <c r="C8" s="156"/>
      <c r="D8" s="157"/>
      <c r="E8" s="158"/>
      <c r="F8" s="158"/>
      <c r="G8" s="56" t="s">
        <v>26</v>
      </c>
      <c r="H8" s="32"/>
      <c r="I8" s="40" t="s">
        <v>29</v>
      </c>
      <c r="J8" s="40"/>
      <c r="K8" s="39"/>
      <c r="L8" s="166"/>
      <c r="M8" s="167"/>
      <c r="N8" s="167"/>
      <c r="O8" s="14" t="s">
        <v>27</v>
      </c>
      <c r="P8" s="30"/>
      <c r="Q8" s="155" t="s">
        <v>87</v>
      </c>
      <c r="R8" s="155"/>
      <c r="S8" s="156"/>
      <c r="T8" s="166"/>
      <c r="U8" s="167"/>
      <c r="V8" s="167"/>
      <c r="W8" s="25" t="s">
        <v>28</v>
      </c>
      <c r="X8" s="30"/>
      <c r="Y8" s="156" t="s">
        <v>31</v>
      </c>
      <c r="Z8" s="168"/>
      <c r="AA8" s="168"/>
      <c r="AB8" s="169"/>
      <c r="AC8" s="166"/>
      <c r="AD8" s="167"/>
      <c r="AE8" s="25" t="s">
        <v>25</v>
      </c>
      <c r="AF8" s="30"/>
      <c r="AG8" s="155" t="s">
        <v>109</v>
      </c>
      <c r="AH8" s="155"/>
      <c r="AI8" s="155"/>
      <c r="AJ8" s="155"/>
      <c r="AK8" s="166"/>
      <c r="AL8" s="167"/>
      <c r="AM8" s="25" t="s">
        <v>33</v>
      </c>
      <c r="AN8" s="30"/>
      <c r="AO8" s="23" t="s">
        <v>90</v>
      </c>
      <c r="AP8" s="26"/>
      <c r="AQ8" s="26"/>
      <c r="AR8" s="151"/>
      <c r="AS8" s="152"/>
      <c r="AT8" s="42" t="s">
        <v>33</v>
      </c>
    </row>
    <row r="9" spans="1:46" ht="26.55" customHeight="1" x14ac:dyDescent="0.3">
      <c r="A9" s="267" t="s">
        <v>80</v>
      </c>
      <c r="B9" s="155"/>
      <c r="C9" s="156"/>
      <c r="D9" s="157"/>
      <c r="E9" s="158"/>
      <c r="F9" s="158"/>
      <c r="G9" s="56" t="s">
        <v>26</v>
      </c>
      <c r="H9" s="32"/>
      <c r="I9" s="155" t="s">
        <v>82</v>
      </c>
      <c r="J9" s="155"/>
      <c r="K9" s="156"/>
      <c r="L9" s="149"/>
      <c r="M9" s="150"/>
      <c r="N9" s="150"/>
      <c r="O9" s="14" t="s">
        <v>27</v>
      </c>
      <c r="P9" s="30"/>
      <c r="Q9" s="155" t="s">
        <v>88</v>
      </c>
      <c r="R9" s="155"/>
      <c r="S9" s="156"/>
      <c r="T9" s="166"/>
      <c r="U9" s="167"/>
      <c r="V9" s="167"/>
      <c r="W9" s="25" t="s">
        <v>28</v>
      </c>
      <c r="X9" s="30"/>
      <c r="Y9" s="156" t="s">
        <v>32</v>
      </c>
      <c r="Z9" s="168"/>
      <c r="AA9" s="168"/>
      <c r="AB9" s="169"/>
      <c r="AC9" s="166"/>
      <c r="AD9" s="167"/>
      <c r="AE9" s="25" t="s">
        <v>25</v>
      </c>
      <c r="AF9" s="30"/>
      <c r="AG9" s="155" t="s">
        <v>84</v>
      </c>
      <c r="AH9" s="155"/>
      <c r="AI9" s="155"/>
      <c r="AJ9" s="155"/>
      <c r="AK9" s="166"/>
      <c r="AL9" s="167"/>
      <c r="AM9" s="25" t="s">
        <v>33</v>
      </c>
      <c r="AN9" s="30"/>
      <c r="AO9" s="23" t="s">
        <v>34</v>
      </c>
      <c r="AP9" s="26"/>
      <c r="AQ9" s="26"/>
      <c r="AR9" s="151"/>
      <c r="AS9" s="152"/>
      <c r="AT9" s="42" t="s">
        <v>33</v>
      </c>
    </row>
    <row r="10" spans="1:46" ht="26.55" customHeight="1" x14ac:dyDescent="0.3">
      <c r="A10" s="267" t="s">
        <v>100</v>
      </c>
      <c r="B10" s="155"/>
      <c r="C10" s="156"/>
      <c r="D10" s="157"/>
      <c r="E10" s="158"/>
      <c r="F10" s="158"/>
      <c r="G10" s="56" t="s">
        <v>26</v>
      </c>
      <c r="H10" s="32"/>
      <c r="I10" s="155" t="s">
        <v>105</v>
      </c>
      <c r="J10" s="155"/>
      <c r="K10" s="156"/>
      <c r="L10" s="149"/>
      <c r="M10" s="150"/>
      <c r="N10" s="150"/>
      <c r="O10" s="14" t="s">
        <v>27</v>
      </c>
      <c r="P10" s="30"/>
      <c r="Q10" s="155" t="s">
        <v>106</v>
      </c>
      <c r="R10" s="155"/>
      <c r="S10" s="156"/>
      <c r="T10" s="166"/>
      <c r="U10" s="167"/>
      <c r="V10" s="167"/>
      <c r="W10" s="25" t="s">
        <v>28</v>
      </c>
      <c r="X10" s="30"/>
      <c r="Y10" s="156" t="s">
        <v>103</v>
      </c>
      <c r="Z10" s="168"/>
      <c r="AA10" s="168"/>
      <c r="AB10" s="169"/>
      <c r="AC10" s="166"/>
      <c r="AD10" s="167"/>
      <c r="AE10" s="25" t="s">
        <v>25</v>
      </c>
      <c r="AF10" s="30"/>
      <c r="AG10" s="155" t="s">
        <v>85</v>
      </c>
      <c r="AH10" s="155"/>
      <c r="AI10" s="155"/>
      <c r="AJ10" s="155"/>
      <c r="AK10" s="166"/>
      <c r="AL10" s="167"/>
      <c r="AM10" s="25" t="s">
        <v>33</v>
      </c>
      <c r="AN10" s="30"/>
      <c r="AO10" s="23" t="s">
        <v>107</v>
      </c>
      <c r="AP10" s="26"/>
      <c r="AQ10" s="26"/>
      <c r="AR10" s="151"/>
      <c r="AS10" s="152"/>
      <c r="AT10" s="42" t="s">
        <v>33</v>
      </c>
    </row>
    <row r="11" spans="1:46" x14ac:dyDescent="0.25">
      <c r="A11" s="29"/>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1"/>
    </row>
    <row r="12" spans="1:46" ht="28.05" customHeight="1" x14ac:dyDescent="0.25">
      <c r="A12" s="208" t="s">
        <v>91</v>
      </c>
      <c r="B12" s="209"/>
      <c r="C12" s="209"/>
      <c r="D12" s="209"/>
      <c r="E12" s="209"/>
      <c r="F12" s="209"/>
      <c r="G12" s="209"/>
      <c r="H12" s="209"/>
      <c r="I12" s="209"/>
      <c r="J12" s="209"/>
      <c r="K12" s="210"/>
      <c r="L12" s="30"/>
      <c r="M12" s="211" t="s">
        <v>5</v>
      </c>
      <c r="N12" s="212"/>
      <c r="O12" s="212"/>
      <c r="P12" s="212"/>
      <c r="Q12" s="212"/>
      <c r="R12" s="212"/>
      <c r="S12" s="212"/>
      <c r="T12" s="212"/>
      <c r="U12" s="212"/>
      <c r="V12" s="212"/>
      <c r="W12" s="213"/>
      <c r="X12" s="30"/>
      <c r="Y12" s="214" t="s">
        <v>71</v>
      </c>
      <c r="Z12" s="215"/>
      <c r="AA12" s="215"/>
      <c r="AB12" s="215"/>
      <c r="AC12" s="215"/>
      <c r="AD12" s="215"/>
      <c r="AE12" s="215"/>
      <c r="AF12" s="215"/>
      <c r="AG12" s="215"/>
      <c r="AH12" s="215"/>
      <c r="AI12" s="216"/>
      <c r="AJ12" s="30"/>
      <c r="AK12" s="170" t="s">
        <v>69</v>
      </c>
      <c r="AL12" s="171"/>
      <c r="AM12" s="171"/>
      <c r="AN12" s="171"/>
      <c r="AO12" s="171"/>
      <c r="AP12" s="171"/>
      <c r="AQ12" s="171"/>
      <c r="AR12" s="171"/>
      <c r="AS12" s="171"/>
      <c r="AT12" s="172"/>
    </row>
    <row r="13" spans="1:46" ht="22.95" customHeight="1" x14ac:dyDescent="0.3">
      <c r="A13" s="33" t="s">
        <v>3</v>
      </c>
      <c r="B13" s="173" t="s">
        <v>4</v>
      </c>
      <c r="C13" s="173"/>
      <c r="D13" s="173"/>
      <c r="E13" s="173"/>
      <c r="F13" s="173"/>
      <c r="G13" s="173"/>
      <c r="H13" s="173"/>
      <c r="I13" s="173"/>
      <c r="J13" s="173"/>
      <c r="K13" s="173"/>
      <c r="L13" s="30"/>
      <c r="M13" s="1" t="s">
        <v>3</v>
      </c>
      <c r="N13" s="173" t="s">
        <v>4</v>
      </c>
      <c r="O13" s="173"/>
      <c r="P13" s="173"/>
      <c r="Q13" s="173"/>
      <c r="R13" s="173"/>
      <c r="S13" s="173"/>
      <c r="T13" s="173"/>
      <c r="U13" s="173"/>
      <c r="V13" s="173"/>
      <c r="W13" s="173"/>
      <c r="X13" s="30"/>
      <c r="Y13" s="1" t="s">
        <v>3</v>
      </c>
      <c r="Z13" s="173" t="s">
        <v>4</v>
      </c>
      <c r="AA13" s="173"/>
      <c r="AB13" s="173"/>
      <c r="AC13" s="173"/>
      <c r="AD13" s="173"/>
      <c r="AE13" s="173"/>
      <c r="AF13" s="173"/>
      <c r="AG13" s="173"/>
      <c r="AH13" s="173"/>
      <c r="AI13" s="173"/>
      <c r="AJ13" s="30"/>
      <c r="AK13" s="1" t="s">
        <v>3</v>
      </c>
      <c r="AL13" s="173" t="s">
        <v>4</v>
      </c>
      <c r="AM13" s="173"/>
      <c r="AN13" s="173"/>
      <c r="AO13" s="173"/>
      <c r="AP13" s="173"/>
      <c r="AQ13" s="173"/>
      <c r="AR13" s="173"/>
      <c r="AS13" s="173"/>
      <c r="AT13" s="174"/>
    </row>
    <row r="14" spans="1:46" ht="27.45" customHeight="1" x14ac:dyDescent="0.25">
      <c r="A14" s="27">
        <v>1</v>
      </c>
      <c r="B14" s="177"/>
      <c r="C14" s="177"/>
      <c r="D14" s="177"/>
      <c r="E14" s="177"/>
      <c r="F14" s="177"/>
      <c r="G14" s="177"/>
      <c r="H14" s="177"/>
      <c r="I14" s="177"/>
      <c r="J14" s="177"/>
      <c r="K14" s="177"/>
      <c r="L14" s="30"/>
      <c r="M14" s="2">
        <v>1</v>
      </c>
      <c r="N14" s="177"/>
      <c r="O14" s="177"/>
      <c r="P14" s="177"/>
      <c r="Q14" s="177"/>
      <c r="R14" s="177"/>
      <c r="S14" s="177"/>
      <c r="T14" s="177"/>
      <c r="U14" s="177"/>
      <c r="V14" s="177"/>
      <c r="W14" s="177"/>
      <c r="X14" s="30"/>
      <c r="Y14" s="2">
        <v>1</v>
      </c>
      <c r="Z14" s="177"/>
      <c r="AA14" s="177"/>
      <c r="AB14" s="177"/>
      <c r="AC14" s="177"/>
      <c r="AD14" s="177"/>
      <c r="AE14" s="177"/>
      <c r="AF14" s="177"/>
      <c r="AG14" s="177"/>
      <c r="AH14" s="177"/>
      <c r="AI14" s="177"/>
      <c r="AJ14" s="30"/>
      <c r="AK14" s="2">
        <v>1</v>
      </c>
      <c r="AL14" s="177"/>
      <c r="AM14" s="177"/>
      <c r="AN14" s="177"/>
      <c r="AO14" s="177"/>
      <c r="AP14" s="177"/>
      <c r="AQ14" s="177"/>
      <c r="AR14" s="177"/>
      <c r="AS14" s="177"/>
      <c r="AT14" s="178"/>
    </row>
    <row r="15" spans="1:46" ht="27.45" customHeight="1" x14ac:dyDescent="0.25">
      <c r="A15" s="28">
        <f>+A14+1</f>
        <v>2</v>
      </c>
      <c r="B15" s="175"/>
      <c r="C15" s="175"/>
      <c r="D15" s="175"/>
      <c r="E15" s="175"/>
      <c r="F15" s="175"/>
      <c r="G15" s="175"/>
      <c r="H15" s="175"/>
      <c r="I15" s="175"/>
      <c r="J15" s="175"/>
      <c r="K15" s="175"/>
      <c r="L15" s="30"/>
      <c r="M15" s="3">
        <f>+M14+1</f>
        <v>2</v>
      </c>
      <c r="N15" s="175"/>
      <c r="O15" s="175"/>
      <c r="P15" s="175"/>
      <c r="Q15" s="175"/>
      <c r="R15" s="175"/>
      <c r="S15" s="175"/>
      <c r="T15" s="175"/>
      <c r="U15" s="175"/>
      <c r="V15" s="175"/>
      <c r="W15" s="175"/>
      <c r="X15" s="30"/>
      <c r="Y15" s="3">
        <f>+Y14+1</f>
        <v>2</v>
      </c>
      <c r="Z15" s="175"/>
      <c r="AA15" s="175"/>
      <c r="AB15" s="175"/>
      <c r="AC15" s="175"/>
      <c r="AD15" s="175"/>
      <c r="AE15" s="175"/>
      <c r="AF15" s="175"/>
      <c r="AG15" s="175"/>
      <c r="AH15" s="175"/>
      <c r="AI15" s="175"/>
      <c r="AJ15" s="30"/>
      <c r="AK15" s="3">
        <f>+AK14+1</f>
        <v>2</v>
      </c>
      <c r="AL15" s="175"/>
      <c r="AM15" s="175"/>
      <c r="AN15" s="175"/>
      <c r="AO15" s="175"/>
      <c r="AP15" s="175"/>
      <c r="AQ15" s="175"/>
      <c r="AR15" s="175"/>
      <c r="AS15" s="175"/>
      <c r="AT15" s="176"/>
    </row>
    <row r="16" spans="1:46" ht="27.45" customHeight="1" x14ac:dyDescent="0.25">
      <c r="A16" s="28">
        <f t="shared" ref="A16:A21" si="0">+A15+1</f>
        <v>3</v>
      </c>
      <c r="B16" s="175"/>
      <c r="C16" s="175"/>
      <c r="D16" s="175"/>
      <c r="E16" s="175"/>
      <c r="F16" s="175"/>
      <c r="G16" s="175"/>
      <c r="H16" s="175"/>
      <c r="I16" s="175"/>
      <c r="J16" s="175"/>
      <c r="K16" s="175"/>
      <c r="L16" s="30"/>
      <c r="M16" s="3">
        <f t="shared" ref="M16:M21" si="1">+M15+1</f>
        <v>3</v>
      </c>
      <c r="N16" s="175"/>
      <c r="O16" s="175"/>
      <c r="P16" s="175"/>
      <c r="Q16" s="175"/>
      <c r="R16" s="175"/>
      <c r="S16" s="175"/>
      <c r="T16" s="175"/>
      <c r="U16" s="175"/>
      <c r="V16" s="175"/>
      <c r="W16" s="175"/>
      <c r="X16" s="30"/>
      <c r="Y16" s="3">
        <f t="shared" ref="Y16:Y21" si="2">+Y15+1</f>
        <v>3</v>
      </c>
      <c r="Z16" s="175"/>
      <c r="AA16" s="175"/>
      <c r="AB16" s="175"/>
      <c r="AC16" s="175"/>
      <c r="AD16" s="175"/>
      <c r="AE16" s="175"/>
      <c r="AF16" s="175"/>
      <c r="AG16" s="175"/>
      <c r="AH16" s="175"/>
      <c r="AI16" s="175"/>
      <c r="AJ16" s="30"/>
      <c r="AK16" s="3">
        <f t="shared" ref="AK16:AK21" si="3">+AK15+1</f>
        <v>3</v>
      </c>
      <c r="AL16" s="175"/>
      <c r="AM16" s="175"/>
      <c r="AN16" s="175"/>
      <c r="AO16" s="175"/>
      <c r="AP16" s="175"/>
      <c r="AQ16" s="175"/>
      <c r="AR16" s="175"/>
      <c r="AS16" s="175"/>
      <c r="AT16" s="176"/>
    </row>
    <row r="17" spans="1:46" ht="27.45" customHeight="1" x14ac:dyDescent="0.25">
      <c r="A17" s="28">
        <f t="shared" si="0"/>
        <v>4</v>
      </c>
      <c r="B17" s="175"/>
      <c r="C17" s="175"/>
      <c r="D17" s="175"/>
      <c r="E17" s="175"/>
      <c r="F17" s="175"/>
      <c r="G17" s="175"/>
      <c r="H17" s="175"/>
      <c r="I17" s="175"/>
      <c r="J17" s="175"/>
      <c r="K17" s="175"/>
      <c r="L17" s="30"/>
      <c r="M17" s="3">
        <f t="shared" si="1"/>
        <v>4</v>
      </c>
      <c r="N17" s="175"/>
      <c r="O17" s="175"/>
      <c r="P17" s="175"/>
      <c r="Q17" s="175"/>
      <c r="R17" s="175"/>
      <c r="S17" s="175"/>
      <c r="T17" s="175"/>
      <c r="U17" s="175"/>
      <c r="V17" s="175"/>
      <c r="W17" s="175"/>
      <c r="X17" s="30"/>
      <c r="Y17" s="3">
        <f t="shared" si="2"/>
        <v>4</v>
      </c>
      <c r="Z17" s="175"/>
      <c r="AA17" s="175"/>
      <c r="AB17" s="175"/>
      <c r="AC17" s="175"/>
      <c r="AD17" s="175"/>
      <c r="AE17" s="175"/>
      <c r="AF17" s="175"/>
      <c r="AG17" s="175"/>
      <c r="AH17" s="175"/>
      <c r="AI17" s="175"/>
      <c r="AJ17" s="30"/>
      <c r="AK17" s="3">
        <f t="shared" si="3"/>
        <v>4</v>
      </c>
      <c r="AL17" s="175"/>
      <c r="AM17" s="175"/>
      <c r="AN17" s="175"/>
      <c r="AO17" s="175"/>
      <c r="AP17" s="175"/>
      <c r="AQ17" s="175"/>
      <c r="AR17" s="175"/>
      <c r="AS17" s="175"/>
      <c r="AT17" s="176"/>
    </row>
    <row r="18" spans="1:46" ht="27.45" customHeight="1" x14ac:dyDescent="0.25">
      <c r="A18" s="28">
        <f t="shared" si="0"/>
        <v>5</v>
      </c>
      <c r="B18" s="175"/>
      <c r="C18" s="175"/>
      <c r="D18" s="175"/>
      <c r="E18" s="175"/>
      <c r="F18" s="175"/>
      <c r="G18" s="175"/>
      <c r="H18" s="175"/>
      <c r="I18" s="175"/>
      <c r="J18" s="175"/>
      <c r="K18" s="175"/>
      <c r="L18" s="30"/>
      <c r="M18" s="3">
        <f t="shared" si="1"/>
        <v>5</v>
      </c>
      <c r="N18" s="175"/>
      <c r="O18" s="175"/>
      <c r="P18" s="175"/>
      <c r="Q18" s="175"/>
      <c r="R18" s="175"/>
      <c r="S18" s="175"/>
      <c r="T18" s="175"/>
      <c r="U18" s="175"/>
      <c r="V18" s="175"/>
      <c r="W18" s="175"/>
      <c r="X18" s="30"/>
      <c r="Y18" s="3">
        <f t="shared" si="2"/>
        <v>5</v>
      </c>
      <c r="Z18" s="192"/>
      <c r="AA18" s="192"/>
      <c r="AB18" s="192"/>
      <c r="AC18" s="192"/>
      <c r="AD18" s="192"/>
      <c r="AE18" s="192"/>
      <c r="AF18" s="192"/>
      <c r="AG18" s="192"/>
      <c r="AH18" s="192"/>
      <c r="AI18" s="192"/>
      <c r="AJ18" s="30"/>
      <c r="AK18" s="3">
        <f t="shared" si="3"/>
        <v>5</v>
      </c>
      <c r="AL18" s="192"/>
      <c r="AM18" s="192"/>
      <c r="AN18" s="192"/>
      <c r="AO18" s="192"/>
      <c r="AP18" s="192"/>
      <c r="AQ18" s="192"/>
      <c r="AR18" s="192"/>
      <c r="AS18" s="192"/>
      <c r="AT18" s="193"/>
    </row>
    <row r="19" spans="1:46" ht="27.45" customHeight="1" x14ac:dyDescent="0.25">
      <c r="A19" s="28">
        <f t="shared" si="0"/>
        <v>6</v>
      </c>
      <c r="B19" s="175"/>
      <c r="C19" s="175"/>
      <c r="D19" s="175"/>
      <c r="E19" s="175"/>
      <c r="F19" s="175"/>
      <c r="G19" s="175"/>
      <c r="H19" s="175"/>
      <c r="I19" s="175"/>
      <c r="J19" s="175"/>
      <c r="K19" s="175"/>
      <c r="L19" s="30"/>
      <c r="M19" s="3">
        <f t="shared" si="1"/>
        <v>6</v>
      </c>
      <c r="N19" s="175"/>
      <c r="O19" s="175"/>
      <c r="P19" s="175"/>
      <c r="Q19" s="175"/>
      <c r="R19" s="175"/>
      <c r="S19" s="175"/>
      <c r="T19" s="175"/>
      <c r="U19" s="175"/>
      <c r="V19" s="175"/>
      <c r="W19" s="175"/>
      <c r="X19" s="30"/>
      <c r="Y19" s="194" t="s">
        <v>72</v>
      </c>
      <c r="Z19" s="195"/>
      <c r="AA19" s="195"/>
      <c r="AB19" s="195"/>
      <c r="AC19" s="195"/>
      <c r="AD19" s="195"/>
      <c r="AE19" s="195"/>
      <c r="AF19" s="195"/>
      <c r="AG19" s="195"/>
      <c r="AH19" s="195"/>
      <c r="AI19" s="196"/>
      <c r="AJ19" s="30"/>
      <c r="AK19" s="197" t="s">
        <v>70</v>
      </c>
      <c r="AL19" s="198"/>
      <c r="AM19" s="198"/>
      <c r="AN19" s="198"/>
      <c r="AO19" s="198"/>
      <c r="AP19" s="198"/>
      <c r="AQ19" s="198"/>
      <c r="AR19" s="198"/>
      <c r="AS19" s="198"/>
      <c r="AT19" s="199"/>
    </row>
    <row r="20" spans="1:46" ht="27.45" customHeight="1" x14ac:dyDescent="0.25">
      <c r="A20" s="28">
        <f t="shared" si="0"/>
        <v>7</v>
      </c>
      <c r="B20" s="175"/>
      <c r="C20" s="175"/>
      <c r="D20" s="175"/>
      <c r="E20" s="175"/>
      <c r="F20" s="175"/>
      <c r="G20" s="175"/>
      <c r="H20" s="175"/>
      <c r="I20" s="175"/>
      <c r="J20" s="175"/>
      <c r="K20" s="175"/>
      <c r="L20" s="30"/>
      <c r="M20" s="3">
        <f t="shared" si="1"/>
        <v>7</v>
      </c>
      <c r="N20" s="175"/>
      <c r="O20" s="175"/>
      <c r="P20" s="175"/>
      <c r="Q20" s="175"/>
      <c r="R20" s="175"/>
      <c r="S20" s="175"/>
      <c r="T20" s="175"/>
      <c r="U20" s="175"/>
      <c r="V20" s="175"/>
      <c r="W20" s="175"/>
      <c r="X20" s="30"/>
      <c r="Y20" s="20">
        <v>1</v>
      </c>
      <c r="Z20" s="190"/>
      <c r="AA20" s="190"/>
      <c r="AB20" s="190"/>
      <c r="AC20" s="190"/>
      <c r="AD20" s="190"/>
      <c r="AE20" s="190"/>
      <c r="AF20" s="190"/>
      <c r="AG20" s="190"/>
      <c r="AH20" s="190"/>
      <c r="AI20" s="190"/>
      <c r="AJ20" s="30"/>
      <c r="AK20" s="20">
        <v>1</v>
      </c>
      <c r="AL20" s="190"/>
      <c r="AM20" s="190"/>
      <c r="AN20" s="190"/>
      <c r="AO20" s="190"/>
      <c r="AP20" s="190"/>
      <c r="AQ20" s="190"/>
      <c r="AR20" s="190"/>
      <c r="AS20" s="190"/>
      <c r="AT20" s="191"/>
    </row>
    <row r="21" spans="1:46" ht="27.45" customHeight="1" x14ac:dyDescent="0.25">
      <c r="A21" s="28">
        <f t="shared" si="0"/>
        <v>8</v>
      </c>
      <c r="B21" s="175"/>
      <c r="C21" s="175"/>
      <c r="D21" s="175"/>
      <c r="E21" s="175"/>
      <c r="F21" s="175"/>
      <c r="G21" s="175"/>
      <c r="H21" s="175"/>
      <c r="I21" s="175"/>
      <c r="J21" s="175"/>
      <c r="K21" s="175"/>
      <c r="L21" s="30"/>
      <c r="M21" s="3">
        <f t="shared" si="1"/>
        <v>8</v>
      </c>
      <c r="N21" s="175"/>
      <c r="O21" s="175"/>
      <c r="P21" s="175"/>
      <c r="Q21" s="175"/>
      <c r="R21" s="175"/>
      <c r="S21" s="175"/>
      <c r="T21" s="175"/>
      <c r="U21" s="175"/>
      <c r="V21" s="175"/>
      <c r="W21" s="175"/>
      <c r="X21" s="30"/>
      <c r="Y21" s="3">
        <f t="shared" si="2"/>
        <v>2</v>
      </c>
      <c r="Z21" s="175"/>
      <c r="AA21" s="175"/>
      <c r="AB21" s="175"/>
      <c r="AC21" s="175"/>
      <c r="AD21" s="175"/>
      <c r="AE21" s="175"/>
      <c r="AF21" s="175"/>
      <c r="AG21" s="175"/>
      <c r="AH21" s="175"/>
      <c r="AI21" s="175"/>
      <c r="AJ21" s="30"/>
      <c r="AK21" s="3">
        <f t="shared" si="3"/>
        <v>2</v>
      </c>
      <c r="AL21" s="175"/>
      <c r="AM21" s="175"/>
      <c r="AN21" s="175"/>
      <c r="AO21" s="175"/>
      <c r="AP21" s="175"/>
      <c r="AQ21" s="175"/>
      <c r="AR21" s="175"/>
      <c r="AS21" s="175"/>
      <c r="AT21" s="176"/>
    </row>
    <row r="22" spans="1:46" ht="27.45" customHeight="1" x14ac:dyDescent="0.25">
      <c r="A22" s="34">
        <f>+A21+1</f>
        <v>9</v>
      </c>
      <c r="B22" s="179"/>
      <c r="C22" s="179"/>
      <c r="D22" s="179"/>
      <c r="E22" s="179"/>
      <c r="F22" s="179"/>
      <c r="G22" s="179"/>
      <c r="H22" s="179"/>
      <c r="I22" s="179"/>
      <c r="J22" s="179"/>
      <c r="K22" s="179"/>
      <c r="L22" s="30"/>
      <c r="M22" s="4">
        <f>+M21+1</f>
        <v>9</v>
      </c>
      <c r="N22" s="179"/>
      <c r="O22" s="179"/>
      <c r="P22" s="179"/>
      <c r="Q22" s="179"/>
      <c r="R22" s="179"/>
      <c r="S22" s="179"/>
      <c r="T22" s="179"/>
      <c r="U22" s="179"/>
      <c r="V22" s="179"/>
      <c r="W22" s="179"/>
      <c r="X22" s="30"/>
      <c r="Y22" s="4">
        <f>+Y21+1</f>
        <v>3</v>
      </c>
      <c r="Z22" s="179"/>
      <c r="AA22" s="179"/>
      <c r="AB22" s="179"/>
      <c r="AC22" s="179"/>
      <c r="AD22" s="179"/>
      <c r="AE22" s="179"/>
      <c r="AF22" s="179"/>
      <c r="AG22" s="179"/>
      <c r="AH22" s="179"/>
      <c r="AI22" s="179"/>
      <c r="AJ22" s="30"/>
      <c r="AK22" s="4">
        <f>+AK21+1</f>
        <v>3</v>
      </c>
      <c r="AL22" s="179"/>
      <c r="AM22" s="179"/>
      <c r="AN22" s="179"/>
      <c r="AO22" s="179"/>
      <c r="AP22" s="179"/>
      <c r="AQ22" s="179"/>
      <c r="AR22" s="179"/>
      <c r="AS22" s="179"/>
      <c r="AT22" s="180"/>
    </row>
    <row r="23" spans="1:46" ht="16.5" customHeight="1" x14ac:dyDescent="0.25">
      <c r="A23" s="29"/>
      <c r="B23" s="181"/>
      <c r="C23" s="181"/>
      <c r="D23" s="181"/>
      <c r="E23" s="181"/>
      <c r="F23" s="181"/>
      <c r="G23" s="181"/>
      <c r="H23" s="181"/>
      <c r="I23" s="181"/>
      <c r="J23" s="181"/>
      <c r="K23" s="181"/>
      <c r="L23" s="15"/>
      <c r="M23" s="30"/>
      <c r="N23" s="30"/>
      <c r="O23" s="30"/>
      <c r="P23" s="30"/>
      <c r="Q23" s="30"/>
      <c r="R23" s="30"/>
      <c r="S23" s="30"/>
      <c r="T23" s="30"/>
      <c r="U23" s="30"/>
      <c r="V23" s="35"/>
      <c r="W23" s="35"/>
      <c r="X23" s="35"/>
      <c r="Y23" s="35"/>
      <c r="Z23" s="35"/>
      <c r="AA23" s="35"/>
      <c r="AB23" s="35"/>
      <c r="AC23" s="35"/>
      <c r="AD23" s="35"/>
      <c r="AE23" s="35"/>
      <c r="AF23" s="35"/>
      <c r="AG23" s="35"/>
      <c r="AH23" s="35"/>
      <c r="AI23" s="30"/>
      <c r="AJ23" s="30"/>
      <c r="AK23" s="30"/>
      <c r="AL23" s="30"/>
      <c r="AM23" s="30"/>
      <c r="AN23" s="30"/>
      <c r="AO23" s="30"/>
      <c r="AP23" s="30"/>
      <c r="AQ23" s="30"/>
      <c r="AR23" s="30"/>
      <c r="AS23" s="30"/>
      <c r="AT23" s="31"/>
    </row>
    <row r="24" spans="1:46" ht="36.450000000000003" customHeight="1" x14ac:dyDescent="0.25">
      <c r="A24" s="182" t="s">
        <v>6</v>
      </c>
      <c r="B24" s="183"/>
      <c r="C24" s="183"/>
      <c r="D24" s="183"/>
      <c r="E24" s="183"/>
      <c r="F24" s="183"/>
      <c r="G24" s="183"/>
      <c r="H24" s="30"/>
      <c r="I24" s="184" t="s">
        <v>19</v>
      </c>
      <c r="J24" s="185"/>
      <c r="K24" s="185"/>
      <c r="L24" s="185"/>
      <c r="M24" s="185"/>
      <c r="N24" s="185"/>
      <c r="O24" s="185"/>
      <c r="P24" s="185"/>
      <c r="Q24" s="185"/>
      <c r="R24" s="185"/>
      <c r="S24" s="186"/>
      <c r="T24" s="30"/>
      <c r="U24" s="187" t="s">
        <v>73</v>
      </c>
      <c r="V24" s="188"/>
      <c r="W24" s="188"/>
      <c r="X24" s="188"/>
      <c r="Y24" s="188"/>
      <c r="Z24" s="188"/>
      <c r="AA24" s="188"/>
      <c r="AB24" s="188"/>
      <c r="AC24" s="188"/>
      <c r="AD24" s="188"/>
      <c r="AE24" s="188"/>
      <c r="AF24" s="188"/>
      <c r="AG24" s="188"/>
      <c r="AH24" s="189"/>
      <c r="AI24" s="30"/>
      <c r="AJ24" s="30"/>
      <c r="AK24" s="30"/>
    </row>
    <row r="25" spans="1:46" ht="31.05" customHeight="1" x14ac:dyDescent="0.25">
      <c r="A25" s="200" t="s">
        <v>3</v>
      </c>
      <c r="B25" s="202" t="s">
        <v>7</v>
      </c>
      <c r="C25" s="203"/>
      <c r="D25" s="206" t="s">
        <v>1</v>
      </c>
      <c r="E25" s="206" t="s">
        <v>17</v>
      </c>
      <c r="F25" s="206" t="s">
        <v>18</v>
      </c>
      <c r="G25" s="206" t="s">
        <v>104</v>
      </c>
      <c r="H25" s="30"/>
      <c r="I25" s="206" t="s">
        <v>3</v>
      </c>
      <c r="J25" s="202" t="s">
        <v>7</v>
      </c>
      <c r="K25" s="231"/>
      <c r="L25" s="203"/>
      <c r="M25" s="233" t="s">
        <v>22</v>
      </c>
      <c r="N25" s="234"/>
      <c r="O25" s="235"/>
      <c r="P25" s="233" t="s">
        <v>36</v>
      </c>
      <c r="Q25" s="234"/>
      <c r="R25" s="234"/>
      <c r="S25" s="235"/>
      <c r="T25" s="30"/>
      <c r="U25" s="236" t="s">
        <v>3</v>
      </c>
      <c r="V25" s="237" t="s">
        <v>7</v>
      </c>
      <c r="W25" s="238"/>
      <c r="X25" s="239"/>
      <c r="Y25" s="217" t="s">
        <v>150</v>
      </c>
      <c r="Z25" s="217" t="s">
        <v>151</v>
      </c>
      <c r="AA25" s="219"/>
      <c r="AB25" s="221" t="s">
        <v>22</v>
      </c>
      <c r="AC25" s="222"/>
      <c r="AD25" s="223"/>
      <c r="AE25" s="221" t="s">
        <v>36</v>
      </c>
      <c r="AF25" s="222"/>
      <c r="AG25" s="222"/>
      <c r="AH25" s="223"/>
      <c r="AI25" s="30"/>
      <c r="AJ25" s="30"/>
      <c r="AK25" s="30"/>
    </row>
    <row r="26" spans="1:46" ht="31.95" customHeight="1" x14ac:dyDescent="0.25">
      <c r="A26" s="201"/>
      <c r="B26" s="204"/>
      <c r="C26" s="205"/>
      <c r="D26" s="207"/>
      <c r="E26" s="207"/>
      <c r="F26" s="207"/>
      <c r="G26" s="207"/>
      <c r="H26" s="30"/>
      <c r="I26" s="207"/>
      <c r="J26" s="204"/>
      <c r="K26" s="232"/>
      <c r="L26" s="205"/>
      <c r="M26" s="8" t="s">
        <v>23</v>
      </c>
      <c r="N26" s="5" t="s">
        <v>0</v>
      </c>
      <c r="O26" s="5" t="s">
        <v>2</v>
      </c>
      <c r="P26" s="12" t="s">
        <v>24</v>
      </c>
      <c r="Q26" s="13"/>
      <c r="R26" s="5" t="s">
        <v>0</v>
      </c>
      <c r="S26" s="5" t="s">
        <v>2</v>
      </c>
      <c r="T26" s="30"/>
      <c r="U26" s="207"/>
      <c r="V26" s="204"/>
      <c r="W26" s="232"/>
      <c r="X26" s="205"/>
      <c r="Y26" s="218"/>
      <c r="Z26" s="218"/>
      <c r="AA26" s="220"/>
      <c r="AB26" s="12" t="s">
        <v>23</v>
      </c>
      <c r="AC26" s="45" t="s">
        <v>74</v>
      </c>
      <c r="AD26" s="49" t="s">
        <v>2</v>
      </c>
      <c r="AE26" s="163" t="s">
        <v>23</v>
      </c>
      <c r="AF26" s="165"/>
      <c r="AG26" s="45" t="s">
        <v>74</v>
      </c>
      <c r="AH26" s="49" t="s">
        <v>2</v>
      </c>
      <c r="AI26" s="30"/>
      <c r="AJ26" s="30"/>
      <c r="AK26" s="30"/>
    </row>
    <row r="27" spans="1:46" ht="31.05" customHeight="1" x14ac:dyDescent="0.25">
      <c r="A27" s="27">
        <v>1</v>
      </c>
      <c r="B27" s="224" t="s">
        <v>8</v>
      </c>
      <c r="C27" s="225"/>
      <c r="D27" s="2">
        <v>0</v>
      </c>
      <c r="E27" s="2">
        <v>0</v>
      </c>
      <c r="F27" s="2">
        <v>0</v>
      </c>
      <c r="G27" s="2">
        <v>0</v>
      </c>
      <c r="H27" s="30"/>
      <c r="I27" s="2">
        <v>1</v>
      </c>
      <c r="J27" s="226" t="s">
        <v>8</v>
      </c>
      <c r="K27" s="227"/>
      <c r="L27" s="228"/>
      <c r="M27" s="9">
        <v>0</v>
      </c>
      <c r="N27" s="9">
        <v>0</v>
      </c>
      <c r="O27" s="9">
        <v>0</v>
      </c>
      <c r="P27" s="229">
        <v>0</v>
      </c>
      <c r="Q27" s="230"/>
      <c r="R27" s="9">
        <v>0</v>
      </c>
      <c r="S27" s="9">
        <v>0</v>
      </c>
      <c r="T27" s="30"/>
      <c r="U27" s="2">
        <v>1</v>
      </c>
      <c r="V27" s="226" t="s">
        <v>8</v>
      </c>
      <c r="W27" s="227"/>
      <c r="X27" s="227"/>
      <c r="Y27" s="18"/>
      <c r="Z27" s="229"/>
      <c r="AA27" s="230"/>
      <c r="AB27" s="18"/>
      <c r="AC27" s="18"/>
      <c r="AD27" s="17"/>
      <c r="AE27" s="249"/>
      <c r="AF27" s="250"/>
      <c r="AG27" s="18"/>
      <c r="AH27" s="17"/>
      <c r="AI27" s="30"/>
      <c r="AJ27" s="30"/>
      <c r="AK27" s="30"/>
    </row>
    <row r="28" spans="1:46" ht="31.05" customHeight="1" x14ac:dyDescent="0.25">
      <c r="A28" s="28">
        <f>+A27+1</f>
        <v>2</v>
      </c>
      <c r="B28" s="240" t="s">
        <v>9</v>
      </c>
      <c r="C28" s="241"/>
      <c r="D28" s="3">
        <v>0</v>
      </c>
      <c r="E28" s="3">
        <v>0</v>
      </c>
      <c r="F28" s="3">
        <v>0</v>
      </c>
      <c r="G28" s="3">
        <v>0</v>
      </c>
      <c r="H28" s="30"/>
      <c r="I28" s="3">
        <f>+I27+1</f>
        <v>2</v>
      </c>
      <c r="J28" s="242" t="s">
        <v>9</v>
      </c>
      <c r="K28" s="243"/>
      <c r="L28" s="244"/>
      <c r="M28" s="10">
        <v>0</v>
      </c>
      <c r="N28" s="10">
        <v>0</v>
      </c>
      <c r="O28" s="10">
        <v>0</v>
      </c>
      <c r="P28" s="245">
        <v>0</v>
      </c>
      <c r="Q28" s="246"/>
      <c r="R28" s="10">
        <v>0</v>
      </c>
      <c r="S28" s="10">
        <v>0</v>
      </c>
      <c r="T28" s="30"/>
      <c r="U28" s="3">
        <f>+U27+1</f>
        <v>2</v>
      </c>
      <c r="V28" s="242" t="s">
        <v>9</v>
      </c>
      <c r="W28" s="243"/>
      <c r="X28" s="243"/>
      <c r="Y28" s="19"/>
      <c r="Z28" s="245"/>
      <c r="AA28" s="246"/>
      <c r="AB28" s="19"/>
      <c r="AC28" s="19"/>
      <c r="AD28" s="16"/>
      <c r="AE28" s="247"/>
      <c r="AF28" s="248"/>
      <c r="AG28" s="19"/>
      <c r="AH28" s="16"/>
      <c r="AI28" s="30"/>
      <c r="AJ28" s="30"/>
      <c r="AK28" s="30"/>
    </row>
    <row r="29" spans="1:46" ht="31.05" customHeight="1" x14ac:dyDescent="0.25">
      <c r="A29" s="28">
        <f t="shared" ref="A29:A34" si="4">+A28+1</f>
        <v>3</v>
      </c>
      <c r="B29" s="240" t="s">
        <v>10</v>
      </c>
      <c r="C29" s="241"/>
      <c r="D29" s="3">
        <v>0</v>
      </c>
      <c r="E29" s="3">
        <v>0</v>
      </c>
      <c r="F29" s="3">
        <v>0</v>
      </c>
      <c r="G29" s="3">
        <v>0</v>
      </c>
      <c r="H29" s="30"/>
      <c r="I29" s="3">
        <f t="shared" ref="I29:I34" si="5">+I28+1</f>
        <v>3</v>
      </c>
      <c r="J29" s="242" t="s">
        <v>10</v>
      </c>
      <c r="K29" s="243"/>
      <c r="L29" s="244"/>
      <c r="M29" s="10">
        <v>0</v>
      </c>
      <c r="N29" s="10">
        <v>0</v>
      </c>
      <c r="O29" s="10">
        <v>0</v>
      </c>
      <c r="P29" s="245">
        <v>0</v>
      </c>
      <c r="Q29" s="246"/>
      <c r="R29" s="10">
        <v>0</v>
      </c>
      <c r="S29" s="10">
        <v>0</v>
      </c>
      <c r="T29" s="30"/>
      <c r="U29" s="3">
        <f t="shared" ref="U29:U35" si="6">+U28+1</f>
        <v>3</v>
      </c>
      <c r="V29" s="242" t="s">
        <v>10</v>
      </c>
      <c r="W29" s="243"/>
      <c r="X29" s="243"/>
      <c r="Y29" s="19"/>
      <c r="Z29" s="245"/>
      <c r="AA29" s="246"/>
      <c r="AB29" s="19"/>
      <c r="AC29" s="19"/>
      <c r="AD29" s="16"/>
      <c r="AE29" s="247"/>
      <c r="AF29" s="248"/>
      <c r="AG29" s="19"/>
      <c r="AH29" s="16"/>
      <c r="AI29" s="30"/>
      <c r="AJ29" s="30"/>
      <c r="AK29" s="30"/>
    </row>
    <row r="30" spans="1:46" ht="31.05" customHeight="1" x14ac:dyDescent="0.25">
      <c r="A30" s="28">
        <f t="shared" si="4"/>
        <v>4</v>
      </c>
      <c r="B30" s="240" t="s">
        <v>11</v>
      </c>
      <c r="C30" s="241"/>
      <c r="D30" s="3">
        <v>0</v>
      </c>
      <c r="E30" s="3">
        <v>0</v>
      </c>
      <c r="F30" s="3">
        <v>0</v>
      </c>
      <c r="G30" s="3">
        <v>0</v>
      </c>
      <c r="H30" s="30"/>
      <c r="I30" s="3">
        <f t="shared" si="5"/>
        <v>4</v>
      </c>
      <c r="J30" s="242" t="s">
        <v>11</v>
      </c>
      <c r="K30" s="243"/>
      <c r="L30" s="244"/>
      <c r="M30" s="10">
        <v>0</v>
      </c>
      <c r="N30" s="10">
        <v>0</v>
      </c>
      <c r="O30" s="10">
        <v>0</v>
      </c>
      <c r="P30" s="245">
        <v>0</v>
      </c>
      <c r="Q30" s="246"/>
      <c r="R30" s="10">
        <v>0</v>
      </c>
      <c r="S30" s="10">
        <v>0</v>
      </c>
      <c r="T30" s="30"/>
      <c r="U30" s="3">
        <f t="shared" si="6"/>
        <v>4</v>
      </c>
      <c r="V30" s="242" t="s">
        <v>11</v>
      </c>
      <c r="W30" s="243"/>
      <c r="X30" s="243"/>
      <c r="Y30" s="19"/>
      <c r="Z30" s="245"/>
      <c r="AA30" s="246"/>
      <c r="AB30" s="19"/>
      <c r="AC30" s="19"/>
      <c r="AD30" s="16"/>
      <c r="AE30" s="247"/>
      <c r="AF30" s="248"/>
      <c r="AG30" s="19"/>
      <c r="AH30" s="16"/>
      <c r="AI30" s="30"/>
      <c r="AJ30" s="30"/>
      <c r="AK30" s="30"/>
    </row>
    <row r="31" spans="1:46" ht="31.05" customHeight="1" x14ac:dyDescent="0.25">
      <c r="A31" s="28">
        <f t="shared" si="4"/>
        <v>5</v>
      </c>
      <c r="B31" s="240" t="s">
        <v>12</v>
      </c>
      <c r="C31" s="241"/>
      <c r="D31" s="3">
        <v>0</v>
      </c>
      <c r="E31" s="3">
        <v>0</v>
      </c>
      <c r="F31" s="3">
        <v>0</v>
      </c>
      <c r="G31" s="3">
        <v>0</v>
      </c>
      <c r="H31" s="30"/>
      <c r="I31" s="3">
        <f t="shared" si="5"/>
        <v>5</v>
      </c>
      <c r="J31" s="242" t="s">
        <v>12</v>
      </c>
      <c r="K31" s="243"/>
      <c r="L31" s="244"/>
      <c r="M31" s="10">
        <v>0</v>
      </c>
      <c r="N31" s="10">
        <v>0</v>
      </c>
      <c r="O31" s="10">
        <v>0</v>
      </c>
      <c r="P31" s="245">
        <v>0</v>
      </c>
      <c r="Q31" s="246"/>
      <c r="R31" s="10">
        <v>0</v>
      </c>
      <c r="S31" s="10">
        <v>0</v>
      </c>
      <c r="T31" s="30"/>
      <c r="U31" s="3">
        <f t="shared" si="6"/>
        <v>5</v>
      </c>
      <c r="V31" s="242" t="s">
        <v>12</v>
      </c>
      <c r="W31" s="243"/>
      <c r="X31" s="243"/>
      <c r="Y31" s="19"/>
      <c r="Z31" s="245"/>
      <c r="AA31" s="246"/>
      <c r="AB31" s="19"/>
      <c r="AC31" s="19"/>
      <c r="AD31" s="16"/>
      <c r="AE31" s="247"/>
      <c r="AF31" s="248"/>
      <c r="AG31" s="19"/>
      <c r="AH31" s="16"/>
      <c r="AI31" s="30"/>
      <c r="AJ31" s="30"/>
      <c r="AK31" s="30"/>
    </row>
    <row r="32" spans="1:46" ht="31.05" customHeight="1" x14ac:dyDescent="0.25">
      <c r="A32" s="28">
        <f t="shared" si="4"/>
        <v>6</v>
      </c>
      <c r="B32" s="240" t="s">
        <v>13</v>
      </c>
      <c r="C32" s="241"/>
      <c r="D32" s="3">
        <v>0</v>
      </c>
      <c r="E32" s="3">
        <v>0</v>
      </c>
      <c r="F32" s="3">
        <v>0</v>
      </c>
      <c r="G32" s="3">
        <v>0</v>
      </c>
      <c r="H32" s="30"/>
      <c r="I32" s="3">
        <f t="shared" si="5"/>
        <v>6</v>
      </c>
      <c r="J32" s="242" t="s">
        <v>13</v>
      </c>
      <c r="K32" s="243"/>
      <c r="L32" s="244"/>
      <c r="M32" s="10">
        <v>0</v>
      </c>
      <c r="N32" s="10">
        <v>0</v>
      </c>
      <c r="O32" s="10">
        <v>0</v>
      </c>
      <c r="P32" s="245">
        <v>0</v>
      </c>
      <c r="Q32" s="246"/>
      <c r="R32" s="10">
        <v>0</v>
      </c>
      <c r="S32" s="10">
        <v>0</v>
      </c>
      <c r="T32" s="30"/>
      <c r="U32" s="3">
        <f t="shared" si="6"/>
        <v>6</v>
      </c>
      <c r="V32" s="242" t="s">
        <v>13</v>
      </c>
      <c r="W32" s="243"/>
      <c r="X32" s="243"/>
      <c r="Y32" s="19"/>
      <c r="Z32" s="245"/>
      <c r="AA32" s="246"/>
      <c r="AB32" s="19"/>
      <c r="AC32" s="19"/>
      <c r="AD32" s="16"/>
      <c r="AE32" s="247"/>
      <c r="AF32" s="248"/>
      <c r="AG32" s="19"/>
      <c r="AH32" s="16"/>
      <c r="AI32" s="30"/>
      <c r="AJ32" s="30"/>
      <c r="AK32" s="30"/>
    </row>
    <row r="33" spans="1:46" ht="31.05" customHeight="1" x14ac:dyDescent="0.25">
      <c r="A33" s="28">
        <f t="shared" si="4"/>
        <v>7</v>
      </c>
      <c r="B33" s="240" t="s">
        <v>14</v>
      </c>
      <c r="C33" s="241"/>
      <c r="D33" s="3">
        <v>0</v>
      </c>
      <c r="E33" s="3">
        <v>0</v>
      </c>
      <c r="F33" s="3">
        <v>0</v>
      </c>
      <c r="G33" s="3">
        <v>0</v>
      </c>
      <c r="H33" s="30"/>
      <c r="I33" s="3">
        <f t="shared" si="5"/>
        <v>7</v>
      </c>
      <c r="J33" s="242" t="s">
        <v>14</v>
      </c>
      <c r="K33" s="243"/>
      <c r="L33" s="244"/>
      <c r="M33" s="10">
        <v>0</v>
      </c>
      <c r="N33" s="10">
        <v>0</v>
      </c>
      <c r="O33" s="10">
        <v>0</v>
      </c>
      <c r="P33" s="245">
        <v>0</v>
      </c>
      <c r="Q33" s="246"/>
      <c r="R33" s="10">
        <v>0</v>
      </c>
      <c r="S33" s="10">
        <v>0</v>
      </c>
      <c r="T33" s="30"/>
      <c r="U33" s="3">
        <f t="shared" si="6"/>
        <v>7</v>
      </c>
      <c r="V33" s="242" t="s">
        <v>14</v>
      </c>
      <c r="W33" s="243"/>
      <c r="X33" s="243"/>
      <c r="Y33" s="19"/>
      <c r="Z33" s="245"/>
      <c r="AA33" s="246"/>
      <c r="AB33" s="19"/>
      <c r="AC33" s="19"/>
      <c r="AD33" s="16"/>
      <c r="AE33" s="247"/>
      <c r="AF33" s="248"/>
      <c r="AG33" s="19"/>
      <c r="AH33" s="16"/>
      <c r="AI33" s="30"/>
      <c r="AJ33" s="30"/>
      <c r="AK33" s="30"/>
    </row>
    <row r="34" spans="1:46" ht="31.05" customHeight="1" x14ac:dyDescent="0.25">
      <c r="A34" s="28">
        <f t="shared" si="4"/>
        <v>8</v>
      </c>
      <c r="B34" s="240" t="s">
        <v>15</v>
      </c>
      <c r="C34" s="241"/>
      <c r="D34" s="3">
        <v>0</v>
      </c>
      <c r="E34" s="3">
        <v>0</v>
      </c>
      <c r="F34" s="3">
        <v>0</v>
      </c>
      <c r="G34" s="3">
        <v>0</v>
      </c>
      <c r="H34" s="30"/>
      <c r="I34" s="3">
        <f t="shared" si="5"/>
        <v>8</v>
      </c>
      <c r="J34" s="242" t="s">
        <v>15</v>
      </c>
      <c r="K34" s="243"/>
      <c r="L34" s="244"/>
      <c r="M34" s="10">
        <v>0</v>
      </c>
      <c r="N34" s="10">
        <v>0</v>
      </c>
      <c r="O34" s="10">
        <v>0</v>
      </c>
      <c r="P34" s="245">
        <v>0</v>
      </c>
      <c r="Q34" s="246"/>
      <c r="R34" s="10">
        <v>0</v>
      </c>
      <c r="S34" s="10">
        <v>0</v>
      </c>
      <c r="T34" s="30"/>
      <c r="U34" s="3">
        <f t="shared" si="6"/>
        <v>8</v>
      </c>
      <c r="V34" s="242" t="s">
        <v>15</v>
      </c>
      <c r="W34" s="243"/>
      <c r="X34" s="243"/>
      <c r="Y34" s="19"/>
      <c r="Z34" s="245"/>
      <c r="AA34" s="246"/>
      <c r="AB34" s="19"/>
      <c r="AC34" s="19"/>
      <c r="AD34" s="16"/>
      <c r="AE34" s="247"/>
      <c r="AF34" s="248"/>
      <c r="AG34" s="19"/>
      <c r="AH34" s="16"/>
      <c r="AI34" s="30"/>
      <c r="AJ34" s="30"/>
      <c r="AK34" s="30"/>
    </row>
    <row r="35" spans="1:46" ht="31.05" customHeight="1" x14ac:dyDescent="0.25">
      <c r="A35" s="28">
        <f t="shared" ref="A35" si="7">+A34+1</f>
        <v>9</v>
      </c>
      <c r="B35" s="240" t="s">
        <v>20</v>
      </c>
      <c r="C35" s="241"/>
      <c r="D35" s="6">
        <v>0</v>
      </c>
      <c r="E35" s="6">
        <v>0</v>
      </c>
      <c r="F35" s="6">
        <v>0</v>
      </c>
      <c r="G35" s="6">
        <v>0</v>
      </c>
      <c r="H35" s="30"/>
      <c r="I35" s="3">
        <f t="shared" ref="I35" si="8">+I34+1</f>
        <v>9</v>
      </c>
      <c r="J35" s="242" t="s">
        <v>21</v>
      </c>
      <c r="K35" s="243"/>
      <c r="L35" s="244"/>
      <c r="M35" s="10">
        <v>0</v>
      </c>
      <c r="N35" s="10">
        <v>0</v>
      </c>
      <c r="O35" s="10">
        <v>0</v>
      </c>
      <c r="P35" s="265">
        <v>0</v>
      </c>
      <c r="Q35" s="266"/>
      <c r="R35" s="10">
        <v>0</v>
      </c>
      <c r="S35" s="10">
        <v>0</v>
      </c>
      <c r="T35" s="30"/>
      <c r="U35" s="3">
        <f t="shared" si="6"/>
        <v>9</v>
      </c>
      <c r="V35" s="242" t="s">
        <v>21</v>
      </c>
      <c r="W35" s="243"/>
      <c r="X35" s="243"/>
      <c r="Y35" s="111"/>
      <c r="Z35" s="265"/>
      <c r="AA35" s="266"/>
      <c r="AB35" s="19"/>
      <c r="AC35" s="19"/>
      <c r="AD35" s="16"/>
      <c r="AE35" s="247"/>
      <c r="AF35" s="248"/>
      <c r="AG35" s="19"/>
      <c r="AH35" s="16"/>
      <c r="AI35" s="30"/>
      <c r="AJ35" s="30"/>
      <c r="AK35" s="30"/>
    </row>
    <row r="36" spans="1:46" ht="28.5" customHeight="1" x14ac:dyDescent="0.25">
      <c r="A36" s="257" t="s">
        <v>16</v>
      </c>
      <c r="B36" s="258"/>
      <c r="C36" s="259"/>
      <c r="D36" s="7">
        <f>+SUM(D27:D35)</f>
        <v>0</v>
      </c>
      <c r="E36" s="7">
        <f t="shared" ref="E36:F36" si="9">+SUM(E27:E35)</f>
        <v>0</v>
      </c>
      <c r="F36" s="7">
        <f t="shared" si="9"/>
        <v>0</v>
      </c>
      <c r="G36" s="7">
        <f t="shared" ref="G36" si="10">+SUM(G27:G35)</f>
        <v>0</v>
      </c>
      <c r="H36" s="30"/>
      <c r="I36" s="260" t="s">
        <v>16</v>
      </c>
      <c r="J36" s="258"/>
      <c r="K36" s="258"/>
      <c r="L36" s="259"/>
      <c r="M36" s="11">
        <v>0</v>
      </c>
      <c r="N36" s="11">
        <v>0</v>
      </c>
      <c r="O36" s="11">
        <v>0</v>
      </c>
      <c r="P36" s="261">
        <v>0</v>
      </c>
      <c r="Q36" s="262"/>
      <c r="R36" s="11">
        <v>0</v>
      </c>
      <c r="S36" s="11">
        <v>0</v>
      </c>
      <c r="T36" s="30"/>
      <c r="U36" s="260" t="s">
        <v>16</v>
      </c>
      <c r="V36" s="258"/>
      <c r="W36" s="258"/>
      <c r="X36" s="259"/>
      <c r="Y36" s="58">
        <f>SUM(Y27:Y35)</f>
        <v>0</v>
      </c>
      <c r="Z36" s="263">
        <f>+SUM(Z27:AA35)</f>
        <v>0</v>
      </c>
      <c r="AA36" s="264"/>
      <c r="AB36" s="58">
        <f>SUM(AB27:AB35)</f>
        <v>0</v>
      </c>
      <c r="AC36" s="57">
        <v>0.1</v>
      </c>
      <c r="AD36" s="57">
        <v>0.1</v>
      </c>
      <c r="AE36" s="263">
        <v>0.1</v>
      </c>
      <c r="AF36" s="264"/>
      <c r="AG36" s="57">
        <v>0.1</v>
      </c>
      <c r="AH36" s="57">
        <v>0.1</v>
      </c>
      <c r="AI36" s="30"/>
      <c r="AJ36" s="30"/>
      <c r="AK36" s="30"/>
    </row>
    <row r="37" spans="1:46" ht="17.399999999999999" x14ac:dyDescent="0.3">
      <c r="A37" s="35" t="s">
        <v>68</v>
      </c>
      <c r="B37" s="30"/>
      <c r="C37" s="30"/>
      <c r="D37" s="30"/>
      <c r="E37" s="30"/>
      <c r="F37" s="30"/>
      <c r="G37" s="30"/>
      <c r="H37" s="30"/>
      <c r="I37" s="30"/>
      <c r="J37" s="30"/>
      <c r="K37" s="30"/>
      <c r="L37" s="30"/>
      <c r="M37" s="30"/>
      <c r="N37" s="30"/>
      <c r="O37" s="30"/>
      <c r="P37" s="30"/>
      <c r="Q37" s="36" t="s">
        <v>149</v>
      </c>
      <c r="R37" s="30"/>
      <c r="S37" s="30"/>
      <c r="T37" s="36"/>
      <c r="U37" s="36"/>
      <c r="V37" s="36"/>
      <c r="W37" s="30"/>
      <c r="X37" s="30"/>
      <c r="Y37" s="30"/>
      <c r="Z37" s="30"/>
      <c r="AA37" s="30"/>
      <c r="AB37" s="30"/>
      <c r="AC37" s="30"/>
      <c r="AD37" s="30"/>
      <c r="AE37" s="30"/>
      <c r="AF37" s="30"/>
      <c r="AG37" s="30"/>
      <c r="AH37" s="36" t="s">
        <v>152</v>
      </c>
      <c r="AI37" s="30"/>
      <c r="AJ37" s="30"/>
      <c r="AK37" s="30"/>
      <c r="AL37" s="30"/>
      <c r="AM37" s="30"/>
      <c r="AN37" s="30"/>
      <c r="AO37" s="30"/>
      <c r="AP37" s="30"/>
      <c r="AQ37" s="30"/>
      <c r="AR37" s="30"/>
      <c r="AS37" s="30"/>
      <c r="AT37" s="31"/>
    </row>
    <row r="38" spans="1:46" ht="17.399999999999999" x14ac:dyDescent="0.3">
      <c r="O38" s="30"/>
      <c r="P38" s="30"/>
      <c r="Q38" s="30"/>
      <c r="R38" s="30"/>
      <c r="S38" s="30"/>
      <c r="T38" s="30"/>
      <c r="U38" s="30"/>
      <c r="V38" s="36"/>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1"/>
    </row>
    <row r="39" spans="1:46" ht="15.45" customHeight="1" x14ac:dyDescent="0.3">
      <c r="O39" s="30"/>
      <c r="P39" s="30"/>
      <c r="Q39" s="30"/>
      <c r="R39" s="30"/>
      <c r="S39" s="30"/>
      <c r="T39" s="30"/>
      <c r="U39" s="30"/>
      <c r="V39" s="36"/>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1"/>
    </row>
    <row r="40" spans="1:46" ht="13.95" customHeight="1" x14ac:dyDescent="0.25">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1"/>
    </row>
    <row r="41" spans="1:46" ht="24.45" customHeight="1" x14ac:dyDescent="0.25">
      <c r="O41" s="30"/>
      <c r="P41" s="30"/>
      <c r="Q41" s="30"/>
      <c r="R41" s="30"/>
      <c r="S41" s="30"/>
      <c r="T41" s="30"/>
      <c r="U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1"/>
    </row>
    <row r="42" spans="1:46" ht="24.45" customHeight="1" x14ac:dyDescent="0.25">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1"/>
    </row>
    <row r="43" spans="1:46" ht="24.45" customHeight="1" x14ac:dyDescent="0.25">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1"/>
    </row>
    <row r="44" spans="1:46" ht="24.45" customHeight="1" x14ac:dyDescent="0.25">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1"/>
    </row>
    <row r="45" spans="1:46" ht="24.45" customHeight="1" x14ac:dyDescent="0.25">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1"/>
    </row>
    <row r="46" spans="1:46" ht="24.45" customHeight="1" x14ac:dyDescent="0.25">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1"/>
    </row>
    <row r="47" spans="1:46" ht="24.45" customHeight="1" x14ac:dyDescent="0.25">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1"/>
    </row>
    <row r="48" spans="1:46" ht="24.45" customHeight="1" x14ac:dyDescent="0.25">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1"/>
    </row>
    <row r="49" spans="1:46" ht="24.45" customHeight="1" x14ac:dyDescent="0.25">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1"/>
    </row>
    <row r="50" spans="1:46" ht="20.55" customHeight="1" thickBot="1" x14ac:dyDescent="0.3">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8"/>
    </row>
    <row r="51" spans="1:46" ht="12.6" customHeight="1" x14ac:dyDescent="0.25">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row>
    <row r="52" spans="1:46" ht="24" customHeight="1" x14ac:dyDescent="0.35">
      <c r="A52" s="44" t="s">
        <v>108</v>
      </c>
      <c r="B52" s="44"/>
      <c r="C52" s="44"/>
    </row>
  </sheetData>
  <mergeCells count="192">
    <mergeCell ref="AI5:AK5"/>
    <mergeCell ref="AL5:AN5"/>
    <mergeCell ref="T5:V5"/>
    <mergeCell ref="AO5:AQ5"/>
    <mergeCell ref="AR5:AT5"/>
    <mergeCell ref="U36:X36"/>
    <mergeCell ref="AE36:AF36"/>
    <mergeCell ref="Y25:Y26"/>
    <mergeCell ref="Z36:AA36"/>
    <mergeCell ref="AB25:AD25"/>
    <mergeCell ref="V33:X33"/>
    <mergeCell ref="AE33:AF33"/>
    <mergeCell ref="V34:X34"/>
    <mergeCell ref="AE34:AF34"/>
    <mergeCell ref="V35:X35"/>
    <mergeCell ref="AE35:AF35"/>
    <mergeCell ref="V30:X30"/>
    <mergeCell ref="AE30:AF30"/>
    <mergeCell ref="V31:X31"/>
    <mergeCell ref="AE31:AF31"/>
    <mergeCell ref="V32:X32"/>
    <mergeCell ref="AE32:AF32"/>
    <mergeCell ref="V27:X27"/>
    <mergeCell ref="AE27:AF27"/>
    <mergeCell ref="V28:X28"/>
    <mergeCell ref="AE28:AF28"/>
    <mergeCell ref="V29:X29"/>
    <mergeCell ref="AE29:AF29"/>
    <mergeCell ref="A2:G3"/>
    <mergeCell ref="U24:AH24"/>
    <mergeCell ref="U25:U26"/>
    <mergeCell ref="V25:X26"/>
    <mergeCell ref="AE25:AH25"/>
    <mergeCell ref="AE26:AF26"/>
    <mergeCell ref="Z25:AA26"/>
    <mergeCell ref="Z27:AA27"/>
    <mergeCell ref="Z28:AA28"/>
    <mergeCell ref="Z29:AA29"/>
    <mergeCell ref="D9:F9"/>
    <mergeCell ref="D10:F10"/>
    <mergeCell ref="Z5:AB5"/>
    <mergeCell ref="AC5:AE5"/>
    <mergeCell ref="N19:W19"/>
    <mergeCell ref="N20:W20"/>
    <mergeCell ref="Z14:AI14"/>
    <mergeCell ref="Z15:AI15"/>
    <mergeCell ref="A7:C7"/>
    <mergeCell ref="A8:C8"/>
    <mergeCell ref="Z30:AA30"/>
    <mergeCell ref="Z31:AA31"/>
    <mergeCell ref="Z32:AA32"/>
    <mergeCell ref="Z33:AA33"/>
    <mergeCell ref="Z34:AA34"/>
    <mergeCell ref="Z35:AA35"/>
    <mergeCell ref="AF5:AH5"/>
    <mergeCell ref="A10:C10"/>
    <mergeCell ref="I10:K10"/>
    <mergeCell ref="L10:N10"/>
    <mergeCell ref="Q10:S10"/>
    <mergeCell ref="T10:V10"/>
    <mergeCell ref="Y10:AB10"/>
    <mergeCell ref="AC10:AD10"/>
    <mergeCell ref="AG10:AJ10"/>
    <mergeCell ref="T7:V7"/>
    <mergeCell ref="F5:H5"/>
    <mergeCell ref="I5:J5"/>
    <mergeCell ref="K5:M5"/>
    <mergeCell ref="N5:O5"/>
    <mergeCell ref="Q5:S5"/>
    <mergeCell ref="A9:C9"/>
    <mergeCell ref="D7:F7"/>
    <mergeCell ref="D8:F8"/>
    <mergeCell ref="AR7:AS7"/>
    <mergeCell ref="AR8:AS8"/>
    <mergeCell ref="AR9:AS9"/>
    <mergeCell ref="AK10:AL10"/>
    <mergeCell ref="AR10:AS10"/>
    <mergeCell ref="AL22:AT22"/>
    <mergeCell ref="J35:L35"/>
    <mergeCell ref="I36:L36"/>
    <mergeCell ref="J29:L29"/>
    <mergeCell ref="J30:L30"/>
    <mergeCell ref="J31:L31"/>
    <mergeCell ref="J32:L32"/>
    <mergeCell ref="AL17:AT17"/>
    <mergeCell ref="AL18:AT18"/>
    <mergeCell ref="AL20:AT20"/>
    <mergeCell ref="AL21:AT21"/>
    <mergeCell ref="Z20:AI20"/>
    <mergeCell ref="Z21:AI21"/>
    <mergeCell ref="Z22:AI22"/>
    <mergeCell ref="AK12:AT12"/>
    <mergeCell ref="AL13:AT13"/>
    <mergeCell ref="AL14:AT14"/>
    <mergeCell ref="AL15:AT15"/>
    <mergeCell ref="AL16:AT16"/>
    <mergeCell ref="AM2:AT3"/>
    <mergeCell ref="C5:E5"/>
    <mergeCell ref="B27:C27"/>
    <mergeCell ref="H2:AE2"/>
    <mergeCell ref="H3:AE3"/>
    <mergeCell ref="AF2:AI2"/>
    <mergeCell ref="AF3:AI3"/>
    <mergeCell ref="AK2:AL2"/>
    <mergeCell ref="AK3:AL3"/>
    <mergeCell ref="B17:K17"/>
    <mergeCell ref="B18:K18"/>
    <mergeCell ref="B19:K19"/>
    <mergeCell ref="A12:K12"/>
    <mergeCell ref="B13:K13"/>
    <mergeCell ref="B14:K14"/>
    <mergeCell ref="B15:K15"/>
    <mergeCell ref="B16:K16"/>
    <mergeCell ref="Z13:AI13"/>
    <mergeCell ref="Z16:AI16"/>
    <mergeCell ref="Z17:AI17"/>
    <mergeCell ref="Z18:AI18"/>
    <mergeCell ref="M12:W12"/>
    <mergeCell ref="N13:W13"/>
    <mergeCell ref="W5:Y5"/>
    <mergeCell ref="AK19:AT19"/>
    <mergeCell ref="Y19:AI19"/>
    <mergeCell ref="L8:N8"/>
    <mergeCell ref="L9:N9"/>
    <mergeCell ref="P25:S25"/>
    <mergeCell ref="I24:S24"/>
    <mergeCell ref="A5:B5"/>
    <mergeCell ref="I7:K7"/>
    <mergeCell ref="A24:G24"/>
    <mergeCell ref="B23:K23"/>
    <mergeCell ref="AK8:AL8"/>
    <mergeCell ref="AK7:AL7"/>
    <mergeCell ref="AK9:AL9"/>
    <mergeCell ref="AG7:AJ7"/>
    <mergeCell ref="AG8:AJ8"/>
    <mergeCell ref="AG9:AJ9"/>
    <mergeCell ref="B22:K22"/>
    <mergeCell ref="B20:K20"/>
    <mergeCell ref="B21:K21"/>
    <mergeCell ref="N14:W14"/>
    <mergeCell ref="N15:W15"/>
    <mergeCell ref="N16:W16"/>
    <mergeCell ref="N17:W17"/>
    <mergeCell ref="N18:W18"/>
    <mergeCell ref="J33:L33"/>
    <mergeCell ref="J34:L34"/>
    <mergeCell ref="B33:C33"/>
    <mergeCell ref="B34:C34"/>
    <mergeCell ref="A36:C36"/>
    <mergeCell ref="B29:C29"/>
    <mergeCell ref="B30:C30"/>
    <mergeCell ref="B31:C31"/>
    <mergeCell ref="G25:G26"/>
    <mergeCell ref="A25:A26"/>
    <mergeCell ref="B25:C26"/>
    <mergeCell ref="D25:D26"/>
    <mergeCell ref="E25:E26"/>
    <mergeCell ref="F25:F26"/>
    <mergeCell ref="I25:I26"/>
    <mergeCell ref="J25:L26"/>
    <mergeCell ref="J27:L27"/>
    <mergeCell ref="J28:L28"/>
    <mergeCell ref="B35:C35"/>
    <mergeCell ref="B32:C32"/>
    <mergeCell ref="B28:C28"/>
    <mergeCell ref="N21:W21"/>
    <mergeCell ref="N22:W22"/>
    <mergeCell ref="Y12:AI12"/>
    <mergeCell ref="I9:K9"/>
    <mergeCell ref="T8:V8"/>
    <mergeCell ref="T9:V9"/>
    <mergeCell ref="Y7:AB7"/>
    <mergeCell ref="Y8:AB8"/>
    <mergeCell ref="Y9:AB9"/>
    <mergeCell ref="AC7:AD7"/>
    <mergeCell ref="AC8:AD8"/>
    <mergeCell ref="AC9:AD9"/>
    <mergeCell ref="Q7:S7"/>
    <mergeCell ref="Q8:S8"/>
    <mergeCell ref="Q9:S9"/>
    <mergeCell ref="L7:N7"/>
    <mergeCell ref="M25:O25"/>
    <mergeCell ref="P32:Q32"/>
    <mergeCell ref="P33:Q33"/>
    <mergeCell ref="P34:Q34"/>
    <mergeCell ref="P35:Q35"/>
    <mergeCell ref="P36:Q36"/>
    <mergeCell ref="P27:Q27"/>
    <mergeCell ref="P28:Q28"/>
    <mergeCell ref="P29:Q29"/>
    <mergeCell ref="P30:Q30"/>
    <mergeCell ref="P31:Q31"/>
  </mergeCells>
  <pageMargins left="0.70866141732283472" right="0.70866141732283472" top="0.74803149606299213" bottom="0.74803149606299213" header="0.31496062992125984" footer="0.31496062992125984"/>
  <pageSetup paperSize="8" scale="55" fitToHeight="0" orientation="landscape" horizontalDpi="1200" verticalDpi="1200" r:id="rId1"/>
  <headerFooter>
    <oddFooter>&amp;R&amp;14Document Rev. 0   Dated  17-Sep-18</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D8741-1C7C-4C82-AC41-E0D9C59C6DD2}">
  <sheetPr>
    <pageSetUpPr fitToPage="1"/>
  </sheetPr>
  <dimension ref="A2:AT53"/>
  <sheetViews>
    <sheetView tabSelected="1" view="pageBreakPreview" topLeftCell="A10" zoomScale="40" zoomScaleNormal="55" zoomScaleSheetLayoutView="40" workbookViewId="0">
      <selection activeCell="N20" sqref="N20:W20"/>
    </sheetView>
  </sheetViews>
  <sheetFormatPr defaultRowHeight="13.2" x14ac:dyDescent="0.25"/>
  <cols>
    <col min="2" max="2" width="10.33203125" customWidth="1"/>
    <col min="3" max="3" width="9.44140625" customWidth="1"/>
    <col min="4" max="5" width="9.77734375" customWidth="1"/>
    <col min="6" max="7" width="9.33203125" customWidth="1"/>
    <col min="8" max="8" width="1.88671875" customWidth="1"/>
    <col min="9" max="9" width="9.44140625" customWidth="1"/>
    <col min="10" max="10" width="9.88671875" customWidth="1"/>
    <col min="12" max="12" width="1.33203125" customWidth="1"/>
    <col min="13" max="13" width="11.5546875" customWidth="1"/>
    <col min="14" max="14" width="9.21875" customWidth="1"/>
    <col min="16" max="16" width="1.21875" customWidth="1"/>
    <col min="17" max="17" width="9" customWidth="1"/>
    <col min="20" max="20" width="1.33203125" customWidth="1"/>
    <col min="23" max="23" width="9.77734375" customWidth="1"/>
    <col min="24" max="24" width="1.21875" customWidth="1"/>
    <col min="26" max="26" width="1" customWidth="1"/>
    <col min="32" max="32" width="1.77734375" customWidth="1"/>
    <col min="33" max="33" width="9.77734375" customWidth="1"/>
    <col min="36" max="36" width="1.109375" customWidth="1"/>
    <col min="39" max="39" width="8.109375" customWidth="1"/>
    <col min="40" max="40" width="1.77734375" customWidth="1"/>
    <col min="48" max="48" width="19.33203125" customWidth="1"/>
  </cols>
  <sheetData>
    <row r="2" spans="1:46" ht="45" customHeight="1" x14ac:dyDescent="0.25">
      <c r="A2" s="272"/>
      <c r="B2" s="273"/>
      <c r="C2" s="273"/>
      <c r="D2" s="273"/>
      <c r="E2" s="273"/>
      <c r="F2" s="273"/>
      <c r="G2" s="274"/>
      <c r="H2" s="276" t="s">
        <v>89</v>
      </c>
      <c r="I2" s="277"/>
      <c r="J2" s="277"/>
      <c r="K2" s="277"/>
      <c r="L2" s="277"/>
      <c r="M2" s="277"/>
      <c r="N2" s="277"/>
      <c r="O2" s="277"/>
      <c r="P2" s="277"/>
      <c r="Q2" s="277"/>
      <c r="R2" s="277"/>
      <c r="S2" s="277"/>
      <c r="T2" s="277"/>
      <c r="U2" s="277"/>
      <c r="V2" s="277"/>
      <c r="W2" s="277"/>
      <c r="X2" s="277"/>
      <c r="Y2" s="277"/>
      <c r="Z2" s="277"/>
      <c r="AA2" s="277"/>
      <c r="AB2" s="277"/>
      <c r="AC2" s="277"/>
      <c r="AD2" s="277"/>
      <c r="AE2" s="277"/>
      <c r="AF2" s="278" t="s">
        <v>75</v>
      </c>
      <c r="AG2" s="279"/>
      <c r="AH2" s="279"/>
      <c r="AI2" s="279"/>
      <c r="AJ2" s="115"/>
      <c r="AK2" s="280">
        <v>36</v>
      </c>
      <c r="AL2" s="281"/>
      <c r="AM2" s="282"/>
      <c r="AN2" s="282"/>
      <c r="AO2" s="283"/>
      <c r="AP2" s="283"/>
      <c r="AQ2" s="283"/>
      <c r="AR2" s="283"/>
      <c r="AS2" s="283"/>
      <c r="AT2" s="283"/>
    </row>
    <row r="3" spans="1:46" ht="45.45" customHeight="1" thickBot="1" x14ac:dyDescent="0.3">
      <c r="A3" s="275"/>
      <c r="B3" s="129"/>
      <c r="C3" s="129"/>
      <c r="D3" s="129"/>
      <c r="E3" s="129"/>
      <c r="F3" s="129"/>
      <c r="G3" s="130"/>
      <c r="H3" s="143" t="s">
        <v>77</v>
      </c>
      <c r="I3" s="144"/>
      <c r="J3" s="144"/>
      <c r="K3" s="144"/>
      <c r="L3" s="144"/>
      <c r="M3" s="144"/>
      <c r="N3" s="144"/>
      <c r="O3" s="144"/>
      <c r="P3" s="144"/>
      <c r="Q3" s="144"/>
      <c r="R3" s="144"/>
      <c r="S3" s="144"/>
      <c r="T3" s="144"/>
      <c r="U3" s="144"/>
      <c r="V3" s="144"/>
      <c r="W3" s="144"/>
      <c r="X3" s="144"/>
      <c r="Y3" s="144"/>
      <c r="Z3" s="144"/>
      <c r="AA3" s="144"/>
      <c r="AB3" s="144"/>
      <c r="AC3" s="144"/>
      <c r="AD3" s="144"/>
      <c r="AE3" s="144"/>
      <c r="AF3" s="145" t="s">
        <v>76</v>
      </c>
      <c r="AG3" s="146"/>
      <c r="AH3" s="146"/>
      <c r="AI3" s="146"/>
      <c r="AJ3" s="22"/>
      <c r="AK3" s="147">
        <v>43323</v>
      </c>
      <c r="AL3" s="148"/>
      <c r="AM3" s="140"/>
      <c r="AN3" s="140"/>
      <c r="AO3" s="141"/>
      <c r="AP3" s="141"/>
      <c r="AQ3" s="141"/>
      <c r="AR3" s="141"/>
      <c r="AS3" s="141"/>
      <c r="AT3" s="141"/>
    </row>
    <row r="4" spans="1:46" x14ac:dyDescent="0.25">
      <c r="A4" s="116"/>
      <c r="B4" s="30"/>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117"/>
    </row>
    <row r="5" spans="1:46" ht="21.45" customHeight="1" x14ac:dyDescent="0.25">
      <c r="A5" s="296" t="s">
        <v>155</v>
      </c>
      <c r="B5" s="297"/>
      <c r="C5" s="298" t="s">
        <v>92</v>
      </c>
      <c r="D5" s="298"/>
      <c r="E5" s="299"/>
      <c r="F5" s="268" t="s">
        <v>93</v>
      </c>
      <c r="G5" s="269"/>
      <c r="H5" s="269"/>
      <c r="I5" s="270" t="s">
        <v>153</v>
      </c>
      <c r="J5" s="271"/>
      <c r="K5" s="268" t="s">
        <v>156</v>
      </c>
      <c r="L5" s="269"/>
      <c r="M5" s="269"/>
      <c r="N5" s="270" t="s">
        <v>157</v>
      </c>
      <c r="O5" s="271"/>
      <c r="P5" s="30"/>
      <c r="Q5" s="268" t="s">
        <v>158</v>
      </c>
      <c r="R5" s="269"/>
      <c r="S5" s="269"/>
      <c r="T5" s="270" t="s">
        <v>159</v>
      </c>
      <c r="U5" s="270"/>
      <c r="V5" s="271"/>
      <c r="W5" s="268" t="s">
        <v>95</v>
      </c>
      <c r="X5" s="269"/>
      <c r="Y5" s="269"/>
      <c r="Z5" s="270" t="s">
        <v>178</v>
      </c>
      <c r="AA5" s="270"/>
      <c r="AB5" s="271"/>
      <c r="AC5" s="268" t="s">
        <v>94</v>
      </c>
      <c r="AD5" s="269"/>
      <c r="AE5" s="269"/>
      <c r="AF5" s="270" t="s">
        <v>160</v>
      </c>
      <c r="AG5" s="270"/>
      <c r="AH5" s="271"/>
      <c r="AI5" s="268" t="s">
        <v>162</v>
      </c>
      <c r="AJ5" s="269"/>
      <c r="AK5" s="269"/>
      <c r="AL5" s="270" t="s">
        <v>161</v>
      </c>
      <c r="AM5" s="270"/>
      <c r="AN5" s="271"/>
      <c r="AO5" s="290" t="s">
        <v>96</v>
      </c>
      <c r="AP5" s="291"/>
      <c r="AQ5" s="291"/>
      <c r="AR5" s="270" t="s">
        <v>163</v>
      </c>
      <c r="AS5" s="270"/>
      <c r="AT5" s="271"/>
    </row>
    <row r="6" spans="1:46" x14ac:dyDescent="0.25">
      <c r="A6" s="116"/>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0"/>
      <c r="AT6" s="117"/>
    </row>
    <row r="7" spans="1:46" ht="26.55" customHeight="1" x14ac:dyDescent="0.25">
      <c r="A7" s="155" t="s">
        <v>78</v>
      </c>
      <c r="B7" s="155"/>
      <c r="C7" s="156"/>
      <c r="D7" s="284"/>
      <c r="E7" s="285"/>
      <c r="F7" s="285"/>
      <c r="G7" s="114" t="s">
        <v>26</v>
      </c>
      <c r="H7" s="32"/>
      <c r="I7" s="155" t="s">
        <v>81</v>
      </c>
      <c r="J7" s="155"/>
      <c r="K7" s="156"/>
      <c r="L7" s="292"/>
      <c r="M7" s="293"/>
      <c r="N7" s="293"/>
      <c r="O7" s="24" t="s">
        <v>27</v>
      </c>
      <c r="P7" s="30"/>
      <c r="Q7" s="155" t="s">
        <v>86</v>
      </c>
      <c r="R7" s="155"/>
      <c r="S7" s="156"/>
      <c r="T7" s="294">
        <v>43232</v>
      </c>
      <c r="U7" s="295"/>
      <c r="V7" s="295"/>
      <c r="W7" s="24" t="s">
        <v>101</v>
      </c>
      <c r="X7" s="30"/>
      <c r="Y7" s="156" t="s">
        <v>30</v>
      </c>
      <c r="Z7" s="168"/>
      <c r="AA7" s="168"/>
      <c r="AB7" s="168"/>
      <c r="AC7" s="149"/>
      <c r="AD7" s="150"/>
      <c r="AE7" s="24" t="s">
        <v>25</v>
      </c>
      <c r="AF7" s="30"/>
      <c r="AG7" s="155" t="s">
        <v>83</v>
      </c>
      <c r="AH7" s="155"/>
      <c r="AI7" s="155"/>
      <c r="AJ7" s="155"/>
      <c r="AK7" s="149"/>
      <c r="AL7" s="150"/>
      <c r="AM7" s="24" t="s">
        <v>33</v>
      </c>
      <c r="AN7" s="30"/>
      <c r="AO7" s="23" t="s">
        <v>35</v>
      </c>
      <c r="AP7" s="26"/>
      <c r="AQ7" s="26"/>
      <c r="AR7" s="151"/>
      <c r="AS7" s="152"/>
      <c r="AT7" s="118" t="s">
        <v>33</v>
      </c>
    </row>
    <row r="8" spans="1:46" ht="26.55" customHeight="1" x14ac:dyDescent="0.3">
      <c r="A8" s="155" t="s">
        <v>79</v>
      </c>
      <c r="B8" s="155"/>
      <c r="C8" s="156"/>
      <c r="D8" s="284"/>
      <c r="E8" s="285"/>
      <c r="F8" s="285"/>
      <c r="G8" s="114" t="s">
        <v>26</v>
      </c>
      <c r="H8" s="32"/>
      <c r="I8" s="52" t="s">
        <v>29</v>
      </c>
      <c r="J8" s="52"/>
      <c r="K8" s="51"/>
      <c r="L8" s="286"/>
      <c r="M8" s="287"/>
      <c r="N8" s="287"/>
      <c r="O8" s="24" t="s">
        <v>27</v>
      </c>
      <c r="P8" s="30"/>
      <c r="Q8" s="155" t="s">
        <v>87</v>
      </c>
      <c r="R8" s="155"/>
      <c r="S8" s="156"/>
      <c r="T8" s="288"/>
      <c r="U8" s="289"/>
      <c r="V8" s="289"/>
      <c r="W8" s="24" t="s">
        <v>28</v>
      </c>
      <c r="X8" s="30"/>
      <c r="Y8" s="156" t="s">
        <v>31</v>
      </c>
      <c r="Z8" s="168"/>
      <c r="AA8" s="168"/>
      <c r="AB8" s="169"/>
      <c r="AC8" s="166"/>
      <c r="AD8" s="167"/>
      <c r="AE8" s="24" t="s">
        <v>25</v>
      </c>
      <c r="AF8" s="30"/>
      <c r="AG8" s="155" t="s">
        <v>109</v>
      </c>
      <c r="AH8" s="155"/>
      <c r="AI8" s="155"/>
      <c r="AJ8" s="155"/>
      <c r="AK8" s="166"/>
      <c r="AL8" s="167"/>
      <c r="AM8" s="24" t="s">
        <v>33</v>
      </c>
      <c r="AN8" s="30"/>
      <c r="AO8" s="23" t="s">
        <v>90</v>
      </c>
      <c r="AP8" s="26"/>
      <c r="AQ8" s="26"/>
      <c r="AR8" s="151"/>
      <c r="AS8" s="152"/>
      <c r="AT8" s="118" t="s">
        <v>33</v>
      </c>
    </row>
    <row r="9" spans="1:46" ht="26.55" customHeight="1" x14ac:dyDescent="0.3">
      <c r="A9" s="155" t="s">
        <v>80</v>
      </c>
      <c r="B9" s="155"/>
      <c r="C9" s="156"/>
      <c r="D9" s="284"/>
      <c r="E9" s="285"/>
      <c r="F9" s="285"/>
      <c r="G9" s="114" t="s">
        <v>26</v>
      </c>
      <c r="H9" s="32"/>
      <c r="I9" s="155" t="s">
        <v>82</v>
      </c>
      <c r="J9" s="155"/>
      <c r="K9" s="156"/>
      <c r="L9" s="292"/>
      <c r="M9" s="293"/>
      <c r="N9" s="293"/>
      <c r="O9" s="24" t="s">
        <v>27</v>
      </c>
      <c r="P9" s="30"/>
      <c r="Q9" s="155" t="s">
        <v>88</v>
      </c>
      <c r="R9" s="155"/>
      <c r="S9" s="156"/>
      <c r="T9" s="286"/>
      <c r="U9" s="287"/>
      <c r="V9" s="287"/>
      <c r="W9" s="24" t="s">
        <v>28</v>
      </c>
      <c r="X9" s="30"/>
      <c r="Y9" s="156" t="s">
        <v>32</v>
      </c>
      <c r="Z9" s="168"/>
      <c r="AA9" s="168"/>
      <c r="AB9" s="169"/>
      <c r="AC9" s="166"/>
      <c r="AD9" s="167"/>
      <c r="AE9" s="24" t="s">
        <v>25</v>
      </c>
      <c r="AF9" s="30"/>
      <c r="AG9" s="155" t="s">
        <v>84</v>
      </c>
      <c r="AH9" s="155"/>
      <c r="AI9" s="155"/>
      <c r="AJ9" s="155"/>
      <c r="AK9" s="166"/>
      <c r="AL9" s="167"/>
      <c r="AM9" s="24" t="s">
        <v>33</v>
      </c>
      <c r="AN9" s="30"/>
      <c r="AO9" s="23" t="s">
        <v>34</v>
      </c>
      <c r="AP9" s="26"/>
      <c r="AQ9" s="26"/>
      <c r="AR9" s="151"/>
      <c r="AS9" s="152"/>
      <c r="AT9" s="118" t="s">
        <v>33</v>
      </c>
    </row>
    <row r="10" spans="1:46" ht="26.55" customHeight="1" x14ac:dyDescent="0.3">
      <c r="A10" s="155" t="s">
        <v>100</v>
      </c>
      <c r="B10" s="155"/>
      <c r="C10" s="156"/>
      <c r="D10" s="284"/>
      <c r="E10" s="285"/>
      <c r="F10" s="285"/>
      <c r="G10" s="114" t="s">
        <v>26</v>
      </c>
      <c r="H10" s="32"/>
      <c r="I10" s="155" t="s">
        <v>105</v>
      </c>
      <c r="J10" s="155"/>
      <c r="K10" s="156"/>
      <c r="L10" s="292"/>
      <c r="M10" s="293"/>
      <c r="N10" s="293"/>
      <c r="O10" s="24" t="s">
        <v>27</v>
      </c>
      <c r="P10" s="30"/>
      <c r="Q10" s="155" t="s">
        <v>106</v>
      </c>
      <c r="R10" s="155"/>
      <c r="S10" s="156"/>
      <c r="T10" s="286"/>
      <c r="U10" s="287"/>
      <c r="V10" s="287"/>
      <c r="W10" s="24" t="s">
        <v>28</v>
      </c>
      <c r="X10" s="30"/>
      <c r="Y10" s="156" t="s">
        <v>103</v>
      </c>
      <c r="Z10" s="168"/>
      <c r="AA10" s="168"/>
      <c r="AB10" s="169"/>
      <c r="AC10" s="166"/>
      <c r="AD10" s="167"/>
      <c r="AE10" s="24" t="s">
        <v>25</v>
      </c>
      <c r="AF10" s="30"/>
      <c r="AG10" s="155" t="s">
        <v>85</v>
      </c>
      <c r="AH10" s="155"/>
      <c r="AI10" s="155"/>
      <c r="AJ10" s="155"/>
      <c r="AK10" s="166"/>
      <c r="AL10" s="167"/>
      <c r="AM10" s="24" t="s">
        <v>33</v>
      </c>
      <c r="AN10" s="30"/>
      <c r="AO10" s="23" t="s">
        <v>107</v>
      </c>
      <c r="AP10" s="26"/>
      <c r="AQ10" s="26"/>
      <c r="AR10" s="151"/>
      <c r="AS10" s="152"/>
      <c r="AT10" s="118" t="s">
        <v>33</v>
      </c>
    </row>
    <row r="11" spans="1:46" x14ac:dyDescent="0.25">
      <c r="A11" s="116"/>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117"/>
    </row>
    <row r="12" spans="1:46" ht="28.05" customHeight="1" x14ac:dyDescent="0.25">
      <c r="A12" s="300" t="s">
        <v>91</v>
      </c>
      <c r="B12" s="209"/>
      <c r="C12" s="209"/>
      <c r="D12" s="209"/>
      <c r="E12" s="209"/>
      <c r="F12" s="209"/>
      <c r="G12" s="209"/>
      <c r="H12" s="209"/>
      <c r="I12" s="209"/>
      <c r="J12" s="209"/>
      <c r="K12" s="210"/>
      <c r="L12" s="30"/>
      <c r="M12" s="211" t="s">
        <v>5</v>
      </c>
      <c r="N12" s="212"/>
      <c r="O12" s="212"/>
      <c r="P12" s="212"/>
      <c r="Q12" s="212"/>
      <c r="R12" s="212"/>
      <c r="S12" s="212"/>
      <c r="T12" s="212"/>
      <c r="U12" s="212"/>
      <c r="V12" s="212"/>
      <c r="W12" s="213"/>
      <c r="X12" s="30"/>
      <c r="Y12" s="214" t="s">
        <v>71</v>
      </c>
      <c r="Z12" s="215"/>
      <c r="AA12" s="215"/>
      <c r="AB12" s="215"/>
      <c r="AC12" s="215"/>
      <c r="AD12" s="215"/>
      <c r="AE12" s="215"/>
      <c r="AF12" s="215"/>
      <c r="AG12" s="215"/>
      <c r="AH12" s="215"/>
      <c r="AI12" s="216"/>
      <c r="AJ12" s="30"/>
      <c r="AK12" s="170" t="s">
        <v>69</v>
      </c>
      <c r="AL12" s="171"/>
      <c r="AM12" s="171"/>
      <c r="AN12" s="171"/>
      <c r="AO12" s="171"/>
      <c r="AP12" s="171"/>
      <c r="AQ12" s="171"/>
      <c r="AR12" s="171"/>
      <c r="AS12" s="171"/>
      <c r="AT12" s="301"/>
    </row>
    <row r="13" spans="1:46" ht="22.95" customHeight="1" x14ac:dyDescent="0.3">
      <c r="A13" s="1" t="s">
        <v>3</v>
      </c>
      <c r="B13" s="173" t="s">
        <v>4</v>
      </c>
      <c r="C13" s="173"/>
      <c r="D13" s="173"/>
      <c r="E13" s="173"/>
      <c r="F13" s="173"/>
      <c r="G13" s="173"/>
      <c r="H13" s="173"/>
      <c r="I13" s="173"/>
      <c r="J13" s="173"/>
      <c r="K13" s="173"/>
      <c r="L13" s="30"/>
      <c r="M13" s="1" t="s">
        <v>3</v>
      </c>
      <c r="N13" s="173" t="s">
        <v>4</v>
      </c>
      <c r="O13" s="173"/>
      <c r="P13" s="173"/>
      <c r="Q13" s="173"/>
      <c r="R13" s="173"/>
      <c r="S13" s="173"/>
      <c r="T13" s="173"/>
      <c r="U13" s="173"/>
      <c r="V13" s="173"/>
      <c r="W13" s="173"/>
      <c r="X13" s="30"/>
      <c r="Y13" s="1" t="s">
        <v>3</v>
      </c>
      <c r="Z13" s="173" t="s">
        <v>4</v>
      </c>
      <c r="AA13" s="173"/>
      <c r="AB13" s="173"/>
      <c r="AC13" s="173"/>
      <c r="AD13" s="173"/>
      <c r="AE13" s="173"/>
      <c r="AF13" s="173"/>
      <c r="AG13" s="173"/>
      <c r="AH13" s="173"/>
      <c r="AI13" s="173"/>
      <c r="AJ13" s="30"/>
      <c r="AK13" s="1" t="s">
        <v>3</v>
      </c>
      <c r="AL13" s="173" t="s">
        <v>4</v>
      </c>
      <c r="AM13" s="173"/>
      <c r="AN13" s="173"/>
      <c r="AO13" s="173"/>
      <c r="AP13" s="173"/>
      <c r="AQ13" s="173"/>
      <c r="AR13" s="173"/>
      <c r="AS13" s="173"/>
      <c r="AT13" s="173"/>
    </row>
    <row r="14" spans="1:46" ht="27.45" customHeight="1" x14ac:dyDescent="0.25">
      <c r="A14" s="2">
        <v>1</v>
      </c>
      <c r="B14" s="177"/>
      <c r="C14" s="177"/>
      <c r="D14" s="177"/>
      <c r="E14" s="177"/>
      <c r="F14" s="177"/>
      <c r="G14" s="177"/>
      <c r="H14" s="177"/>
      <c r="I14" s="177"/>
      <c r="J14" s="177"/>
      <c r="K14" s="177"/>
      <c r="L14" s="30"/>
      <c r="M14" s="2">
        <v>1</v>
      </c>
      <c r="N14" s="177"/>
      <c r="O14" s="177"/>
      <c r="P14" s="177"/>
      <c r="Q14" s="177"/>
      <c r="R14" s="177"/>
      <c r="S14" s="177"/>
      <c r="T14" s="177"/>
      <c r="U14" s="177"/>
      <c r="V14" s="177"/>
      <c r="W14" s="177"/>
      <c r="X14" s="30"/>
      <c r="Y14" s="2">
        <v>1</v>
      </c>
      <c r="Z14" s="177"/>
      <c r="AA14" s="177"/>
      <c r="AB14" s="177"/>
      <c r="AC14" s="177"/>
      <c r="AD14" s="177"/>
      <c r="AE14" s="177"/>
      <c r="AF14" s="177"/>
      <c r="AG14" s="177"/>
      <c r="AH14" s="177"/>
      <c r="AI14" s="177"/>
      <c r="AJ14" s="30"/>
      <c r="AK14" s="2">
        <v>1</v>
      </c>
      <c r="AL14" s="177"/>
      <c r="AM14" s="177"/>
      <c r="AN14" s="177"/>
      <c r="AO14" s="177"/>
      <c r="AP14" s="177"/>
      <c r="AQ14" s="177"/>
      <c r="AR14" s="177"/>
      <c r="AS14" s="177"/>
      <c r="AT14" s="177"/>
    </row>
    <row r="15" spans="1:46" ht="27.45" customHeight="1" x14ac:dyDescent="0.25">
      <c r="A15" s="3">
        <f>+A14+1</f>
        <v>2</v>
      </c>
      <c r="B15" s="175"/>
      <c r="C15" s="175"/>
      <c r="D15" s="175"/>
      <c r="E15" s="175"/>
      <c r="F15" s="175"/>
      <c r="G15" s="175"/>
      <c r="H15" s="175"/>
      <c r="I15" s="175"/>
      <c r="J15" s="175"/>
      <c r="K15" s="175"/>
      <c r="L15" s="30"/>
      <c r="M15" s="3">
        <f>+M14+1</f>
        <v>2</v>
      </c>
      <c r="N15" s="175"/>
      <c r="O15" s="175"/>
      <c r="P15" s="175"/>
      <c r="Q15" s="175"/>
      <c r="R15" s="175"/>
      <c r="S15" s="175"/>
      <c r="T15" s="175"/>
      <c r="U15" s="175"/>
      <c r="V15" s="175"/>
      <c r="W15" s="175"/>
      <c r="X15" s="30"/>
      <c r="Y15" s="3">
        <f>+Y14+1</f>
        <v>2</v>
      </c>
      <c r="Z15" s="175"/>
      <c r="AA15" s="175"/>
      <c r="AB15" s="175"/>
      <c r="AC15" s="175"/>
      <c r="AD15" s="175"/>
      <c r="AE15" s="175"/>
      <c r="AF15" s="175"/>
      <c r="AG15" s="175"/>
      <c r="AH15" s="175"/>
      <c r="AI15" s="175"/>
      <c r="AJ15" s="30"/>
      <c r="AK15" s="3">
        <f>+AK14+1</f>
        <v>2</v>
      </c>
      <c r="AL15" s="175"/>
      <c r="AM15" s="175"/>
      <c r="AN15" s="175"/>
      <c r="AO15" s="175"/>
      <c r="AP15" s="175"/>
      <c r="AQ15" s="175"/>
      <c r="AR15" s="175"/>
      <c r="AS15" s="175"/>
      <c r="AT15" s="175"/>
    </row>
    <row r="16" spans="1:46" ht="27.45" customHeight="1" x14ac:dyDescent="0.25">
      <c r="A16" s="3">
        <f t="shared" ref="A16:A21" si="0">+A15+1</f>
        <v>3</v>
      </c>
      <c r="B16" s="175"/>
      <c r="C16" s="175"/>
      <c r="D16" s="175"/>
      <c r="E16" s="175"/>
      <c r="F16" s="175"/>
      <c r="G16" s="175"/>
      <c r="H16" s="175"/>
      <c r="I16" s="175"/>
      <c r="J16" s="175"/>
      <c r="K16" s="175"/>
      <c r="L16" s="30"/>
      <c r="M16" s="3">
        <f t="shared" ref="M16:M21" si="1">+M15+1</f>
        <v>3</v>
      </c>
      <c r="N16" s="175"/>
      <c r="O16" s="175"/>
      <c r="P16" s="175"/>
      <c r="Q16" s="175"/>
      <c r="R16" s="175"/>
      <c r="S16" s="175"/>
      <c r="T16" s="175"/>
      <c r="U16" s="175"/>
      <c r="V16" s="175"/>
      <c r="W16" s="175"/>
      <c r="X16" s="30"/>
      <c r="Y16" s="3">
        <f t="shared" ref="Y16:Y21" si="2">+Y15+1</f>
        <v>3</v>
      </c>
      <c r="Z16" s="175"/>
      <c r="AA16" s="175"/>
      <c r="AB16" s="175"/>
      <c r="AC16" s="175"/>
      <c r="AD16" s="175"/>
      <c r="AE16" s="175"/>
      <c r="AF16" s="175"/>
      <c r="AG16" s="175"/>
      <c r="AH16" s="175"/>
      <c r="AI16" s="175"/>
      <c r="AJ16" s="30"/>
      <c r="AK16" s="3">
        <f t="shared" ref="AK16:AK21" si="3">+AK15+1</f>
        <v>3</v>
      </c>
      <c r="AL16" s="175"/>
      <c r="AM16" s="175"/>
      <c r="AN16" s="175"/>
      <c r="AO16" s="175"/>
      <c r="AP16" s="175"/>
      <c r="AQ16" s="175"/>
      <c r="AR16" s="175"/>
      <c r="AS16" s="175"/>
      <c r="AT16" s="175"/>
    </row>
    <row r="17" spans="1:46" ht="27.45" customHeight="1" x14ac:dyDescent="0.25">
      <c r="A17" s="3">
        <f t="shared" si="0"/>
        <v>4</v>
      </c>
      <c r="B17" s="175"/>
      <c r="C17" s="175"/>
      <c r="D17" s="175"/>
      <c r="E17" s="175"/>
      <c r="F17" s="175"/>
      <c r="G17" s="175"/>
      <c r="H17" s="175"/>
      <c r="I17" s="175"/>
      <c r="J17" s="175"/>
      <c r="K17" s="175"/>
      <c r="L17" s="30"/>
      <c r="M17" s="3">
        <f t="shared" si="1"/>
        <v>4</v>
      </c>
      <c r="N17" s="175"/>
      <c r="O17" s="175"/>
      <c r="P17" s="175"/>
      <c r="Q17" s="175"/>
      <c r="R17" s="175"/>
      <c r="S17" s="175"/>
      <c r="T17" s="175"/>
      <c r="U17" s="175"/>
      <c r="V17" s="175"/>
      <c r="W17" s="175"/>
      <c r="X17" s="30"/>
      <c r="Y17" s="3">
        <f t="shared" si="2"/>
        <v>4</v>
      </c>
      <c r="Z17" s="175"/>
      <c r="AA17" s="175"/>
      <c r="AB17" s="175"/>
      <c r="AC17" s="175"/>
      <c r="AD17" s="175"/>
      <c r="AE17" s="175"/>
      <c r="AF17" s="175"/>
      <c r="AG17" s="175"/>
      <c r="AH17" s="175"/>
      <c r="AI17" s="175"/>
      <c r="AJ17" s="30"/>
      <c r="AK17" s="3">
        <f t="shared" si="3"/>
        <v>4</v>
      </c>
      <c r="AL17" s="175"/>
      <c r="AM17" s="175"/>
      <c r="AN17" s="175"/>
      <c r="AO17" s="175"/>
      <c r="AP17" s="175"/>
      <c r="AQ17" s="175"/>
      <c r="AR17" s="175"/>
      <c r="AS17" s="175"/>
      <c r="AT17" s="175"/>
    </row>
    <row r="18" spans="1:46" ht="27.45" customHeight="1" x14ac:dyDescent="0.25">
      <c r="A18" s="3">
        <f t="shared" si="0"/>
        <v>5</v>
      </c>
      <c r="B18" s="175"/>
      <c r="C18" s="175"/>
      <c r="D18" s="175"/>
      <c r="E18" s="175"/>
      <c r="F18" s="175"/>
      <c r="G18" s="175"/>
      <c r="H18" s="175"/>
      <c r="I18" s="175"/>
      <c r="J18" s="175"/>
      <c r="K18" s="175"/>
      <c r="L18" s="30"/>
      <c r="M18" s="3">
        <f t="shared" si="1"/>
        <v>5</v>
      </c>
      <c r="N18" s="175"/>
      <c r="O18" s="175"/>
      <c r="P18" s="175"/>
      <c r="Q18" s="175"/>
      <c r="R18" s="175"/>
      <c r="S18" s="175"/>
      <c r="T18" s="175"/>
      <c r="U18" s="175"/>
      <c r="V18" s="175"/>
      <c r="W18" s="175"/>
      <c r="X18" s="30"/>
      <c r="Y18" s="3">
        <f t="shared" si="2"/>
        <v>5</v>
      </c>
      <c r="Z18" s="192"/>
      <c r="AA18" s="192"/>
      <c r="AB18" s="192"/>
      <c r="AC18" s="192"/>
      <c r="AD18" s="192"/>
      <c r="AE18" s="192"/>
      <c r="AF18" s="192"/>
      <c r="AG18" s="192"/>
      <c r="AH18" s="192"/>
      <c r="AI18" s="192"/>
      <c r="AJ18" s="30"/>
      <c r="AK18" s="3">
        <f t="shared" si="3"/>
        <v>5</v>
      </c>
      <c r="AL18" s="192"/>
      <c r="AM18" s="192"/>
      <c r="AN18" s="192"/>
      <c r="AO18" s="192"/>
      <c r="AP18" s="192"/>
      <c r="AQ18" s="192"/>
      <c r="AR18" s="192"/>
      <c r="AS18" s="192"/>
      <c r="AT18" s="192"/>
    </row>
    <row r="19" spans="1:46" ht="27.45" customHeight="1" x14ac:dyDescent="0.25">
      <c r="A19" s="3">
        <f t="shared" si="0"/>
        <v>6</v>
      </c>
      <c r="B19" s="175"/>
      <c r="C19" s="175"/>
      <c r="D19" s="175"/>
      <c r="E19" s="175"/>
      <c r="F19" s="175"/>
      <c r="G19" s="175"/>
      <c r="H19" s="175"/>
      <c r="I19" s="175"/>
      <c r="J19" s="175"/>
      <c r="K19" s="175"/>
      <c r="L19" s="30"/>
      <c r="M19" s="3">
        <f t="shared" si="1"/>
        <v>6</v>
      </c>
      <c r="N19" s="175"/>
      <c r="O19" s="175"/>
      <c r="P19" s="175"/>
      <c r="Q19" s="175"/>
      <c r="R19" s="175"/>
      <c r="S19" s="175"/>
      <c r="T19" s="175"/>
      <c r="U19" s="175"/>
      <c r="V19" s="175"/>
      <c r="W19" s="175"/>
      <c r="X19" s="30"/>
      <c r="Y19" s="194" t="s">
        <v>72</v>
      </c>
      <c r="Z19" s="195"/>
      <c r="AA19" s="195"/>
      <c r="AB19" s="195"/>
      <c r="AC19" s="195"/>
      <c r="AD19" s="195"/>
      <c r="AE19" s="195"/>
      <c r="AF19" s="195"/>
      <c r="AG19" s="195"/>
      <c r="AH19" s="195"/>
      <c r="AI19" s="196"/>
      <c r="AJ19" s="30"/>
      <c r="AK19" s="197" t="s">
        <v>70</v>
      </c>
      <c r="AL19" s="198"/>
      <c r="AM19" s="198"/>
      <c r="AN19" s="198"/>
      <c r="AO19" s="198"/>
      <c r="AP19" s="198"/>
      <c r="AQ19" s="198"/>
      <c r="AR19" s="198"/>
      <c r="AS19" s="198"/>
      <c r="AT19" s="302"/>
    </row>
    <row r="20" spans="1:46" ht="27.45" customHeight="1" x14ac:dyDescent="0.25">
      <c r="A20" s="3">
        <f t="shared" si="0"/>
        <v>7</v>
      </c>
      <c r="B20" s="175"/>
      <c r="C20" s="175"/>
      <c r="D20" s="175"/>
      <c r="E20" s="175"/>
      <c r="F20" s="175"/>
      <c r="G20" s="175"/>
      <c r="H20" s="175"/>
      <c r="I20" s="175"/>
      <c r="J20" s="175"/>
      <c r="K20" s="175"/>
      <c r="L20" s="30"/>
      <c r="M20" s="3">
        <f t="shared" si="1"/>
        <v>7</v>
      </c>
      <c r="N20" s="175"/>
      <c r="O20" s="175"/>
      <c r="P20" s="175"/>
      <c r="Q20" s="175"/>
      <c r="R20" s="175"/>
      <c r="S20" s="175"/>
      <c r="T20" s="175"/>
      <c r="U20" s="175"/>
      <c r="V20" s="175"/>
      <c r="W20" s="175"/>
      <c r="X20" s="30"/>
      <c r="Y20" s="20">
        <v>1</v>
      </c>
      <c r="Z20" s="190"/>
      <c r="AA20" s="190"/>
      <c r="AB20" s="190"/>
      <c r="AC20" s="190"/>
      <c r="AD20" s="190"/>
      <c r="AE20" s="190"/>
      <c r="AF20" s="190"/>
      <c r="AG20" s="190"/>
      <c r="AH20" s="190"/>
      <c r="AI20" s="190"/>
      <c r="AJ20" s="30"/>
      <c r="AK20" s="20">
        <v>1</v>
      </c>
      <c r="AL20" s="190"/>
      <c r="AM20" s="190"/>
      <c r="AN20" s="190"/>
      <c r="AO20" s="190"/>
      <c r="AP20" s="190"/>
      <c r="AQ20" s="190"/>
      <c r="AR20" s="190"/>
      <c r="AS20" s="190"/>
      <c r="AT20" s="190"/>
    </row>
    <row r="21" spans="1:46" ht="27.45" customHeight="1" x14ac:dyDescent="0.25">
      <c r="A21" s="3">
        <f t="shared" si="0"/>
        <v>8</v>
      </c>
      <c r="B21" s="175"/>
      <c r="C21" s="175"/>
      <c r="D21" s="175"/>
      <c r="E21" s="175"/>
      <c r="F21" s="175"/>
      <c r="G21" s="175"/>
      <c r="H21" s="175"/>
      <c r="I21" s="175"/>
      <c r="J21" s="175"/>
      <c r="K21" s="175"/>
      <c r="L21" s="30"/>
      <c r="M21" s="3">
        <f t="shared" si="1"/>
        <v>8</v>
      </c>
      <c r="N21" s="175"/>
      <c r="O21" s="175"/>
      <c r="P21" s="175"/>
      <c r="Q21" s="175"/>
      <c r="R21" s="175"/>
      <c r="S21" s="175"/>
      <c r="T21" s="175"/>
      <c r="U21" s="175"/>
      <c r="V21" s="175"/>
      <c r="W21" s="175"/>
      <c r="X21" s="30"/>
      <c r="Y21" s="3">
        <f t="shared" si="2"/>
        <v>2</v>
      </c>
      <c r="Z21" s="175"/>
      <c r="AA21" s="175"/>
      <c r="AB21" s="175"/>
      <c r="AC21" s="175"/>
      <c r="AD21" s="175"/>
      <c r="AE21" s="175"/>
      <c r="AF21" s="175"/>
      <c r="AG21" s="175"/>
      <c r="AH21" s="175"/>
      <c r="AI21" s="175"/>
      <c r="AJ21" s="30"/>
      <c r="AK21" s="3">
        <f t="shared" si="3"/>
        <v>2</v>
      </c>
      <c r="AL21" s="175"/>
      <c r="AM21" s="175"/>
      <c r="AN21" s="175"/>
      <c r="AO21" s="175"/>
      <c r="AP21" s="175"/>
      <c r="AQ21" s="175"/>
      <c r="AR21" s="175"/>
      <c r="AS21" s="175"/>
      <c r="AT21" s="175"/>
    </row>
    <row r="22" spans="1:46" ht="27.45" customHeight="1" x14ac:dyDescent="0.25">
      <c r="A22" s="4">
        <f>+A21+1</f>
        <v>9</v>
      </c>
      <c r="B22" s="179"/>
      <c r="C22" s="179"/>
      <c r="D22" s="179"/>
      <c r="E22" s="179"/>
      <c r="F22" s="179"/>
      <c r="G22" s="179"/>
      <c r="H22" s="179"/>
      <c r="I22" s="179"/>
      <c r="J22" s="179"/>
      <c r="K22" s="179"/>
      <c r="L22" s="30"/>
      <c r="M22" s="4">
        <f>+M21+1</f>
        <v>9</v>
      </c>
      <c r="N22" s="179"/>
      <c r="O22" s="179"/>
      <c r="P22" s="179"/>
      <c r="Q22" s="179"/>
      <c r="R22" s="179"/>
      <c r="S22" s="179"/>
      <c r="T22" s="179"/>
      <c r="U22" s="179"/>
      <c r="V22" s="179"/>
      <c r="W22" s="179"/>
      <c r="X22" s="30"/>
      <c r="Y22" s="4">
        <f>+Y21+1</f>
        <v>3</v>
      </c>
      <c r="Z22" s="179"/>
      <c r="AA22" s="179"/>
      <c r="AB22" s="179"/>
      <c r="AC22" s="179"/>
      <c r="AD22" s="179"/>
      <c r="AE22" s="179"/>
      <c r="AF22" s="179"/>
      <c r="AG22" s="179"/>
      <c r="AH22" s="179"/>
      <c r="AI22" s="179"/>
      <c r="AJ22" s="30"/>
      <c r="AK22" s="4">
        <f>+AK21+1</f>
        <v>3</v>
      </c>
      <c r="AL22" s="179"/>
      <c r="AM22" s="179"/>
      <c r="AN22" s="179"/>
      <c r="AO22" s="179"/>
      <c r="AP22" s="179"/>
      <c r="AQ22" s="179"/>
      <c r="AR22" s="179"/>
      <c r="AS22" s="179"/>
      <c r="AT22" s="179"/>
    </row>
    <row r="23" spans="1:46" ht="16.5" customHeight="1" x14ac:dyDescent="0.25">
      <c r="A23" s="116"/>
      <c r="B23" s="181"/>
      <c r="C23" s="181"/>
      <c r="D23" s="181"/>
      <c r="E23" s="181"/>
      <c r="F23" s="181"/>
      <c r="G23" s="181"/>
      <c r="H23" s="181"/>
      <c r="I23" s="181"/>
      <c r="J23" s="181"/>
      <c r="K23" s="181"/>
      <c r="L23" s="53"/>
      <c r="M23" s="30"/>
      <c r="N23" s="30"/>
      <c r="O23" s="30"/>
      <c r="P23" s="30"/>
      <c r="Q23" s="30"/>
      <c r="R23" s="30"/>
      <c r="S23" s="30"/>
      <c r="T23" s="30"/>
      <c r="U23" s="30"/>
      <c r="V23" s="35"/>
      <c r="W23" s="35"/>
      <c r="X23" s="35"/>
      <c r="Y23" s="35"/>
      <c r="Z23" s="35"/>
      <c r="AA23" s="35"/>
      <c r="AB23" s="35"/>
      <c r="AC23" s="35"/>
      <c r="AD23" s="35"/>
      <c r="AE23" s="35"/>
      <c r="AF23" s="35"/>
      <c r="AG23" s="35"/>
      <c r="AH23" s="35"/>
      <c r="AI23" s="30"/>
      <c r="AJ23" s="30"/>
      <c r="AK23" s="30"/>
      <c r="AL23" s="30"/>
      <c r="AM23" s="30"/>
      <c r="AN23" s="30"/>
      <c r="AO23" s="30"/>
      <c r="AP23" s="30"/>
      <c r="AQ23" s="30"/>
      <c r="AR23" s="30"/>
      <c r="AS23" s="30"/>
      <c r="AT23" s="117"/>
    </row>
    <row r="24" spans="1:46" ht="17.399999999999999" x14ac:dyDescent="0.3">
      <c r="A24" s="119" t="s">
        <v>179</v>
      </c>
      <c r="B24" s="30"/>
      <c r="C24" s="30"/>
      <c r="D24" s="30"/>
      <c r="E24" s="30"/>
      <c r="F24" s="30"/>
      <c r="G24" s="30"/>
      <c r="H24" s="30"/>
      <c r="I24" s="30"/>
      <c r="J24" s="30"/>
      <c r="K24" s="30"/>
      <c r="L24" s="30"/>
      <c r="M24" s="30"/>
      <c r="N24" s="30"/>
      <c r="O24" s="30"/>
      <c r="P24" s="30"/>
      <c r="Q24" s="36" t="s">
        <v>177</v>
      </c>
      <c r="R24" s="30"/>
      <c r="S24" s="30"/>
      <c r="T24" s="36"/>
      <c r="U24" s="36"/>
      <c r="V24" s="36"/>
      <c r="W24" s="30"/>
      <c r="X24" s="30"/>
      <c r="Y24" s="30"/>
      <c r="Z24" s="30"/>
      <c r="AA24" s="30"/>
      <c r="AB24" s="30"/>
      <c r="AC24" s="30"/>
      <c r="AD24" s="30"/>
      <c r="AE24" s="30"/>
      <c r="AF24" s="30"/>
      <c r="AG24" s="30"/>
      <c r="AH24" s="36" t="s">
        <v>180</v>
      </c>
      <c r="AI24" s="30"/>
      <c r="AJ24" s="30"/>
      <c r="AK24" s="30"/>
      <c r="AL24" s="30"/>
      <c r="AM24" s="30"/>
      <c r="AN24" s="30"/>
      <c r="AO24" s="30"/>
      <c r="AP24" s="30"/>
      <c r="AQ24" s="30"/>
      <c r="AR24" s="30"/>
      <c r="AS24" s="30"/>
      <c r="AT24" s="117"/>
    </row>
    <row r="25" spans="1:46" ht="17.399999999999999" x14ac:dyDescent="0.3">
      <c r="A25" s="116"/>
      <c r="B25" s="30"/>
      <c r="C25" s="30"/>
      <c r="D25" s="30"/>
      <c r="E25" s="30"/>
      <c r="F25" s="30"/>
      <c r="G25" s="30"/>
      <c r="H25" s="30"/>
      <c r="I25" s="30"/>
      <c r="J25" s="30"/>
      <c r="K25" s="30"/>
      <c r="L25" s="30"/>
      <c r="M25" s="30"/>
      <c r="N25" s="30"/>
      <c r="O25" s="30"/>
      <c r="P25" s="30"/>
      <c r="Q25" s="30"/>
      <c r="R25" s="30"/>
      <c r="S25" s="30"/>
      <c r="T25" s="30"/>
      <c r="U25" s="30"/>
      <c r="V25" s="36"/>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117"/>
    </row>
    <row r="26" spans="1:46" ht="15.45" customHeight="1" x14ac:dyDescent="0.3">
      <c r="A26" s="116"/>
      <c r="B26" s="30"/>
      <c r="C26" s="30"/>
      <c r="D26" s="30"/>
      <c r="E26" s="30"/>
      <c r="F26" s="30"/>
      <c r="G26" s="30"/>
      <c r="H26" s="30"/>
      <c r="I26" s="30"/>
      <c r="J26" s="30"/>
      <c r="K26" s="30"/>
      <c r="L26" s="30"/>
      <c r="M26" s="30"/>
      <c r="N26" s="30"/>
      <c r="O26" s="30"/>
      <c r="P26" s="30"/>
      <c r="Q26" s="30"/>
      <c r="R26" s="30"/>
      <c r="S26" s="30"/>
      <c r="T26" s="30"/>
      <c r="U26" s="30"/>
      <c r="V26" s="36"/>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117"/>
    </row>
    <row r="27" spans="1:46" ht="13.95" customHeight="1" x14ac:dyDescent="0.25">
      <c r="A27" s="116"/>
      <c r="B27" s="30"/>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117"/>
    </row>
    <row r="28" spans="1:46" ht="24.45" customHeight="1" x14ac:dyDescent="0.25">
      <c r="A28" s="116"/>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117"/>
    </row>
    <row r="29" spans="1:46" ht="24.45" customHeight="1" x14ac:dyDescent="0.25">
      <c r="A29" s="116"/>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117"/>
    </row>
    <row r="30" spans="1:46" ht="24.45" customHeight="1" x14ac:dyDescent="0.25">
      <c r="A30" s="116"/>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117"/>
    </row>
    <row r="31" spans="1:46" ht="24.45" customHeight="1" x14ac:dyDescent="0.25">
      <c r="A31" s="116"/>
      <c r="B31" s="30"/>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117"/>
    </row>
    <row r="32" spans="1:46" ht="24.45" customHeight="1" x14ac:dyDescent="0.25">
      <c r="A32" s="116"/>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117"/>
    </row>
    <row r="33" spans="1:46" ht="24.45" customHeight="1" x14ac:dyDescent="0.25">
      <c r="A33" s="116"/>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117"/>
    </row>
    <row r="34" spans="1:46" ht="24.45" customHeight="1" x14ac:dyDescent="0.25">
      <c r="A34" s="116"/>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117"/>
    </row>
    <row r="35" spans="1:46" ht="24.45" customHeight="1" x14ac:dyDescent="0.25">
      <c r="A35" s="116"/>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117"/>
    </row>
    <row r="36" spans="1:46" ht="24.45" customHeight="1" x14ac:dyDescent="0.25">
      <c r="A36" s="116"/>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117"/>
    </row>
    <row r="37" spans="1:46" ht="20.55" customHeight="1" x14ac:dyDescent="0.25">
      <c r="A37" s="116"/>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117"/>
    </row>
    <row r="38" spans="1:46" ht="15" customHeight="1" x14ac:dyDescent="0.25">
      <c r="A38" s="120" t="s">
        <v>174</v>
      </c>
      <c r="B38" s="30"/>
      <c r="C38" s="30"/>
      <c r="D38" s="30"/>
      <c r="E38" s="30"/>
      <c r="F38" s="30"/>
      <c r="G38" s="30"/>
      <c r="H38" s="30"/>
      <c r="I38" s="30"/>
      <c r="J38" s="30"/>
      <c r="K38" s="30"/>
      <c r="L38" s="30"/>
      <c r="M38" s="30"/>
      <c r="N38" s="30"/>
      <c r="O38" s="30"/>
      <c r="P38" s="113" t="s">
        <v>181</v>
      </c>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117"/>
    </row>
    <row r="39" spans="1:46" ht="8.4" customHeight="1" x14ac:dyDescent="0.25">
      <c r="A39" s="116"/>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117"/>
    </row>
    <row r="40" spans="1:46" ht="36.450000000000003" customHeight="1" x14ac:dyDescent="0.25">
      <c r="A40" s="303" t="s">
        <v>6</v>
      </c>
      <c r="B40" s="183"/>
      <c r="C40" s="183"/>
      <c r="D40" s="183"/>
      <c r="E40" s="183"/>
      <c r="F40" s="183"/>
      <c r="G40" s="183"/>
      <c r="H40" s="30"/>
      <c r="I40" s="184" t="s">
        <v>19</v>
      </c>
      <c r="J40" s="185"/>
      <c r="K40" s="185"/>
      <c r="L40" s="185"/>
      <c r="M40" s="185"/>
      <c r="N40" s="185"/>
      <c r="O40" s="185"/>
      <c r="P40" s="185"/>
      <c r="Q40" s="185"/>
      <c r="R40" s="185"/>
      <c r="S40" s="186"/>
      <c r="T40" s="30"/>
      <c r="U40" s="304" t="s">
        <v>73</v>
      </c>
      <c r="V40" s="305"/>
      <c r="W40" s="305"/>
      <c r="X40" s="305"/>
      <c r="Y40" s="305"/>
      <c r="Z40" s="305"/>
      <c r="AA40" s="305"/>
      <c r="AB40" s="305"/>
      <c r="AC40" s="305"/>
      <c r="AD40" s="305"/>
      <c r="AE40" s="305"/>
      <c r="AF40" s="305"/>
      <c r="AG40" s="305"/>
      <c r="AH40" s="306"/>
      <c r="AI40" s="30"/>
      <c r="AJ40" s="30"/>
      <c r="AK40" s="30"/>
      <c r="AL40" s="30"/>
      <c r="AM40" s="30"/>
      <c r="AN40" s="30"/>
      <c r="AO40" s="30"/>
      <c r="AP40" s="30"/>
      <c r="AQ40" s="30"/>
      <c r="AR40" s="30"/>
      <c r="AS40" s="30"/>
      <c r="AT40" s="117"/>
    </row>
    <row r="41" spans="1:46" ht="31.05" customHeight="1" x14ac:dyDescent="0.25">
      <c r="A41" s="206" t="s">
        <v>3</v>
      </c>
      <c r="B41" s="202" t="s">
        <v>7</v>
      </c>
      <c r="C41" s="203"/>
      <c r="D41" s="206" t="s">
        <v>1</v>
      </c>
      <c r="E41" s="206" t="s">
        <v>17</v>
      </c>
      <c r="F41" s="206" t="s">
        <v>18</v>
      </c>
      <c r="G41" s="206" t="s">
        <v>104</v>
      </c>
      <c r="H41" s="30"/>
      <c r="I41" s="206" t="s">
        <v>3</v>
      </c>
      <c r="J41" s="202" t="s">
        <v>7</v>
      </c>
      <c r="K41" s="231"/>
      <c r="L41" s="203"/>
      <c r="M41" s="233" t="s">
        <v>22</v>
      </c>
      <c r="N41" s="234"/>
      <c r="O41" s="235"/>
      <c r="P41" s="233" t="s">
        <v>36</v>
      </c>
      <c r="Q41" s="234"/>
      <c r="R41" s="234"/>
      <c r="S41" s="235"/>
      <c r="T41" s="30"/>
      <c r="U41" s="236" t="s">
        <v>3</v>
      </c>
      <c r="V41" s="237" t="s">
        <v>7</v>
      </c>
      <c r="W41" s="238"/>
      <c r="X41" s="239"/>
      <c r="Y41" s="217" t="s">
        <v>175</v>
      </c>
      <c r="Z41" s="217" t="s">
        <v>176</v>
      </c>
      <c r="AA41" s="219"/>
      <c r="AB41" s="221" t="s">
        <v>22</v>
      </c>
      <c r="AC41" s="222"/>
      <c r="AD41" s="223"/>
      <c r="AE41" s="221" t="s">
        <v>36</v>
      </c>
      <c r="AF41" s="222"/>
      <c r="AG41" s="222"/>
      <c r="AH41" s="223"/>
      <c r="AI41" s="30"/>
      <c r="AJ41" s="30"/>
      <c r="AK41" s="30"/>
      <c r="AL41" s="30"/>
      <c r="AM41" s="30"/>
      <c r="AN41" s="30"/>
      <c r="AO41" s="30"/>
      <c r="AP41" s="30"/>
      <c r="AQ41" s="30"/>
      <c r="AR41" s="30"/>
      <c r="AS41" s="30"/>
      <c r="AT41" s="117"/>
    </row>
    <row r="42" spans="1:46" ht="31.95" customHeight="1" x14ac:dyDescent="0.25">
      <c r="A42" s="207"/>
      <c r="B42" s="204"/>
      <c r="C42" s="205"/>
      <c r="D42" s="207"/>
      <c r="E42" s="207"/>
      <c r="F42" s="207"/>
      <c r="G42" s="207"/>
      <c r="H42" s="30"/>
      <c r="I42" s="207"/>
      <c r="J42" s="204"/>
      <c r="K42" s="232"/>
      <c r="L42" s="205"/>
      <c r="M42" s="55" t="s">
        <v>23</v>
      </c>
      <c r="N42" s="5" t="s">
        <v>0</v>
      </c>
      <c r="O42" s="5" t="s">
        <v>168</v>
      </c>
      <c r="P42" s="12" t="s">
        <v>23</v>
      </c>
      <c r="Q42" s="13"/>
      <c r="R42" s="5" t="s">
        <v>0</v>
      </c>
      <c r="S42" s="5" t="s">
        <v>168</v>
      </c>
      <c r="T42" s="30"/>
      <c r="U42" s="207"/>
      <c r="V42" s="204"/>
      <c r="W42" s="232"/>
      <c r="X42" s="205"/>
      <c r="Y42" s="218"/>
      <c r="Z42" s="218"/>
      <c r="AA42" s="220"/>
      <c r="AB42" s="12" t="s">
        <v>23</v>
      </c>
      <c r="AC42" s="55" t="s">
        <v>74</v>
      </c>
      <c r="AD42" s="54" t="s">
        <v>2</v>
      </c>
      <c r="AE42" s="163" t="s">
        <v>23</v>
      </c>
      <c r="AF42" s="165"/>
      <c r="AG42" s="55" t="s">
        <v>74</v>
      </c>
      <c r="AH42" s="54" t="s">
        <v>2</v>
      </c>
      <c r="AI42" s="30"/>
      <c r="AJ42" s="30"/>
      <c r="AK42" s="30"/>
      <c r="AL42" s="30"/>
      <c r="AM42" s="30"/>
      <c r="AN42" s="30"/>
      <c r="AO42" s="30"/>
      <c r="AP42" s="30"/>
      <c r="AQ42" s="30"/>
      <c r="AR42" s="30"/>
      <c r="AS42" s="30"/>
      <c r="AT42" s="117"/>
    </row>
    <row r="43" spans="1:46" ht="31.05" customHeight="1" x14ac:dyDescent="0.25">
      <c r="A43" s="2">
        <v>1</v>
      </c>
      <c r="B43" s="224" t="s">
        <v>8</v>
      </c>
      <c r="C43" s="225"/>
      <c r="D43" s="2">
        <v>0</v>
      </c>
      <c r="E43" s="2">
        <v>0</v>
      </c>
      <c r="F43" s="2">
        <v>0</v>
      </c>
      <c r="G43" s="2">
        <v>0</v>
      </c>
      <c r="H43" s="30"/>
      <c r="I43" s="2">
        <v>1</v>
      </c>
      <c r="J43" s="226" t="s">
        <v>8</v>
      </c>
      <c r="K43" s="227"/>
      <c r="L43" s="228"/>
      <c r="M43" s="9">
        <v>0</v>
      </c>
      <c r="N43" s="9">
        <v>0</v>
      </c>
      <c r="O43" s="9">
        <v>0</v>
      </c>
      <c r="P43" s="229">
        <v>0</v>
      </c>
      <c r="Q43" s="230"/>
      <c r="R43" s="9">
        <v>0</v>
      </c>
      <c r="S43" s="9">
        <v>0</v>
      </c>
      <c r="T43" s="30"/>
      <c r="U43" s="2">
        <v>1</v>
      </c>
      <c r="V43" s="226" t="s">
        <v>8</v>
      </c>
      <c r="W43" s="227"/>
      <c r="X43" s="227"/>
      <c r="Y43" s="18"/>
      <c r="Z43" s="229"/>
      <c r="AA43" s="230"/>
      <c r="AB43" s="18"/>
      <c r="AC43" s="18"/>
      <c r="AD43" s="17"/>
      <c r="AE43" s="249"/>
      <c r="AF43" s="250"/>
      <c r="AG43" s="18"/>
      <c r="AH43" s="17"/>
      <c r="AI43" s="30"/>
      <c r="AJ43" s="30"/>
      <c r="AK43" s="30"/>
      <c r="AL43" s="30"/>
      <c r="AM43" s="30"/>
      <c r="AN43" s="30"/>
      <c r="AO43" s="30"/>
      <c r="AP43" s="30"/>
      <c r="AQ43" s="30"/>
      <c r="AR43" s="30"/>
      <c r="AS43" s="30"/>
      <c r="AT43" s="117"/>
    </row>
    <row r="44" spans="1:46" ht="31.05" customHeight="1" x14ac:dyDescent="0.25">
      <c r="A44" s="3">
        <f>+A43+1</f>
        <v>2</v>
      </c>
      <c r="B44" s="240" t="s">
        <v>9</v>
      </c>
      <c r="C44" s="241"/>
      <c r="D44" s="3">
        <v>0</v>
      </c>
      <c r="E44" s="3">
        <v>0</v>
      </c>
      <c r="F44" s="3">
        <v>0</v>
      </c>
      <c r="G44" s="3">
        <v>0</v>
      </c>
      <c r="H44" s="30"/>
      <c r="I44" s="3">
        <f>+I43+1</f>
        <v>2</v>
      </c>
      <c r="J44" s="242" t="s">
        <v>9</v>
      </c>
      <c r="K44" s="243"/>
      <c r="L44" s="244"/>
      <c r="M44" s="10">
        <v>0</v>
      </c>
      <c r="N44" s="10">
        <v>0</v>
      </c>
      <c r="O44" s="10">
        <v>0</v>
      </c>
      <c r="P44" s="245">
        <v>0</v>
      </c>
      <c r="Q44" s="246"/>
      <c r="R44" s="10">
        <v>0</v>
      </c>
      <c r="S44" s="10">
        <v>0</v>
      </c>
      <c r="T44" s="30"/>
      <c r="U44" s="3">
        <f>+U43+1</f>
        <v>2</v>
      </c>
      <c r="V44" s="242" t="s">
        <v>9</v>
      </c>
      <c r="W44" s="243"/>
      <c r="X44" s="243"/>
      <c r="Y44" s="19"/>
      <c r="Z44" s="245"/>
      <c r="AA44" s="246"/>
      <c r="AB44" s="19"/>
      <c r="AC44" s="19"/>
      <c r="AD44" s="16"/>
      <c r="AE44" s="247"/>
      <c r="AF44" s="248"/>
      <c r="AG44" s="19"/>
      <c r="AH44" s="16"/>
      <c r="AI44" s="30"/>
      <c r="AJ44" s="30"/>
      <c r="AK44" s="30"/>
      <c r="AL44" s="30"/>
      <c r="AM44" s="30"/>
      <c r="AN44" s="30"/>
      <c r="AO44" s="30"/>
      <c r="AP44" s="30"/>
      <c r="AQ44" s="30"/>
      <c r="AR44" s="30"/>
      <c r="AS44" s="30"/>
      <c r="AT44" s="117"/>
    </row>
    <row r="45" spans="1:46" ht="31.05" customHeight="1" x14ac:dyDescent="0.25">
      <c r="A45" s="3">
        <f t="shared" ref="A45:A51" si="4">+A44+1</f>
        <v>3</v>
      </c>
      <c r="B45" s="240" t="s">
        <v>10</v>
      </c>
      <c r="C45" s="241"/>
      <c r="D45" s="3">
        <v>0</v>
      </c>
      <c r="E45" s="3">
        <v>0</v>
      </c>
      <c r="F45" s="3">
        <v>0</v>
      </c>
      <c r="G45" s="3">
        <v>0</v>
      </c>
      <c r="H45" s="30"/>
      <c r="I45" s="3">
        <f t="shared" ref="I45:I51" si="5">+I44+1</f>
        <v>3</v>
      </c>
      <c r="J45" s="242" t="s">
        <v>10</v>
      </c>
      <c r="K45" s="243"/>
      <c r="L45" s="244"/>
      <c r="M45" s="10">
        <v>0</v>
      </c>
      <c r="N45" s="10">
        <v>0</v>
      </c>
      <c r="O45" s="10">
        <v>0</v>
      </c>
      <c r="P45" s="245">
        <v>0</v>
      </c>
      <c r="Q45" s="246"/>
      <c r="R45" s="10">
        <v>0</v>
      </c>
      <c r="S45" s="10">
        <v>0</v>
      </c>
      <c r="T45" s="30"/>
      <c r="U45" s="3">
        <f t="shared" ref="U45:U51" si="6">+U44+1</f>
        <v>3</v>
      </c>
      <c r="V45" s="242" t="s">
        <v>10</v>
      </c>
      <c r="W45" s="243"/>
      <c r="X45" s="243"/>
      <c r="Y45" s="19"/>
      <c r="Z45" s="245"/>
      <c r="AA45" s="246"/>
      <c r="AB45" s="19"/>
      <c r="AC45" s="19"/>
      <c r="AD45" s="16"/>
      <c r="AE45" s="247"/>
      <c r="AF45" s="248"/>
      <c r="AG45" s="19"/>
      <c r="AH45" s="16"/>
      <c r="AI45" s="30"/>
      <c r="AJ45" s="30"/>
      <c r="AK45" s="30"/>
      <c r="AL45" s="30"/>
      <c r="AM45" s="30"/>
      <c r="AN45" s="30"/>
      <c r="AO45" s="30"/>
      <c r="AP45" s="30"/>
      <c r="AQ45" s="30"/>
      <c r="AR45" s="30"/>
      <c r="AS45" s="30"/>
      <c r="AT45" s="117"/>
    </row>
    <row r="46" spans="1:46" ht="31.05" customHeight="1" x14ac:dyDescent="0.25">
      <c r="A46" s="3">
        <f t="shared" si="4"/>
        <v>4</v>
      </c>
      <c r="B46" s="240" t="s">
        <v>11</v>
      </c>
      <c r="C46" s="241"/>
      <c r="D46" s="3">
        <v>0</v>
      </c>
      <c r="E46" s="3">
        <v>0</v>
      </c>
      <c r="F46" s="3">
        <v>0</v>
      </c>
      <c r="G46" s="3">
        <v>0</v>
      </c>
      <c r="H46" s="30"/>
      <c r="I46" s="3">
        <f t="shared" si="5"/>
        <v>4</v>
      </c>
      <c r="J46" s="242" t="s">
        <v>11</v>
      </c>
      <c r="K46" s="243"/>
      <c r="L46" s="244"/>
      <c r="M46" s="10">
        <v>0</v>
      </c>
      <c r="N46" s="10">
        <v>0</v>
      </c>
      <c r="O46" s="10">
        <v>0</v>
      </c>
      <c r="P46" s="245">
        <v>0</v>
      </c>
      <c r="Q46" s="246"/>
      <c r="R46" s="10">
        <v>0</v>
      </c>
      <c r="S46" s="10">
        <v>0</v>
      </c>
      <c r="T46" s="30"/>
      <c r="U46" s="3">
        <f t="shared" si="6"/>
        <v>4</v>
      </c>
      <c r="V46" s="242" t="s">
        <v>11</v>
      </c>
      <c r="W46" s="243"/>
      <c r="X46" s="243"/>
      <c r="Y46" s="19"/>
      <c r="Z46" s="245"/>
      <c r="AA46" s="246"/>
      <c r="AB46" s="19"/>
      <c r="AC46" s="19"/>
      <c r="AD46" s="16"/>
      <c r="AE46" s="247"/>
      <c r="AF46" s="248"/>
      <c r="AG46" s="19"/>
      <c r="AH46" s="16"/>
      <c r="AI46" s="30"/>
      <c r="AJ46" s="30"/>
      <c r="AK46" s="30"/>
      <c r="AL46" s="30"/>
      <c r="AM46" s="30"/>
      <c r="AN46" s="30"/>
      <c r="AO46" s="30"/>
      <c r="AP46" s="30"/>
      <c r="AQ46" s="30"/>
      <c r="AR46" s="30"/>
      <c r="AS46" s="30"/>
      <c r="AT46" s="117"/>
    </row>
    <row r="47" spans="1:46" ht="31.05" customHeight="1" x14ac:dyDescent="0.25">
      <c r="A47" s="3">
        <f t="shared" si="4"/>
        <v>5</v>
      </c>
      <c r="B47" s="240" t="s">
        <v>12</v>
      </c>
      <c r="C47" s="241"/>
      <c r="D47" s="3">
        <v>0</v>
      </c>
      <c r="E47" s="3">
        <v>0</v>
      </c>
      <c r="F47" s="3">
        <v>0</v>
      </c>
      <c r="G47" s="3">
        <v>0</v>
      </c>
      <c r="H47" s="30"/>
      <c r="I47" s="3">
        <f t="shared" si="5"/>
        <v>5</v>
      </c>
      <c r="J47" s="242" t="s">
        <v>12</v>
      </c>
      <c r="K47" s="243"/>
      <c r="L47" s="244"/>
      <c r="M47" s="10">
        <v>0</v>
      </c>
      <c r="N47" s="10">
        <v>0</v>
      </c>
      <c r="O47" s="10">
        <v>0</v>
      </c>
      <c r="P47" s="245">
        <v>0</v>
      </c>
      <c r="Q47" s="246"/>
      <c r="R47" s="10">
        <v>0</v>
      </c>
      <c r="S47" s="10">
        <v>0</v>
      </c>
      <c r="T47" s="30"/>
      <c r="U47" s="3">
        <f t="shared" si="6"/>
        <v>5</v>
      </c>
      <c r="V47" s="242" t="s">
        <v>12</v>
      </c>
      <c r="W47" s="243"/>
      <c r="X47" s="243"/>
      <c r="Y47" s="19"/>
      <c r="Z47" s="245"/>
      <c r="AA47" s="246"/>
      <c r="AB47" s="19"/>
      <c r="AC47" s="19"/>
      <c r="AD47" s="16"/>
      <c r="AE47" s="247"/>
      <c r="AF47" s="248"/>
      <c r="AG47" s="19"/>
      <c r="AH47" s="16"/>
      <c r="AI47" s="30"/>
      <c r="AJ47" s="30"/>
      <c r="AK47" s="30"/>
      <c r="AL47" s="30"/>
      <c r="AM47" s="30"/>
      <c r="AN47" s="30"/>
      <c r="AO47" s="30"/>
      <c r="AP47" s="30"/>
      <c r="AQ47" s="30"/>
      <c r="AR47" s="30"/>
      <c r="AS47" s="30"/>
      <c r="AT47" s="117"/>
    </row>
    <row r="48" spans="1:46" ht="31.05" customHeight="1" x14ac:dyDescent="0.25">
      <c r="A48" s="3">
        <f t="shared" si="4"/>
        <v>6</v>
      </c>
      <c r="B48" s="240" t="s">
        <v>13</v>
      </c>
      <c r="C48" s="241"/>
      <c r="D48" s="3">
        <v>0</v>
      </c>
      <c r="E48" s="3">
        <v>0</v>
      </c>
      <c r="F48" s="3">
        <v>0</v>
      </c>
      <c r="G48" s="3">
        <v>0</v>
      </c>
      <c r="H48" s="30"/>
      <c r="I48" s="3">
        <f t="shared" si="5"/>
        <v>6</v>
      </c>
      <c r="J48" s="242" t="s">
        <v>13</v>
      </c>
      <c r="K48" s="243"/>
      <c r="L48" s="244"/>
      <c r="M48" s="10">
        <v>0</v>
      </c>
      <c r="N48" s="10">
        <v>0</v>
      </c>
      <c r="O48" s="10">
        <v>0</v>
      </c>
      <c r="P48" s="245">
        <v>0</v>
      </c>
      <c r="Q48" s="246"/>
      <c r="R48" s="10">
        <v>0</v>
      </c>
      <c r="S48" s="10">
        <v>0</v>
      </c>
      <c r="T48" s="30"/>
      <c r="U48" s="3">
        <f t="shared" si="6"/>
        <v>6</v>
      </c>
      <c r="V48" s="242" t="s">
        <v>13</v>
      </c>
      <c r="W48" s="243"/>
      <c r="X48" s="243"/>
      <c r="Y48" s="19"/>
      <c r="Z48" s="245"/>
      <c r="AA48" s="246"/>
      <c r="AB48" s="19"/>
      <c r="AC48" s="19"/>
      <c r="AD48" s="16"/>
      <c r="AE48" s="247"/>
      <c r="AF48" s="248"/>
      <c r="AG48" s="19"/>
      <c r="AH48" s="16"/>
      <c r="AI48" s="30"/>
      <c r="AJ48" s="30"/>
      <c r="AK48" s="30"/>
      <c r="AL48" s="30"/>
      <c r="AM48" s="30"/>
      <c r="AN48" s="30"/>
      <c r="AO48" s="30"/>
      <c r="AP48" s="30"/>
      <c r="AQ48" s="30"/>
      <c r="AR48" s="30"/>
      <c r="AS48" s="30"/>
      <c r="AT48" s="117"/>
    </row>
    <row r="49" spans="1:46" ht="31.05" customHeight="1" x14ac:dyDescent="0.25">
      <c r="A49" s="3">
        <f t="shared" si="4"/>
        <v>7</v>
      </c>
      <c r="B49" s="240" t="s">
        <v>14</v>
      </c>
      <c r="C49" s="241"/>
      <c r="D49" s="3">
        <v>0</v>
      </c>
      <c r="E49" s="3">
        <v>0</v>
      </c>
      <c r="F49" s="3">
        <v>0</v>
      </c>
      <c r="G49" s="3">
        <v>0</v>
      </c>
      <c r="H49" s="30"/>
      <c r="I49" s="3">
        <f t="shared" si="5"/>
        <v>7</v>
      </c>
      <c r="J49" s="242" t="s">
        <v>14</v>
      </c>
      <c r="K49" s="243"/>
      <c r="L49" s="244"/>
      <c r="M49" s="10">
        <v>0</v>
      </c>
      <c r="N49" s="10">
        <v>0</v>
      </c>
      <c r="O49" s="10">
        <v>0</v>
      </c>
      <c r="P49" s="245">
        <v>0</v>
      </c>
      <c r="Q49" s="246"/>
      <c r="R49" s="10">
        <v>0</v>
      </c>
      <c r="S49" s="10">
        <v>0</v>
      </c>
      <c r="T49" s="30"/>
      <c r="U49" s="3">
        <f t="shared" si="6"/>
        <v>7</v>
      </c>
      <c r="V49" s="242" t="s">
        <v>14</v>
      </c>
      <c r="W49" s="243"/>
      <c r="X49" s="243"/>
      <c r="Y49" s="19"/>
      <c r="Z49" s="245"/>
      <c r="AA49" s="246"/>
      <c r="AB49" s="19"/>
      <c r="AC49" s="19"/>
      <c r="AD49" s="16"/>
      <c r="AE49" s="247"/>
      <c r="AF49" s="248"/>
      <c r="AG49" s="19"/>
      <c r="AH49" s="16"/>
      <c r="AI49" s="30"/>
      <c r="AJ49" s="30"/>
      <c r="AK49" s="30"/>
      <c r="AL49" s="30"/>
      <c r="AM49" s="30"/>
      <c r="AN49" s="30"/>
      <c r="AO49" s="30"/>
      <c r="AP49" s="30"/>
      <c r="AQ49" s="30"/>
      <c r="AR49" s="30"/>
      <c r="AS49" s="30"/>
      <c r="AT49" s="117"/>
    </row>
    <row r="50" spans="1:46" ht="31.05" customHeight="1" x14ac:dyDescent="0.25">
      <c r="A50" s="3">
        <f t="shared" si="4"/>
        <v>8</v>
      </c>
      <c r="B50" s="240" t="s">
        <v>15</v>
      </c>
      <c r="C50" s="241"/>
      <c r="D50" s="3">
        <v>0</v>
      </c>
      <c r="E50" s="3">
        <v>0</v>
      </c>
      <c r="F50" s="3">
        <v>0</v>
      </c>
      <c r="G50" s="3">
        <v>0</v>
      </c>
      <c r="H50" s="30"/>
      <c r="I50" s="3">
        <f t="shared" si="5"/>
        <v>8</v>
      </c>
      <c r="J50" s="242" t="s">
        <v>15</v>
      </c>
      <c r="K50" s="243"/>
      <c r="L50" s="244"/>
      <c r="M50" s="10">
        <v>0</v>
      </c>
      <c r="N50" s="10">
        <v>0</v>
      </c>
      <c r="O50" s="10">
        <v>0</v>
      </c>
      <c r="P50" s="245">
        <v>0</v>
      </c>
      <c r="Q50" s="246"/>
      <c r="R50" s="10">
        <v>0</v>
      </c>
      <c r="S50" s="10">
        <v>0</v>
      </c>
      <c r="T50" s="30"/>
      <c r="U50" s="3">
        <f t="shared" si="6"/>
        <v>8</v>
      </c>
      <c r="V50" s="242" t="s">
        <v>15</v>
      </c>
      <c r="W50" s="243"/>
      <c r="X50" s="243"/>
      <c r="Y50" s="19"/>
      <c r="Z50" s="245"/>
      <c r="AA50" s="246"/>
      <c r="AB50" s="19"/>
      <c r="AC50" s="19"/>
      <c r="AD50" s="16"/>
      <c r="AE50" s="247"/>
      <c r="AF50" s="248"/>
      <c r="AG50" s="19"/>
      <c r="AH50" s="16"/>
      <c r="AI50" s="30"/>
      <c r="AJ50" s="30"/>
      <c r="AK50" s="30"/>
      <c r="AL50" s="30"/>
      <c r="AM50" s="30"/>
      <c r="AN50" s="30"/>
      <c r="AO50" s="30"/>
      <c r="AP50" s="30"/>
      <c r="AQ50" s="30"/>
      <c r="AR50" s="30"/>
      <c r="AS50" s="30"/>
      <c r="AT50" s="117"/>
    </row>
    <row r="51" spans="1:46" ht="31.05" customHeight="1" x14ac:dyDescent="0.25">
      <c r="A51" s="3">
        <f t="shared" si="4"/>
        <v>9</v>
      </c>
      <c r="B51" s="240" t="s">
        <v>20</v>
      </c>
      <c r="C51" s="241"/>
      <c r="D51" s="6">
        <v>0</v>
      </c>
      <c r="E51" s="6">
        <v>0</v>
      </c>
      <c r="F51" s="6">
        <v>0</v>
      </c>
      <c r="G51" s="6">
        <v>0</v>
      </c>
      <c r="H51" s="30"/>
      <c r="I51" s="3">
        <f t="shared" si="5"/>
        <v>9</v>
      </c>
      <c r="J51" s="242" t="s">
        <v>21</v>
      </c>
      <c r="K51" s="243"/>
      <c r="L51" s="244"/>
      <c r="M51" s="10">
        <v>0</v>
      </c>
      <c r="N51" s="10">
        <v>0</v>
      </c>
      <c r="O51" s="10">
        <v>0</v>
      </c>
      <c r="P51" s="265">
        <v>0</v>
      </c>
      <c r="Q51" s="266"/>
      <c r="R51" s="10">
        <v>0</v>
      </c>
      <c r="S51" s="10">
        <v>0</v>
      </c>
      <c r="T51" s="30"/>
      <c r="U51" s="3">
        <f t="shared" si="6"/>
        <v>9</v>
      </c>
      <c r="V51" s="242" t="s">
        <v>21</v>
      </c>
      <c r="W51" s="243"/>
      <c r="X51" s="243"/>
      <c r="Y51" s="111"/>
      <c r="Z51" s="265"/>
      <c r="AA51" s="266"/>
      <c r="AB51" s="19"/>
      <c r="AC51" s="19"/>
      <c r="AD51" s="16"/>
      <c r="AE51" s="247"/>
      <c r="AF51" s="248"/>
      <c r="AG51" s="19"/>
      <c r="AH51" s="16"/>
      <c r="AI51" s="30"/>
      <c r="AJ51" s="30"/>
      <c r="AK51" s="30"/>
      <c r="AL51" s="30"/>
      <c r="AM51" s="30"/>
      <c r="AN51" s="30"/>
      <c r="AO51" s="30"/>
      <c r="AP51" s="30"/>
      <c r="AQ51" s="30"/>
      <c r="AR51" s="30"/>
      <c r="AS51" s="30"/>
      <c r="AT51" s="117"/>
    </row>
    <row r="52" spans="1:46" ht="28.5" customHeight="1" x14ac:dyDescent="0.25">
      <c r="A52" s="260" t="s">
        <v>16</v>
      </c>
      <c r="B52" s="258"/>
      <c r="C52" s="259"/>
      <c r="D52" s="7">
        <f>+SUM(D43:D51)</f>
        <v>0</v>
      </c>
      <c r="E52" s="7">
        <f t="shared" ref="E52:F52" si="7">+SUM(E43:E51)</f>
        <v>0</v>
      </c>
      <c r="F52" s="7">
        <f t="shared" si="7"/>
        <v>0</v>
      </c>
      <c r="G52" s="7">
        <f t="shared" ref="G52" si="8">+SUM(G43:G51)</f>
        <v>0</v>
      </c>
      <c r="H52" s="30"/>
      <c r="I52" s="260" t="s">
        <v>16</v>
      </c>
      <c r="J52" s="258"/>
      <c r="K52" s="258"/>
      <c r="L52" s="259"/>
      <c r="M52" s="11">
        <v>0</v>
      </c>
      <c r="N52" s="11">
        <v>0</v>
      </c>
      <c r="O52" s="11">
        <v>0</v>
      </c>
      <c r="P52" s="261">
        <v>0</v>
      </c>
      <c r="Q52" s="262"/>
      <c r="R52" s="11">
        <v>0</v>
      </c>
      <c r="S52" s="11">
        <v>0</v>
      </c>
      <c r="T52" s="30"/>
      <c r="U52" s="260" t="s">
        <v>16</v>
      </c>
      <c r="V52" s="258"/>
      <c r="W52" s="258"/>
      <c r="X52" s="259"/>
      <c r="Y52" s="58">
        <f>SUM(Y43:Y51)</f>
        <v>0</v>
      </c>
      <c r="Z52" s="263">
        <f>+SUM(Z43:AA51)</f>
        <v>0</v>
      </c>
      <c r="AA52" s="264"/>
      <c r="AB52" s="58">
        <f>SUM(AB43:AB51)</f>
        <v>0</v>
      </c>
      <c r="AC52" s="57">
        <v>0.1</v>
      </c>
      <c r="AD52" s="57">
        <v>0.1</v>
      </c>
      <c r="AE52" s="263">
        <v>0.1</v>
      </c>
      <c r="AF52" s="264"/>
      <c r="AG52" s="57">
        <v>0.1</v>
      </c>
      <c r="AH52" s="57">
        <v>0.1</v>
      </c>
      <c r="AI52" s="30"/>
      <c r="AJ52" s="30"/>
      <c r="AK52" s="30"/>
      <c r="AL52" s="30"/>
      <c r="AM52" s="30"/>
      <c r="AN52" s="30"/>
      <c r="AO52" s="30"/>
      <c r="AP52" s="30"/>
      <c r="AQ52" s="30"/>
      <c r="AR52" s="30"/>
      <c r="AS52" s="30"/>
      <c r="AT52" s="117"/>
    </row>
    <row r="53" spans="1:46" ht="24" customHeight="1" x14ac:dyDescent="0.35">
      <c r="A53" s="121" t="s">
        <v>108</v>
      </c>
      <c r="B53" s="122"/>
      <c r="C53" s="122"/>
      <c r="D53" s="123"/>
      <c r="E53" s="123"/>
      <c r="F53" s="123"/>
      <c r="G53" s="123"/>
      <c r="H53" s="123"/>
      <c r="I53" s="123"/>
      <c r="J53" s="123"/>
      <c r="K53" s="123"/>
      <c r="L53" s="123"/>
      <c r="M53" s="123"/>
      <c r="N53" s="123"/>
      <c r="O53" s="123"/>
      <c r="P53" s="123"/>
      <c r="Q53" s="123"/>
      <c r="R53" s="123"/>
      <c r="S53" s="123"/>
      <c r="T53" s="123"/>
      <c r="U53" s="123"/>
      <c r="V53" s="123"/>
      <c r="W53" s="123"/>
      <c r="X53" s="123"/>
      <c r="Y53" s="123"/>
      <c r="Z53" s="123"/>
      <c r="AA53" s="123"/>
      <c r="AB53" s="123"/>
      <c r="AC53" s="123"/>
      <c r="AD53" s="123"/>
      <c r="AE53" s="123"/>
      <c r="AF53" s="123"/>
      <c r="AG53" s="123"/>
      <c r="AH53" s="123"/>
      <c r="AI53" s="123"/>
      <c r="AJ53" s="123"/>
      <c r="AK53" s="123"/>
      <c r="AL53" s="123"/>
      <c r="AM53" s="123"/>
      <c r="AN53" s="123"/>
      <c r="AO53" s="123"/>
      <c r="AP53" s="123"/>
      <c r="AQ53" s="123"/>
      <c r="AR53" s="123"/>
      <c r="AS53" s="123"/>
      <c r="AT53" s="124"/>
    </row>
  </sheetData>
  <mergeCells count="192">
    <mergeCell ref="A52:C52"/>
    <mergeCell ref="I52:L52"/>
    <mergeCell ref="P52:Q52"/>
    <mergeCell ref="U52:X52"/>
    <mergeCell ref="Z52:AA52"/>
    <mergeCell ref="AE52:AF52"/>
    <mergeCell ref="B51:C51"/>
    <mergeCell ref="J51:L51"/>
    <mergeCell ref="P51:Q51"/>
    <mergeCell ref="V51:X51"/>
    <mergeCell ref="Z51:AA51"/>
    <mergeCell ref="AE51:AF51"/>
    <mergeCell ref="B50:C50"/>
    <mergeCell ref="J50:L50"/>
    <mergeCell ref="P50:Q50"/>
    <mergeCell ref="V50:X50"/>
    <mergeCell ref="Z50:AA50"/>
    <mergeCell ref="AE50:AF50"/>
    <mergeCell ref="B49:C49"/>
    <mergeCell ref="J49:L49"/>
    <mergeCell ref="P49:Q49"/>
    <mergeCell ref="V49:X49"/>
    <mergeCell ref="Z49:AA49"/>
    <mergeCell ref="AE49:AF49"/>
    <mergeCell ref="B48:C48"/>
    <mergeCell ref="J48:L48"/>
    <mergeCell ref="P48:Q48"/>
    <mergeCell ref="V48:X48"/>
    <mergeCell ref="Z48:AA48"/>
    <mergeCell ref="AE48:AF48"/>
    <mergeCell ref="B47:C47"/>
    <mergeCell ref="J47:L47"/>
    <mergeCell ref="P47:Q47"/>
    <mergeCell ref="V47:X47"/>
    <mergeCell ref="Z47:AA47"/>
    <mergeCell ref="AE47:AF47"/>
    <mergeCell ref="B46:C46"/>
    <mergeCell ref="J46:L46"/>
    <mergeCell ref="P46:Q46"/>
    <mergeCell ref="V46:X46"/>
    <mergeCell ref="Z46:AA46"/>
    <mergeCell ref="AE46:AF46"/>
    <mergeCell ref="B45:C45"/>
    <mergeCell ref="J45:L45"/>
    <mergeCell ref="P45:Q45"/>
    <mergeCell ref="V45:X45"/>
    <mergeCell ref="Z45:AA45"/>
    <mergeCell ref="AE45:AF45"/>
    <mergeCell ref="AE43:AF43"/>
    <mergeCell ref="B44:C44"/>
    <mergeCell ref="J44:L44"/>
    <mergeCell ref="P44:Q44"/>
    <mergeCell ref="V44:X44"/>
    <mergeCell ref="Z44:AA44"/>
    <mergeCell ref="AE44:AF44"/>
    <mergeCell ref="Y41:Y42"/>
    <mergeCell ref="Z41:AA42"/>
    <mergeCell ref="AB41:AD41"/>
    <mergeCell ref="AE41:AH41"/>
    <mergeCell ref="AE42:AF42"/>
    <mergeCell ref="B43:C43"/>
    <mergeCell ref="J43:L43"/>
    <mergeCell ref="P43:Q43"/>
    <mergeCell ref="V43:X43"/>
    <mergeCell ref="Z43:AA43"/>
    <mergeCell ref="I41:I42"/>
    <mergeCell ref="J41:L42"/>
    <mergeCell ref="M41:O41"/>
    <mergeCell ref="P41:S41"/>
    <mergeCell ref="U41:U42"/>
    <mergeCell ref="V41:X42"/>
    <mergeCell ref="B23:K23"/>
    <mergeCell ref="A40:G40"/>
    <mergeCell ref="I40:S40"/>
    <mergeCell ref="U40:AH40"/>
    <mergeCell ref="A41:A42"/>
    <mergeCell ref="B41:C42"/>
    <mergeCell ref="D41:D42"/>
    <mergeCell ref="E41:E42"/>
    <mergeCell ref="F41:F42"/>
    <mergeCell ref="G41:G42"/>
    <mergeCell ref="B21:K21"/>
    <mergeCell ref="N21:W21"/>
    <mergeCell ref="Z21:AI21"/>
    <mergeCell ref="AL21:AT21"/>
    <mergeCell ref="B22:K22"/>
    <mergeCell ref="N22:W22"/>
    <mergeCell ref="Z22:AI22"/>
    <mergeCell ref="AL22:AT22"/>
    <mergeCell ref="B19:K19"/>
    <mergeCell ref="N19:W19"/>
    <mergeCell ref="Y19:AI19"/>
    <mergeCell ref="AK19:AT19"/>
    <mergeCell ref="B20:K20"/>
    <mergeCell ref="N20:W20"/>
    <mergeCell ref="Z20:AI20"/>
    <mergeCell ref="AL20:AT20"/>
    <mergeCell ref="B17:K17"/>
    <mergeCell ref="N17:W17"/>
    <mergeCell ref="Z17:AI17"/>
    <mergeCell ref="AL17:AT17"/>
    <mergeCell ref="B18:K18"/>
    <mergeCell ref="N18:W18"/>
    <mergeCell ref="Z18:AI18"/>
    <mergeCell ref="AL18:AT18"/>
    <mergeCell ref="B15:K15"/>
    <mergeCell ref="N15:W15"/>
    <mergeCell ref="Z15:AI15"/>
    <mergeCell ref="AL15:AT15"/>
    <mergeCell ref="B16:K16"/>
    <mergeCell ref="N16:W16"/>
    <mergeCell ref="Z16:AI16"/>
    <mergeCell ref="AL16:AT16"/>
    <mergeCell ref="B14:K14"/>
    <mergeCell ref="N14:W14"/>
    <mergeCell ref="Z14:AI14"/>
    <mergeCell ref="AL14:AT14"/>
    <mergeCell ref="Y10:AB10"/>
    <mergeCell ref="AC10:AD10"/>
    <mergeCell ref="AG10:AJ10"/>
    <mergeCell ref="AK10:AL10"/>
    <mergeCell ref="AR10:AS10"/>
    <mergeCell ref="A12:K12"/>
    <mergeCell ref="M12:W12"/>
    <mergeCell ref="Y12:AI12"/>
    <mergeCell ref="AK12:AT12"/>
    <mergeCell ref="A10:C10"/>
    <mergeCell ref="D10:F10"/>
    <mergeCell ref="I10:K10"/>
    <mergeCell ref="L10:N10"/>
    <mergeCell ref="Q10:S10"/>
    <mergeCell ref="T10:V10"/>
    <mergeCell ref="AR9:AS9"/>
    <mergeCell ref="Y8:AB8"/>
    <mergeCell ref="AC8:AD8"/>
    <mergeCell ref="AG8:AJ8"/>
    <mergeCell ref="AK8:AL8"/>
    <mergeCell ref="AR8:AS8"/>
    <mergeCell ref="B13:K13"/>
    <mergeCell ref="N13:W13"/>
    <mergeCell ref="Z13:AI13"/>
    <mergeCell ref="AL13:AT13"/>
    <mergeCell ref="A9:C9"/>
    <mergeCell ref="D9:F9"/>
    <mergeCell ref="I9:K9"/>
    <mergeCell ref="L9:N9"/>
    <mergeCell ref="Q9:S9"/>
    <mergeCell ref="Y7:AB7"/>
    <mergeCell ref="AC7:AD7"/>
    <mergeCell ref="AG7:AJ7"/>
    <mergeCell ref="AK7:AL7"/>
    <mergeCell ref="T9:V9"/>
    <mergeCell ref="Y9:AB9"/>
    <mergeCell ref="AC9:AD9"/>
    <mergeCell ref="AG9:AJ9"/>
    <mergeCell ref="AK9:AL9"/>
    <mergeCell ref="AR7:AS7"/>
    <mergeCell ref="A8:C8"/>
    <mergeCell ref="D8:F8"/>
    <mergeCell ref="L8:N8"/>
    <mergeCell ref="Q8:S8"/>
    <mergeCell ref="T8:V8"/>
    <mergeCell ref="AI5:AK5"/>
    <mergeCell ref="AL5:AN5"/>
    <mergeCell ref="AO5:AQ5"/>
    <mergeCell ref="AR5:AT5"/>
    <mergeCell ref="A7:C7"/>
    <mergeCell ref="D7:F7"/>
    <mergeCell ref="I7:K7"/>
    <mergeCell ref="L7:N7"/>
    <mergeCell ref="Q7:S7"/>
    <mergeCell ref="T7:V7"/>
    <mergeCell ref="Q5:S5"/>
    <mergeCell ref="T5:V5"/>
    <mergeCell ref="W5:Y5"/>
    <mergeCell ref="Z5:AB5"/>
    <mergeCell ref="AC5:AE5"/>
    <mergeCell ref="AF5:AH5"/>
    <mergeCell ref="A5:B5"/>
    <mergeCell ref="C5:E5"/>
    <mergeCell ref="F5:H5"/>
    <mergeCell ref="I5:J5"/>
    <mergeCell ref="K5:M5"/>
    <mergeCell ref="N5:O5"/>
    <mergeCell ref="A2:G3"/>
    <mergeCell ref="H2:AE2"/>
    <mergeCell ref="AF2:AI2"/>
    <mergeCell ref="AK2:AL2"/>
    <mergeCell ref="AM2:AT3"/>
    <mergeCell ref="H3:AE3"/>
    <mergeCell ref="AF3:AI3"/>
    <mergeCell ref="AK3:AL3"/>
  </mergeCells>
  <pageMargins left="0.70866141732283472" right="0.70866141732283472" top="0.74803149606299213" bottom="0.74803149606299213" header="0.31496062992125984" footer="0.31496062992125984"/>
  <pageSetup paperSize="8" scale="55" fitToHeight="0" orientation="landscape" horizontalDpi="1200" verticalDpi="1200" r:id="rId1"/>
  <headerFooter>
    <oddFooter>&amp;R&amp;14Template Rev. 1   Dated  25-Sep-18</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F4EC0-D292-4E8C-89FB-7664AD481F97}">
  <sheetPr>
    <pageSetUpPr fitToPage="1"/>
  </sheetPr>
  <dimension ref="A2:P62"/>
  <sheetViews>
    <sheetView zoomScale="70" zoomScaleNormal="70" workbookViewId="0">
      <selection activeCell="B39" sqref="B39"/>
    </sheetView>
  </sheetViews>
  <sheetFormatPr defaultRowHeight="13.2" x14ac:dyDescent="0.25"/>
  <cols>
    <col min="2" max="2" width="56.77734375" bestFit="1" customWidth="1"/>
    <col min="3" max="3" width="12.6640625" bestFit="1" customWidth="1"/>
    <col min="4" max="12" width="12" bestFit="1" customWidth="1"/>
    <col min="13" max="16" width="13.21875" bestFit="1" customWidth="1"/>
  </cols>
  <sheetData>
    <row r="2" spans="1:16" x14ac:dyDescent="0.25">
      <c r="B2" s="43" t="s">
        <v>81</v>
      </c>
      <c r="C2">
        <v>10000</v>
      </c>
      <c r="D2" s="43" t="s">
        <v>99</v>
      </c>
    </row>
    <row r="3" spans="1:16" x14ac:dyDescent="0.25">
      <c r="B3" s="43" t="s">
        <v>148</v>
      </c>
      <c r="C3">
        <v>12</v>
      </c>
      <c r="D3" s="43" t="s">
        <v>111</v>
      </c>
    </row>
    <row r="4" spans="1:16" x14ac:dyDescent="0.25">
      <c r="B4" s="43" t="s">
        <v>112</v>
      </c>
      <c r="C4">
        <v>2000</v>
      </c>
      <c r="D4" s="43" t="s">
        <v>26</v>
      </c>
    </row>
    <row r="5" spans="1:16" x14ac:dyDescent="0.25">
      <c r="B5" s="43" t="s">
        <v>143</v>
      </c>
      <c r="C5" s="43" t="s">
        <v>144</v>
      </c>
      <c r="D5" s="43"/>
    </row>
    <row r="6" spans="1:16" x14ac:dyDescent="0.25">
      <c r="B6" s="43" t="s">
        <v>145</v>
      </c>
      <c r="C6" s="43">
        <v>30</v>
      </c>
      <c r="D6" s="43" t="s">
        <v>97</v>
      </c>
    </row>
    <row r="9" spans="1:16" x14ac:dyDescent="0.25">
      <c r="A9" s="59" t="s">
        <v>37</v>
      </c>
      <c r="B9" s="59" t="s">
        <v>38</v>
      </c>
      <c r="C9" s="7" t="s">
        <v>39</v>
      </c>
      <c r="D9" s="7" t="s">
        <v>40</v>
      </c>
      <c r="E9" s="7" t="s">
        <v>41</v>
      </c>
      <c r="F9" s="7" t="s">
        <v>42</v>
      </c>
      <c r="G9" s="7" t="s">
        <v>43</v>
      </c>
      <c r="H9" s="7" t="s">
        <v>44</v>
      </c>
      <c r="I9" s="7" t="s">
        <v>45</v>
      </c>
      <c r="J9" s="7" t="s">
        <v>46</v>
      </c>
      <c r="K9" s="7" t="s">
        <v>47</v>
      </c>
      <c r="L9" s="7" t="s">
        <v>48</v>
      </c>
      <c r="M9" s="7" t="s">
        <v>49</v>
      </c>
      <c r="N9" s="7" t="s">
        <v>50</v>
      </c>
      <c r="O9" s="7" t="s">
        <v>51</v>
      </c>
      <c r="P9" s="7" t="s">
        <v>52</v>
      </c>
    </row>
    <row r="10" spans="1:16" x14ac:dyDescent="0.25">
      <c r="A10" s="59"/>
      <c r="B10" s="60" t="s">
        <v>53</v>
      </c>
      <c r="C10" s="7" t="s">
        <v>54</v>
      </c>
      <c r="D10" s="7" t="s">
        <v>55</v>
      </c>
      <c r="E10" s="7" t="s">
        <v>56</v>
      </c>
      <c r="F10" s="7" t="s">
        <v>57</v>
      </c>
      <c r="G10" s="7" t="s">
        <v>58</v>
      </c>
      <c r="H10" s="7" t="s">
        <v>59</v>
      </c>
      <c r="I10" s="7" t="s">
        <v>60</v>
      </c>
      <c r="J10" s="7" t="s">
        <v>61</v>
      </c>
      <c r="K10" s="7" t="s">
        <v>62</v>
      </c>
      <c r="L10" s="7" t="s">
        <v>63</v>
      </c>
      <c r="M10" s="7" t="s">
        <v>64</v>
      </c>
      <c r="N10" s="7" t="s">
        <v>65</v>
      </c>
      <c r="O10" s="7" t="s">
        <v>66</v>
      </c>
      <c r="P10" s="7" t="s">
        <v>67</v>
      </c>
    </row>
    <row r="11" spans="1:16" x14ac:dyDescent="0.25">
      <c r="A11" s="313" t="s">
        <v>125</v>
      </c>
      <c r="B11" s="314"/>
      <c r="C11" s="327"/>
      <c r="D11" s="327"/>
      <c r="E11" s="327"/>
      <c r="F11" s="327"/>
      <c r="G11" s="327"/>
      <c r="H11" s="327"/>
      <c r="I11" s="327"/>
      <c r="J11" s="327"/>
      <c r="K11" s="327"/>
      <c r="L11" s="327"/>
      <c r="M11" s="327"/>
      <c r="N11" s="327"/>
      <c r="O11" s="327"/>
      <c r="P11" s="327"/>
    </row>
    <row r="12" spans="1:16" ht="13.8" x14ac:dyDescent="0.25">
      <c r="A12" s="61">
        <v>1</v>
      </c>
      <c r="B12" s="62" t="s">
        <v>102</v>
      </c>
      <c r="C12" s="63">
        <v>0</v>
      </c>
      <c r="D12" s="63">
        <v>5.8000000000000003E-2</v>
      </c>
      <c r="E12" s="63">
        <v>6.9000000000000006E-2</v>
      </c>
      <c r="F12" s="63">
        <v>7.6999999999999999E-2</v>
      </c>
      <c r="G12" s="63">
        <v>8.7999999999999995E-2</v>
      </c>
      <c r="H12" s="63">
        <v>9.4E-2</v>
      </c>
      <c r="I12" s="63">
        <v>9.7000000000000003E-2</v>
      </c>
      <c r="J12" s="63">
        <v>9.7000000000000003E-2</v>
      </c>
      <c r="K12" s="63">
        <v>9.6000000000000002E-2</v>
      </c>
      <c r="L12" s="63">
        <v>8.8999999999999996E-2</v>
      </c>
      <c r="M12" s="63">
        <v>8.2000000000000003E-2</v>
      </c>
      <c r="N12" s="63">
        <v>7.6999999999999999E-2</v>
      </c>
      <c r="O12" s="63">
        <v>7.5999999999999998E-2</v>
      </c>
      <c r="P12" s="63">
        <v>0</v>
      </c>
    </row>
    <row r="13" spans="1:16" ht="13.8" x14ac:dyDescent="0.25">
      <c r="A13" s="64">
        <v>2</v>
      </c>
      <c r="B13" s="65" t="s">
        <v>132</v>
      </c>
      <c r="C13" s="66">
        <v>0</v>
      </c>
      <c r="D13" s="66">
        <f>+C13+D12</f>
        <v>5.8000000000000003E-2</v>
      </c>
      <c r="E13" s="66">
        <f t="shared" ref="E13:O13" si="0">+D13+E12</f>
        <v>0.127</v>
      </c>
      <c r="F13" s="66">
        <f t="shared" si="0"/>
        <v>0.20400000000000001</v>
      </c>
      <c r="G13" s="66">
        <f t="shared" si="0"/>
        <v>0.29200000000000004</v>
      </c>
      <c r="H13" s="66">
        <f t="shared" si="0"/>
        <v>0.38600000000000001</v>
      </c>
      <c r="I13" s="66">
        <f t="shared" si="0"/>
        <v>0.48299999999999998</v>
      </c>
      <c r="J13" s="66">
        <f t="shared" si="0"/>
        <v>0.57999999999999996</v>
      </c>
      <c r="K13" s="66">
        <f t="shared" si="0"/>
        <v>0.67599999999999993</v>
      </c>
      <c r="L13" s="66">
        <f t="shared" si="0"/>
        <v>0.7649999999999999</v>
      </c>
      <c r="M13" s="66">
        <f t="shared" si="0"/>
        <v>0.84699999999999986</v>
      </c>
      <c r="N13" s="66">
        <f t="shared" si="0"/>
        <v>0.92399999999999982</v>
      </c>
      <c r="O13" s="66">
        <f t="shared" si="0"/>
        <v>0.99999999999999978</v>
      </c>
      <c r="P13" s="66">
        <v>1</v>
      </c>
    </row>
    <row r="14" spans="1:16" ht="13.8" x14ac:dyDescent="0.25">
      <c r="A14" s="64">
        <v>3</v>
      </c>
      <c r="B14" s="65" t="s">
        <v>114</v>
      </c>
      <c r="C14" s="67">
        <f>+C12*$C$4</f>
        <v>0</v>
      </c>
      <c r="D14" s="67">
        <f t="shared" ref="D14:P15" si="1">+D12*$C$4</f>
        <v>116</v>
      </c>
      <c r="E14" s="67">
        <f t="shared" si="1"/>
        <v>138</v>
      </c>
      <c r="F14" s="67">
        <f t="shared" si="1"/>
        <v>154</v>
      </c>
      <c r="G14" s="67">
        <f t="shared" si="1"/>
        <v>176</v>
      </c>
      <c r="H14" s="67">
        <f t="shared" si="1"/>
        <v>188</v>
      </c>
      <c r="I14" s="67">
        <f t="shared" si="1"/>
        <v>194</v>
      </c>
      <c r="J14" s="67">
        <f t="shared" si="1"/>
        <v>194</v>
      </c>
      <c r="K14" s="67">
        <f t="shared" si="1"/>
        <v>192</v>
      </c>
      <c r="L14" s="67">
        <f t="shared" si="1"/>
        <v>178</v>
      </c>
      <c r="M14" s="67">
        <f t="shared" si="1"/>
        <v>164</v>
      </c>
      <c r="N14" s="67">
        <f t="shared" si="1"/>
        <v>154</v>
      </c>
      <c r="O14" s="67">
        <f t="shared" si="1"/>
        <v>152</v>
      </c>
      <c r="P14" s="67">
        <f t="shared" si="1"/>
        <v>0</v>
      </c>
    </row>
    <row r="15" spans="1:16" ht="13.8" x14ac:dyDescent="0.25">
      <c r="A15" s="64">
        <v>4</v>
      </c>
      <c r="B15" s="65" t="s">
        <v>133</v>
      </c>
      <c r="C15" s="67">
        <f>+C13*$C$4</f>
        <v>0</v>
      </c>
      <c r="D15" s="67">
        <f t="shared" si="1"/>
        <v>116</v>
      </c>
      <c r="E15" s="67">
        <f t="shared" si="1"/>
        <v>254</v>
      </c>
      <c r="F15" s="67">
        <f t="shared" si="1"/>
        <v>408.00000000000006</v>
      </c>
      <c r="G15" s="67">
        <f t="shared" si="1"/>
        <v>584.00000000000011</v>
      </c>
      <c r="H15" s="67">
        <f t="shared" si="1"/>
        <v>772</v>
      </c>
      <c r="I15" s="67">
        <f t="shared" si="1"/>
        <v>966</v>
      </c>
      <c r="J15" s="67">
        <f t="shared" si="1"/>
        <v>1160</v>
      </c>
      <c r="K15" s="67">
        <f t="shared" si="1"/>
        <v>1351.9999999999998</v>
      </c>
      <c r="L15" s="67">
        <f t="shared" si="1"/>
        <v>1529.9999999999998</v>
      </c>
      <c r="M15" s="67">
        <f t="shared" si="1"/>
        <v>1693.9999999999998</v>
      </c>
      <c r="N15" s="67">
        <f t="shared" si="1"/>
        <v>1847.9999999999995</v>
      </c>
      <c r="O15" s="67">
        <f t="shared" si="1"/>
        <v>1999.9999999999995</v>
      </c>
      <c r="P15" s="67">
        <f t="shared" si="1"/>
        <v>2000</v>
      </c>
    </row>
    <row r="16" spans="1:16" ht="13.8" x14ac:dyDescent="0.25">
      <c r="A16" s="64">
        <v>5</v>
      </c>
      <c r="B16" s="65" t="s">
        <v>113</v>
      </c>
      <c r="C16" s="67">
        <f>+$C$2*C12</f>
        <v>0</v>
      </c>
      <c r="D16" s="67">
        <f t="shared" ref="D16:P17" si="2">+$C$2*D12</f>
        <v>580</v>
      </c>
      <c r="E16" s="67">
        <f t="shared" si="2"/>
        <v>690.00000000000011</v>
      </c>
      <c r="F16" s="67">
        <f t="shared" si="2"/>
        <v>770</v>
      </c>
      <c r="G16" s="67">
        <f t="shared" si="2"/>
        <v>880</v>
      </c>
      <c r="H16" s="67">
        <f t="shared" si="2"/>
        <v>940</v>
      </c>
      <c r="I16" s="67">
        <f t="shared" si="2"/>
        <v>970</v>
      </c>
      <c r="J16" s="67">
        <f t="shared" si="2"/>
        <v>970</v>
      </c>
      <c r="K16" s="67">
        <f t="shared" si="2"/>
        <v>960</v>
      </c>
      <c r="L16" s="67">
        <f t="shared" si="2"/>
        <v>890</v>
      </c>
      <c r="M16" s="67">
        <f t="shared" si="2"/>
        <v>820</v>
      </c>
      <c r="N16" s="67">
        <f t="shared" si="2"/>
        <v>770</v>
      </c>
      <c r="O16" s="67">
        <f t="shared" si="2"/>
        <v>760</v>
      </c>
      <c r="P16" s="67">
        <f t="shared" si="2"/>
        <v>0</v>
      </c>
    </row>
    <row r="17" spans="1:16" ht="13.8" x14ac:dyDescent="0.25">
      <c r="A17" s="68">
        <v>6</v>
      </c>
      <c r="B17" s="69" t="s">
        <v>134</v>
      </c>
      <c r="C17" s="70">
        <f>+$C$2*C13</f>
        <v>0</v>
      </c>
      <c r="D17" s="70">
        <f t="shared" si="2"/>
        <v>580</v>
      </c>
      <c r="E17" s="70">
        <f t="shared" si="2"/>
        <v>1270</v>
      </c>
      <c r="F17" s="70">
        <f t="shared" si="2"/>
        <v>2040.0000000000002</v>
      </c>
      <c r="G17" s="70">
        <f t="shared" si="2"/>
        <v>2920.0000000000005</v>
      </c>
      <c r="H17" s="70">
        <f t="shared" si="2"/>
        <v>3860</v>
      </c>
      <c r="I17" s="70">
        <f t="shared" si="2"/>
        <v>4830</v>
      </c>
      <c r="J17" s="70">
        <f t="shared" si="2"/>
        <v>5800</v>
      </c>
      <c r="K17" s="70">
        <f t="shared" si="2"/>
        <v>6759.9999999999991</v>
      </c>
      <c r="L17" s="70">
        <f t="shared" si="2"/>
        <v>7649.9999999999991</v>
      </c>
      <c r="M17" s="70">
        <f t="shared" si="2"/>
        <v>8469.9999999999982</v>
      </c>
      <c r="N17" s="70">
        <f t="shared" si="2"/>
        <v>9239.9999999999982</v>
      </c>
      <c r="O17" s="70">
        <f t="shared" si="2"/>
        <v>9999.9999999999982</v>
      </c>
      <c r="P17" s="70">
        <f t="shared" si="2"/>
        <v>10000</v>
      </c>
    </row>
    <row r="18" spans="1:16" ht="13.8" x14ac:dyDescent="0.25">
      <c r="A18" s="41"/>
      <c r="B18" s="323"/>
      <c r="C18" s="323"/>
      <c r="D18" s="323"/>
      <c r="E18" s="323"/>
      <c r="F18" s="323"/>
      <c r="G18" s="323"/>
      <c r="H18" s="323"/>
      <c r="I18" s="323"/>
      <c r="J18" s="323"/>
      <c r="K18" s="323"/>
      <c r="L18" s="323"/>
      <c r="M18" s="323"/>
      <c r="N18" s="323"/>
      <c r="O18" s="323"/>
      <c r="P18" s="323"/>
    </row>
    <row r="19" spans="1:16" ht="13.8" x14ac:dyDescent="0.25">
      <c r="A19" s="315" t="s">
        <v>126</v>
      </c>
      <c r="B19" s="316"/>
      <c r="C19" s="324"/>
      <c r="D19" s="325"/>
      <c r="E19" s="325"/>
      <c r="F19" s="325"/>
      <c r="G19" s="325"/>
      <c r="H19" s="325"/>
      <c r="I19" s="325"/>
      <c r="J19" s="325"/>
      <c r="K19" s="325"/>
      <c r="L19" s="325"/>
      <c r="M19" s="325"/>
      <c r="N19" s="325"/>
      <c r="O19" s="325"/>
      <c r="P19" s="326"/>
    </row>
    <row r="20" spans="1:16" ht="13.8" x14ac:dyDescent="0.25">
      <c r="A20" s="71">
        <v>7</v>
      </c>
      <c r="B20" s="72" t="s">
        <v>110</v>
      </c>
      <c r="C20" s="73"/>
      <c r="D20" s="73"/>
      <c r="E20" s="73"/>
      <c r="F20" s="73"/>
      <c r="G20" s="73"/>
      <c r="H20" s="73"/>
      <c r="I20" s="73">
        <v>0</v>
      </c>
      <c r="J20" s="73">
        <f>+J21-I21</f>
        <v>0.11100000000000004</v>
      </c>
      <c r="K20" s="73">
        <f t="shared" ref="K20:P20" si="3">+K21-J21</f>
        <v>9.8000000000000032E-2</v>
      </c>
      <c r="L20" s="73">
        <f t="shared" si="3"/>
        <v>0.11799999999999999</v>
      </c>
      <c r="M20" s="73">
        <f t="shared" si="3"/>
        <v>0.10799999999999998</v>
      </c>
      <c r="N20" s="73">
        <f t="shared" si="3"/>
        <v>0.10199999999999998</v>
      </c>
      <c r="O20" s="73">
        <f t="shared" si="3"/>
        <v>0.10699999999999976</v>
      </c>
      <c r="P20" s="73">
        <f t="shared" si="3"/>
        <v>0</v>
      </c>
    </row>
    <row r="21" spans="1:16" ht="13.8" x14ac:dyDescent="0.25">
      <c r="A21" s="74">
        <f>+A20+1</f>
        <v>8</v>
      </c>
      <c r="B21" s="75" t="s">
        <v>98</v>
      </c>
      <c r="C21" s="76"/>
      <c r="D21" s="76"/>
      <c r="E21" s="76"/>
      <c r="F21" s="76"/>
      <c r="G21" s="76"/>
      <c r="H21" s="76"/>
      <c r="I21" s="76">
        <v>0.35599999999999998</v>
      </c>
      <c r="J21" s="76">
        <v>0.46700000000000003</v>
      </c>
      <c r="K21" s="76">
        <f>+J21+9.8%</f>
        <v>0.56500000000000006</v>
      </c>
      <c r="L21" s="76">
        <f>+K21+11.8%</f>
        <v>0.68300000000000005</v>
      </c>
      <c r="M21" s="76">
        <f>+L21+10.8%</f>
        <v>0.79100000000000004</v>
      </c>
      <c r="N21" s="76">
        <f>+M21+10.2%</f>
        <v>0.89300000000000002</v>
      </c>
      <c r="O21" s="76">
        <f>+O13</f>
        <v>0.99999999999999978</v>
      </c>
      <c r="P21" s="76">
        <v>1</v>
      </c>
    </row>
    <row r="22" spans="1:16" ht="13.8" x14ac:dyDescent="0.25">
      <c r="A22" s="74">
        <f t="shared" ref="A22:A25" si="4">+A21+1</f>
        <v>9</v>
      </c>
      <c r="B22" s="75" t="s">
        <v>115</v>
      </c>
      <c r="C22" s="77"/>
      <c r="D22" s="77"/>
      <c r="E22" s="77"/>
      <c r="F22" s="77"/>
      <c r="G22" s="77"/>
      <c r="H22" s="77"/>
      <c r="I22" s="77">
        <f t="shared" ref="I22:P22" si="5">+I20*$C$4</f>
        <v>0</v>
      </c>
      <c r="J22" s="77">
        <f t="shared" si="5"/>
        <v>222.00000000000009</v>
      </c>
      <c r="K22" s="77">
        <f t="shared" si="5"/>
        <v>196.00000000000006</v>
      </c>
      <c r="L22" s="77">
        <f t="shared" si="5"/>
        <v>236</v>
      </c>
      <c r="M22" s="77">
        <f t="shared" si="5"/>
        <v>215.99999999999997</v>
      </c>
      <c r="N22" s="77">
        <f t="shared" si="5"/>
        <v>203.99999999999997</v>
      </c>
      <c r="O22" s="77">
        <f t="shared" si="5"/>
        <v>213.99999999999952</v>
      </c>
      <c r="P22" s="77">
        <f t="shared" si="5"/>
        <v>0</v>
      </c>
    </row>
    <row r="23" spans="1:16" ht="13.8" x14ac:dyDescent="0.25">
      <c r="A23" s="74">
        <f t="shared" si="4"/>
        <v>10</v>
      </c>
      <c r="B23" s="75" t="s">
        <v>135</v>
      </c>
      <c r="C23" s="77"/>
      <c r="D23" s="77"/>
      <c r="E23" s="77"/>
      <c r="F23" s="77"/>
      <c r="G23" s="77"/>
      <c r="H23" s="77"/>
      <c r="I23" s="77">
        <f t="shared" ref="I23:P23" si="6">+I21*$C$4</f>
        <v>712</v>
      </c>
      <c r="J23" s="77">
        <f t="shared" si="6"/>
        <v>934</v>
      </c>
      <c r="K23" s="77">
        <f t="shared" si="6"/>
        <v>1130.0000000000002</v>
      </c>
      <c r="L23" s="77">
        <f t="shared" si="6"/>
        <v>1366</v>
      </c>
      <c r="M23" s="77">
        <f t="shared" si="6"/>
        <v>1582</v>
      </c>
      <c r="N23" s="77">
        <f t="shared" si="6"/>
        <v>1786</v>
      </c>
      <c r="O23" s="77">
        <f t="shared" si="6"/>
        <v>1999.9999999999995</v>
      </c>
      <c r="P23" s="77">
        <f t="shared" si="6"/>
        <v>2000</v>
      </c>
    </row>
    <row r="24" spans="1:16" ht="13.8" x14ac:dyDescent="0.25">
      <c r="A24" s="74">
        <f t="shared" si="4"/>
        <v>11</v>
      </c>
      <c r="B24" s="75" t="s">
        <v>116</v>
      </c>
      <c r="C24" s="77"/>
      <c r="D24" s="77"/>
      <c r="E24" s="77"/>
      <c r="F24" s="77"/>
      <c r="G24" s="77"/>
      <c r="H24" s="77"/>
      <c r="I24" s="77">
        <f t="shared" ref="I24:P24" si="7">+$C$2*I20</f>
        <v>0</v>
      </c>
      <c r="J24" s="77">
        <f t="shared" si="7"/>
        <v>1110.0000000000005</v>
      </c>
      <c r="K24" s="77">
        <f t="shared" si="7"/>
        <v>980.00000000000034</v>
      </c>
      <c r="L24" s="77">
        <f t="shared" si="7"/>
        <v>1180</v>
      </c>
      <c r="M24" s="77">
        <f t="shared" si="7"/>
        <v>1079.9999999999998</v>
      </c>
      <c r="N24" s="77">
        <f t="shared" si="7"/>
        <v>1019.9999999999998</v>
      </c>
      <c r="O24" s="77">
        <f t="shared" si="7"/>
        <v>1069.9999999999977</v>
      </c>
      <c r="P24" s="77">
        <f t="shared" si="7"/>
        <v>0</v>
      </c>
    </row>
    <row r="25" spans="1:16" ht="13.8" x14ac:dyDescent="0.25">
      <c r="A25" s="78">
        <f t="shared" si="4"/>
        <v>12</v>
      </c>
      <c r="B25" s="79" t="s">
        <v>136</v>
      </c>
      <c r="C25" s="80"/>
      <c r="D25" s="80"/>
      <c r="E25" s="80"/>
      <c r="F25" s="80"/>
      <c r="G25" s="80"/>
      <c r="H25" s="80"/>
      <c r="I25" s="80">
        <f t="shared" ref="I25:P25" si="8">+$C$2*I21</f>
        <v>3560</v>
      </c>
      <c r="J25" s="80">
        <f t="shared" si="8"/>
        <v>4670</v>
      </c>
      <c r="K25" s="80">
        <f t="shared" si="8"/>
        <v>5650.0000000000009</v>
      </c>
      <c r="L25" s="80">
        <f t="shared" si="8"/>
        <v>6830.0000000000009</v>
      </c>
      <c r="M25" s="80">
        <f t="shared" si="8"/>
        <v>7910</v>
      </c>
      <c r="N25" s="80">
        <f t="shared" si="8"/>
        <v>8930</v>
      </c>
      <c r="O25" s="80">
        <f t="shared" si="8"/>
        <v>9999.9999999999982</v>
      </c>
      <c r="P25" s="80">
        <f t="shared" si="8"/>
        <v>10000</v>
      </c>
    </row>
    <row r="26" spans="1:16" ht="13.8" x14ac:dyDescent="0.25">
      <c r="A26" s="41"/>
      <c r="B26" s="309"/>
      <c r="C26" s="309"/>
      <c r="D26" s="309"/>
      <c r="E26" s="309"/>
      <c r="F26" s="309"/>
      <c r="G26" s="309"/>
      <c r="H26" s="309"/>
      <c r="I26" s="309"/>
      <c r="J26" s="309"/>
      <c r="K26" s="309"/>
      <c r="L26" s="309"/>
      <c r="M26" s="309"/>
      <c r="N26" s="309"/>
      <c r="O26" s="309"/>
      <c r="P26" s="310"/>
    </row>
    <row r="27" spans="1:16" ht="13.8" x14ac:dyDescent="0.25">
      <c r="A27" s="317" t="s">
        <v>127</v>
      </c>
      <c r="B27" s="318"/>
      <c r="C27" s="328"/>
      <c r="D27" s="328"/>
      <c r="E27" s="328"/>
      <c r="F27" s="328"/>
      <c r="G27" s="328"/>
      <c r="H27" s="328"/>
      <c r="I27" s="328"/>
      <c r="J27" s="328"/>
      <c r="K27" s="328"/>
      <c r="L27" s="328"/>
      <c r="M27" s="328"/>
      <c r="N27" s="328"/>
      <c r="O27" s="328"/>
      <c r="P27" s="329"/>
    </row>
    <row r="28" spans="1:16" ht="13.8" x14ac:dyDescent="0.25">
      <c r="A28" s="81">
        <v>13</v>
      </c>
      <c r="B28" s="82" t="s">
        <v>117</v>
      </c>
      <c r="C28" s="83">
        <v>0</v>
      </c>
      <c r="D28" s="83">
        <f>+D29-C29</f>
        <v>2.5000000000000001E-2</v>
      </c>
      <c r="E28" s="83">
        <f t="shared" ref="E28:I28" si="9">+E29-D29</f>
        <v>5.3999999999999999E-2</v>
      </c>
      <c r="F28" s="83">
        <f t="shared" si="9"/>
        <v>7.6999999999999999E-2</v>
      </c>
      <c r="G28" s="83">
        <f t="shared" si="9"/>
        <v>7.1000000000000008E-2</v>
      </c>
      <c r="H28" s="83">
        <f t="shared" si="9"/>
        <v>4.5000000000000012E-2</v>
      </c>
      <c r="I28" s="83">
        <f t="shared" si="9"/>
        <v>8.3999999999999964E-2</v>
      </c>
      <c r="J28" s="83"/>
      <c r="K28" s="83"/>
      <c r="L28" s="83"/>
      <c r="M28" s="83"/>
      <c r="N28" s="83"/>
      <c r="O28" s="83"/>
      <c r="P28" s="83"/>
    </row>
    <row r="29" spans="1:16" ht="13.8" x14ac:dyDescent="0.25">
      <c r="A29" s="84">
        <f>+A28+1</f>
        <v>14</v>
      </c>
      <c r="B29" s="85" t="s">
        <v>118</v>
      </c>
      <c r="C29" s="86">
        <v>0</v>
      </c>
      <c r="D29" s="86">
        <v>2.5000000000000001E-2</v>
      </c>
      <c r="E29" s="86">
        <v>7.9000000000000001E-2</v>
      </c>
      <c r="F29" s="86">
        <v>0.156</v>
      </c>
      <c r="G29" s="86">
        <v>0.22700000000000001</v>
      </c>
      <c r="H29" s="86">
        <v>0.27200000000000002</v>
      </c>
      <c r="I29" s="86">
        <v>0.35599999999999998</v>
      </c>
      <c r="J29" s="86"/>
      <c r="K29" s="86"/>
      <c r="L29" s="86"/>
      <c r="M29" s="86"/>
      <c r="N29" s="86"/>
      <c r="O29" s="86"/>
      <c r="P29" s="86"/>
    </row>
    <row r="30" spans="1:16" ht="13.8" x14ac:dyDescent="0.25">
      <c r="A30" s="84">
        <f t="shared" ref="A30:A33" si="10">+A29+1</f>
        <v>15</v>
      </c>
      <c r="B30" s="85" t="s">
        <v>119</v>
      </c>
      <c r="C30" s="87">
        <f t="shared" ref="C30:I30" si="11">+C28*$C$4</f>
        <v>0</v>
      </c>
      <c r="D30" s="87">
        <f t="shared" si="11"/>
        <v>50</v>
      </c>
      <c r="E30" s="87">
        <f t="shared" si="11"/>
        <v>108</v>
      </c>
      <c r="F30" s="87">
        <f t="shared" si="11"/>
        <v>154</v>
      </c>
      <c r="G30" s="87">
        <f t="shared" si="11"/>
        <v>142.00000000000003</v>
      </c>
      <c r="H30" s="87">
        <f t="shared" si="11"/>
        <v>90.000000000000028</v>
      </c>
      <c r="I30" s="87">
        <f t="shared" si="11"/>
        <v>167.99999999999991</v>
      </c>
      <c r="J30" s="87"/>
      <c r="K30" s="87"/>
      <c r="L30" s="87"/>
      <c r="M30" s="87"/>
      <c r="N30" s="87"/>
      <c r="O30" s="87"/>
      <c r="P30" s="87"/>
    </row>
    <row r="31" spans="1:16" ht="13.8" x14ac:dyDescent="0.25">
      <c r="A31" s="84">
        <f t="shared" si="10"/>
        <v>16</v>
      </c>
      <c r="B31" s="85" t="s">
        <v>137</v>
      </c>
      <c r="C31" s="87">
        <f t="shared" ref="C31:I31" si="12">+C29*$C$4</f>
        <v>0</v>
      </c>
      <c r="D31" s="87">
        <f t="shared" si="12"/>
        <v>50</v>
      </c>
      <c r="E31" s="87">
        <f t="shared" si="12"/>
        <v>158</v>
      </c>
      <c r="F31" s="87">
        <f t="shared" si="12"/>
        <v>312</v>
      </c>
      <c r="G31" s="87">
        <f t="shared" si="12"/>
        <v>454</v>
      </c>
      <c r="H31" s="87">
        <f t="shared" si="12"/>
        <v>544</v>
      </c>
      <c r="I31" s="87">
        <f t="shared" si="12"/>
        <v>712</v>
      </c>
      <c r="J31" s="87"/>
      <c r="K31" s="87"/>
      <c r="L31" s="87"/>
      <c r="M31" s="87"/>
      <c r="N31" s="87"/>
      <c r="O31" s="87"/>
      <c r="P31" s="87"/>
    </row>
    <row r="32" spans="1:16" ht="13.8" x14ac:dyDescent="0.25">
      <c r="A32" s="84">
        <f t="shared" si="10"/>
        <v>17</v>
      </c>
      <c r="B32" s="85" t="s">
        <v>120</v>
      </c>
      <c r="C32" s="87">
        <f t="shared" ref="C32:I32" si="13">+$C$2*C28</f>
        <v>0</v>
      </c>
      <c r="D32" s="87">
        <f t="shared" si="13"/>
        <v>250</v>
      </c>
      <c r="E32" s="87">
        <f t="shared" si="13"/>
        <v>540</v>
      </c>
      <c r="F32" s="87">
        <f t="shared" si="13"/>
        <v>770</v>
      </c>
      <c r="G32" s="87">
        <f t="shared" si="13"/>
        <v>710.00000000000011</v>
      </c>
      <c r="H32" s="87">
        <f t="shared" si="13"/>
        <v>450.00000000000011</v>
      </c>
      <c r="I32" s="87">
        <f t="shared" si="13"/>
        <v>839.99999999999966</v>
      </c>
      <c r="J32" s="87"/>
      <c r="K32" s="87"/>
      <c r="L32" s="87"/>
      <c r="M32" s="87"/>
      <c r="N32" s="87"/>
      <c r="O32" s="87"/>
      <c r="P32" s="87"/>
    </row>
    <row r="33" spans="1:16" ht="13.8" x14ac:dyDescent="0.25">
      <c r="A33" s="88">
        <f t="shared" si="10"/>
        <v>18</v>
      </c>
      <c r="B33" s="89" t="s">
        <v>138</v>
      </c>
      <c r="C33" s="90">
        <f t="shared" ref="C33:I33" si="14">+$C$2*C29</f>
        <v>0</v>
      </c>
      <c r="D33" s="90">
        <f t="shared" si="14"/>
        <v>250</v>
      </c>
      <c r="E33" s="90">
        <f t="shared" si="14"/>
        <v>790</v>
      </c>
      <c r="F33" s="90">
        <f t="shared" si="14"/>
        <v>1560</v>
      </c>
      <c r="G33" s="90">
        <f t="shared" si="14"/>
        <v>2270</v>
      </c>
      <c r="H33" s="90">
        <f t="shared" si="14"/>
        <v>2720</v>
      </c>
      <c r="I33" s="90">
        <f t="shared" si="14"/>
        <v>3560</v>
      </c>
      <c r="J33" s="90"/>
      <c r="K33" s="90"/>
      <c r="L33" s="90"/>
      <c r="M33" s="90"/>
      <c r="N33" s="90"/>
      <c r="O33" s="90"/>
      <c r="P33" s="90"/>
    </row>
    <row r="34" spans="1:16" ht="13.8" x14ac:dyDescent="0.25">
      <c r="A34" s="41"/>
      <c r="B34" s="309"/>
      <c r="C34" s="309"/>
      <c r="D34" s="309"/>
      <c r="E34" s="309"/>
      <c r="F34" s="309"/>
      <c r="G34" s="309"/>
      <c r="H34" s="309"/>
      <c r="I34" s="309"/>
      <c r="J34" s="309"/>
      <c r="K34" s="309"/>
      <c r="L34" s="309"/>
      <c r="M34" s="309"/>
      <c r="N34" s="309"/>
      <c r="O34" s="309"/>
      <c r="P34" s="310"/>
    </row>
    <row r="35" spans="1:16" ht="13.8" x14ac:dyDescent="0.25">
      <c r="A35" s="319" t="s">
        <v>128</v>
      </c>
      <c r="B35" s="320"/>
      <c r="C35" s="307"/>
      <c r="D35" s="307"/>
      <c r="E35" s="307"/>
      <c r="F35" s="307"/>
      <c r="G35" s="307"/>
      <c r="H35" s="307"/>
      <c r="I35" s="307"/>
      <c r="J35" s="307"/>
      <c r="K35" s="307"/>
      <c r="L35" s="307"/>
      <c r="M35" s="307"/>
      <c r="N35" s="307"/>
      <c r="O35" s="307"/>
      <c r="P35" s="308"/>
    </row>
    <row r="36" spans="1:16" ht="13.8" x14ac:dyDescent="0.25">
      <c r="A36" s="91">
        <v>19</v>
      </c>
      <c r="B36" s="92" t="s">
        <v>121</v>
      </c>
      <c r="C36" s="93">
        <v>0</v>
      </c>
      <c r="D36" s="93">
        <f>+D37-C37</f>
        <v>7.1000000000000008E-2</v>
      </c>
      <c r="E36" s="93">
        <f t="shared" ref="E36:I36" si="15">+E37-D37</f>
        <v>5.3999999999999992E-2</v>
      </c>
      <c r="F36" s="93">
        <f t="shared" si="15"/>
        <v>7.7000000000000013E-2</v>
      </c>
      <c r="G36" s="93">
        <f t="shared" si="15"/>
        <v>6.7000000000000004E-2</v>
      </c>
      <c r="H36" s="93">
        <f t="shared" si="15"/>
        <v>4.4999999999999984E-2</v>
      </c>
      <c r="I36" s="93">
        <f t="shared" si="15"/>
        <v>8.3999999999999964E-2</v>
      </c>
      <c r="J36" s="93"/>
      <c r="K36" s="93"/>
      <c r="L36" s="93"/>
      <c r="M36" s="93"/>
      <c r="N36" s="93"/>
      <c r="O36" s="93"/>
      <c r="P36" s="93"/>
    </row>
    <row r="37" spans="1:16" ht="13.8" x14ac:dyDescent="0.25">
      <c r="A37" s="94">
        <f>+A36+1</f>
        <v>20</v>
      </c>
      <c r="B37" s="95" t="s">
        <v>122</v>
      </c>
      <c r="C37" s="96">
        <v>0</v>
      </c>
      <c r="D37" s="96">
        <f>+D29+4.6%</f>
        <v>7.1000000000000008E-2</v>
      </c>
      <c r="E37" s="96">
        <f>+E29+4.6%</f>
        <v>0.125</v>
      </c>
      <c r="F37" s="96">
        <f>+F29+4.6%</f>
        <v>0.20200000000000001</v>
      </c>
      <c r="G37" s="96">
        <f>+G29+4.2%</f>
        <v>0.26900000000000002</v>
      </c>
      <c r="H37" s="96">
        <f>+H29+4.2%</f>
        <v>0.314</v>
      </c>
      <c r="I37" s="96">
        <f>+I29+4.2%</f>
        <v>0.39799999999999996</v>
      </c>
      <c r="J37" s="96"/>
      <c r="K37" s="96"/>
      <c r="L37" s="96"/>
      <c r="M37" s="96"/>
      <c r="N37" s="96"/>
      <c r="O37" s="96"/>
      <c r="P37" s="96"/>
    </row>
    <row r="38" spans="1:16" ht="13.8" x14ac:dyDescent="0.25">
      <c r="A38" s="94">
        <f t="shared" ref="A38:A41" si="16">+A37+1</f>
        <v>21</v>
      </c>
      <c r="B38" s="95" t="s">
        <v>123</v>
      </c>
      <c r="C38" s="97">
        <f t="shared" ref="C38:I38" si="17">+C36*$C$4</f>
        <v>0</v>
      </c>
      <c r="D38" s="97">
        <f t="shared" si="17"/>
        <v>142.00000000000003</v>
      </c>
      <c r="E38" s="97">
        <f t="shared" si="17"/>
        <v>107.99999999999999</v>
      </c>
      <c r="F38" s="97">
        <f t="shared" si="17"/>
        <v>154.00000000000003</v>
      </c>
      <c r="G38" s="97">
        <f t="shared" si="17"/>
        <v>134</v>
      </c>
      <c r="H38" s="97">
        <f t="shared" si="17"/>
        <v>89.999999999999972</v>
      </c>
      <c r="I38" s="97">
        <f t="shared" si="17"/>
        <v>167.99999999999991</v>
      </c>
      <c r="J38" s="97"/>
      <c r="K38" s="97"/>
      <c r="L38" s="97"/>
      <c r="M38" s="97"/>
      <c r="N38" s="97"/>
      <c r="O38" s="97"/>
      <c r="P38" s="97"/>
    </row>
    <row r="39" spans="1:16" ht="13.8" x14ac:dyDescent="0.25">
      <c r="A39" s="94">
        <f t="shared" si="16"/>
        <v>22</v>
      </c>
      <c r="B39" s="95" t="s">
        <v>139</v>
      </c>
      <c r="C39" s="97">
        <f t="shared" ref="C39" si="18">+C37*$C$4</f>
        <v>0</v>
      </c>
      <c r="D39" s="97">
        <f>+D37*$C$4</f>
        <v>142.00000000000003</v>
      </c>
      <c r="E39" s="97">
        <f t="shared" ref="E39:I39" si="19">+E37*$C$4</f>
        <v>250</v>
      </c>
      <c r="F39" s="97">
        <f t="shared" si="19"/>
        <v>404</v>
      </c>
      <c r="G39" s="97">
        <f t="shared" si="19"/>
        <v>538</v>
      </c>
      <c r="H39" s="97">
        <f t="shared" si="19"/>
        <v>628</v>
      </c>
      <c r="I39" s="97">
        <f t="shared" si="19"/>
        <v>795.99999999999989</v>
      </c>
      <c r="J39" s="97"/>
      <c r="K39" s="97"/>
      <c r="L39" s="97"/>
      <c r="M39" s="97"/>
      <c r="N39" s="97"/>
      <c r="O39" s="97"/>
      <c r="P39" s="97"/>
    </row>
    <row r="40" spans="1:16" ht="13.8" x14ac:dyDescent="0.25">
      <c r="A40" s="94">
        <f t="shared" si="16"/>
        <v>23</v>
      </c>
      <c r="B40" s="95" t="s">
        <v>124</v>
      </c>
      <c r="C40" s="97">
        <f t="shared" ref="C40:I40" si="20">+$C$2*C36</f>
        <v>0</v>
      </c>
      <c r="D40" s="97">
        <f t="shared" si="20"/>
        <v>710.00000000000011</v>
      </c>
      <c r="E40" s="97">
        <f t="shared" si="20"/>
        <v>539.99999999999989</v>
      </c>
      <c r="F40" s="97">
        <f t="shared" si="20"/>
        <v>770.00000000000011</v>
      </c>
      <c r="G40" s="97">
        <f t="shared" si="20"/>
        <v>670</v>
      </c>
      <c r="H40" s="97">
        <f t="shared" si="20"/>
        <v>449.99999999999983</v>
      </c>
      <c r="I40" s="97">
        <f t="shared" si="20"/>
        <v>839.99999999999966</v>
      </c>
      <c r="J40" s="97"/>
      <c r="K40" s="97"/>
      <c r="L40" s="97"/>
      <c r="M40" s="97"/>
      <c r="N40" s="97"/>
      <c r="O40" s="97"/>
      <c r="P40" s="97"/>
    </row>
    <row r="41" spans="1:16" ht="13.8" x14ac:dyDescent="0.25">
      <c r="A41" s="98">
        <f t="shared" si="16"/>
        <v>24</v>
      </c>
      <c r="B41" s="99" t="s">
        <v>140</v>
      </c>
      <c r="C41" s="100">
        <f t="shared" ref="C41" si="21">+$C$2*C37</f>
        <v>0</v>
      </c>
      <c r="D41" s="100">
        <f>+C41+D40</f>
        <v>710.00000000000011</v>
      </c>
      <c r="E41" s="100">
        <f t="shared" ref="E41:I41" si="22">+D41+E40</f>
        <v>1250</v>
      </c>
      <c r="F41" s="100">
        <f t="shared" si="22"/>
        <v>2020</v>
      </c>
      <c r="G41" s="100">
        <f t="shared" si="22"/>
        <v>2690</v>
      </c>
      <c r="H41" s="100">
        <f t="shared" si="22"/>
        <v>3140</v>
      </c>
      <c r="I41" s="100">
        <f t="shared" si="22"/>
        <v>3979.9999999999995</v>
      </c>
      <c r="J41" s="100"/>
      <c r="K41" s="100"/>
      <c r="L41" s="100"/>
      <c r="M41" s="100"/>
      <c r="N41" s="100"/>
      <c r="O41" s="100"/>
      <c r="P41" s="100"/>
    </row>
    <row r="42" spans="1:16" ht="13.8" x14ac:dyDescent="0.25">
      <c r="A42" s="41"/>
      <c r="B42" s="309"/>
      <c r="C42" s="309"/>
      <c r="D42" s="309"/>
      <c r="E42" s="309"/>
      <c r="F42" s="309"/>
      <c r="G42" s="309"/>
      <c r="H42" s="309"/>
      <c r="I42" s="309"/>
      <c r="J42" s="309"/>
      <c r="K42" s="309"/>
      <c r="L42" s="309"/>
      <c r="M42" s="309"/>
      <c r="N42" s="309"/>
      <c r="O42" s="309"/>
      <c r="P42" s="310"/>
    </row>
    <row r="43" spans="1:16" ht="13.8" x14ac:dyDescent="0.25">
      <c r="A43" s="321" t="s">
        <v>129</v>
      </c>
      <c r="B43" s="322"/>
      <c r="C43" s="311"/>
      <c r="D43" s="311"/>
      <c r="E43" s="311"/>
      <c r="F43" s="311"/>
      <c r="G43" s="311"/>
      <c r="H43" s="311"/>
      <c r="I43" s="311"/>
      <c r="J43" s="311"/>
      <c r="K43" s="311"/>
      <c r="L43" s="311"/>
      <c r="M43" s="311"/>
      <c r="N43" s="311"/>
      <c r="O43" s="311"/>
      <c r="P43" s="312"/>
    </row>
    <row r="44" spans="1:16" ht="13.8" x14ac:dyDescent="0.25">
      <c r="A44" s="101">
        <v>25</v>
      </c>
      <c r="B44" s="102" t="s">
        <v>164</v>
      </c>
      <c r="C44" s="110">
        <v>0</v>
      </c>
      <c r="D44" s="110">
        <v>0</v>
      </c>
      <c r="E44" s="110">
        <f>+D16</f>
        <v>580</v>
      </c>
      <c r="F44" s="110">
        <f t="shared" ref="F44:P45" si="23">+E16</f>
        <v>690.00000000000011</v>
      </c>
      <c r="G44" s="110">
        <f t="shared" si="23"/>
        <v>770</v>
      </c>
      <c r="H44" s="110">
        <f t="shared" si="23"/>
        <v>880</v>
      </c>
      <c r="I44" s="110">
        <f t="shared" si="23"/>
        <v>940</v>
      </c>
      <c r="J44" s="110">
        <f t="shared" si="23"/>
        <v>970</v>
      </c>
      <c r="K44" s="110">
        <f t="shared" si="23"/>
        <v>970</v>
      </c>
      <c r="L44" s="110">
        <f t="shared" si="23"/>
        <v>960</v>
      </c>
      <c r="M44" s="110">
        <f t="shared" si="23"/>
        <v>890</v>
      </c>
      <c r="N44" s="110">
        <f t="shared" si="23"/>
        <v>820</v>
      </c>
      <c r="O44" s="110">
        <f t="shared" si="23"/>
        <v>770</v>
      </c>
      <c r="P44" s="110">
        <f t="shared" si="23"/>
        <v>760</v>
      </c>
    </row>
    <row r="45" spans="1:16" ht="13.8" x14ac:dyDescent="0.25">
      <c r="A45" s="103">
        <f>+A44+1</f>
        <v>26</v>
      </c>
      <c r="B45" s="104" t="s">
        <v>165</v>
      </c>
      <c r="C45" s="106">
        <v>0</v>
      </c>
      <c r="D45" s="106">
        <v>0</v>
      </c>
      <c r="E45" s="106">
        <f>+D17</f>
        <v>580</v>
      </c>
      <c r="F45" s="106">
        <f t="shared" si="23"/>
        <v>1270</v>
      </c>
      <c r="G45" s="106">
        <f t="shared" si="23"/>
        <v>2040.0000000000002</v>
      </c>
      <c r="H45" s="106">
        <f t="shared" si="23"/>
        <v>2920.0000000000005</v>
      </c>
      <c r="I45" s="106">
        <f t="shared" si="23"/>
        <v>3860</v>
      </c>
      <c r="J45" s="106">
        <f t="shared" si="23"/>
        <v>4830</v>
      </c>
      <c r="K45" s="106">
        <f t="shared" si="23"/>
        <v>5800</v>
      </c>
      <c r="L45" s="106">
        <f t="shared" si="23"/>
        <v>6759.9999999999991</v>
      </c>
      <c r="M45" s="106">
        <f t="shared" si="23"/>
        <v>7649.9999999999991</v>
      </c>
      <c r="N45" s="106">
        <f t="shared" si="23"/>
        <v>8469.9999999999982</v>
      </c>
      <c r="O45" s="106">
        <f t="shared" si="23"/>
        <v>9239.9999999999982</v>
      </c>
      <c r="P45" s="106">
        <f t="shared" si="23"/>
        <v>9999.9999999999982</v>
      </c>
    </row>
    <row r="46" spans="1:16" ht="13.8" x14ac:dyDescent="0.25">
      <c r="A46" s="103">
        <f>+A45+1</f>
        <v>27</v>
      </c>
      <c r="B46" s="104" t="s">
        <v>171</v>
      </c>
      <c r="C46" s="105">
        <f>+C45</f>
        <v>0</v>
      </c>
      <c r="D46" s="105">
        <f>+D45/$C$2</f>
        <v>0</v>
      </c>
      <c r="E46" s="105">
        <f>+E45/$C$2</f>
        <v>5.8000000000000003E-2</v>
      </c>
      <c r="F46" s="105">
        <f t="shared" ref="F46" si="24">+F45/$C$2</f>
        <v>0.127</v>
      </c>
      <c r="G46" s="105">
        <f t="shared" ref="G46" si="25">+G45/$C$2</f>
        <v>0.20400000000000001</v>
      </c>
      <c r="H46" s="105">
        <f t="shared" ref="H46" si="26">+H45/$C$2</f>
        <v>0.29200000000000004</v>
      </c>
      <c r="I46" s="105">
        <f t="shared" ref="I46" si="27">+I45/$C$2</f>
        <v>0.38600000000000001</v>
      </c>
      <c r="J46" s="105">
        <f t="shared" ref="J46" si="28">+J45/$C$2</f>
        <v>0.48299999999999998</v>
      </c>
      <c r="K46" s="105">
        <f t="shared" ref="K46" si="29">+K45/$C$2</f>
        <v>0.57999999999999996</v>
      </c>
      <c r="L46" s="105">
        <f t="shared" ref="L46" si="30">+L45/$C$2</f>
        <v>0.67599999999999993</v>
      </c>
      <c r="M46" s="105">
        <f t="shared" ref="M46" si="31">+M45/$C$2</f>
        <v>0.7649999999999999</v>
      </c>
      <c r="N46" s="105">
        <f t="shared" ref="N46" si="32">+N45/$C$2</f>
        <v>0.84699999999999986</v>
      </c>
      <c r="O46" s="105">
        <f t="shared" ref="O46" si="33">+O45/$C$2</f>
        <v>0.92399999999999982</v>
      </c>
      <c r="P46" s="105">
        <f t="shared" ref="P46" si="34">+P45/$C$2</f>
        <v>0.99999999999999978</v>
      </c>
    </row>
    <row r="47" spans="1:16" ht="13.8" x14ac:dyDescent="0.25">
      <c r="A47" s="103"/>
      <c r="B47" s="104"/>
      <c r="C47" s="105"/>
      <c r="D47" s="105"/>
      <c r="E47" s="105"/>
      <c r="F47" s="105"/>
      <c r="G47" s="105"/>
      <c r="H47" s="105"/>
      <c r="I47" s="105"/>
      <c r="J47" s="105"/>
      <c r="K47" s="105"/>
      <c r="L47" s="105"/>
      <c r="M47" s="105"/>
      <c r="N47" s="105"/>
      <c r="O47" s="105"/>
      <c r="P47" s="105"/>
    </row>
    <row r="48" spans="1:16" ht="13.8" x14ac:dyDescent="0.25">
      <c r="A48" s="103">
        <f>+A46+1</f>
        <v>28</v>
      </c>
      <c r="B48" s="104" t="s">
        <v>166</v>
      </c>
      <c r="C48" s="106">
        <v>0</v>
      </c>
      <c r="D48" s="106">
        <f t="shared" ref="D48:I49" si="35">+D32</f>
        <v>250</v>
      </c>
      <c r="E48" s="106">
        <f t="shared" si="35"/>
        <v>540</v>
      </c>
      <c r="F48" s="106">
        <f t="shared" si="35"/>
        <v>770</v>
      </c>
      <c r="G48" s="106">
        <f t="shared" si="35"/>
        <v>710.00000000000011</v>
      </c>
      <c r="H48" s="106">
        <f t="shared" si="35"/>
        <v>450.00000000000011</v>
      </c>
      <c r="I48" s="106">
        <f t="shared" si="35"/>
        <v>839.99999999999966</v>
      </c>
      <c r="J48" s="106"/>
      <c r="K48" s="106"/>
      <c r="L48" s="106"/>
      <c r="M48" s="106"/>
      <c r="N48" s="106"/>
      <c r="O48" s="106"/>
      <c r="P48" s="106"/>
    </row>
    <row r="49" spans="1:16" ht="13.8" x14ac:dyDescent="0.25">
      <c r="A49" s="103">
        <f t="shared" ref="A49" si="36">+A48+1</f>
        <v>29</v>
      </c>
      <c r="B49" s="104" t="s">
        <v>167</v>
      </c>
      <c r="C49" s="106">
        <v>0</v>
      </c>
      <c r="D49" s="106">
        <f t="shared" si="35"/>
        <v>250</v>
      </c>
      <c r="E49" s="106">
        <f t="shared" si="35"/>
        <v>790</v>
      </c>
      <c r="F49" s="106">
        <f t="shared" si="35"/>
        <v>1560</v>
      </c>
      <c r="G49" s="106">
        <f t="shared" si="35"/>
        <v>2270</v>
      </c>
      <c r="H49" s="106">
        <f t="shared" si="35"/>
        <v>2720</v>
      </c>
      <c r="I49" s="106">
        <f t="shared" si="35"/>
        <v>3560</v>
      </c>
      <c r="J49" s="106"/>
      <c r="K49" s="106"/>
      <c r="L49" s="106"/>
      <c r="M49" s="106"/>
      <c r="N49" s="106"/>
      <c r="O49" s="106"/>
      <c r="P49" s="106"/>
    </row>
    <row r="50" spans="1:16" ht="13.8" x14ac:dyDescent="0.25">
      <c r="A50" s="103">
        <f>+A49+1</f>
        <v>30</v>
      </c>
      <c r="B50" s="104" t="s">
        <v>172</v>
      </c>
      <c r="C50" s="105">
        <f>+C49</f>
        <v>0</v>
      </c>
      <c r="D50" s="105">
        <f>+D49/$C$2</f>
        <v>2.5000000000000001E-2</v>
      </c>
      <c r="E50" s="105">
        <f>+E49/$C$2</f>
        <v>7.9000000000000001E-2</v>
      </c>
      <c r="F50" s="105">
        <f t="shared" ref="F50" si="37">+F49/$C$2</f>
        <v>0.156</v>
      </c>
      <c r="G50" s="105">
        <f t="shared" ref="G50" si="38">+G49/$C$2</f>
        <v>0.22700000000000001</v>
      </c>
      <c r="H50" s="105">
        <f t="shared" ref="H50" si="39">+H49/$C$2</f>
        <v>0.27200000000000002</v>
      </c>
      <c r="I50" s="105">
        <f t="shared" ref="I50" si="40">+I49/$C$2</f>
        <v>0.35599999999999998</v>
      </c>
      <c r="J50" s="105"/>
      <c r="K50" s="105"/>
      <c r="L50" s="105"/>
      <c r="M50" s="105"/>
      <c r="N50" s="105"/>
      <c r="O50" s="105"/>
      <c r="P50" s="105"/>
    </row>
    <row r="51" spans="1:16" ht="13.8" x14ac:dyDescent="0.25">
      <c r="A51" s="103"/>
      <c r="B51" s="104"/>
      <c r="C51" s="106"/>
      <c r="D51" s="106"/>
      <c r="E51" s="106"/>
      <c r="F51" s="106"/>
      <c r="G51" s="106"/>
      <c r="H51" s="106"/>
      <c r="I51" s="106"/>
      <c r="J51" s="106"/>
      <c r="K51" s="106"/>
      <c r="L51" s="106"/>
      <c r="M51" s="106"/>
      <c r="N51" s="106"/>
      <c r="O51" s="106"/>
      <c r="P51" s="106"/>
    </row>
    <row r="52" spans="1:16" ht="13.8" x14ac:dyDescent="0.25">
      <c r="A52" s="103">
        <f>+A50+1</f>
        <v>31</v>
      </c>
      <c r="B52" s="104" t="s">
        <v>146</v>
      </c>
      <c r="C52" s="106">
        <v>0</v>
      </c>
      <c r="D52" s="106">
        <f>+D48</f>
        <v>250</v>
      </c>
      <c r="E52" s="106">
        <f t="shared" ref="E52:I52" si="41">+E48</f>
        <v>540</v>
      </c>
      <c r="F52" s="106">
        <f t="shared" si="41"/>
        <v>770</v>
      </c>
      <c r="G52" s="106">
        <f t="shared" si="41"/>
        <v>710.00000000000011</v>
      </c>
      <c r="H52" s="106">
        <f t="shared" si="41"/>
        <v>450.00000000000011</v>
      </c>
      <c r="I52" s="106">
        <f t="shared" si="41"/>
        <v>839.99999999999966</v>
      </c>
      <c r="J52" s="106"/>
      <c r="K52" s="106"/>
      <c r="L52" s="106"/>
      <c r="M52" s="106"/>
      <c r="N52" s="106"/>
      <c r="O52" s="106"/>
      <c r="P52" s="106"/>
    </row>
    <row r="53" spans="1:16" ht="13.8" x14ac:dyDescent="0.25">
      <c r="A53" s="103">
        <f t="shared" ref="A53" si="42">+A52+1</f>
        <v>32</v>
      </c>
      <c r="B53" s="104" t="s">
        <v>147</v>
      </c>
      <c r="C53" s="106">
        <v>0</v>
      </c>
      <c r="D53" s="106">
        <f>+D49</f>
        <v>250</v>
      </c>
      <c r="E53" s="106">
        <f t="shared" ref="E53:I53" si="43">+E49</f>
        <v>790</v>
      </c>
      <c r="F53" s="106">
        <f t="shared" si="43"/>
        <v>1560</v>
      </c>
      <c r="G53" s="106">
        <f t="shared" si="43"/>
        <v>2270</v>
      </c>
      <c r="H53" s="106">
        <f t="shared" si="43"/>
        <v>2720</v>
      </c>
      <c r="I53" s="106">
        <f t="shared" si="43"/>
        <v>3560</v>
      </c>
      <c r="J53" s="106"/>
      <c r="K53" s="106"/>
      <c r="L53" s="106"/>
      <c r="M53" s="106"/>
      <c r="N53" s="106"/>
      <c r="O53" s="106"/>
      <c r="P53" s="106"/>
    </row>
    <row r="54" spans="1:16" ht="13.8" x14ac:dyDescent="0.25">
      <c r="A54" s="103">
        <f>+A53+1</f>
        <v>33</v>
      </c>
      <c r="B54" s="104" t="s">
        <v>173</v>
      </c>
      <c r="C54" s="105">
        <f>+C53</f>
        <v>0</v>
      </c>
      <c r="D54" s="105">
        <f>+D53/$C$2</f>
        <v>2.5000000000000001E-2</v>
      </c>
      <c r="E54" s="105">
        <f>+E53/$C$2</f>
        <v>7.9000000000000001E-2</v>
      </c>
      <c r="F54" s="105">
        <f t="shared" ref="F54" si="44">+F53/$C$2</f>
        <v>0.156</v>
      </c>
      <c r="G54" s="105">
        <f t="shared" ref="G54" si="45">+G53/$C$2</f>
        <v>0.22700000000000001</v>
      </c>
      <c r="H54" s="105">
        <f t="shared" ref="H54" si="46">+H53/$C$2</f>
        <v>0.27200000000000002</v>
      </c>
      <c r="I54" s="105">
        <f t="shared" ref="I54" si="47">+I53/$C$2</f>
        <v>0.35599999999999998</v>
      </c>
      <c r="J54" s="105"/>
      <c r="K54" s="105"/>
      <c r="L54" s="105"/>
      <c r="M54" s="105"/>
      <c r="N54" s="105"/>
      <c r="O54" s="105"/>
      <c r="P54" s="105"/>
    </row>
    <row r="55" spans="1:16" ht="13.8" x14ac:dyDescent="0.25">
      <c r="A55" s="103"/>
      <c r="B55" s="104"/>
      <c r="C55" s="106"/>
      <c r="D55" s="106"/>
      <c r="E55" s="106"/>
      <c r="F55" s="106"/>
      <c r="G55" s="106"/>
      <c r="H55" s="106"/>
      <c r="I55" s="106"/>
      <c r="J55" s="106"/>
      <c r="K55" s="106"/>
      <c r="L55" s="106"/>
      <c r="M55" s="106"/>
      <c r="N55" s="106"/>
      <c r="O55" s="106"/>
      <c r="P55" s="106"/>
    </row>
    <row r="56" spans="1:16" ht="13.8" x14ac:dyDescent="0.25">
      <c r="A56" s="103">
        <f>+A54+1</f>
        <v>34</v>
      </c>
      <c r="B56" s="104" t="s">
        <v>130</v>
      </c>
      <c r="C56" s="106">
        <f>+C44*$C$4</f>
        <v>0</v>
      </c>
      <c r="D56" s="106">
        <v>0</v>
      </c>
      <c r="E56" s="106">
        <f t="shared" ref="E56:I57" si="48">+D48</f>
        <v>250</v>
      </c>
      <c r="F56" s="106">
        <f t="shared" si="48"/>
        <v>540</v>
      </c>
      <c r="G56" s="106">
        <f t="shared" si="48"/>
        <v>770</v>
      </c>
      <c r="H56" s="106">
        <f t="shared" si="48"/>
        <v>710.00000000000011</v>
      </c>
      <c r="I56" s="106">
        <f t="shared" si="48"/>
        <v>450.00000000000011</v>
      </c>
      <c r="J56" s="106"/>
      <c r="K56" s="106"/>
      <c r="L56" s="106"/>
      <c r="M56" s="106"/>
      <c r="N56" s="106"/>
      <c r="O56" s="106"/>
      <c r="P56" s="106"/>
    </row>
    <row r="57" spans="1:16" ht="13.8" x14ac:dyDescent="0.25">
      <c r="A57" s="103">
        <f t="shared" ref="A57:A62" si="49">+A56+1</f>
        <v>35</v>
      </c>
      <c r="B57" s="104" t="s">
        <v>141</v>
      </c>
      <c r="C57" s="106">
        <f>+C45*$C$4</f>
        <v>0</v>
      </c>
      <c r="D57" s="106">
        <v>0</v>
      </c>
      <c r="E57" s="106">
        <f t="shared" si="48"/>
        <v>250</v>
      </c>
      <c r="F57" s="106">
        <f t="shared" si="48"/>
        <v>790</v>
      </c>
      <c r="G57" s="106">
        <f t="shared" si="48"/>
        <v>1560</v>
      </c>
      <c r="H57" s="106">
        <f t="shared" si="48"/>
        <v>2270</v>
      </c>
      <c r="I57" s="106">
        <f t="shared" si="48"/>
        <v>2720</v>
      </c>
      <c r="J57" s="106"/>
      <c r="K57" s="106"/>
      <c r="L57" s="106"/>
      <c r="M57" s="106"/>
      <c r="N57" s="106"/>
      <c r="O57" s="106"/>
      <c r="P57" s="106"/>
    </row>
    <row r="58" spans="1:16" ht="13.8" x14ac:dyDescent="0.25">
      <c r="A58" s="103">
        <f t="shared" si="49"/>
        <v>36</v>
      </c>
      <c r="B58" s="104" t="s">
        <v>169</v>
      </c>
      <c r="C58" s="105">
        <f>+C57</f>
        <v>0</v>
      </c>
      <c r="D58" s="105">
        <f>+D57</f>
        <v>0</v>
      </c>
      <c r="E58" s="105">
        <f>+E57/$C$2</f>
        <v>2.5000000000000001E-2</v>
      </c>
      <c r="F58" s="105">
        <f t="shared" ref="F58:I58" si="50">+F57/$C$2</f>
        <v>7.9000000000000001E-2</v>
      </c>
      <c r="G58" s="105">
        <f t="shared" si="50"/>
        <v>0.156</v>
      </c>
      <c r="H58" s="105">
        <f t="shared" si="50"/>
        <v>0.22700000000000001</v>
      </c>
      <c r="I58" s="105">
        <f t="shared" si="50"/>
        <v>0.27200000000000002</v>
      </c>
      <c r="J58" s="106"/>
      <c r="K58" s="106"/>
      <c r="L58" s="106"/>
      <c r="M58" s="106"/>
      <c r="N58" s="106"/>
      <c r="O58" s="106"/>
      <c r="P58" s="106"/>
    </row>
    <row r="59" spans="1:16" ht="13.8" x14ac:dyDescent="0.25">
      <c r="A59" s="103"/>
      <c r="B59" s="104"/>
      <c r="C59" s="105"/>
      <c r="D59" s="105"/>
      <c r="E59" s="105"/>
      <c r="F59" s="105"/>
      <c r="G59" s="105"/>
      <c r="H59" s="105"/>
      <c r="I59" s="105"/>
      <c r="J59" s="106"/>
      <c r="K59" s="106"/>
      <c r="L59" s="106"/>
      <c r="M59" s="106"/>
      <c r="N59" s="106"/>
      <c r="O59" s="106"/>
      <c r="P59" s="106"/>
    </row>
    <row r="60" spans="1:16" ht="13.8" x14ac:dyDescent="0.25">
      <c r="A60" s="103">
        <f>+A58+1</f>
        <v>37</v>
      </c>
      <c r="B60" s="104" t="s">
        <v>131</v>
      </c>
      <c r="C60" s="106">
        <f>+$C$2*C44</f>
        <v>0</v>
      </c>
      <c r="D60" s="106">
        <v>0</v>
      </c>
      <c r="E60" s="106">
        <f>+E56</f>
        <v>250</v>
      </c>
      <c r="F60" s="106">
        <f t="shared" ref="F60" si="51">+F56</f>
        <v>540</v>
      </c>
      <c r="G60" s="106">
        <v>0</v>
      </c>
      <c r="H60" s="106">
        <v>0</v>
      </c>
      <c r="I60" s="106">
        <f>+G56</f>
        <v>770</v>
      </c>
      <c r="J60" s="106"/>
      <c r="K60" s="106"/>
      <c r="L60" s="106"/>
      <c r="M60" s="106"/>
      <c r="N60" s="106"/>
      <c r="O60" s="106"/>
      <c r="P60" s="106"/>
    </row>
    <row r="61" spans="1:16" ht="13.8" x14ac:dyDescent="0.25">
      <c r="A61" s="103">
        <f t="shared" si="49"/>
        <v>38</v>
      </c>
      <c r="B61" s="104" t="s">
        <v>142</v>
      </c>
      <c r="C61" s="106">
        <f>+$C$2*C45</f>
        <v>0</v>
      </c>
      <c r="D61" s="106">
        <v>0</v>
      </c>
      <c r="E61" s="106">
        <f>+E57</f>
        <v>250</v>
      </c>
      <c r="F61" s="106">
        <f>+F60+E61</f>
        <v>790</v>
      </c>
      <c r="G61" s="106">
        <f t="shared" ref="G61:I61" si="52">+G60+F61</f>
        <v>790</v>
      </c>
      <c r="H61" s="106">
        <f t="shared" si="52"/>
        <v>790</v>
      </c>
      <c r="I61" s="106">
        <f t="shared" si="52"/>
        <v>1560</v>
      </c>
      <c r="J61" s="106"/>
      <c r="K61" s="106"/>
      <c r="L61" s="106"/>
      <c r="M61" s="106"/>
      <c r="N61" s="106"/>
      <c r="O61" s="106"/>
      <c r="P61" s="106"/>
    </row>
    <row r="62" spans="1:16" ht="13.8" x14ac:dyDescent="0.25">
      <c r="A62" s="107">
        <f t="shared" si="49"/>
        <v>39</v>
      </c>
      <c r="B62" s="108" t="s">
        <v>170</v>
      </c>
      <c r="C62" s="105">
        <f>+C61</f>
        <v>0</v>
      </c>
      <c r="D62" s="105">
        <f>+D61</f>
        <v>0</v>
      </c>
      <c r="E62" s="105">
        <f>+E61/$C$2</f>
        <v>2.5000000000000001E-2</v>
      </c>
      <c r="F62" s="105">
        <f t="shared" ref="F62" si="53">+F61/$C$2</f>
        <v>7.9000000000000001E-2</v>
      </c>
      <c r="G62" s="105">
        <f t="shared" ref="G62" si="54">+G61/$C$2</f>
        <v>7.9000000000000001E-2</v>
      </c>
      <c r="H62" s="105">
        <f t="shared" ref="H62" si="55">+H61/$C$2</f>
        <v>7.9000000000000001E-2</v>
      </c>
      <c r="I62" s="105">
        <f t="shared" ref="I62" si="56">+I61/$C$2</f>
        <v>0.156</v>
      </c>
      <c r="J62" s="109"/>
      <c r="K62" s="109"/>
      <c r="L62" s="109"/>
      <c r="M62" s="109"/>
      <c r="N62" s="109"/>
      <c r="O62" s="109"/>
      <c r="P62" s="109"/>
    </row>
  </sheetData>
  <dataConsolidate/>
  <mergeCells count="14">
    <mergeCell ref="C35:P35"/>
    <mergeCell ref="B42:P42"/>
    <mergeCell ref="C43:P43"/>
    <mergeCell ref="A11:B11"/>
    <mergeCell ref="A19:B19"/>
    <mergeCell ref="A27:B27"/>
    <mergeCell ref="A35:B35"/>
    <mergeCell ref="A43:B43"/>
    <mergeCell ref="B18:P18"/>
    <mergeCell ref="C19:P19"/>
    <mergeCell ref="C11:P11"/>
    <mergeCell ref="C27:P27"/>
    <mergeCell ref="B26:P26"/>
    <mergeCell ref="B34:P34"/>
  </mergeCells>
  <pageMargins left="0.7" right="0.7" top="0.75" bottom="0.75" header="0.3" footer="0.3"/>
  <pageSetup paperSize="8" scale="82"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DASH BOARD - Opt 1</vt:lpstr>
      <vt:lpstr>DASH BOARD- Option 2</vt:lpstr>
      <vt:lpstr>DASH BOARD</vt:lpstr>
      <vt:lpstr>S CUREVE DATAS</vt:lpstr>
      <vt:lpstr>'DASH BOARD'!Print_Area</vt:lpstr>
      <vt:lpstr>'DASH BOARD - Opt 1'!Print_Area</vt:lpstr>
      <vt:lpstr>'DASH BOARD- Option 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Vaithialingam Piraviperumal</dc:creator>
  <cp:lastModifiedBy>Vaithialingam Piraviperumal</cp:lastModifiedBy>
  <cp:lastPrinted>2018-09-25T10:20:23Z</cp:lastPrinted>
  <dcterms:created xsi:type="dcterms:W3CDTF">2018-09-12T10:19:08Z</dcterms:created>
  <dcterms:modified xsi:type="dcterms:W3CDTF">2019-01-28T05:14:09Z</dcterms:modified>
</cp:coreProperties>
</file>