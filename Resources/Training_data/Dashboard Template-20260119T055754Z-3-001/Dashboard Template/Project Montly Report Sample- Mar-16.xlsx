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2015" windowHeight="10095" tabRatio="815"/>
  </bookViews>
  <sheets>
    <sheet name="Monthly Dashboard Report" sheetId="50" r:id="rId1"/>
    <sheet name="Cover " sheetId="40" r:id="rId2"/>
    <sheet name="Index" sheetId="39" r:id="rId3"/>
    <sheet name="1-Executive Project Summary" sheetId="49" r:id="rId4"/>
    <sheet name="2-Schedule" sheetId="10" r:id="rId5"/>
    <sheet name="3-Engineering" sheetId="3" r:id="rId6"/>
    <sheet name="4-Procurement" sheetId="11" r:id="rId7"/>
    <sheet name="4.1-Logs" sheetId="36" r:id="rId8"/>
    <sheet name="4.2-Long Lead Tracking" sheetId="9" r:id="rId9"/>
    <sheet name="5-QA-QC" sheetId="47" r:id="rId10"/>
    <sheet name="6-Construction" sheetId="14" r:id="rId11"/>
    <sheet name="7-Project Scope +Revenue Detail" sheetId="45" r:id="rId12"/>
    <sheet name="7.1-Payment-Detail" sheetId="42" r:id="rId13"/>
    <sheet name="7.2-Scope Management" sheetId="44" r:id="rId14"/>
    <sheet name="7.3-sub-con" sheetId="48" r:id="rId15"/>
    <sheet name="7.4-Back Chargs detail" sheetId="43" r:id="rId16"/>
    <sheet name="8-HSE" sheetId="15" r:id="rId17"/>
    <sheet name="9-Budget-Cost-ETC-EAC" sheetId="37" r:id="rId18"/>
    <sheet name="10-Resources" sheetId="22" r:id="rId19"/>
    <sheet name="11-Account" sheetId="27" r:id="rId20"/>
    <sheet name="12-Store" sheetId="34" r:id="rId21"/>
    <sheet name="13-AOC" sheetId="35" r:id="rId22"/>
    <sheet name="14-Close-out" sheetId="19" r:id="rId23"/>
    <sheet name="Sub" sheetId="5" state="hidden" r:id="rId24"/>
  </sheets>
  <externalReferences>
    <externalReference r:id="rId25"/>
  </externalReferences>
  <definedNames>
    <definedName name="_SDA3" localSheetId="14">'[1]Material Submittal'!#REF!</definedName>
    <definedName name="_SDA3" localSheetId="1">'[1]Material Submittal'!#REF!</definedName>
    <definedName name="_SDA3" localSheetId="2">'[1]Material Submittal'!#REF!</definedName>
    <definedName name="_SDA3" localSheetId="23">'[1]Material Submittal'!#REF!</definedName>
    <definedName name="_SDA3">'[1]Material Submittal'!#REF!</definedName>
    <definedName name="AB" localSheetId="14">#REF!</definedName>
    <definedName name="AB" localSheetId="1">#REF!</definedName>
    <definedName name="AB" localSheetId="2">#REF!</definedName>
    <definedName name="AB" localSheetId="23">#REF!</definedName>
    <definedName name="AB">#REF!</definedName>
    <definedName name="abb" localSheetId="14">#REF!</definedName>
    <definedName name="abb">#REF!</definedName>
    <definedName name="ABS" localSheetId="14">#REF!</definedName>
    <definedName name="ABS" localSheetId="1">#REF!</definedName>
    <definedName name="ABS" localSheetId="2">#REF!</definedName>
    <definedName name="ABS" localSheetId="23">#REF!</definedName>
    <definedName name="ABS">#REF!</definedName>
    <definedName name="As" localSheetId="14">#REF!</definedName>
    <definedName name="As" localSheetId="1">#REF!</definedName>
    <definedName name="As" localSheetId="2">#REF!</definedName>
    <definedName name="As" localSheetId="23">#REF!</definedName>
    <definedName name="As">#REF!</definedName>
    <definedName name="Bui" localSheetId="14">#REF!</definedName>
    <definedName name="Bui" localSheetId="1">#REF!</definedName>
    <definedName name="Bui" localSheetId="2">#REF!</definedName>
    <definedName name="Bui" localSheetId="23">#REF!</definedName>
    <definedName name="Bui">#REF!</definedName>
    <definedName name="bUYSAAS\" localSheetId="14">#REF!</definedName>
    <definedName name="bUYSAAS\" localSheetId="1">#REF!</definedName>
    <definedName name="bUYSAAS\" localSheetId="2">#REF!</definedName>
    <definedName name="bUYSAAS\" localSheetId="23">#REF!</definedName>
    <definedName name="bUYSAAS\">#REF!</definedName>
    <definedName name="dt" localSheetId="14">#REF!</definedName>
    <definedName name="dt" localSheetId="1">#REF!</definedName>
    <definedName name="dt" localSheetId="2">#REF!</definedName>
    <definedName name="dt" localSheetId="23">#REF!</definedName>
    <definedName name="dt">#REF!</definedName>
    <definedName name="jn" localSheetId="14">#REF!</definedName>
    <definedName name="jn" localSheetId="1">#REF!</definedName>
    <definedName name="jn" localSheetId="2">#REF!</definedName>
    <definedName name="jn" localSheetId="23">#REF!</definedName>
    <definedName name="jn">#REF!</definedName>
    <definedName name="OM" localSheetId="14">#REF!</definedName>
    <definedName name="OM" localSheetId="1">#REF!</definedName>
    <definedName name="OM" localSheetId="2">#REF!</definedName>
    <definedName name="OM" localSheetId="23">#REF!</definedName>
    <definedName name="OM">#REF!</definedName>
    <definedName name="Operation" localSheetId="14">#REF!</definedName>
    <definedName name="Operation" localSheetId="1">#REF!</definedName>
    <definedName name="Operation" localSheetId="2">#REF!</definedName>
    <definedName name="Operation" localSheetId="23">#REF!</definedName>
    <definedName name="Operation">#REF!</definedName>
    <definedName name="_xlnm.Print_Area" localSheetId="18">'10-Resources'!$A$1:$BS$38</definedName>
    <definedName name="_xlnm.Print_Area" localSheetId="20">'12-Store'!$A$1:$BG$20</definedName>
    <definedName name="_xlnm.Print_Area" localSheetId="21">'13-AOC'!$A$1:$I$19</definedName>
    <definedName name="_xlnm.Print_Area" localSheetId="3">'1-Executive Project Summary'!$A$1:$E$94</definedName>
    <definedName name="_xlnm.Print_Area" localSheetId="4">'2-Schedule'!$A$1:$CC$36</definedName>
    <definedName name="_xlnm.Print_Area" localSheetId="5">'3-Engineering'!$A$1:$I$35</definedName>
    <definedName name="_xlnm.Print_Area" localSheetId="6">'4-Procurement'!$A$1:$BG$25</definedName>
    <definedName name="_xlnm.Print_Area" localSheetId="9">'5-QA-QC'!$A$1:$BF$53</definedName>
    <definedName name="_xlnm.Print_Area" localSheetId="12">'7.1-Payment-Detail'!$A$1:$G$19</definedName>
    <definedName name="_xlnm.Print_Area" localSheetId="13">'7.2-Scope Management'!$A$1:$N$25</definedName>
    <definedName name="_xlnm.Print_Area" localSheetId="14">'7.3-sub-con'!$A$1:$CB$139</definedName>
    <definedName name="_xlnm.Print_Area" localSheetId="11">'7-Project Scope +Revenue Detail'!$A$1:$I$25</definedName>
    <definedName name="_xlnm.Print_Area" localSheetId="16">'8-HSE'!$A$1:$BG$35</definedName>
    <definedName name="_xlnm.Print_Area" localSheetId="17">'9-Budget-Cost-ETC-EAC'!$A$1:$H$38</definedName>
    <definedName name="_xlnm.Print_Area" localSheetId="1">'Cover '!$A$1:$AA$55</definedName>
    <definedName name="_xlnm.Print_Area" localSheetId="2">Index!$A$1:$BN$44</definedName>
    <definedName name="_xlnm.Print_Area" localSheetId="0">'Monthly Dashboard Report'!$A$1:$T$60</definedName>
    <definedName name="_xlnm.Print_Area" localSheetId="23">Sub!$A$1:$CC$444</definedName>
    <definedName name="_xlnm.Print_Titles" localSheetId="12">'7.1-Payment-Detail'!$1:$8</definedName>
    <definedName name="_xlnm.Print_Titles" localSheetId="13">'7.2-Scope Management'!$1:$8</definedName>
    <definedName name="sd_table_ax102" localSheetId="14">#REF!</definedName>
    <definedName name="sd_table_ax102" localSheetId="1">#REF!</definedName>
    <definedName name="sd_table_ax102" localSheetId="2">#REF!</definedName>
    <definedName name="sd_table_ax102" localSheetId="23">#REF!</definedName>
    <definedName name="sd_table_ax102">#REF!</definedName>
    <definedName name="TEST" localSheetId="14">'[1]Material Submittal'!#REF!</definedName>
    <definedName name="TEST" localSheetId="1">'[1]Material Submittal'!#REF!</definedName>
    <definedName name="TEST" localSheetId="2">'[1]Material Submittal'!#REF!</definedName>
    <definedName name="TEST" localSheetId="23">'[1]Material Submittal'!#REF!</definedName>
    <definedName name="TEST">'[1]Material Submittal'!#REF!</definedName>
    <definedName name="TEST1" localSheetId="1">'[1]Material Submittal'!#REF!</definedName>
    <definedName name="TEST1" localSheetId="2">'[1]Material Submittal'!#REF!</definedName>
    <definedName name="TEST1" localSheetId="23">'[1]Material Submittal'!#REF!</definedName>
    <definedName name="TEST1">'[1]Material Submittal'!#REF!</definedName>
    <definedName name="Train" localSheetId="14">#REF!</definedName>
    <definedName name="Train" localSheetId="1">#REF!</definedName>
    <definedName name="Train" localSheetId="2">#REF!</definedName>
    <definedName name="Train" localSheetId="23">#REF!</definedName>
    <definedName name="Train">#REF!</definedName>
  </definedNames>
  <calcPr calcId="125725"/>
</workbook>
</file>

<file path=xl/calcChain.xml><?xml version="1.0" encoding="utf-8"?>
<calcChain xmlns="http://schemas.openxmlformats.org/spreadsheetml/2006/main">
  <c r="B78" i="49"/>
  <c r="C37"/>
  <c r="T41" i="50" l="1"/>
  <c r="T40"/>
  <c r="T39"/>
  <c r="Q40" l="1"/>
  <c r="Q39"/>
  <c r="AJ12" i="22"/>
  <c r="L12"/>
  <c r="BX15"/>
  <c r="Q33" i="50"/>
  <c r="T14"/>
  <c r="M14"/>
  <c r="M13"/>
  <c r="M11"/>
  <c r="J30" i="37"/>
  <c r="K21" l="1"/>
  <c r="J9"/>
  <c r="J11" l="1"/>
  <c r="J8"/>
  <c r="O9"/>
  <c r="L11"/>
  <c r="L9"/>
  <c r="L8"/>
  <c r="N15"/>
  <c r="D33" i="44"/>
  <c r="E33"/>
  <c r="F33"/>
  <c r="G33"/>
  <c r="D34"/>
  <c r="E34"/>
  <c r="F34"/>
  <c r="G34"/>
  <c r="D35"/>
  <c r="E35"/>
  <c r="F35"/>
  <c r="G35"/>
  <c r="D36"/>
  <c r="E36"/>
  <c r="F36"/>
  <c r="G36"/>
  <c r="D37"/>
  <c r="E37"/>
  <c r="F37"/>
  <c r="G37"/>
  <c r="D38"/>
  <c r="E38"/>
  <c r="F38"/>
  <c r="G38"/>
  <c r="D39"/>
  <c r="E39"/>
  <c r="F39"/>
  <c r="G39"/>
  <c r="G32"/>
  <c r="F32"/>
  <c r="E32"/>
  <c r="D32"/>
  <c r="S16" l="1"/>
  <c r="T16"/>
  <c r="U16"/>
  <c r="S15"/>
  <c r="T15"/>
  <c r="U15"/>
  <c r="S14"/>
  <c r="T14"/>
  <c r="U14"/>
  <c r="S13"/>
  <c r="T13"/>
  <c r="U13"/>
  <c r="R13"/>
  <c r="R14"/>
  <c r="R15"/>
  <c r="R16"/>
  <c r="S12"/>
  <c r="T12"/>
  <c r="U12"/>
  <c r="R12"/>
  <c r="S11"/>
  <c r="T11"/>
  <c r="U11"/>
  <c r="R11"/>
  <c r="S10"/>
  <c r="T10"/>
  <c r="U10"/>
  <c r="R10"/>
  <c r="S9"/>
  <c r="T9"/>
  <c r="U9"/>
  <c r="R9"/>
  <c r="Q10"/>
  <c r="Q11"/>
  <c r="Q12"/>
  <c r="Q13"/>
  <c r="Q14"/>
  <c r="Q15"/>
  <c r="Q16"/>
  <c r="Q9"/>
  <c r="R18"/>
  <c r="P11"/>
  <c r="P10"/>
  <c r="P12"/>
  <c r="P13"/>
  <c r="P14"/>
  <c r="P15"/>
  <c r="P16"/>
  <c r="P9"/>
  <c r="H39" l="1"/>
  <c r="H12" i="19"/>
  <c r="D12"/>
  <c r="H37" i="44" l="1"/>
  <c r="H36"/>
  <c r="H38"/>
  <c r="C22" i="45"/>
  <c r="E22"/>
  <c r="AQ30" i="47" l="1"/>
  <c r="AA30"/>
  <c r="K30"/>
  <c r="C10" i="45" l="1"/>
  <c r="M12" i="50" s="1"/>
  <c r="I18" i="44"/>
  <c r="F9" i="45" l="1"/>
  <c r="E20"/>
  <c r="BT24" i="10" l="1"/>
  <c r="BT22"/>
  <c r="BK22"/>
  <c r="C7" i="19" l="1"/>
  <c r="W13" i="47"/>
  <c r="W10"/>
  <c r="C8" i="19" l="1"/>
  <c r="E56" i="50" l="1"/>
  <c r="H6" i="19" l="1"/>
  <c r="A58" i="50" l="1"/>
  <c r="A57"/>
  <c r="A56"/>
  <c r="A55"/>
  <c r="A54"/>
  <c r="A53"/>
  <c r="A52"/>
  <c r="A51"/>
  <c r="A50"/>
  <c r="A49"/>
  <c r="A48"/>
  <c r="E58"/>
  <c r="E57"/>
  <c r="E55"/>
  <c r="E54"/>
  <c r="E53"/>
  <c r="E52"/>
  <c r="E51"/>
  <c r="E50"/>
  <c r="E49"/>
  <c r="E48"/>
  <c r="D61" i="49"/>
  <c r="D16" i="3"/>
  <c r="H16" s="1"/>
  <c r="D15"/>
  <c r="H15" s="1"/>
  <c r="D14"/>
  <c r="D13"/>
  <c r="D12"/>
  <c r="H12" s="1"/>
  <c r="D11"/>
  <c r="H11" s="1"/>
  <c r="D10"/>
  <c r="H14"/>
  <c r="H13"/>
  <c r="H10"/>
  <c r="H9"/>
  <c r="D9"/>
  <c r="E10"/>
  <c r="E11"/>
  <c r="E12"/>
  <c r="E13"/>
  <c r="E14"/>
  <c r="E15"/>
  <c r="E16"/>
  <c r="E9"/>
  <c r="E47" i="50" l="1"/>
  <c r="B77" i="49"/>
  <c r="D56"/>
  <c r="D55"/>
  <c r="D54"/>
  <c r="D53"/>
  <c r="D52"/>
  <c r="D51"/>
  <c r="D50"/>
  <c r="D49"/>
  <c r="D48"/>
  <c r="D47"/>
  <c r="D46"/>
  <c r="BB24" i="10"/>
  <c r="F19" i="42" l="1"/>
  <c r="F9"/>
  <c r="F10"/>
  <c r="F11"/>
  <c r="F12"/>
  <c r="F13"/>
  <c r="F14"/>
  <c r="F15"/>
  <c r="AW30" i="48"/>
  <c r="H50" i="44" l="1"/>
  <c r="H49"/>
  <c r="H48"/>
  <c r="H47"/>
  <c r="H33"/>
  <c r="H34"/>
  <c r="H35"/>
  <c r="H32"/>
  <c r="E55"/>
  <c r="F55"/>
  <c r="G55"/>
  <c r="D55"/>
  <c r="E42"/>
  <c r="F42"/>
  <c r="G42"/>
  <c r="D42"/>
  <c r="H42" l="1"/>
  <c r="F58"/>
  <c r="C21" i="37" s="1"/>
  <c r="E58" i="44"/>
  <c r="C18" i="37" s="1"/>
  <c r="G58" i="44"/>
  <c r="D58"/>
  <c r="C12" i="37" s="1"/>
  <c r="H55" i="44"/>
  <c r="H58" l="1"/>
  <c r="AQ29" i="47" l="1"/>
  <c r="AQ28"/>
  <c r="H18" i="44" l="1"/>
  <c r="C22" s="1"/>
  <c r="G16"/>
  <c r="G15"/>
  <c r="G14"/>
  <c r="G13"/>
  <c r="G12"/>
  <c r="G11"/>
  <c r="G10"/>
  <c r="G9"/>
  <c r="AM88" i="48" l="1"/>
  <c r="BJ12" i="34" l="1"/>
  <c r="BK12" s="1"/>
  <c r="BJ13"/>
  <c r="BK13" s="1"/>
  <c r="BJ14"/>
  <c r="BK14" s="1"/>
  <c r="BJ11"/>
  <c r="BK11" s="1"/>
  <c r="AD15" i="22" l="1"/>
  <c r="AD14"/>
  <c r="AD13"/>
  <c r="AD12"/>
  <c r="BH22" i="10" l="1"/>
  <c r="E3" i="49"/>
  <c r="T13" i="50" l="1"/>
  <c r="C21" i="45"/>
  <c r="C20"/>
  <c r="Q49" i="50"/>
  <c r="Q48"/>
  <c r="Q47"/>
  <c r="P47"/>
  <c r="O49"/>
  <c r="O47"/>
  <c r="L48"/>
  <c r="B22"/>
  <c r="C22" s="1"/>
  <c r="C32"/>
  <c r="P14"/>
  <c r="I32"/>
  <c r="F29"/>
  <c r="F30" s="1"/>
  <c r="F31" s="1"/>
  <c r="F32" s="1"/>
  <c r="C28"/>
  <c r="C29" s="1"/>
  <c r="C30" s="1"/>
  <c r="T22"/>
  <c r="S22"/>
  <c r="R22"/>
  <c r="T21"/>
  <c r="S21"/>
  <c r="S23" s="1"/>
  <c r="R21"/>
  <c r="R23" s="1"/>
  <c r="I40"/>
  <c r="I39"/>
  <c r="H40"/>
  <c r="H39"/>
  <c r="I60"/>
  <c r="A47"/>
  <c r="N39"/>
  <c r="M39"/>
  <c r="Q30"/>
  <c r="P30"/>
  <c r="O30"/>
  <c r="O29"/>
  <c r="O28"/>
  <c r="N32"/>
  <c r="P15"/>
  <c r="P12"/>
  <c r="M10"/>
  <c r="F11"/>
  <c r="F10" s="1"/>
  <c r="G10" s="1"/>
  <c r="E11"/>
  <c r="D11"/>
  <c r="D10" s="1"/>
  <c r="C11"/>
  <c r="C10"/>
  <c r="B10"/>
  <c r="B11" s="1"/>
  <c r="T23" l="1"/>
  <c r="H41"/>
  <c r="O32"/>
  <c r="G11"/>
  <c r="F28"/>
  <c r="T3"/>
  <c r="T4" s="1"/>
  <c r="Q41" l="1"/>
  <c r="I41"/>
  <c r="R39"/>
  <c r="O39"/>
  <c r="O34"/>
  <c r="R33"/>
  <c r="R30"/>
  <c r="BO3" i="10" l="1"/>
  <c r="I3" i="3"/>
  <c r="AV3" i="11"/>
  <c r="AV3" i="36"/>
  <c r="M3" i="9"/>
  <c r="AV3" i="47"/>
  <c r="G3" i="14"/>
  <c r="BM3" i="48"/>
  <c r="G3" i="42"/>
  <c r="I3" i="43"/>
  <c r="N3" i="44"/>
  <c r="I3" i="45"/>
  <c r="AW3" i="15"/>
  <c r="H3" i="37"/>
  <c r="BI3" i="22"/>
  <c r="AW3" i="27"/>
  <c r="AZ3" i="34"/>
  <c r="H3" i="35"/>
  <c r="G3" i="19"/>
  <c r="B20" i="3" l="1"/>
  <c r="C36" i="19" l="1"/>
  <c r="C35"/>
  <c r="C34"/>
  <c r="C33"/>
  <c r="C27"/>
  <c r="C26"/>
  <c r="C25"/>
  <c r="P49" i="50" s="1"/>
  <c r="C24" i="19"/>
  <c r="P48" i="50" s="1"/>
  <c r="C23" i="19"/>
  <c r="C20" l="1"/>
  <c r="C19"/>
  <c r="O48" i="50" s="1"/>
  <c r="C18" i="19"/>
  <c r="E21" i="45" l="1"/>
  <c r="T10" i="50" s="1"/>
  <c r="F18" i="44" l="1"/>
  <c r="G18"/>
  <c r="C23" s="1"/>
  <c r="F10" i="45" s="1"/>
  <c r="T101" i="48"/>
  <c r="C12" i="45" l="1"/>
  <c r="M15" i="50" s="1"/>
  <c r="M17" s="1"/>
  <c r="F12" i="45"/>
  <c r="AM106" i="48"/>
  <c r="AM97"/>
  <c r="AW92"/>
  <c r="AW31"/>
  <c r="T31"/>
  <c r="AM27"/>
  <c r="AW21"/>
  <c r="AM17"/>
  <c r="AW12"/>
  <c r="T12"/>
  <c r="AM8"/>
  <c r="T28" i="50" l="1"/>
  <c r="P10"/>
  <c r="P17" s="1"/>
  <c r="AT23" i="10" l="1"/>
  <c r="AT22"/>
  <c r="F27" i="37" l="1"/>
  <c r="F26"/>
  <c r="E28"/>
  <c r="D28"/>
  <c r="C28"/>
  <c r="F28" l="1"/>
  <c r="H28" s="1"/>
  <c r="F22"/>
  <c r="F12" l="1"/>
  <c r="F11"/>
  <c r="F9"/>
  <c r="F8"/>
  <c r="C10" i="19" l="1"/>
  <c r="L47" i="50" s="1"/>
  <c r="C6" i="19"/>
  <c r="M47" i="50" s="1"/>
  <c r="AU23" i="47"/>
  <c r="B42" i="50" s="1"/>
  <c r="AI23" i="47"/>
  <c r="B41" i="50" s="1"/>
  <c r="W23" i="47"/>
  <c r="B40" i="50" s="1"/>
  <c r="K23" i="47"/>
  <c r="AU14"/>
  <c r="D42" i="50" s="1"/>
  <c r="AI14" i="47"/>
  <c r="D41" i="50" s="1"/>
  <c r="W14" i="47"/>
  <c r="D40" i="50" s="1"/>
  <c r="K14" i="47"/>
  <c r="F5"/>
  <c r="M48" i="50" l="1"/>
  <c r="M49"/>
  <c r="B39"/>
  <c r="C42" s="1"/>
  <c r="D39"/>
  <c r="E41" s="1"/>
  <c r="E40" l="1"/>
  <c r="C41"/>
  <c r="C40"/>
  <c r="E42"/>
  <c r="C24" i="45"/>
  <c r="E24" l="1"/>
  <c r="AD17" i="22" l="1"/>
  <c r="B5" i="3" l="1"/>
  <c r="AT25" i="10" l="1"/>
  <c r="AT24"/>
  <c r="AU15" i="34" l="1"/>
  <c r="AO15"/>
  <c r="AI15"/>
  <c r="V15"/>
  <c r="P15"/>
  <c r="J15"/>
  <c r="BL12" l="1"/>
  <c r="BM12" s="1"/>
  <c r="BL9"/>
  <c r="BM9" s="1"/>
  <c r="BM15" s="1"/>
  <c r="BL11"/>
  <c r="BM11" s="1"/>
  <c r="BL10"/>
  <c r="BM10" s="1"/>
  <c r="C11" i="19"/>
  <c r="L49" i="50" s="1"/>
  <c r="BN16" i="22"/>
  <c r="AV17"/>
  <c r="AV15"/>
  <c r="AV14"/>
  <c r="AV13"/>
  <c r="AV12"/>
  <c r="AV11"/>
  <c r="AP17"/>
  <c r="AP13"/>
  <c r="AP14"/>
  <c r="AP15"/>
  <c r="AP12"/>
  <c r="AP11"/>
  <c r="C12" i="19" l="1"/>
  <c r="BB17" i="22"/>
  <c r="AV16"/>
  <c r="F21" i="37" l="1"/>
  <c r="F20"/>
  <c r="F14"/>
  <c r="F19" s="1"/>
  <c r="C20" l="1"/>
  <c r="H20" s="1"/>
  <c r="C11"/>
  <c r="C8"/>
  <c r="C9"/>
  <c r="F13" l="1"/>
  <c r="E13" l="1"/>
  <c r="Q28" i="50" s="1"/>
  <c r="O21"/>
  <c r="AG11" i="15" l="1"/>
  <c r="Q21" i="50" s="1"/>
  <c r="AG10" i="15"/>
  <c r="P21" i="50" s="1"/>
  <c r="R10" i="15" l="1"/>
  <c r="O22" i="50"/>
  <c r="O23" s="1"/>
  <c r="H19" i="45"/>
  <c r="R11" i="15" l="1"/>
  <c r="Q22" i="50" s="1"/>
  <c r="Q23" s="1"/>
  <c r="P22"/>
  <c r="P23" s="1"/>
  <c r="E18" i="44"/>
  <c r="D18"/>
  <c r="C18"/>
  <c r="C21"/>
  <c r="C25" s="1"/>
  <c r="H18" i="43"/>
  <c r="G18"/>
  <c r="F18"/>
  <c r="E18"/>
  <c r="C18"/>
  <c r="E19" i="42"/>
  <c r="D19"/>
  <c r="C23" i="45" l="1"/>
  <c r="C19" i="42"/>
  <c r="C65" i="49"/>
  <c r="T12" i="50"/>
  <c r="A15" i="45"/>
  <c r="H21" s="1"/>
  <c r="H20" s="1"/>
  <c r="F8"/>
  <c r="D15" s="1"/>
  <c r="E23" l="1"/>
  <c r="C25"/>
  <c r="H8"/>
  <c r="G15" s="1"/>
  <c r="B33" i="37"/>
  <c r="F5" i="36"/>
  <c r="T11" i="50" l="1"/>
  <c r="D33" i="45"/>
  <c r="E25"/>
  <c r="A10" i="9"/>
  <c r="A11" s="1"/>
  <c r="A12" s="1"/>
  <c r="A13" s="1"/>
  <c r="A14" s="1"/>
  <c r="A15" s="1"/>
  <c r="A16" s="1"/>
  <c r="A17" s="1"/>
  <c r="A18" s="1"/>
  <c r="A19" s="1"/>
  <c r="A20" s="1"/>
  <c r="A21" s="1"/>
  <c r="A22" s="1"/>
  <c r="BA11" i="11" l="1"/>
  <c r="BA10"/>
  <c r="BH24" i="10"/>
  <c r="AL24"/>
  <c r="H21" i="37" l="1"/>
  <c r="F25"/>
  <c r="E41" s="1"/>
  <c r="E25"/>
  <c r="Q31" i="50" s="1"/>
  <c r="D25" i="37"/>
  <c r="P31" i="50" s="1"/>
  <c r="C25" i="37"/>
  <c r="E19"/>
  <c r="Q29" i="50" s="1"/>
  <c r="D19" i="37"/>
  <c r="P29" i="50" s="1"/>
  <c r="D13" i="37"/>
  <c r="C19"/>
  <c r="AU9" i="15"/>
  <c r="R31" i="50" l="1"/>
  <c r="E37" i="37"/>
  <c r="E38" s="1"/>
  <c r="P28" i="50"/>
  <c r="P34" s="1"/>
  <c r="Q34"/>
  <c r="Q32"/>
  <c r="R29"/>
  <c r="E29" i="37"/>
  <c r="D29"/>
  <c r="F29"/>
  <c r="F33" s="1"/>
  <c r="H25"/>
  <c r="H19"/>
  <c r="P32" i="50" l="1"/>
  <c r="R32" s="1"/>
  <c r="R28"/>
  <c r="E33" i="37"/>
  <c r="AU10" i="15"/>
  <c r="AU12"/>
  <c r="AU11"/>
  <c r="AU8"/>
  <c r="T29" i="50" l="1"/>
  <c r="T34" s="1"/>
  <c r="S34" s="1"/>
  <c r="R34"/>
  <c r="BB15" i="22"/>
  <c r="BB13"/>
  <c r="BB12"/>
  <c r="BA14" i="34"/>
  <c r="AB14"/>
  <c r="BA12"/>
  <c r="AB12"/>
  <c r="BA11"/>
  <c r="AB11"/>
  <c r="BA10"/>
  <c r="AB10"/>
  <c r="BA9"/>
  <c r="AB9"/>
  <c r="X16" i="22"/>
  <c r="R16"/>
  <c r="M40" i="50" s="1"/>
  <c r="BB14" i="22"/>
  <c r="AD11"/>
  <c r="C13" i="37"/>
  <c r="AU14" i="15"/>
  <c r="AU13"/>
  <c r="N40" i="50" l="1"/>
  <c r="AD16" i="22"/>
  <c r="H13" i="37"/>
  <c r="C29"/>
  <c r="AB15" i="34"/>
  <c r="BA15"/>
  <c r="C85" i="49" s="1"/>
  <c r="BB16" i="22"/>
  <c r="BB11"/>
  <c r="AP16"/>
  <c r="O40" i="50" l="1"/>
  <c r="R40"/>
  <c r="H29" i="37"/>
  <c r="D33"/>
  <c r="H26" i="3"/>
  <c r="C33" i="37" l="1"/>
  <c r="F5" i="11"/>
  <c r="AX25" l="1"/>
  <c r="AT15"/>
  <c r="BA15"/>
  <c r="H27" i="3" l="1"/>
  <c r="E27"/>
  <c r="B27"/>
  <c r="F20" l="1"/>
  <c r="F22" i="50" s="1"/>
  <c r="G20" i="3"/>
  <c r="G22" i="50" s="1"/>
  <c r="H20" i="3"/>
  <c r="E20"/>
  <c r="C20"/>
  <c r="D20"/>
  <c r="AN25" i="11"/>
  <c r="AD25"/>
  <c r="T25"/>
  <c r="K25"/>
  <c r="AM15"/>
  <c r="AF15"/>
  <c r="Y15"/>
  <c r="R15"/>
  <c r="K15"/>
  <c r="D22" i="50" l="1"/>
  <c r="L20" i="3"/>
  <c r="E22" i="50" l="1"/>
  <c r="H22"/>
</calcChain>
</file>

<file path=xl/comments1.xml><?xml version="1.0" encoding="utf-8"?>
<comments xmlns="http://schemas.openxmlformats.org/spreadsheetml/2006/main">
  <authors>
    <author>Citadel</author>
  </authors>
  <commentList>
    <comment ref="BR27" authorId="0">
      <text>
        <r>
          <rPr>
            <b/>
            <sz val="9"/>
            <color indexed="81"/>
            <rFont val="Tahoma"/>
            <family val="2"/>
          </rPr>
          <t>Citadel:</t>
        </r>
        <r>
          <rPr>
            <sz val="9"/>
            <color indexed="81"/>
            <rFont val="Tahoma"/>
            <family val="2"/>
          </rPr>
          <t xml:space="preserve">
Advance Payment
</t>
        </r>
      </text>
    </comment>
  </commentList>
</comments>
</file>

<file path=xl/sharedStrings.xml><?xml version="1.0" encoding="utf-8"?>
<sst xmlns="http://schemas.openxmlformats.org/spreadsheetml/2006/main" count="1764" uniqueCount="810">
  <si>
    <t>Commercial</t>
  </si>
  <si>
    <t>Plan</t>
  </si>
  <si>
    <t>Approved</t>
  </si>
  <si>
    <t xml:space="preserve">Engineering </t>
  </si>
  <si>
    <t>First Aid Case</t>
  </si>
  <si>
    <t>Major Injuries</t>
  </si>
  <si>
    <t>Medical Case</t>
  </si>
  <si>
    <t>This Month</t>
  </si>
  <si>
    <t>Total</t>
  </si>
  <si>
    <t xml:space="preserve">Procurement </t>
  </si>
  <si>
    <t>Material</t>
  </si>
  <si>
    <t>Resources</t>
  </si>
  <si>
    <t>Variance</t>
  </si>
  <si>
    <t>Material Inspection</t>
  </si>
  <si>
    <t>Actual</t>
  </si>
  <si>
    <t>Open</t>
  </si>
  <si>
    <t>Submitted</t>
  </si>
  <si>
    <t>Area of Concerns</t>
  </si>
  <si>
    <t>Impact</t>
  </si>
  <si>
    <t>TABLE OF CONTENTS</t>
  </si>
  <si>
    <t xml:space="preserve">Project Overview </t>
  </si>
  <si>
    <t xml:space="preserve">QA/QC Status </t>
  </si>
  <si>
    <t xml:space="preserve">Sub-Con. Status </t>
  </si>
  <si>
    <t>HSE - Report</t>
  </si>
  <si>
    <t>Progress Photograph</t>
  </si>
  <si>
    <t>Lesson Learned</t>
  </si>
  <si>
    <t>Admin Report</t>
  </si>
  <si>
    <t>Project Overview</t>
  </si>
  <si>
    <t>Project Details</t>
  </si>
  <si>
    <t>Project:</t>
  </si>
  <si>
    <t>Client:</t>
  </si>
  <si>
    <t>Designer:</t>
  </si>
  <si>
    <t>MEP Designer:</t>
  </si>
  <si>
    <t>Consultant:</t>
  </si>
  <si>
    <t>Main Contractor:</t>
  </si>
  <si>
    <t>MEP Contractor:</t>
  </si>
  <si>
    <t>In House Sub-Con:</t>
  </si>
  <si>
    <t xml:space="preserve">Program Detail  </t>
  </si>
  <si>
    <t>Program Detail</t>
  </si>
  <si>
    <t>Status</t>
  </si>
  <si>
    <t>Start Date</t>
  </si>
  <si>
    <t>Rev</t>
  </si>
  <si>
    <t>(A)- Approved, (F) - Followed, (S)-Submitted/under review</t>
  </si>
  <si>
    <t xml:space="preserve">Progress Detail  </t>
  </si>
  <si>
    <t>Month</t>
  </si>
  <si>
    <t>EL</t>
  </si>
  <si>
    <t>HVAC</t>
  </si>
  <si>
    <t>FF</t>
  </si>
  <si>
    <t>PL</t>
  </si>
  <si>
    <t>3 Month Look Ahead Plan</t>
  </si>
  <si>
    <t>(Major Activity only)</t>
  </si>
  <si>
    <t>Engineering - (As of Jan-14)</t>
  </si>
  <si>
    <r>
      <t>Procurement - (As of Jan-14)</t>
    </r>
    <r>
      <rPr>
        <sz val="18"/>
        <color theme="1"/>
        <rFont val="Calibri"/>
        <family val="2"/>
        <scheme val="minor"/>
      </rPr>
      <t xml:space="preserve"> </t>
    </r>
  </si>
  <si>
    <t>Long Lead Material Track Sheet</t>
  </si>
  <si>
    <t>S.No</t>
  </si>
  <si>
    <t xml:space="preserve">Item Description </t>
  </si>
  <si>
    <t>Required at Site</t>
  </si>
  <si>
    <t>Material Approval Status</t>
  </si>
  <si>
    <t xml:space="preserve">MR  Date </t>
  </si>
  <si>
    <t>PO release Date</t>
  </si>
  <si>
    <t>Delivery</t>
  </si>
  <si>
    <t xml:space="preserve">Installation @ Site </t>
  </si>
  <si>
    <t>Remarks</t>
  </si>
  <si>
    <t>Deliver Period</t>
  </si>
  <si>
    <r>
      <t>QA/QC Status- (As of Jan-14)</t>
    </r>
    <r>
      <rPr>
        <sz val="18"/>
        <color theme="1"/>
        <rFont val="Calibri"/>
        <family val="2"/>
        <scheme val="minor"/>
      </rPr>
      <t xml:space="preserve"> </t>
    </r>
  </si>
  <si>
    <r>
      <t>Resources- (As of Jan-14)</t>
    </r>
    <r>
      <rPr>
        <sz val="18"/>
        <color theme="1"/>
        <rFont val="Calibri"/>
        <family val="2"/>
        <scheme val="minor"/>
      </rPr>
      <t xml:space="preserve"> </t>
    </r>
  </si>
  <si>
    <t>Tools &amp; Plants</t>
  </si>
  <si>
    <t>Tools</t>
  </si>
  <si>
    <t>Plants</t>
  </si>
  <si>
    <t>S.#</t>
  </si>
  <si>
    <t>Required Period</t>
  </si>
  <si>
    <t>Qty</t>
  </si>
  <si>
    <t>Plants Description</t>
  </si>
  <si>
    <t xml:space="preserve">Sub Contractor Status </t>
  </si>
  <si>
    <t>Subcon Name</t>
  </si>
  <si>
    <t>Contract Value</t>
  </si>
  <si>
    <t>Approved VO</t>
  </si>
  <si>
    <t>Total Scope Value</t>
  </si>
  <si>
    <t>Claim</t>
  </si>
  <si>
    <t xml:space="preserve">Certified as of </t>
  </si>
  <si>
    <t>Design</t>
  </si>
  <si>
    <t>Manpower</t>
  </si>
  <si>
    <t>Long lead Items</t>
  </si>
  <si>
    <t>Progress</t>
  </si>
  <si>
    <t xml:space="preserve">Inspection </t>
  </si>
  <si>
    <t>Remarks :</t>
  </si>
  <si>
    <t xml:space="preserve">Plan </t>
  </si>
  <si>
    <t xml:space="preserve">HSE - Report </t>
  </si>
  <si>
    <t>last Month</t>
  </si>
  <si>
    <t>Total Number of Employees</t>
  </si>
  <si>
    <t xml:space="preserve">Man-hours Worked </t>
  </si>
  <si>
    <t>Man-hours Without LTI</t>
  </si>
  <si>
    <t>Man-hours Without LTA</t>
  </si>
  <si>
    <t>Occupational Illness</t>
  </si>
  <si>
    <t>Incident Reports</t>
  </si>
  <si>
    <t>Near Miss</t>
  </si>
  <si>
    <t>Unsafe Act.</t>
  </si>
  <si>
    <t xml:space="preserve">Unsafe Condition </t>
  </si>
  <si>
    <t>Damage Report</t>
  </si>
  <si>
    <t>Induction / Training</t>
  </si>
  <si>
    <t xml:space="preserve">HSE Induction </t>
  </si>
  <si>
    <t xml:space="preserve">In house Training </t>
  </si>
  <si>
    <t>Tool Box Talks</t>
  </si>
  <si>
    <t>Tool Box Topics</t>
  </si>
  <si>
    <t>Commercial - (As of Jan-14)</t>
  </si>
  <si>
    <t>Current Value Detail</t>
  </si>
  <si>
    <t>Original Contract (a)</t>
  </si>
  <si>
    <t>BOQ Adjustment (b)</t>
  </si>
  <si>
    <t>Scope Deletion (c)</t>
  </si>
  <si>
    <t>Variation Order</t>
  </si>
  <si>
    <t xml:space="preserve">Budget- Cost Comparison </t>
  </si>
  <si>
    <t>Budget Details</t>
  </si>
  <si>
    <t>App. VO</t>
  </si>
  <si>
    <t>Material Cost</t>
  </si>
  <si>
    <t>Indirect Cost</t>
  </si>
  <si>
    <t>Completion Cost Forecast</t>
  </si>
  <si>
    <t>As of January 2014</t>
  </si>
  <si>
    <t>TCPI - To Complete Performance Index</t>
  </si>
  <si>
    <t>Petty Cash Expenses Details</t>
  </si>
  <si>
    <t>Petty Cash Expenses</t>
  </si>
  <si>
    <t>Correspondence Details</t>
  </si>
  <si>
    <t>From Main Con.</t>
  </si>
  <si>
    <t xml:space="preserve">Total Received </t>
  </si>
  <si>
    <t>Response Req.</t>
  </si>
  <si>
    <t>Responded</t>
  </si>
  <si>
    <t>Scope Management Matrix</t>
  </si>
  <si>
    <t>Description</t>
  </si>
  <si>
    <t>Cost of VO</t>
  </si>
  <si>
    <t>Current Status</t>
  </si>
  <si>
    <t>Certification</t>
  </si>
  <si>
    <t>Discipline</t>
  </si>
  <si>
    <t xml:space="preserve">Progress Photograph </t>
  </si>
  <si>
    <t>Category</t>
  </si>
  <si>
    <t>Issue Name</t>
  </si>
  <si>
    <t>Recommendation</t>
  </si>
  <si>
    <t>Received</t>
  </si>
  <si>
    <t>Still to Received</t>
  </si>
  <si>
    <t>ATM</t>
  </si>
  <si>
    <t>Insurance Card</t>
  </si>
  <si>
    <t>Gate Pass</t>
  </si>
  <si>
    <t>Project Report - Monthly</t>
  </si>
  <si>
    <t>Plan Completion Date</t>
  </si>
  <si>
    <t>Projected Completion Date</t>
  </si>
  <si>
    <t>Pervious</t>
  </si>
  <si>
    <t>Current</t>
  </si>
  <si>
    <t>Forecast</t>
  </si>
  <si>
    <t>Confirm by Sup</t>
  </si>
  <si>
    <t xml:space="preserve">Activity  Description </t>
  </si>
  <si>
    <t xml:space="preserve">Tentaivit Completion Date </t>
  </si>
  <si>
    <t>Last Month / Cumulative</t>
  </si>
  <si>
    <t>Additional Qty (d)</t>
  </si>
  <si>
    <t>Approved (f)</t>
  </si>
  <si>
    <t>Rejected (e)</t>
  </si>
  <si>
    <t>Total Current Scope Value  (a+b+d+f-c)</t>
  </si>
  <si>
    <t>Budget</t>
  </si>
  <si>
    <t>Actual Cost</t>
  </si>
  <si>
    <r>
      <t>§</t>
    </r>
    <r>
      <rPr>
        <sz val="18"/>
        <color theme="1"/>
        <rFont val="Times New Roman"/>
        <family val="1"/>
      </rPr>
      <t xml:space="preserve">  </t>
    </r>
    <r>
      <rPr>
        <sz val="18"/>
        <color theme="1"/>
        <rFont val="Arial"/>
        <family val="2"/>
      </rPr>
      <t xml:space="preserve">Man-hours </t>
    </r>
  </si>
  <si>
    <r>
      <t>§</t>
    </r>
    <r>
      <rPr>
        <sz val="18"/>
        <color theme="1"/>
        <rFont val="Times New Roman"/>
        <family val="1"/>
      </rPr>
      <t xml:space="preserve">  </t>
    </r>
    <r>
      <rPr>
        <sz val="18"/>
        <color theme="1"/>
        <rFont val="Arial"/>
        <family val="2"/>
      </rPr>
      <t>Tools &amp; Plants</t>
    </r>
  </si>
  <si>
    <r>
      <t>§</t>
    </r>
    <r>
      <rPr>
        <sz val="18"/>
        <color theme="1"/>
        <rFont val="Times New Roman"/>
        <family val="1"/>
      </rPr>
      <t xml:space="preserve">  </t>
    </r>
    <r>
      <rPr>
        <sz val="18"/>
        <color theme="1"/>
        <rFont val="Arial"/>
        <family val="2"/>
      </rPr>
      <t xml:space="preserve">Contract Value Detail  </t>
    </r>
  </si>
  <si>
    <r>
      <t>§</t>
    </r>
    <r>
      <rPr>
        <sz val="18"/>
        <color theme="1"/>
        <rFont val="Times New Roman"/>
        <family val="1"/>
      </rPr>
      <t xml:space="preserve">  </t>
    </r>
    <r>
      <rPr>
        <sz val="18"/>
        <color theme="1"/>
        <rFont val="Arial"/>
        <family val="2"/>
      </rPr>
      <t>Claim Detail &amp; S- Curve</t>
    </r>
  </si>
  <si>
    <r>
      <t>§</t>
    </r>
    <r>
      <rPr>
        <sz val="18"/>
        <color theme="1"/>
        <rFont val="Times New Roman"/>
        <family val="1"/>
      </rPr>
      <t xml:space="preserve">  </t>
    </r>
    <r>
      <rPr>
        <sz val="18"/>
        <color theme="1"/>
        <rFont val="Arial"/>
        <family val="2"/>
      </rPr>
      <t xml:space="preserve">Budget - Cost Comparison </t>
    </r>
  </si>
  <si>
    <r>
      <t>§</t>
    </r>
    <r>
      <rPr>
        <sz val="18"/>
        <color theme="1"/>
        <rFont val="Times New Roman"/>
        <family val="1"/>
      </rPr>
      <t xml:space="preserve">  </t>
    </r>
    <r>
      <rPr>
        <sz val="18"/>
        <color theme="1"/>
        <rFont val="Arial"/>
        <family val="2"/>
      </rPr>
      <t>Completion Cost Forecast</t>
    </r>
  </si>
  <si>
    <r>
      <t>§</t>
    </r>
    <r>
      <rPr>
        <sz val="18"/>
        <color theme="1"/>
        <rFont val="Times New Roman"/>
        <family val="1"/>
      </rPr>
      <t xml:space="preserve">  </t>
    </r>
    <r>
      <rPr>
        <sz val="18"/>
        <color theme="1"/>
        <rFont val="Arial"/>
        <family val="2"/>
      </rPr>
      <t xml:space="preserve">Petty Cash Report </t>
    </r>
  </si>
  <si>
    <r>
      <t>§</t>
    </r>
    <r>
      <rPr>
        <sz val="18"/>
        <color theme="1"/>
        <rFont val="Times New Roman"/>
        <family val="1"/>
      </rPr>
      <t xml:space="preserve">  </t>
    </r>
    <r>
      <rPr>
        <sz val="18"/>
        <color theme="1"/>
        <rFont val="Arial"/>
        <family val="2"/>
      </rPr>
      <t>Correspondence Detail</t>
    </r>
  </si>
  <si>
    <r>
      <t>§</t>
    </r>
    <r>
      <rPr>
        <sz val="18"/>
        <color theme="1"/>
        <rFont val="Times New Roman"/>
        <family val="1"/>
      </rPr>
      <t xml:space="preserve">  </t>
    </r>
    <r>
      <rPr>
        <sz val="18"/>
        <color theme="1"/>
        <rFont val="Arial"/>
        <family val="2"/>
      </rPr>
      <t xml:space="preserve">Scope Management Matrix </t>
    </r>
  </si>
  <si>
    <r>
      <t>§</t>
    </r>
    <r>
      <rPr>
        <sz val="18"/>
        <color theme="1"/>
        <rFont val="Times New Roman"/>
        <family val="1"/>
      </rPr>
      <t xml:space="preserve">  </t>
    </r>
    <r>
      <rPr>
        <sz val="18"/>
        <color theme="1"/>
        <rFont val="Arial"/>
        <family val="2"/>
      </rPr>
      <t xml:space="preserve">Project </t>
    </r>
  </si>
  <si>
    <r>
      <t>§</t>
    </r>
    <r>
      <rPr>
        <sz val="18"/>
        <color theme="1"/>
        <rFont val="Times New Roman"/>
        <family val="1"/>
      </rPr>
      <t xml:space="preserve">  </t>
    </r>
    <r>
      <rPr>
        <sz val="18"/>
        <color theme="1"/>
        <rFont val="Arial"/>
        <family val="2"/>
      </rPr>
      <t xml:space="preserve">Progress S - Cuve </t>
    </r>
  </si>
  <si>
    <r>
      <t>§</t>
    </r>
    <r>
      <rPr>
        <sz val="18"/>
        <color theme="1"/>
        <rFont val="Times New Roman"/>
        <family val="1"/>
      </rPr>
      <t xml:space="preserve">  </t>
    </r>
    <r>
      <rPr>
        <sz val="18"/>
        <color theme="1"/>
        <rFont val="Arial"/>
        <family val="2"/>
      </rPr>
      <t xml:space="preserve">Program </t>
    </r>
  </si>
  <si>
    <r>
      <t>§</t>
    </r>
    <r>
      <rPr>
        <sz val="18"/>
        <color theme="1"/>
        <rFont val="Times New Roman"/>
        <family val="1"/>
      </rPr>
      <t xml:space="preserve">  </t>
    </r>
    <r>
      <rPr>
        <sz val="18"/>
        <color theme="1"/>
        <rFont val="Arial"/>
        <family val="2"/>
      </rPr>
      <t>Progress</t>
    </r>
  </si>
  <si>
    <r>
      <t>§</t>
    </r>
    <r>
      <rPr>
        <sz val="18"/>
        <color theme="1"/>
        <rFont val="Times New Roman"/>
        <family val="1"/>
      </rPr>
      <t xml:space="preserve">  </t>
    </r>
    <r>
      <rPr>
        <sz val="18"/>
        <color theme="1"/>
        <rFont val="Arial"/>
        <family val="2"/>
      </rPr>
      <t>Loo Ahead Program</t>
    </r>
  </si>
  <si>
    <t>Project Name : xxxxxxx</t>
  </si>
  <si>
    <r>
      <t>Progress- S Curve</t>
    </r>
    <r>
      <rPr>
        <sz val="18"/>
        <color theme="1"/>
        <rFont val="Calibri"/>
        <family val="2"/>
        <scheme val="minor"/>
      </rPr>
      <t xml:space="preserve"> </t>
    </r>
  </si>
  <si>
    <t>Committed Cost</t>
  </si>
  <si>
    <t>Total Project 
Cost</t>
  </si>
  <si>
    <t>Management
Reserve</t>
  </si>
  <si>
    <t>O / H + Profit</t>
  </si>
  <si>
    <t xml:space="preserve">G. Total </t>
  </si>
  <si>
    <t>BAC - Budget at Completion</t>
  </si>
  <si>
    <t>EAC - Estimate at Completion</t>
  </si>
  <si>
    <t>ETC - Estimate to Complete</t>
  </si>
  <si>
    <t>EV - Earn  Value {C}</t>
  </si>
  <si>
    <t>AC - Actual Cost {b}</t>
  </si>
  <si>
    <t>PV - Plan Vlaue {a}</t>
  </si>
  <si>
    <t>Total Petty cash Expenses
as of Jan-14</t>
  </si>
  <si>
    <t>Feb. 2014 (Expected)</t>
  </si>
  <si>
    <t>From Client / Eng.</t>
  </si>
  <si>
    <t>From Sub. Con</t>
  </si>
  <si>
    <t>VO # / Client Ref.</t>
  </si>
  <si>
    <t>O/H, M-Res + Profit</t>
  </si>
  <si>
    <t xml:space="preserve">Progress </t>
  </si>
  <si>
    <t>VO Cost Breakdown (Approved)</t>
  </si>
  <si>
    <t xml:space="preserve">Concern </t>
  </si>
  <si>
    <t xml:space="preserve">Impact </t>
  </si>
  <si>
    <t>Problem / Success</t>
  </si>
  <si>
    <t>Expire / Due</t>
  </si>
  <si>
    <t>Look Ahead (Expire / Due)</t>
  </si>
  <si>
    <t xml:space="preserve">Next Month </t>
  </si>
  <si>
    <t xml:space="preserve">Last Month </t>
  </si>
  <si>
    <t xml:space="preserve">Iqama </t>
  </si>
  <si>
    <t>Exit / Pass / Leave Dues</t>
  </si>
  <si>
    <t>* Detail monthly Report with name should be sent to Administration Department</t>
  </si>
  <si>
    <t>Scope</t>
  </si>
  <si>
    <t>Last Month</t>
  </si>
  <si>
    <t>Engineering</t>
  </si>
  <si>
    <t>Procurement</t>
  </si>
  <si>
    <t>No. of Drawings</t>
  </si>
  <si>
    <t>Total Submitted</t>
  </si>
  <si>
    <t>Plumbing</t>
  </si>
  <si>
    <t>Fire Fighting</t>
  </si>
  <si>
    <t>Electrical</t>
  </si>
  <si>
    <t>Rejected</t>
  </si>
  <si>
    <t>Under Review</t>
  </si>
  <si>
    <t>Balance to Submit</t>
  </si>
  <si>
    <t>No. of Submittal</t>
  </si>
  <si>
    <t>Installation Inspection</t>
  </si>
  <si>
    <t>NCR- Non Conformance Report</t>
  </si>
  <si>
    <t xml:space="preserve">Open </t>
  </si>
  <si>
    <t>External</t>
  </si>
  <si>
    <t>Internal</t>
  </si>
  <si>
    <t>Total - Received</t>
  </si>
  <si>
    <t>Closed</t>
  </si>
  <si>
    <t xml:space="preserve">Variance </t>
  </si>
  <si>
    <t>Staff</t>
  </si>
  <si>
    <t>Sub-Con</t>
  </si>
  <si>
    <t>Current Status (%)</t>
  </si>
  <si>
    <t>Sub-Contract Value</t>
  </si>
  <si>
    <t>Claim by MEP (%)</t>
  </si>
  <si>
    <t>Red Line Drw</t>
  </si>
  <si>
    <t>As-Built</t>
  </si>
  <si>
    <t xml:space="preserve">T&amp;C Procedure </t>
  </si>
  <si>
    <t>O&amp;M Manual</t>
  </si>
  <si>
    <t>Warranties</t>
  </si>
  <si>
    <t>Spare Parts</t>
  </si>
  <si>
    <t>Handed Over</t>
  </si>
  <si>
    <t>Conducted</t>
  </si>
  <si>
    <t xml:space="preserve"> Rev.:</t>
  </si>
  <si>
    <t xml:space="preserve"> Date:</t>
  </si>
  <si>
    <t xml:space="preserve"> Doc. No.:</t>
  </si>
  <si>
    <t xml:space="preserve">Program Details  </t>
  </si>
  <si>
    <t>Progress Details</t>
  </si>
  <si>
    <t>Construction</t>
  </si>
  <si>
    <t>Previous</t>
  </si>
  <si>
    <t>As of:</t>
  </si>
  <si>
    <t>Material Submittal</t>
  </si>
  <si>
    <t xml:space="preserve"> Date.:</t>
  </si>
  <si>
    <t xml:space="preserve"> As of:</t>
  </si>
  <si>
    <t>Progress Accomplished This Month  (Major Activities only)</t>
  </si>
  <si>
    <t>HSE Report</t>
  </si>
  <si>
    <t>Mob</t>
  </si>
  <si>
    <t xml:space="preserve"> HVAC</t>
  </si>
  <si>
    <t xml:space="preserve"> FF</t>
  </si>
  <si>
    <t xml:space="preserve"> PL</t>
  </si>
  <si>
    <t xml:space="preserve"> Elect.</t>
  </si>
  <si>
    <t xml:space="preserve"> Total</t>
  </si>
  <si>
    <t>Scope:</t>
  </si>
  <si>
    <t>Long Lead Items</t>
  </si>
  <si>
    <t xml:space="preserve"> Doc No.:</t>
  </si>
  <si>
    <t xml:space="preserve"> Doc. No.</t>
  </si>
  <si>
    <t>Exp. Date to Complete</t>
  </si>
  <si>
    <t xml:space="preserve">Description </t>
  </si>
  <si>
    <t>INDEX</t>
  </si>
  <si>
    <t>Schedule</t>
  </si>
  <si>
    <t>Actual Submitted</t>
  </si>
  <si>
    <t xml:space="preserve">Sub Contractor- 1 Status </t>
  </si>
  <si>
    <t xml:space="preserve">Tentative Start Date </t>
  </si>
  <si>
    <t>Sub-Contract</t>
  </si>
  <si>
    <t>G. Total:</t>
  </si>
  <si>
    <t>Punch List</t>
  </si>
  <si>
    <t>Work Completed</t>
  </si>
  <si>
    <t>Training</t>
  </si>
  <si>
    <t>Code - A</t>
  </si>
  <si>
    <t>Total to be resubmitted for Code - A</t>
  </si>
  <si>
    <t xml:space="preserve">Procedure Execution </t>
  </si>
  <si>
    <t>Exp. Date to Complete the T&amp;C</t>
  </si>
  <si>
    <t>T&amp;C Accepted by The Engineer</t>
  </si>
  <si>
    <t>Punch Item signed by the Engineer / Closed</t>
  </si>
  <si>
    <t>Shop Drawings</t>
  </si>
  <si>
    <t>Application No</t>
  </si>
  <si>
    <t>Application Month</t>
  </si>
  <si>
    <t>Certification Details</t>
  </si>
  <si>
    <t>Back Charges</t>
  </si>
  <si>
    <t>Payment Application Details</t>
  </si>
  <si>
    <t>Outstanding Amount</t>
  </si>
  <si>
    <t>PPE</t>
  </si>
  <si>
    <t>Jacket</t>
  </si>
  <si>
    <t>New Requirement</t>
  </si>
  <si>
    <t xml:space="preserve">Cover </t>
  </si>
  <si>
    <t>Gloves</t>
  </si>
  <si>
    <t>Issued This Month</t>
  </si>
  <si>
    <t>ETC -                                            Estimate To Complete 
Cost</t>
  </si>
  <si>
    <t>EAC -                                              Estimate At Completion 
Cost</t>
  </si>
  <si>
    <t>Date</t>
  </si>
  <si>
    <t>Ducting</t>
  </si>
  <si>
    <t>Piping +A/C Tech.</t>
  </si>
  <si>
    <t>Electrical + BMS</t>
  </si>
  <si>
    <t>No of Units @ Site</t>
  </si>
  <si>
    <t>STB Issued to Worker</t>
  </si>
  <si>
    <t>Additional Requirement If any</t>
  </si>
  <si>
    <t>STB Type</t>
  </si>
  <si>
    <r>
      <rPr>
        <sz val="12"/>
        <rFont val="Wingdings"/>
        <charset val="2"/>
      </rPr>
      <t>§</t>
    </r>
    <r>
      <rPr>
        <sz val="12"/>
        <rFont val="Arial"/>
        <family val="2"/>
      </rPr>
      <t xml:space="preserve">  Program </t>
    </r>
  </si>
  <si>
    <r>
      <rPr>
        <sz val="12"/>
        <rFont val="Wingdings"/>
        <charset val="2"/>
      </rPr>
      <t>§</t>
    </r>
    <r>
      <rPr>
        <sz val="12"/>
        <rFont val="Arial"/>
        <family val="2"/>
      </rPr>
      <t>  Progress</t>
    </r>
  </si>
  <si>
    <r>
      <rPr>
        <sz val="12"/>
        <rFont val="Wingdings"/>
        <charset val="2"/>
      </rPr>
      <t>§</t>
    </r>
    <r>
      <rPr>
        <sz val="12"/>
        <rFont val="Arial"/>
        <family val="2"/>
      </rPr>
      <t>  Shop Drawings</t>
    </r>
  </si>
  <si>
    <r>
      <rPr>
        <sz val="12"/>
        <rFont val="Wingdings"/>
        <charset val="2"/>
      </rPr>
      <t>§</t>
    </r>
    <r>
      <rPr>
        <sz val="12"/>
        <rFont val="Arial"/>
        <family val="2"/>
      </rPr>
      <t>  Material Submittals</t>
    </r>
  </si>
  <si>
    <r>
      <rPr>
        <sz val="12"/>
        <rFont val="Wingdings"/>
        <charset val="2"/>
      </rPr>
      <t>§</t>
    </r>
    <r>
      <rPr>
        <sz val="12"/>
        <rFont val="Arial"/>
        <family val="2"/>
      </rPr>
      <t>  Material Purchase Orders</t>
    </r>
  </si>
  <si>
    <r>
      <rPr>
        <sz val="12"/>
        <rFont val="Wingdings"/>
        <charset val="2"/>
      </rPr>
      <t>§</t>
    </r>
    <r>
      <rPr>
        <sz val="12"/>
        <rFont val="Arial"/>
        <family val="2"/>
      </rPr>
      <t>  Material Inspection</t>
    </r>
  </si>
  <si>
    <r>
      <rPr>
        <sz val="12"/>
        <rFont val="Wingdings"/>
        <charset val="2"/>
      </rPr>
      <t>§</t>
    </r>
    <r>
      <rPr>
        <sz val="12"/>
        <rFont val="Arial"/>
        <family val="2"/>
      </rPr>
      <t>  Installation Inspection</t>
    </r>
  </si>
  <si>
    <r>
      <rPr>
        <sz val="12"/>
        <rFont val="Wingdings"/>
        <charset val="2"/>
      </rPr>
      <t>§</t>
    </r>
    <r>
      <rPr>
        <sz val="12"/>
        <rFont val="Arial"/>
        <family val="2"/>
      </rPr>
      <t>  Non-conformance Report</t>
    </r>
  </si>
  <si>
    <r>
      <rPr>
        <sz val="12"/>
        <rFont val="Wingdings"/>
        <charset val="2"/>
      </rPr>
      <t>§</t>
    </r>
    <r>
      <rPr>
        <sz val="12"/>
        <rFont val="Arial"/>
        <family val="2"/>
      </rPr>
      <t>  Scope Management Matrix (VO)</t>
    </r>
  </si>
  <si>
    <r>
      <rPr>
        <sz val="12"/>
        <rFont val="Wingdings"/>
        <charset val="2"/>
      </rPr>
      <t>§</t>
    </r>
    <r>
      <rPr>
        <sz val="12"/>
        <rFont val="Arial"/>
        <family val="2"/>
      </rPr>
      <t xml:space="preserve">  HSE Report </t>
    </r>
  </si>
  <si>
    <r>
      <rPr>
        <sz val="12"/>
        <rFont val="Wingdings"/>
        <charset val="2"/>
      </rPr>
      <t>§</t>
    </r>
    <r>
      <rPr>
        <sz val="12"/>
        <rFont val="Arial"/>
        <family val="2"/>
      </rPr>
      <t>  PPE Update</t>
    </r>
  </si>
  <si>
    <r>
      <rPr>
        <sz val="12"/>
        <rFont val="Wingdings"/>
        <charset val="2"/>
      </rPr>
      <t>§</t>
    </r>
    <r>
      <rPr>
        <sz val="12"/>
        <rFont val="Arial"/>
        <family val="2"/>
      </rPr>
      <t>  Budget / Cost Comparison</t>
    </r>
  </si>
  <si>
    <r>
      <rPr>
        <sz val="12"/>
        <rFont val="Wingdings"/>
        <charset val="2"/>
      </rPr>
      <t>§</t>
    </r>
    <r>
      <rPr>
        <sz val="12"/>
        <rFont val="Arial"/>
        <family val="2"/>
      </rPr>
      <t>  STB Update</t>
    </r>
  </si>
  <si>
    <r>
      <rPr>
        <sz val="12"/>
        <rFont val="Wingdings"/>
        <charset val="2"/>
      </rPr>
      <t>§</t>
    </r>
    <r>
      <rPr>
        <sz val="12"/>
        <rFont val="Arial"/>
        <family val="2"/>
      </rPr>
      <t>  Histogram</t>
    </r>
  </si>
  <si>
    <t>EARNED VALUE MANAGEMENT</t>
  </si>
  <si>
    <t>Application # 01</t>
  </si>
  <si>
    <t>Application # 02</t>
  </si>
  <si>
    <t>Application # 03</t>
  </si>
  <si>
    <t>Application # 04</t>
  </si>
  <si>
    <t>Monthly Unit Workshop</t>
  </si>
  <si>
    <t>Next Month (Expected)</t>
  </si>
  <si>
    <t>Total Petty cash Expenses
as of This Month</t>
  </si>
  <si>
    <r>
      <rPr>
        <sz val="12"/>
        <rFont val="Wingdings"/>
        <charset val="2"/>
      </rPr>
      <t>§</t>
    </r>
    <r>
      <rPr>
        <sz val="12"/>
        <rFont val="Arial"/>
        <family val="2"/>
      </rPr>
      <t>  Technical Queries (TQ/ SCR/ RFI )</t>
    </r>
  </si>
  <si>
    <r>
      <rPr>
        <sz val="12"/>
        <rFont val="Wingdings"/>
        <charset val="2"/>
      </rPr>
      <t>§</t>
    </r>
    <r>
      <rPr>
        <sz val="12"/>
        <rFont val="Arial"/>
        <family val="2"/>
      </rPr>
      <t>  Payment Application Detail</t>
    </r>
  </si>
  <si>
    <r>
      <rPr>
        <sz val="12"/>
        <rFont val="Wingdings"/>
        <charset val="2"/>
      </rPr>
      <t>§</t>
    </r>
    <r>
      <rPr>
        <sz val="12"/>
        <rFont val="Arial"/>
        <family val="2"/>
      </rPr>
      <t>  ETC - Estimate to Complete + EAC -Estimate At Completion</t>
    </r>
  </si>
  <si>
    <r>
      <rPr>
        <sz val="12"/>
        <rFont val="Wingdings"/>
        <charset val="2"/>
      </rPr>
      <t>§</t>
    </r>
    <r>
      <rPr>
        <sz val="12"/>
        <rFont val="Arial"/>
        <family val="2"/>
      </rPr>
      <t>  Man-hours</t>
    </r>
  </si>
  <si>
    <t>Technical Queries ( TQ/ SCR/ RFC)</t>
  </si>
  <si>
    <t>Answered / Close</t>
  </si>
  <si>
    <t>Mechanical</t>
  </si>
  <si>
    <t>SubCon Name:</t>
  </si>
  <si>
    <t>Safety Shoes</t>
  </si>
  <si>
    <t>Helmet</t>
  </si>
  <si>
    <t>Goggles</t>
  </si>
  <si>
    <t>Available In Store</t>
  </si>
  <si>
    <t xml:space="preserve">Mob / DE Mob Plan </t>
  </si>
  <si>
    <t>DE Mob</t>
  </si>
  <si>
    <t>STB Available @ Store</t>
  </si>
  <si>
    <t>Actual - Conducted</t>
  </si>
  <si>
    <t>Next Month (Forecast)</t>
  </si>
  <si>
    <t xml:space="preserve">MEP Baseline </t>
  </si>
  <si>
    <t>VO.1</t>
  </si>
  <si>
    <t xml:space="preserve"> </t>
  </si>
  <si>
    <t>Total:</t>
  </si>
  <si>
    <t>Builders work</t>
  </si>
  <si>
    <t>Air Handling Units (AHU's)</t>
  </si>
  <si>
    <t xml:space="preserve">Fans </t>
  </si>
  <si>
    <t>Done</t>
  </si>
  <si>
    <t>Open TQ's</t>
  </si>
  <si>
    <t>Sl No.</t>
  </si>
  <si>
    <t>Ref. No.</t>
  </si>
  <si>
    <t>Open NCR Details:</t>
  </si>
  <si>
    <t>Sl NO.</t>
  </si>
  <si>
    <t>STB - Standard Tool Box</t>
  </si>
  <si>
    <t>V.O clasifications</t>
  </si>
  <si>
    <t>Value</t>
  </si>
  <si>
    <t>Approved Variation orders (by client)</t>
  </si>
  <si>
    <t xml:space="preserve">Cancelled and / or rejected Variation orders </t>
  </si>
  <si>
    <t>Total Value of the Variation orders</t>
  </si>
  <si>
    <t>Delay Period</t>
  </si>
  <si>
    <t>Value of VO</t>
  </si>
  <si>
    <t>Variances (Budget- EAC)</t>
  </si>
  <si>
    <t>Prelims - V. O.</t>
  </si>
  <si>
    <t xml:space="preserve">Manpower </t>
  </si>
  <si>
    <t>Project Scope Value Details</t>
  </si>
  <si>
    <t>Current Scope Value</t>
  </si>
  <si>
    <t>VO  Breakdown</t>
  </si>
  <si>
    <t>Expected Contract Value</t>
  </si>
  <si>
    <t>Original Contract Value</t>
  </si>
  <si>
    <t xml:space="preserve">Submitted </t>
  </si>
  <si>
    <t>Revised / Adjustment B O Q</t>
  </si>
  <si>
    <t>Exp. Re-measured Qty</t>
  </si>
  <si>
    <t>Rejected / Cancalled</t>
  </si>
  <si>
    <t>Not- Approved Variations</t>
  </si>
  <si>
    <t>Scope Deletion</t>
  </si>
  <si>
    <t>EOT- (Submitted)</t>
  </si>
  <si>
    <t>Not Approved Under Execution</t>
  </si>
  <si>
    <t>Not Approved, Under Execution</t>
  </si>
  <si>
    <t>Expected New Variations</t>
  </si>
  <si>
    <t>Domestic Claim</t>
  </si>
  <si>
    <t>Project Revenue Details</t>
  </si>
  <si>
    <t>Monthly</t>
  </si>
  <si>
    <t>Camulative</t>
  </si>
  <si>
    <t>Back Charges Details</t>
  </si>
  <si>
    <t xml:space="preserve">Fair Amount for Back Charges </t>
  </si>
  <si>
    <t>Cost Code/ BOQ Section for Back charges</t>
  </si>
  <si>
    <t>Back Charges Amount</t>
  </si>
  <si>
    <t xml:space="preserve">Back Charges for </t>
  </si>
  <si>
    <t>STOCK VALUE</t>
  </si>
  <si>
    <t xml:space="preserve">Discipline </t>
  </si>
  <si>
    <t xml:space="preserve">Permanent Material </t>
  </si>
  <si>
    <t xml:space="preserve">Material which may not be used &amp; need Transfer </t>
  </si>
  <si>
    <t>Consumable /sundries</t>
  </si>
  <si>
    <t>Electrical- MV/ LV</t>
  </si>
  <si>
    <t>Electrical- ELV</t>
  </si>
  <si>
    <t>Tools / Equipment's</t>
  </si>
  <si>
    <t>G. Total</t>
  </si>
  <si>
    <t>Areas of Concern</t>
  </si>
  <si>
    <t>Concern</t>
  </si>
  <si>
    <t>Suggested Action</t>
  </si>
  <si>
    <t xml:space="preserve">Action </t>
  </si>
  <si>
    <t>Action By</t>
  </si>
  <si>
    <t>Under Revise</t>
  </si>
  <si>
    <t>Additonal QTY</t>
  </si>
  <si>
    <t>REE/OPR/05</t>
  </si>
  <si>
    <r>
      <rPr>
        <sz val="12"/>
        <rFont val="Wingdings"/>
        <charset val="2"/>
      </rPr>
      <t>§</t>
    </r>
    <r>
      <rPr>
        <sz val="12"/>
        <rFont val="Arial"/>
        <family val="2"/>
      </rPr>
      <t>  Progress S-Curve</t>
    </r>
  </si>
  <si>
    <t>Earned Value Management</t>
  </si>
  <si>
    <t xml:space="preserve"> REE/OPR/05.1</t>
  </si>
  <si>
    <t>REE/OPR/05.2</t>
  </si>
  <si>
    <t>REE/OPR/05.3</t>
  </si>
  <si>
    <t>REE/OPR/05.4</t>
  </si>
  <si>
    <t>REE/OPR/05.5</t>
  </si>
  <si>
    <t>REE/OPR/05.3.2</t>
  </si>
  <si>
    <t>REE/OPR/05.6</t>
  </si>
  <si>
    <t>REE/OPR/05.7</t>
  </si>
  <si>
    <t>REE/OPR/05.8</t>
  </si>
  <si>
    <t>REE/OPR/05.9</t>
  </si>
  <si>
    <t>REE/OPR/05.10</t>
  </si>
  <si>
    <t>REE/OPR/05.11</t>
  </si>
  <si>
    <t>REE/OPR/05.12</t>
  </si>
  <si>
    <t>REE/OPR/05.13</t>
  </si>
  <si>
    <t>Executive Project Summary</t>
  </si>
  <si>
    <r>
      <rPr>
        <sz val="12"/>
        <rFont val="Wingdings"/>
        <charset val="2"/>
      </rPr>
      <t>§</t>
    </r>
    <r>
      <rPr>
        <sz val="12"/>
        <rFont val="Arial"/>
        <family val="2"/>
      </rPr>
      <t xml:space="preserve">  Site Photos </t>
    </r>
  </si>
  <si>
    <t>Close-out</t>
  </si>
  <si>
    <t>Accounts</t>
  </si>
  <si>
    <t xml:space="preserve">Store </t>
  </si>
  <si>
    <t>Others</t>
  </si>
  <si>
    <t>Long Lead Material Track Sheet  (Delivery Period more than 8 Weeks)</t>
  </si>
  <si>
    <t xml:space="preserve">Total  </t>
  </si>
  <si>
    <t>One  Month Look Ahead Plan (Major Activities only)</t>
  </si>
  <si>
    <t>Upto Last Month</t>
  </si>
  <si>
    <t>Total Number of Employees
(Manmonth)</t>
  </si>
  <si>
    <t>Upto Last Month (Cumulative)</t>
  </si>
  <si>
    <t xml:space="preserve">Total </t>
  </si>
  <si>
    <t>Prelims (Staff/Misc)</t>
  </si>
  <si>
    <t>Cum. Last Month</t>
  </si>
  <si>
    <t>This Mionth</t>
  </si>
  <si>
    <t xml:space="preserve">Man Hours </t>
  </si>
  <si>
    <t>MEP Revised (Target)</t>
  </si>
  <si>
    <t>Planned Submission (On This Month)</t>
  </si>
  <si>
    <t>Coordination</t>
  </si>
  <si>
    <t>BMS</t>
  </si>
  <si>
    <t>Air Terminals</t>
  </si>
  <si>
    <t>VRF Units</t>
  </si>
  <si>
    <t>DX-Split Unit</t>
  </si>
  <si>
    <t>Water Filters</t>
  </si>
  <si>
    <t>Water Heaters</t>
  </si>
  <si>
    <t>Booster Pumps</t>
  </si>
  <si>
    <t>Sump Pumps</t>
  </si>
  <si>
    <t>Hot Water Circulation Pumps</t>
  </si>
  <si>
    <t>Water Cooler</t>
  </si>
  <si>
    <t>Oil/Grease Intercepter</t>
  </si>
  <si>
    <t>FM 200 System</t>
  </si>
  <si>
    <t>Foam Fire Supression System</t>
  </si>
  <si>
    <t>Fire Hose Reel &amp; Cabinet</t>
  </si>
  <si>
    <t>Firefighting Pump</t>
  </si>
  <si>
    <t>Aerosol Fire Supression System</t>
  </si>
  <si>
    <t>Generator</t>
  </si>
  <si>
    <t>Transformer</t>
  </si>
  <si>
    <t>Power Cables</t>
  </si>
  <si>
    <t>CBS Equipment</t>
  </si>
  <si>
    <t>DB's</t>
  </si>
  <si>
    <t>MCC Panels</t>
  </si>
  <si>
    <t>SMDB's</t>
  </si>
  <si>
    <t>Capacitor Bank</t>
  </si>
  <si>
    <t>LV Panels</t>
  </si>
  <si>
    <t>Delivered</t>
  </si>
  <si>
    <t>In Progress</t>
  </si>
  <si>
    <t>UPVC piping infront of Staff Quarter have already concreted without the approved installation inspection and without rectifying the slope which is not accepted</t>
  </si>
  <si>
    <t>1. Spacing between Electrical PVC conduit pipes &amp; Mechanical water pipes are not as per standard and regulation (Conduits in touch with water line)
2. Spacing between backwash pipes and power sleeves is must and either of them must be closed
3. Slab on Grade done without raising inspection request in Kitchen &amp; Garage area</t>
  </si>
  <si>
    <t>Backwash UPVC pipe line and water supply HDPE for pump room were backfilled and concreted before the time of inspection</t>
  </si>
  <si>
    <t xml:space="preserve">Sub Contractor- 2 Status </t>
  </si>
  <si>
    <t>Al Mana Networks Solutions &amp; Security Services</t>
  </si>
  <si>
    <t xml:space="preserve">Sub Contractor- 3 Status </t>
  </si>
  <si>
    <t>Asian Insulation Co.</t>
  </si>
  <si>
    <t>Aluminium Clading on External Duct Work</t>
  </si>
  <si>
    <t xml:space="preserve">Sub Contractor- 4 Status </t>
  </si>
  <si>
    <t xml:space="preserve">Al Marshal Trading &amp; Contracting </t>
  </si>
  <si>
    <t>Cable Pulling &amp; PVC Sleeve Pipe Istallation</t>
  </si>
  <si>
    <t>OPEN</t>
  </si>
  <si>
    <t>Consolidated Engineering System CO. W.L.L</t>
  </si>
  <si>
    <r>
      <rPr>
        <b/>
        <sz val="18"/>
        <color theme="1"/>
        <rFont val="Arial"/>
        <family val="2"/>
      </rPr>
      <t>R67-M1-15 - Monthly Project Report</t>
    </r>
    <r>
      <rPr>
        <b/>
        <sz val="26"/>
        <color theme="1"/>
        <rFont val="Arial"/>
        <family val="2"/>
      </rPr>
      <t xml:space="preserve">
SCHEDULE</t>
    </r>
  </si>
  <si>
    <r>
      <rPr>
        <b/>
        <sz val="18"/>
        <color theme="1"/>
        <rFont val="Arial"/>
        <family val="2"/>
      </rPr>
      <t>R6-M1-15 - Monthly Project Report</t>
    </r>
    <r>
      <rPr>
        <b/>
        <sz val="11"/>
        <color theme="1"/>
        <rFont val="Arial"/>
        <family val="2"/>
      </rPr>
      <t xml:space="preserve">
</t>
    </r>
    <r>
      <rPr>
        <b/>
        <sz val="26"/>
        <color theme="1"/>
        <rFont val="Arial"/>
        <family val="2"/>
      </rPr>
      <t>ENGINEERING</t>
    </r>
  </si>
  <si>
    <r>
      <rPr>
        <b/>
        <sz val="14"/>
        <color theme="1"/>
        <rFont val="Arial"/>
        <family val="2"/>
      </rPr>
      <t>R67-M1-15 - Monthly Project Report</t>
    </r>
    <r>
      <rPr>
        <b/>
        <sz val="11"/>
        <color theme="1"/>
        <rFont val="Arial"/>
        <family val="2"/>
      </rPr>
      <t xml:space="preserve">
</t>
    </r>
    <r>
      <rPr>
        <b/>
        <sz val="18"/>
        <color theme="1"/>
        <rFont val="Arial"/>
        <family val="2"/>
      </rPr>
      <t>PROCUREMENT</t>
    </r>
  </si>
  <si>
    <r>
      <rPr>
        <b/>
        <sz val="18"/>
        <color theme="1"/>
        <rFont val="Arial"/>
        <family val="2"/>
      </rPr>
      <t>R67-M1-15 - Monthly Project Report</t>
    </r>
    <r>
      <rPr>
        <b/>
        <sz val="16"/>
        <color theme="1"/>
        <rFont val="Arial"/>
        <family val="2"/>
      </rPr>
      <t xml:space="preserve">
</t>
    </r>
    <r>
      <rPr>
        <b/>
        <sz val="26"/>
        <color theme="1"/>
        <rFont val="Arial"/>
        <family val="2"/>
      </rPr>
      <t>PROCUREMENT</t>
    </r>
  </si>
  <si>
    <r>
      <t xml:space="preserve">R67-M1-15 - Monthly Project Report
</t>
    </r>
    <r>
      <rPr>
        <b/>
        <sz val="16"/>
        <color theme="1"/>
        <rFont val="Arial"/>
        <family val="2"/>
      </rPr>
      <t>QA/QC</t>
    </r>
  </si>
  <si>
    <r>
      <t xml:space="preserve">R67-M1-15 - Monthly Project Report
</t>
    </r>
    <r>
      <rPr>
        <b/>
        <sz val="24"/>
        <color theme="1"/>
        <rFont val="Arial"/>
        <family val="2"/>
      </rPr>
      <t>CONSTRUCTION</t>
    </r>
  </si>
  <si>
    <t>Installation Of Duct</t>
  </si>
  <si>
    <t xml:space="preserve">Sub Contractor- 8 Status </t>
  </si>
  <si>
    <t xml:space="preserve">Safty Committee For Safty Security </t>
  </si>
  <si>
    <t xml:space="preserve">Installation Of Sprinkler System </t>
  </si>
  <si>
    <t xml:space="preserve">Sub Contractor- 10 Status </t>
  </si>
  <si>
    <t>CONTROMET</t>
  </si>
  <si>
    <t>Termination Of DB, SMDB &amp; LV Panels</t>
  </si>
  <si>
    <t xml:space="preserve">Sub Contractor- 11 Status </t>
  </si>
  <si>
    <t>Raymond Nahra For Electrical &amp; Mechnical Works</t>
  </si>
  <si>
    <t xml:space="preserve">Installation of DX AHUl's &amp; FAHU's Copper Pipes </t>
  </si>
  <si>
    <t xml:space="preserve">Sub Contractor- 12 Status </t>
  </si>
  <si>
    <t>Desionic Contracting &amp; Trading</t>
  </si>
  <si>
    <t>Manpower Sypply - Draftsman</t>
  </si>
  <si>
    <t>QAR 9000/Month</t>
  </si>
  <si>
    <t xml:space="preserve">Sub Contractor- 13 Status </t>
  </si>
  <si>
    <t>Manpower Sypply - Technician</t>
  </si>
  <si>
    <t>Gross Application Amount</t>
  </si>
  <si>
    <t xml:space="preserve">Certified Amount </t>
  </si>
  <si>
    <t>MEP Acceptance on Back Charges</t>
  </si>
  <si>
    <t>Materials &amp; Labour Supply</t>
  </si>
  <si>
    <t>Modification of FM200 System in Main Gate.</t>
  </si>
  <si>
    <t>Additional Swimming Pool Filling Line, Pumps &amp; Backwash system.</t>
  </si>
  <si>
    <t>Additional VAV System &amp; Related BMS Items</t>
  </si>
  <si>
    <r>
      <t xml:space="preserve">R67-M1-15 - Monthly Project Report
</t>
    </r>
    <r>
      <rPr>
        <b/>
        <sz val="18"/>
        <rFont val="Arial"/>
        <family val="2"/>
      </rPr>
      <t>CONSTRUCTION</t>
    </r>
  </si>
  <si>
    <r>
      <t xml:space="preserve">R67-M1-15 - Monthly Project Report
</t>
    </r>
    <r>
      <rPr>
        <b/>
        <sz val="16"/>
        <color theme="1"/>
        <rFont val="Arial"/>
        <family val="2"/>
      </rPr>
      <t>COMMERICAL</t>
    </r>
  </si>
  <si>
    <r>
      <t xml:space="preserve">R67-M1-15 -  Monthly Project Report
</t>
    </r>
    <r>
      <rPr>
        <b/>
        <sz val="16"/>
        <color theme="1"/>
        <rFont val="Arial"/>
        <family val="2"/>
      </rPr>
      <t>COMMERICAL</t>
    </r>
  </si>
  <si>
    <r>
      <t xml:space="preserve">R67-M1-15 - Monthly Project Report
</t>
    </r>
    <r>
      <rPr>
        <b/>
        <sz val="28"/>
        <rFont val="Arial"/>
        <family val="2"/>
      </rPr>
      <t>COMMERCIAL</t>
    </r>
  </si>
  <si>
    <r>
      <t xml:space="preserve">R67-M1-15 - Monthly Project Report
</t>
    </r>
    <r>
      <rPr>
        <b/>
        <sz val="26"/>
        <color theme="1"/>
        <rFont val="Arial"/>
        <family val="2"/>
      </rPr>
      <t>HSE &amp; PPE</t>
    </r>
  </si>
  <si>
    <r>
      <t xml:space="preserve">R67-M1-15 - Monthly Project Report
</t>
    </r>
    <r>
      <rPr>
        <b/>
        <sz val="16"/>
        <color theme="1"/>
        <rFont val="Arial"/>
        <family val="2"/>
      </rPr>
      <t>Cost Control</t>
    </r>
  </si>
  <si>
    <r>
      <t xml:space="preserve">R67-M1-15 -Monthly Project Report
</t>
    </r>
    <r>
      <rPr>
        <b/>
        <sz val="26"/>
        <color theme="1"/>
        <rFont val="Arial"/>
        <family val="2"/>
      </rPr>
      <t>RESOURCES</t>
    </r>
  </si>
  <si>
    <r>
      <t xml:space="preserve">R67-M1-15 - Monthly Project Report
</t>
    </r>
    <r>
      <rPr>
        <b/>
        <sz val="26"/>
        <color theme="1"/>
        <rFont val="Arial"/>
        <family val="2"/>
      </rPr>
      <t>ACCOUNTS</t>
    </r>
  </si>
  <si>
    <r>
      <t xml:space="preserve">R67-M1-15 - Monthly Project Report
</t>
    </r>
    <r>
      <rPr>
        <b/>
        <sz val="26"/>
        <color theme="1"/>
        <rFont val="Arial"/>
        <family val="2"/>
      </rPr>
      <t>STORE</t>
    </r>
  </si>
  <si>
    <r>
      <t xml:space="preserve">R67-M1-15 -Monthly Project Report
</t>
    </r>
    <r>
      <rPr>
        <b/>
        <sz val="26"/>
        <color theme="1"/>
        <rFont val="Arial"/>
        <family val="2"/>
      </rPr>
      <t>Areas Of Concern</t>
    </r>
  </si>
  <si>
    <r>
      <t xml:space="preserve">R67-M1-15 -Monthly Project Report
</t>
    </r>
    <r>
      <rPr>
        <b/>
        <sz val="20"/>
        <rFont val="Arial"/>
        <family val="2"/>
      </rPr>
      <t>CLOSE-OUT</t>
    </r>
  </si>
  <si>
    <t xml:space="preserve">Mr. Mohannad Hanna </t>
  </si>
  <si>
    <t>*-Approved Manpower plan and Histogram Attached</t>
  </si>
  <si>
    <t>N/A</t>
  </si>
  <si>
    <t>Scope of work already Completed and this subcontractor already demobilized from site</t>
  </si>
  <si>
    <t>Application # 05</t>
  </si>
  <si>
    <t>Daily</t>
  </si>
  <si>
    <t>Follow up with UCC</t>
  </si>
  <si>
    <t>Weekly</t>
  </si>
  <si>
    <t>Contract Value Including Vos</t>
  </si>
  <si>
    <t>Gross Profit (Budget)</t>
  </si>
  <si>
    <t>Gross Profit (EAC)</t>
  </si>
  <si>
    <t>Percentage %</t>
  </si>
  <si>
    <t>QR</t>
  </si>
  <si>
    <t>VO Value Breakdown (Acual Cost)</t>
  </si>
  <si>
    <t>Progress Type</t>
  </si>
  <si>
    <t>Physical</t>
  </si>
  <si>
    <t>Financial</t>
  </si>
  <si>
    <t>Submitted (On This Month)</t>
  </si>
  <si>
    <t>Material Purchase Order  - Long Lead</t>
  </si>
  <si>
    <t>QAR 7750</t>
  </si>
  <si>
    <t>6 Months Extendable Rental For 3 Ton</t>
  </si>
  <si>
    <t>Mohammad Aurangjeb Ansari</t>
  </si>
  <si>
    <t xml:space="preserve">Sub Contractor- 14 Status </t>
  </si>
  <si>
    <t>Testing &amp; Commissioning for All HVAC Machines &amp; All Systems</t>
  </si>
  <si>
    <t>JEDI Balancing Middle East</t>
  </si>
  <si>
    <t>ACACIA Intermational Group</t>
  </si>
  <si>
    <t xml:space="preserve">Sub Contractor- 9 Status </t>
  </si>
  <si>
    <t>Installation Of Duct With Insulation</t>
  </si>
  <si>
    <t>URUK Constructions Trade &amp; Services WLL</t>
  </si>
  <si>
    <t xml:space="preserve">Sub Contractor- 7 Status </t>
  </si>
  <si>
    <t xml:space="preserve">Sub Contractor- 6 Status </t>
  </si>
  <si>
    <t xml:space="preserve">Sub Contractor- 5 Status </t>
  </si>
  <si>
    <t>Application # 06</t>
  </si>
  <si>
    <t>VO.2 Rev.01</t>
  </si>
  <si>
    <t>Agreed</t>
  </si>
  <si>
    <t>Action Required By UCC</t>
  </si>
  <si>
    <t>VO.3 Rev.01</t>
  </si>
  <si>
    <t>VO.4</t>
  </si>
  <si>
    <t>Additional Centarl Battery System</t>
  </si>
  <si>
    <t>VO.5</t>
  </si>
  <si>
    <t>Additional Shoower Grating, Pipe Workd &amp; Floor Drain</t>
  </si>
  <si>
    <t>Copper tape for lightening protection is casted in concrete prior to our inspection for installation (photo attached).
Earth wire has been used for connection between two copper tape lenghts (phot attached).</t>
  </si>
  <si>
    <t>Other</t>
  </si>
  <si>
    <t xml:space="preserve">Note: </t>
  </si>
  <si>
    <t>01.</t>
  </si>
  <si>
    <t>02.</t>
  </si>
  <si>
    <t xml:space="preserve">Difference </t>
  </si>
  <si>
    <t xml:space="preserve">Material Cost (EAC) - Exceeded with last month expected </t>
  </si>
  <si>
    <t xml:space="preserve">Sub Contract (EAC) -  Exceeded with last month expected </t>
  </si>
  <si>
    <t>Contractor is proceeding with external sewage network without approved IFC drawings &amp; with unapproved material.</t>
  </si>
  <si>
    <t>Delaying the MEP Final Fixture Installation</t>
  </si>
  <si>
    <t>Already Contromat pepole demobilized from site and if any rework REE only doing</t>
  </si>
  <si>
    <t>Materials, Staff &amp; Labour Supply</t>
  </si>
  <si>
    <t>VO.6</t>
  </si>
  <si>
    <t>Additional External Containment for ELV Cables</t>
  </si>
  <si>
    <t xml:space="preserve">Variation orders that still under review by Client and work not yet executed </t>
  </si>
  <si>
    <t>-</t>
  </si>
  <si>
    <t>Application # 07</t>
  </si>
  <si>
    <t>VO.7</t>
  </si>
  <si>
    <t>0</t>
  </si>
  <si>
    <t xml:space="preserve"> Project:</t>
  </si>
  <si>
    <t xml:space="preserve"> Report for the Month of:</t>
  </si>
  <si>
    <t xml:space="preserve"> Client:</t>
  </si>
  <si>
    <t xml:space="preserve"> Consultant:</t>
  </si>
  <si>
    <t>Main Contractor</t>
  </si>
  <si>
    <t>URBACON TRADING &amp; CONTRACTING</t>
  </si>
  <si>
    <t xml:space="preserve"> 1.  Schedule </t>
  </si>
  <si>
    <t>7.  Scope Management</t>
  </si>
  <si>
    <t>Program Details</t>
  </si>
  <si>
    <t>Plan Start</t>
  </si>
  <si>
    <t>Completion Date</t>
  </si>
  <si>
    <t>Plan %</t>
  </si>
  <si>
    <t>Actual %</t>
  </si>
  <si>
    <t>Variance %</t>
  </si>
  <si>
    <r>
      <t>Target</t>
    </r>
    <r>
      <rPr>
        <b/>
        <sz val="12"/>
        <color indexed="8"/>
        <rFont val="Arial"/>
        <family val="2"/>
      </rPr>
      <t xml:space="preserve"> (Next Month)</t>
    </r>
  </si>
  <si>
    <t>Current Scope Value (CSV)</t>
  </si>
  <si>
    <r>
      <t>Expected Contract Value</t>
    </r>
    <r>
      <rPr>
        <b/>
        <sz val="9"/>
        <color indexed="8"/>
        <rFont val="Arial"/>
        <family val="2"/>
      </rPr>
      <t/>
    </r>
  </si>
  <si>
    <t>Project Revenue</t>
  </si>
  <si>
    <t>Projected</t>
  </si>
  <si>
    <t>MEP Base Line</t>
  </si>
  <si>
    <t>Planned Claim upto this month</t>
  </si>
  <si>
    <t>B O Q 
Adjustment (Revised BOQ)</t>
  </si>
  <si>
    <t>Actual Claim (EV) upto this month</t>
  </si>
  <si>
    <t>Approved Variations</t>
  </si>
  <si>
    <r>
      <t xml:space="preserve">Variations Awaiting Approval 
</t>
    </r>
    <r>
      <rPr>
        <b/>
        <i/>
        <sz val="12"/>
        <color rgb="FFFF0000"/>
        <rFont val="Arial"/>
        <family val="2"/>
      </rPr>
      <t>(not Under Execution)</t>
    </r>
  </si>
  <si>
    <t xml:space="preserve">Certified  </t>
  </si>
  <si>
    <t>Approved Deletions</t>
  </si>
  <si>
    <t>Planned Claim of this month</t>
  </si>
  <si>
    <t>Additions 
due to re- measurement</t>
  </si>
  <si>
    <r>
      <t>Expected New Variations</t>
    </r>
    <r>
      <rPr>
        <b/>
        <i/>
        <sz val="12"/>
        <color rgb="FFFF0000"/>
        <rFont val="Arial"/>
        <family val="2"/>
      </rPr>
      <t xml:space="preserve">
(not Under Execution)</t>
    </r>
  </si>
  <si>
    <t>Actual Claim of this month</t>
  </si>
  <si>
    <t>VO Scope</t>
  </si>
  <si>
    <t xml:space="preserve">Variations under execution &amp;
awaiting Approval </t>
  </si>
  <si>
    <t>Expected back charges</t>
  </si>
  <si>
    <t>Variance Analysis</t>
  </si>
  <si>
    <t>Total (QAR)</t>
  </si>
  <si>
    <t xml:space="preserve"> 2.  Engineering</t>
  </si>
  <si>
    <t>8.  HSE - Health Safety Environment</t>
  </si>
  <si>
    <r>
      <rPr>
        <b/>
        <sz val="12"/>
        <color indexed="8"/>
        <rFont val="Arial"/>
        <family val="2"/>
      </rPr>
      <t>Plan-Approval</t>
    </r>
  </si>
  <si>
    <r>
      <t>Actual-</t>
    </r>
    <r>
      <rPr>
        <b/>
        <sz val="12"/>
        <color indexed="8"/>
        <rFont val="Arial"/>
        <family val="2"/>
      </rPr>
      <t>Approval</t>
    </r>
  </si>
  <si>
    <r>
      <t xml:space="preserve">EDC </t>
    </r>
    <r>
      <rPr>
        <b/>
        <sz val="12"/>
        <color indexed="8"/>
        <rFont val="Arial"/>
        <family val="2"/>
      </rPr>
      <t>to 100% Approval</t>
    </r>
  </si>
  <si>
    <t>Man-Hours Worked</t>
  </si>
  <si>
    <r>
      <t>Man-Hours</t>
    </r>
    <r>
      <rPr>
        <b/>
        <sz val="12"/>
        <color indexed="8"/>
        <rFont val="Arial"/>
        <family val="2"/>
      </rPr>
      <t xml:space="preserve"> without LTI</t>
    </r>
  </si>
  <si>
    <r>
      <t xml:space="preserve">Man-Hours </t>
    </r>
    <r>
      <rPr>
        <b/>
        <sz val="12"/>
        <color indexed="8"/>
        <rFont val="Arial"/>
        <family val="2"/>
      </rPr>
      <t>without LTA</t>
    </r>
  </si>
  <si>
    <t>Design Drawings</t>
  </si>
  <si>
    <t>Till Last Month</t>
  </si>
  <si>
    <t xml:space="preserve"> 3.  Procurement</t>
  </si>
  <si>
    <t>9.  Cost Control</t>
  </si>
  <si>
    <t xml:space="preserve">Material Submission </t>
  </si>
  <si>
    <t>Material Purchase Order</t>
  </si>
  <si>
    <t>Material Delivery</t>
  </si>
  <si>
    <r>
      <t xml:space="preserve">BAC- Budget At Completion 
</t>
    </r>
    <r>
      <rPr>
        <b/>
        <sz val="11"/>
        <color rgb="FFFF0000"/>
        <rFont val="Arial"/>
        <family val="2"/>
      </rPr>
      <t>(Including under execution)</t>
    </r>
    <r>
      <rPr>
        <b/>
        <sz val="11"/>
        <color indexed="8"/>
        <rFont val="Arial"/>
        <family val="2"/>
      </rPr>
      <t xml:space="preserve"> </t>
    </r>
  </si>
  <si>
    <r>
      <rPr>
        <b/>
        <sz val="12"/>
        <color indexed="8"/>
        <rFont val="Arial"/>
        <family val="2"/>
      </rPr>
      <t>AC- Actual Cost</t>
    </r>
  </si>
  <si>
    <t>ETC- Estimate To Complete</t>
  </si>
  <si>
    <t>EAC-Estimate At Completion = ETC+AC</t>
  </si>
  <si>
    <t>Expected Gross Profit/ Loss</t>
  </si>
  <si>
    <t xml:space="preserve">Original Contract </t>
  </si>
  <si>
    <t>VO + Add. Qty</t>
  </si>
  <si>
    <t>CSV - EAC</t>
  </si>
  <si>
    <t>CSV</t>
  </si>
  <si>
    <t>Plan-Approval</t>
  </si>
  <si>
    <t>Plan - PO's</t>
  </si>
  <si>
    <t>Plan-Delivery</t>
  </si>
  <si>
    <t>Labour</t>
  </si>
  <si>
    <t>EAC</t>
  </si>
  <si>
    <t>Actual-Approval</t>
  </si>
  <si>
    <t>PR-Released</t>
  </si>
  <si>
    <t>Actual-Delivered</t>
  </si>
  <si>
    <t>Preliminaries/ Staff</t>
  </si>
  <si>
    <t>Actual- PO's</t>
  </si>
  <si>
    <t>Delivery-Confirmed</t>
  </si>
  <si>
    <t>Sub-contract/Site Over Head</t>
  </si>
  <si>
    <t>Total -Budget</t>
  </si>
  <si>
    <r>
      <rPr>
        <b/>
        <sz val="12"/>
        <color indexed="8"/>
        <rFont val="Arial"/>
        <family val="2"/>
      </rPr>
      <t>Expected Date to 100% Approval</t>
    </r>
  </si>
  <si>
    <t>G. Total Budget (QAR)</t>
  </si>
  <si>
    <t xml:space="preserve"> 4.  QA/ QC</t>
  </si>
  <si>
    <t>10.  Resources</t>
  </si>
  <si>
    <t>Inspection By the Engineer</t>
  </si>
  <si>
    <t>Manpower (This Month)</t>
  </si>
  <si>
    <t>Man Hours (Cumulative)</t>
  </si>
  <si>
    <r>
      <t>Mob/ DE Mob Plan</t>
    </r>
    <r>
      <rPr>
        <b/>
        <sz val="12"/>
        <color indexed="8"/>
        <rFont val="Arial"/>
        <family val="2"/>
      </rPr>
      <t xml:space="preserve"> (Next Month)</t>
    </r>
  </si>
  <si>
    <t>Mobilization</t>
  </si>
  <si>
    <t>Demobilization</t>
  </si>
  <si>
    <r>
      <t>Total-</t>
    </r>
    <r>
      <rPr>
        <b/>
        <sz val="12"/>
        <color indexed="8"/>
        <rFont val="Arial"/>
        <family val="2"/>
      </rPr>
      <t>Received</t>
    </r>
  </si>
  <si>
    <t>Sub Con.</t>
  </si>
  <si>
    <t>5.  Construction</t>
  </si>
  <si>
    <t>6.  Areas of Concern</t>
  </si>
  <si>
    <t>11.  Close-out</t>
  </si>
  <si>
    <t xml:space="preserve"> Milestones and Major Ongoing Activities Status</t>
  </si>
  <si>
    <r>
      <t>Areas of Concern</t>
    </r>
    <r>
      <rPr>
        <b/>
        <i/>
        <sz val="12"/>
        <color rgb="FFFF0000"/>
        <rFont val="Arial"/>
        <family val="2"/>
      </rPr>
      <t xml:space="preserve"> (Critical only)</t>
    </r>
  </si>
  <si>
    <t>Training Manual</t>
  </si>
  <si>
    <t>Approved (A)</t>
  </si>
  <si>
    <t>Sub-Con.</t>
  </si>
  <si>
    <t xml:space="preserve"> Project Manager</t>
  </si>
  <si>
    <t xml:space="preserve"> Name:  
 Signature:</t>
  </si>
  <si>
    <t xml:space="preserve">Date: </t>
  </si>
  <si>
    <t xml:space="preserve"> Reviewed by:</t>
  </si>
  <si>
    <t xml:space="preserve"> Operations Director </t>
  </si>
  <si>
    <t>M/S DORSCH QATAR</t>
  </si>
  <si>
    <t>MEP Revised</t>
  </si>
  <si>
    <t xml:space="preserve"> Prepared by: Mehsan Muhmmed</t>
  </si>
  <si>
    <t>Mohanned Hanna</t>
  </si>
  <si>
    <t>PRIVATE ENGINEERING OFFICE</t>
  </si>
  <si>
    <t>AL JASASSIYA SOUTH HOUSE PROJECT   (PROJECT #R67-M1-15)</t>
  </si>
  <si>
    <t xml:space="preserve">Remaining 
POs This Month </t>
  </si>
  <si>
    <t>EXECUTIVE PROJECT SUMMARY  - R67-M1-15</t>
  </si>
  <si>
    <t>Project Name</t>
  </si>
  <si>
    <t>Project  Scope</t>
  </si>
  <si>
    <t>Report Date     </t>
  </si>
  <si>
    <t>AL JASASSIYA SOUTH HOUSE PROJECT</t>
  </si>
  <si>
    <r>
      <t xml:space="preserve">The project is a palace on a beautiful site to the north of Qatar. </t>
    </r>
    <r>
      <rPr>
        <sz val="11"/>
        <color theme="1"/>
        <rFont val="Arial"/>
        <family val="2"/>
      </rPr>
      <t xml:space="preserve"> </t>
    </r>
    <r>
      <rPr>
        <sz val="10.5"/>
        <color theme="1"/>
        <rFont val="Arial"/>
        <family val="2"/>
      </rPr>
      <t>The project consist of Palace, 6 No of Chalets, Main Gate, Service Gate, Staff Quarter, Main Kitchen and Garage, Service Yard, Horse Stable, Covered Traces and External Works.</t>
    </r>
  </si>
  <si>
    <t>1:Progress/Schedule:</t>
  </si>
  <si>
    <t>Ongoing key works-Progress:</t>
  </si>
  <si>
    <t>The Following is a List the major works that are under progress on site.</t>
  </si>
  <si>
    <t>2- Engineering Progress:</t>
  </si>
  <si>
    <t>3- Procurement</t>
  </si>
  <si>
    <t>4- QA/QC:</t>
  </si>
  <si>
    <t>5- Construction</t>
  </si>
  <si>
    <t xml:space="preserve">Construction Progress: </t>
  </si>
  <si>
    <t>Building / Area</t>
  </si>
  <si>
    <t>Planned %</t>
  </si>
  <si>
    <t>Chalets – 6nos</t>
  </si>
  <si>
    <t>Main Palace</t>
  </si>
  <si>
    <t xml:space="preserve">Main Gate </t>
  </si>
  <si>
    <t>Service Gate</t>
  </si>
  <si>
    <t>Staff Quarter</t>
  </si>
  <si>
    <t>Horse Stable</t>
  </si>
  <si>
    <t>Garage &amp; Kitchen</t>
  </si>
  <si>
    <t>Service Yard</t>
  </si>
  <si>
    <t>Substation</t>
  </si>
  <si>
    <t>Over All</t>
  </si>
  <si>
    <t>6- Commercial</t>
  </si>
  <si>
    <t xml:space="preserve">7- HSE </t>
  </si>
  <si>
    <t>No Safety Issues</t>
  </si>
  <si>
    <t>8- Earned Value Management</t>
  </si>
  <si>
    <t>9- Resources:</t>
  </si>
  <si>
    <t xml:space="preserve">10- Accounts </t>
  </si>
  <si>
    <t xml:space="preserve"> 11-  Store :  </t>
  </si>
  <si>
    <t>12- Area of concern:</t>
  </si>
  <si>
    <t>13- Close-out</t>
  </si>
  <si>
    <t>MEP</t>
  </si>
  <si>
    <t xml:space="preserve">Areas of Concern </t>
  </si>
  <si>
    <t>No. of   PO
upto Last Month (Up to Jan-16)</t>
  </si>
  <si>
    <t>Plan PO to be issued This Month                                                              (Feb-16)</t>
  </si>
  <si>
    <t>MR Released This month
(Feb-16)</t>
  </si>
  <si>
    <t>Actual - PO issued This Month 
(Feb-16)</t>
  </si>
  <si>
    <t>Application # 08</t>
  </si>
  <si>
    <t>VO.8</t>
  </si>
  <si>
    <t>Additional Lighting For External Area</t>
  </si>
  <si>
    <t>Additional DBs, SMDBs With Feeder Cable &amp; Cable Containment</t>
  </si>
  <si>
    <t>LRD Labour Supply</t>
  </si>
  <si>
    <t>Executed &amp; Submitted</t>
  </si>
  <si>
    <t>VO.2</t>
  </si>
  <si>
    <t>VO.3</t>
  </si>
  <si>
    <t>Hot work - Work on live electrical equipment , LOTO - Confined Space</t>
  </si>
  <si>
    <t>Electrical Safety -PPE , Manual Hand Work at Height</t>
  </si>
  <si>
    <r>
      <t xml:space="preserve">       Ø</t>
    </r>
    <r>
      <rPr>
        <sz val="7"/>
        <color rgb="FF000000"/>
        <rFont val="Times New Roman"/>
        <family val="1"/>
      </rPr>
      <t xml:space="preserve">  </t>
    </r>
    <r>
      <rPr>
        <sz val="10.5"/>
        <color rgb="FF000000"/>
        <rFont val="Arial"/>
        <family val="2"/>
      </rPr>
      <t xml:space="preserve">Number of open and closed NCR’s   </t>
    </r>
  </si>
  <si>
    <r>
      <t xml:space="preserve">       Ø</t>
    </r>
    <r>
      <rPr>
        <sz val="7"/>
        <color rgb="FF000000"/>
        <rFont val="Times New Roman"/>
        <family val="1"/>
      </rPr>
      <t xml:space="preserve">  </t>
    </r>
    <r>
      <rPr>
        <sz val="10.5"/>
        <color rgb="FF000000"/>
        <rFont val="Arial"/>
        <family val="2"/>
      </rPr>
      <t>Number of IR thismonth</t>
    </r>
  </si>
  <si>
    <t xml:space="preserve">Gross Certified Amount up to date </t>
  </si>
  <si>
    <t xml:space="preserve">            Staff                   </t>
  </si>
  <si>
    <t xml:space="preserve">            Manpower           </t>
  </si>
  <si>
    <r>
      <t xml:space="preserve">Total amount of material available at store is </t>
    </r>
    <r>
      <rPr>
        <b/>
        <i/>
        <sz val="12"/>
        <color theme="1"/>
        <rFont val="Arial"/>
        <family val="2"/>
      </rPr>
      <t/>
    </r>
  </si>
  <si>
    <r>
      <rPr>
        <sz val="12"/>
        <rFont val="Wingdings"/>
        <charset val="2"/>
      </rPr>
      <t>§</t>
    </r>
    <r>
      <rPr>
        <sz val="12"/>
        <rFont val="Arial"/>
        <family val="2"/>
      </rPr>
      <t>  Logs</t>
    </r>
  </si>
  <si>
    <r>
      <rPr>
        <sz val="12"/>
        <rFont val="Wingdings"/>
        <charset val="2"/>
      </rPr>
      <t>§</t>
    </r>
    <r>
      <rPr>
        <sz val="12"/>
        <rFont val="Arial"/>
        <family val="2"/>
      </rPr>
      <t>  Long Lead Tracking</t>
    </r>
  </si>
  <si>
    <r>
      <rPr>
        <sz val="12"/>
        <rFont val="Wingdings"/>
        <charset val="2"/>
      </rPr>
      <t>§</t>
    </r>
    <r>
      <rPr>
        <sz val="12"/>
        <rFont val="Arial"/>
        <family val="2"/>
      </rPr>
      <t>  Progress Accomplished This Month  (Major Activities only)</t>
    </r>
  </si>
  <si>
    <r>
      <rPr>
        <sz val="12"/>
        <rFont val="Wingdings"/>
        <charset val="2"/>
      </rPr>
      <t>§</t>
    </r>
    <r>
      <rPr>
        <sz val="12"/>
        <rFont val="Arial"/>
        <family val="2"/>
      </rPr>
      <t>  One  Month Look Ahead Plan (Major Activities only)</t>
    </r>
  </si>
  <si>
    <r>
      <rPr>
        <sz val="12"/>
        <rFont val="Wingdings"/>
        <charset val="2"/>
      </rPr>
      <t>§</t>
    </r>
    <r>
      <rPr>
        <sz val="12"/>
        <rFont val="Arial"/>
        <family val="2"/>
      </rPr>
      <t>  Sub-contractor</t>
    </r>
  </si>
  <si>
    <r>
      <rPr>
        <sz val="12"/>
        <rFont val="Wingdings"/>
        <charset val="2"/>
      </rPr>
      <t>§</t>
    </r>
    <r>
      <rPr>
        <sz val="12"/>
        <rFont val="Arial"/>
        <family val="2"/>
      </rPr>
      <t>  7.4-Back Chargs detail</t>
    </r>
  </si>
  <si>
    <r>
      <t>Ø</t>
    </r>
    <r>
      <rPr>
        <sz val="7"/>
        <color rgb="FF000000"/>
        <rFont val="Times New Roman"/>
        <family val="1"/>
      </rPr>
      <t xml:space="preserve">  </t>
    </r>
    <r>
      <rPr>
        <sz val="10.5"/>
        <color rgb="FF000000"/>
        <rFont val="Arial"/>
        <family val="2"/>
      </rPr>
      <t>Installation of Wiring Devices &amp; Light Fixture in Palace &amp; Chalets.</t>
    </r>
  </si>
  <si>
    <t>Delivery of wiring devices</t>
  </si>
  <si>
    <t>Delay in Installation &amp; Handing Over</t>
  </si>
  <si>
    <t>Testing &amp; Commissioning Progress</t>
  </si>
  <si>
    <t>AJSH</t>
  </si>
  <si>
    <t>Project</t>
  </si>
  <si>
    <t xml:space="preserve">Shop drawing progress: planned submission &amp; approval 100 % &amp; actual submission .100.00%   Approved 100.00%. </t>
  </si>
  <si>
    <t>Delivery of Emergency lights for staircase in Palace, chalets &amp; Ancillary buildings</t>
  </si>
  <si>
    <t>Note : An expected scope deletion of 1,000000.00 is considered.</t>
  </si>
  <si>
    <t>Compared to last Month progress 92.88% against planned 100.00%.</t>
  </si>
  <si>
    <r>
      <t>MEP Over all progress is 94.95%  as of 31</t>
    </r>
    <r>
      <rPr>
        <sz val="10.5"/>
        <color theme="1"/>
        <rFont val="Arial"/>
        <family val="2"/>
      </rPr>
      <t>-Mar-16</t>
    </r>
    <r>
      <rPr>
        <sz val="10.5"/>
        <color rgb="FF000000"/>
        <rFont val="Arial"/>
        <family val="2"/>
      </rPr>
      <t xml:space="preserve"> against planned progress of 100.00%</t>
    </r>
  </si>
  <si>
    <t>Over all progress Engineering - 100.00%, Procurement - 100.00%, Construction - 98.37% and T&amp;C - 24%.</t>
  </si>
  <si>
    <r>
      <t>Ø</t>
    </r>
    <r>
      <rPr>
        <sz val="7"/>
        <color rgb="FF000000"/>
        <rFont val="Times New Roman"/>
        <family val="1"/>
      </rPr>
      <t xml:space="preserve">  </t>
    </r>
    <r>
      <rPr>
        <sz val="10.5"/>
        <color rgb="FF000000"/>
        <rFont val="Arial"/>
        <family val="2"/>
      </rPr>
      <t>Pretesting of HVAC Equipment in progress</t>
    </r>
  </si>
  <si>
    <r>
      <t>Ø</t>
    </r>
    <r>
      <rPr>
        <sz val="7"/>
        <color rgb="FF000000"/>
        <rFont val="Times New Roman"/>
        <family val="1"/>
      </rPr>
      <t xml:space="preserve">  </t>
    </r>
    <r>
      <rPr>
        <sz val="10.5"/>
        <color rgb="FF000000"/>
        <rFont val="Arial"/>
        <family val="2"/>
      </rPr>
      <t>Pretesting of panels in progress.</t>
    </r>
  </si>
  <si>
    <r>
      <t>Ø</t>
    </r>
    <r>
      <rPr>
        <sz val="7"/>
        <color rgb="FF000000"/>
        <rFont val="Times New Roman"/>
        <family val="1"/>
      </rPr>
      <t xml:space="preserve">  </t>
    </r>
    <r>
      <rPr>
        <sz val="10.5"/>
        <color rgb="FF000000"/>
        <rFont val="Arial"/>
        <family val="2"/>
      </rPr>
      <t>Isolator Installation &amp; termination for equipment in progress</t>
    </r>
  </si>
  <si>
    <r>
      <t>Ø</t>
    </r>
    <r>
      <rPr>
        <sz val="7"/>
        <color rgb="FF000000"/>
        <rFont val="Times New Roman"/>
        <family val="1"/>
      </rPr>
      <t xml:space="preserve">  </t>
    </r>
    <r>
      <rPr>
        <sz val="10.5"/>
        <color rgb="FF000000"/>
        <rFont val="Arial"/>
        <family val="2"/>
      </rPr>
      <t>Grills &amp; Diffuser Installation in palace in progress parallel with civil.</t>
    </r>
  </si>
  <si>
    <r>
      <t>Ø</t>
    </r>
    <r>
      <rPr>
        <sz val="7"/>
        <color rgb="FF000000"/>
        <rFont val="Times New Roman"/>
        <family val="1"/>
      </rPr>
      <t xml:space="preserve">  </t>
    </r>
    <r>
      <rPr>
        <sz val="10.5"/>
        <color rgb="FF000000"/>
        <rFont val="Arial"/>
        <family val="2"/>
      </rPr>
      <t>Testing &amp; Commissioning of Fire fighting system in progress</t>
    </r>
  </si>
  <si>
    <r>
      <t>Ø</t>
    </r>
    <r>
      <rPr>
        <sz val="7"/>
        <color rgb="FF000000"/>
        <rFont val="Times New Roman"/>
        <family val="1"/>
      </rPr>
      <t xml:space="preserve">  </t>
    </r>
    <r>
      <rPr>
        <sz val="10.5"/>
        <color rgb="FF000000"/>
        <rFont val="Arial"/>
        <family val="2"/>
      </rPr>
      <t>Testing &amp; Commissioning of Electrical Equipment in progress</t>
    </r>
  </si>
  <si>
    <r>
      <t>Ø</t>
    </r>
    <r>
      <rPr>
        <sz val="7"/>
        <color rgb="FF000000"/>
        <rFont val="Times New Roman"/>
        <family val="1"/>
      </rPr>
      <t xml:space="preserve">  </t>
    </r>
    <r>
      <rPr>
        <sz val="10.5"/>
        <color rgb="FF000000"/>
        <rFont val="Arial"/>
        <family val="2"/>
      </rPr>
      <t>Sanitary ware installation in chalet &amp; palace in progress</t>
    </r>
  </si>
  <si>
    <t>Procurement progress is 100.00%</t>
  </si>
  <si>
    <t>Testing &amp; Commissioning of Fire fighting system in progress.</t>
  </si>
  <si>
    <t>Pretesting of HVAC Equipment in progress</t>
  </si>
  <si>
    <t>Testing &amp; Commissioning of Electrical Equipment in progress</t>
  </si>
  <si>
    <t>Pretesting of panels in progress.</t>
  </si>
  <si>
    <t xml:space="preserve"> Installation of Wiring Devices &amp; Light Fixture in Palace &amp; Chalets.</t>
  </si>
  <si>
    <t>Isolator Installation &amp; termination for equipment in progress</t>
  </si>
  <si>
    <t>Sanitary ware installation in chalet &amp; palace in progress</t>
  </si>
  <si>
    <t>Grills &amp; Diffuser Installation in palace in progress parallel with civil.</t>
  </si>
  <si>
    <t>Final Testing &amp; Commissioning</t>
  </si>
  <si>
    <t>Project Close Out</t>
  </si>
  <si>
    <t>Variation orders that already agreed by UCC - Work already executed at site</t>
  </si>
  <si>
    <t>It has been noticed that installations of HVAC duct and pipes supports are done with an unapproved anchot bolt (unifix) in Chalets, Main Kitchen and Garage Building (Photos attached for your reference. You are hereby instructed to immediately stop the fixation of the mentioned works using the unacceptable material and replace it with the approved (Hilti) material. The contractor will bear all the contractual consequences in case he continue the works without the approved material and the contractual clauses will be applied in this case.</t>
  </si>
  <si>
    <t xml:space="preserve">It was noticed that contractor is using rejected material for water supply system instead of approved materials "MUELLER" You are hreby instructed to replaced executed works with approved materials you are immediate corrective action is required.  </t>
  </si>
  <si>
    <t>It was noticed that the contractor proceed the work (Floor Concrete) In Palace G.F. (Part # 03) Before inspection of Electrical works (Floor conduits)</t>
  </si>
  <si>
    <t>Contractor is proceeding with works related to external drainage without submitting wor inspection request for manhole works for external drainage.</t>
  </si>
  <si>
    <t>With reference NCR 21, 29, &amp; 31 Contractor is proceeding with works related to external Drainage drainage woithput approved work inspectio0nrequest for manhole &amp; Sewage Networks for External Drainage.</t>
  </si>
  <si>
    <t xml:space="preserve">UPVC Piping infront of Palace which is already inspected and backfilled, have been exposed due to some excavation in the area, resulting that the pipes are exposed and bended which will affect the drainage systems </t>
  </si>
  <si>
    <t>Referring to material submittal #U747414-AJSH/DORSCH/MAS/0166 for the MITSUBISHI ELECTRIC AC/DX units which is Japan/UK manufactured. It was noticed that the material delivered and installed at site is different from the approved material. The contractor did not comply with the approved material submittal.
Your immediate corrective action is required.</t>
  </si>
  <si>
    <t>Contractor backfilled  the underground UPVC pipes before  the end of inspection and without visual checking.</t>
  </si>
  <si>
    <t>It was noticed that , material deliverd and installed at site is different from from the approved materials.</t>
  </si>
  <si>
    <t>Installing drainage pipes planters beside showers</t>
  </si>
  <si>
    <t>Using Improper fittings for back wash line in chalet 2</t>
  </si>
  <si>
    <t>The contractor has backfilled and concreted the area where the Underground HDPE pipes was installed before the inspection time and without visual installation checking, please find the attached photos for reference.</t>
  </si>
  <si>
    <t>Application # 09</t>
  </si>
  <si>
    <t>Stock Pervious Month (February - 2016)</t>
  </si>
  <si>
    <t xml:space="preserve">Stock This  Month (March - 2016) </t>
  </si>
  <si>
    <t>Civil clearance for Bath Tub Installation in Chalets</t>
  </si>
  <si>
    <t>Delay the installation in Chalet</t>
  </si>
  <si>
    <t xml:space="preserve">Doors &amp; Windows Installation are delaying </t>
  </si>
  <si>
    <t>Delay the MEP Air Balancing Testing &amp; Commissioning</t>
  </si>
  <si>
    <t>Executed, Approved &amp; Agreed</t>
  </si>
  <si>
    <t>1 4,217,600.26</t>
  </si>
  <si>
    <t>3 ,172,453.77</t>
  </si>
  <si>
    <t>5 48,937.51</t>
  </si>
  <si>
    <t>3 ,315,978.16</t>
  </si>
  <si>
    <t>As of Our Record for the material recieved at site up to 31-Mar-16</t>
  </si>
  <si>
    <t>Actual Material Cost as per Finance Report up to 31-Mar-16</t>
  </si>
  <si>
    <t>&lt;Back Charges/ Scope Deleation&gt; (if any)</t>
  </si>
  <si>
    <t>-94days (As per MEP Revised Program-2)</t>
  </si>
  <si>
    <t>Estimate at Completion for the project is QAR 49,996,901.70 &amp; the total budget is QAR 43,319,658.90  (Variance QAR -6,677,242.80). The overall gross profit is 2,054,437.26 (3.95%).</t>
  </si>
  <si>
    <t xml:space="preserve">Delivery of Emergency Lights, Wiring Devices Shortage, Civil Clearance for Bath tub Installation in Chalets and Doors &amp; Windows Installation are delying the MEP work progres.. </t>
  </si>
  <si>
    <t>As Built drawing in progress.</t>
  </si>
  <si>
    <t xml:space="preserve"> Engineering Enterprises 
MONTHLY PROJECT DASHBOARD
</t>
  </si>
</sst>
</file>

<file path=xl/styles.xml><?xml version="1.0" encoding="utf-8"?>
<styleSheet xmlns="http://schemas.openxmlformats.org/spreadsheetml/2006/main">
  <numFmts count="44">
    <numFmt numFmtId="41" formatCode="_(* #,##0_);_(* \(#,##0\);_(* &quot;-&quot;_);_(@_)"/>
    <numFmt numFmtId="44" formatCode="_(&quot;$&quot;* #,##0.00_);_(&quot;$&quot;* \(#,##0.00\);_(&quot;$&quot;* &quot;-&quot;??_);_(@_)"/>
    <numFmt numFmtId="43" formatCode="_(* #,##0.00_);_(* \(#,##0.00\);_(* &quot;-&quot;??_);_(@_)"/>
    <numFmt numFmtId="164" formatCode="dd\-mmm\-yyyy"/>
    <numFmt numFmtId="165" formatCode="[$SAR]\ #,##0.00"/>
    <numFmt numFmtId="166" formatCode="mmm\-yyyy"/>
    <numFmt numFmtId="167" formatCode="[$-409]d\-mmm\-yy;@"/>
    <numFmt numFmtId="168" formatCode="_(* #,##0_);_(* \(#,##0\);_(* &quot;-&quot;??_);_(@_)"/>
    <numFmt numFmtId="169" formatCode="[$-409]dd\-mmm\-yy;@"/>
    <numFmt numFmtId="170" formatCode="[$-409]mmm\-yy;@"/>
    <numFmt numFmtId="171" formatCode="[$-409]mmmm\-yy;@"/>
    <numFmt numFmtId="172" formatCode="0.0"/>
    <numFmt numFmtId="173" formatCode="#,###.00"/>
    <numFmt numFmtId="174" formatCode="_-* #,##0.00_-;\-* #,##0.00_-;_-* &quot;-&quot;??_-;_-@_-"/>
    <numFmt numFmtId="175" formatCode="[$QAR]\ #,##0.00"/>
    <numFmt numFmtId="176" formatCode="#,##0&quot; m2&quot;_);\(#,##0&quot; m2&quot;\)"/>
    <numFmt numFmtId="177" formatCode="_(&quot;OR&quot;\ * #,##0.00_);_(&quot;OR&quot;\ * \(#,##0.00\);_(&quot;OR&quot;\ * &quot;-&quot;??_);_(@_)"/>
    <numFmt numFmtId="178" formatCode="0.00000"/>
    <numFmt numFmtId="179" formatCode="&quot;ج.م.&quot;#,##0_-;&quot;ج.م.&quot;#,##0\-"/>
    <numFmt numFmtId="180" formatCode="0.000"/>
    <numFmt numFmtId="181" formatCode="#,##0.0"/>
    <numFmt numFmtId="182" formatCode="&quot;DIVISION &quot;##"/>
    <numFmt numFmtId="183" formatCode="_-* #,##0.00_-;_-* #,##0.00\-;_-* &quot;-&quot;??_-;_-@_-"/>
    <numFmt numFmtId="184" formatCode="_-* #,##0_-;\-* #,##0_-;_-* &quot;-&quot;??_-;_-@_-"/>
    <numFmt numFmtId="185" formatCode="#,##0;[Red]#,##0"/>
    <numFmt numFmtId="186" formatCode="&quot;Dhs &quot;* #,##0.00_-;\(&quot;Dhs &quot;\ #,##0.00_-\);_-&quot;Dhs &quot;\ &quot;-&quot;_-;_-@_-"/>
    <numFmt numFmtId="187" formatCode="0.0%"/>
    <numFmt numFmtId="188" formatCode="#,##0.00_ ;[Red]\-#,##0.00\ "/>
    <numFmt numFmtId="189" formatCode="&quot;Dhs &quot;* #,##0,&quot; K&quot;_);\(&quot;Dhs &quot;* #,##0,&quot; K&quot;\)"/>
    <numFmt numFmtId="190" formatCode="&quot;Dhs &quot;* #,##0,,&quot; M&quot;_);\(&quot;Dhs &quot;\ #,##0,,&quot; M&quot;\)"/>
    <numFmt numFmtId="191" formatCode=";;;"/>
    <numFmt numFmtId="192" formatCode="#,##0.000"/>
    <numFmt numFmtId="193" formatCode="0.00_)"/>
    <numFmt numFmtId="194" formatCode="_-* #,##0_-;\-* #,##0_-;_-* &quot;-&quot;_-;_-@_-"/>
    <numFmt numFmtId="195" formatCode="&quot;$&quot;#,##0;\-&quot;$&quot;#,##0"/>
    <numFmt numFmtId="196" formatCode="mm/dd/yy"/>
    <numFmt numFmtId="197" formatCode="&quot;Dhs &quot;* #,##0_-;\(&quot;Dhs &quot;\ #,##0_-\);_-&quot;Dhs &quot;\ &quot;-&quot;_-;_-@_-"/>
    <numFmt numFmtId="198" formatCode="&quot;Dhs &quot;* #,##0&quot; /m2&quot;_);\(&quot;Dhs &quot;* #,##0&quot; /m2&quot;\)"/>
    <numFmt numFmtId="199" formatCode="_ * #,##0_ ;_ * \-#,##0_ ;_ * &quot;-&quot;_ ;_ @_ "/>
    <numFmt numFmtId="200" formatCode="[$-F400]h:mm:ss\ AM/PM"/>
    <numFmt numFmtId="201" formatCode="[$-409]d/mmm/yy;@"/>
    <numFmt numFmtId="202" formatCode="_(* #,##0.0000_);_(* \(#,##0.0000\);_(* &quot;-&quot;??_);_(@_)"/>
    <numFmt numFmtId="203" formatCode="0.0000%"/>
    <numFmt numFmtId="204" formatCode="[$QAR]\ #,##0.00_);\([$QAR]\ #,##0.00\)"/>
  </numFmts>
  <fonts count="175">
    <font>
      <sz val="11"/>
      <color theme="1"/>
      <name val="Calibri"/>
      <family val="2"/>
      <scheme val="minor"/>
    </font>
    <font>
      <b/>
      <sz val="11"/>
      <color theme="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4"/>
      <color theme="1"/>
      <name val="Copperplate Gothic Bold"/>
      <family val="2"/>
    </font>
    <font>
      <b/>
      <sz val="14"/>
      <color theme="1"/>
      <name val="Calibri"/>
      <family val="2"/>
      <scheme val="minor"/>
    </font>
    <font>
      <sz val="12"/>
      <color theme="1"/>
      <name val="Calibri"/>
      <family val="2"/>
      <scheme val="minor"/>
    </font>
    <font>
      <b/>
      <sz val="18"/>
      <color theme="1"/>
      <name val="Calibri"/>
      <family val="2"/>
      <scheme val="minor"/>
    </font>
    <font>
      <sz val="14"/>
      <color theme="1"/>
      <name val="Calibri"/>
      <family val="2"/>
      <scheme val="minor"/>
    </font>
    <font>
      <b/>
      <sz val="12"/>
      <color rgb="FF17365D"/>
      <name val="Calibri"/>
      <family val="2"/>
      <scheme val="minor"/>
    </font>
    <font>
      <b/>
      <sz val="16"/>
      <color theme="1"/>
      <name val="Calibri"/>
      <family val="2"/>
      <scheme val="minor"/>
    </font>
    <font>
      <sz val="12"/>
      <color rgb="FF17365D"/>
      <name val="Calibri"/>
      <family val="2"/>
      <scheme val="minor"/>
    </font>
    <font>
      <b/>
      <sz val="11"/>
      <color rgb="FF000000"/>
      <name val="Calibri"/>
      <family val="2"/>
      <scheme val="minor"/>
    </font>
    <font>
      <sz val="11"/>
      <color rgb="FF000000"/>
      <name val="Calibri"/>
      <family val="2"/>
      <scheme val="minor"/>
    </font>
    <font>
      <b/>
      <sz val="10"/>
      <color theme="1"/>
      <name val="Calibri"/>
      <family val="2"/>
      <scheme val="minor"/>
    </font>
    <font>
      <b/>
      <sz val="10"/>
      <color rgb="FF17365D"/>
      <name val="Calibri"/>
      <family val="2"/>
      <scheme val="minor"/>
    </font>
    <font>
      <sz val="18"/>
      <color theme="1"/>
      <name val="Calibri"/>
      <family val="2"/>
      <scheme val="minor"/>
    </font>
    <font>
      <sz val="16"/>
      <color theme="1"/>
      <name val="Calibri"/>
      <family val="2"/>
      <scheme val="minor"/>
    </font>
    <font>
      <sz val="10"/>
      <color rgb="FF000000"/>
      <name val="Calibri"/>
      <family val="2"/>
      <scheme val="minor"/>
    </font>
    <font>
      <b/>
      <sz val="11"/>
      <color rgb="FF17365D"/>
      <name val="Calibri"/>
      <family val="2"/>
      <scheme val="minor"/>
    </font>
    <font>
      <sz val="11"/>
      <color rgb="FF17365D"/>
      <name val="Calibri"/>
      <family val="2"/>
      <scheme val="minor"/>
    </font>
    <font>
      <sz val="10"/>
      <color theme="1"/>
      <name val="Calibri"/>
      <family val="2"/>
      <scheme val="minor"/>
    </font>
    <font>
      <sz val="6"/>
      <color theme="1"/>
      <name val="Calibri"/>
      <family val="2"/>
      <scheme val="minor"/>
    </font>
    <font>
      <sz val="5"/>
      <color theme="1"/>
      <name val="Calibri"/>
      <family val="2"/>
      <scheme val="minor"/>
    </font>
    <font>
      <b/>
      <sz val="11"/>
      <color theme="1"/>
      <name val="Calibri"/>
      <family val="2"/>
      <scheme val="minor"/>
    </font>
    <font>
      <sz val="8"/>
      <color rgb="FF000000"/>
      <name val="Calibri"/>
      <family val="2"/>
      <scheme val="minor"/>
    </font>
    <font>
      <sz val="10"/>
      <color rgb="FF17365D"/>
      <name val="Calibri"/>
      <family val="2"/>
      <scheme val="minor"/>
    </font>
    <font>
      <b/>
      <sz val="40"/>
      <color rgb="FF1F497D"/>
      <name val="Copperplate Gothic Bold"/>
      <family val="2"/>
    </font>
    <font>
      <b/>
      <sz val="25"/>
      <color theme="1"/>
      <name val="Copperplate Gothic Bold"/>
      <family val="2"/>
    </font>
    <font>
      <b/>
      <sz val="18"/>
      <color theme="1"/>
      <name val="Arial"/>
      <family val="2"/>
    </font>
    <font>
      <b/>
      <sz val="20"/>
      <color theme="1"/>
      <name val="Arial"/>
      <family val="2"/>
    </font>
    <font>
      <sz val="18"/>
      <color theme="1"/>
      <name val="Wingdings"/>
      <charset val="2"/>
    </font>
    <font>
      <sz val="18"/>
      <color theme="1"/>
      <name val="Times New Roman"/>
      <family val="1"/>
    </font>
    <font>
      <sz val="18"/>
      <color theme="1"/>
      <name val="Arial"/>
      <family val="2"/>
    </font>
    <font>
      <b/>
      <sz val="18"/>
      <color rgb="FF17365D"/>
      <name val="Calibri"/>
      <family val="2"/>
      <scheme val="minor"/>
    </font>
    <font>
      <b/>
      <sz val="11"/>
      <color theme="3"/>
      <name val="Calibri"/>
      <family val="2"/>
      <scheme val="minor"/>
    </font>
    <font>
      <b/>
      <sz val="12"/>
      <color theme="3"/>
      <name val="Calibri"/>
      <family val="2"/>
      <scheme val="minor"/>
    </font>
    <font>
      <b/>
      <sz val="11"/>
      <color theme="3" tint="-0.249977111117893"/>
      <name val="Calibri"/>
      <family val="2"/>
      <scheme val="minor"/>
    </font>
    <font>
      <b/>
      <sz val="12"/>
      <color theme="3" tint="-0.249977111117893"/>
      <name val="Calibri"/>
      <family val="2"/>
      <scheme val="minor"/>
    </font>
    <font>
      <b/>
      <sz val="9"/>
      <color rgb="FF17365D"/>
      <name val="Calibri"/>
      <family val="2"/>
      <scheme val="minor"/>
    </font>
    <font>
      <b/>
      <sz val="9"/>
      <color theme="3" tint="-0.249977111117893"/>
      <name val="Calibri"/>
      <family val="2"/>
      <scheme val="minor"/>
    </font>
    <font>
      <sz val="9"/>
      <color theme="3" tint="-0.249977111117893"/>
      <name val="Calibri"/>
      <family val="2"/>
      <scheme val="minor"/>
    </font>
    <font>
      <sz val="11"/>
      <color theme="3"/>
      <name val="Calibri"/>
      <family val="2"/>
      <scheme val="minor"/>
    </font>
    <font>
      <b/>
      <sz val="22"/>
      <color theme="1"/>
      <name val="Calibri"/>
      <family val="2"/>
      <scheme val="minor"/>
    </font>
    <font>
      <sz val="22"/>
      <color theme="1"/>
      <name val="Calibri"/>
      <family val="2"/>
      <scheme val="minor"/>
    </font>
    <font>
      <b/>
      <sz val="12"/>
      <name val="Arial"/>
      <family val="2"/>
    </font>
    <font>
      <sz val="11"/>
      <color theme="1"/>
      <name val="Calibri"/>
      <family val="2"/>
      <scheme val="minor"/>
    </font>
    <font>
      <sz val="11"/>
      <color theme="1"/>
      <name val="Arial"/>
      <family val="2"/>
    </font>
    <font>
      <sz val="11"/>
      <name val="Arial"/>
      <family val="2"/>
    </font>
    <font>
      <b/>
      <sz val="14"/>
      <color theme="1"/>
      <name val="Arial"/>
      <family val="2"/>
    </font>
    <font>
      <b/>
      <sz val="16"/>
      <color theme="1"/>
      <name val="Arial"/>
      <family val="2"/>
    </font>
    <font>
      <b/>
      <sz val="11"/>
      <color rgb="FF17365D"/>
      <name val="Arial"/>
      <family val="2"/>
    </font>
    <font>
      <sz val="11"/>
      <color rgb="FF17365D"/>
      <name val="Arial"/>
      <family val="2"/>
    </font>
    <font>
      <b/>
      <sz val="12"/>
      <color rgb="FF0000FF"/>
      <name val="Arial"/>
      <family val="2"/>
    </font>
    <font>
      <b/>
      <sz val="11"/>
      <name val="Arial"/>
      <family val="2"/>
    </font>
    <font>
      <b/>
      <sz val="24"/>
      <color theme="1"/>
      <name val="Arial"/>
      <family val="2"/>
    </font>
    <font>
      <b/>
      <sz val="26"/>
      <color theme="1"/>
      <name val="Arial"/>
      <family val="2"/>
    </font>
    <font>
      <b/>
      <sz val="10"/>
      <color theme="1"/>
      <name val="Arial"/>
      <family val="2"/>
    </font>
    <font>
      <sz val="10"/>
      <color theme="1"/>
      <name val="Arial"/>
      <family val="2"/>
    </font>
    <font>
      <b/>
      <sz val="10"/>
      <color rgb="FF0000FF"/>
      <name val="Arial"/>
      <family val="2"/>
    </font>
    <font>
      <sz val="9"/>
      <name val="Arial"/>
      <family val="2"/>
    </font>
    <font>
      <sz val="8"/>
      <name val="Arial"/>
      <family val="2"/>
    </font>
    <font>
      <sz val="7"/>
      <name val="Arial"/>
      <family val="2"/>
    </font>
    <font>
      <b/>
      <sz val="9"/>
      <name val="Arial"/>
      <family val="2"/>
    </font>
    <font>
      <b/>
      <sz val="8"/>
      <name val="Arial"/>
      <family val="2"/>
    </font>
    <font>
      <b/>
      <sz val="9"/>
      <color rgb="FF0000FF"/>
      <name val="Arial"/>
      <family val="2"/>
    </font>
    <font>
      <b/>
      <sz val="14"/>
      <color rgb="FF0000FF"/>
      <name val="Arial"/>
      <family val="2"/>
    </font>
    <font>
      <sz val="8"/>
      <color theme="1"/>
      <name val="Calibri"/>
      <family val="2"/>
      <scheme val="minor"/>
    </font>
    <font>
      <b/>
      <sz val="9"/>
      <color theme="1"/>
      <name val="Arial"/>
      <family val="2"/>
    </font>
    <font>
      <sz val="9"/>
      <color theme="1"/>
      <name val="Arial"/>
      <family val="2"/>
    </font>
    <font>
      <b/>
      <sz val="8"/>
      <color theme="1"/>
      <name val="Arial"/>
      <family val="2"/>
    </font>
    <font>
      <sz val="8"/>
      <color theme="1"/>
      <name val="Arial"/>
      <family val="2"/>
    </font>
    <font>
      <sz val="7"/>
      <color theme="1"/>
      <name val="Arial"/>
      <family val="2"/>
    </font>
    <font>
      <b/>
      <sz val="18"/>
      <name val="Arial"/>
      <family val="2"/>
    </font>
    <font>
      <b/>
      <sz val="20"/>
      <name val="Arial"/>
      <family val="2"/>
    </font>
    <font>
      <b/>
      <sz val="28"/>
      <name val="Arial"/>
      <family val="2"/>
    </font>
    <font>
      <b/>
      <sz val="16"/>
      <color rgb="FF0000FF"/>
      <name val="Calibri"/>
      <family val="2"/>
      <scheme val="minor"/>
    </font>
    <font>
      <b/>
      <sz val="8"/>
      <color rgb="FF0000FF"/>
      <name val="Arial"/>
      <family val="2"/>
    </font>
    <font>
      <sz val="6"/>
      <color theme="1"/>
      <name val="Arial"/>
      <family val="2"/>
    </font>
    <font>
      <b/>
      <sz val="36"/>
      <color theme="1"/>
      <name val="Calibri"/>
      <family val="2"/>
      <scheme val="minor"/>
    </font>
    <font>
      <b/>
      <sz val="25"/>
      <color theme="1"/>
      <name val="Calibri"/>
      <family val="2"/>
      <scheme val="minor"/>
    </font>
    <font>
      <sz val="12"/>
      <name val="Arial"/>
      <family val="2"/>
    </font>
    <font>
      <sz val="12"/>
      <name val="Wingdings"/>
      <charset val="2"/>
    </font>
    <font>
      <b/>
      <sz val="10"/>
      <name val="Arial"/>
      <family val="2"/>
    </font>
    <font>
      <b/>
      <sz val="11"/>
      <color rgb="FFFF0000"/>
      <name val="Arial"/>
      <family val="2"/>
    </font>
    <font>
      <sz val="10"/>
      <name val="Times New Roman"/>
      <family val="1"/>
    </font>
    <font>
      <b/>
      <sz val="12"/>
      <color theme="1"/>
      <name val="Arial"/>
      <family val="2"/>
    </font>
    <font>
      <sz val="10"/>
      <color rgb="FFFF0000"/>
      <name val="Arial"/>
      <family val="2"/>
    </font>
    <font>
      <sz val="11"/>
      <color rgb="FF0000FF"/>
      <name val="Calibri"/>
      <family val="2"/>
      <scheme val="minor"/>
    </font>
    <font>
      <b/>
      <sz val="11"/>
      <name val="Calibri"/>
      <family val="2"/>
      <scheme val="minor"/>
    </font>
    <font>
      <sz val="10"/>
      <color indexed="8"/>
      <name val="Arial (Arabic)"/>
      <charset val="178"/>
    </font>
    <font>
      <sz val="11"/>
      <color theme="1"/>
      <name val="Calibri"/>
      <family val="2"/>
      <charset val="178"/>
      <scheme val="minor"/>
    </font>
    <font>
      <b/>
      <sz val="9"/>
      <color indexed="81"/>
      <name val="Tahoma"/>
      <family val="2"/>
    </font>
    <font>
      <sz val="9"/>
      <color indexed="81"/>
      <name val="Tahoma"/>
      <family val="2"/>
    </font>
    <font>
      <b/>
      <sz val="12"/>
      <color theme="1"/>
      <name val="Calibri"/>
      <family val="2"/>
      <scheme val="minor"/>
    </font>
    <font>
      <sz val="8"/>
      <name val="Times New Roman"/>
      <family val="1"/>
    </font>
    <font>
      <sz val="10"/>
      <name val="Arial Narrow"/>
      <family val="2"/>
    </font>
    <font>
      <b/>
      <sz val="11"/>
      <color indexed="10"/>
      <name val="Calibri"/>
      <family val="2"/>
    </font>
    <font>
      <sz val="11"/>
      <color theme="1"/>
      <name val="Calibri"/>
      <family val="2"/>
    </font>
    <font>
      <sz val="10"/>
      <name val="MS Serif"/>
      <family val="1"/>
    </font>
    <font>
      <sz val="10"/>
      <name val="Courier"/>
      <family val="3"/>
    </font>
    <font>
      <sz val="12"/>
      <name val="Times New Roman"/>
      <family val="1"/>
    </font>
    <font>
      <sz val="10"/>
      <color indexed="16"/>
      <name val="MS Serif"/>
      <family val="1"/>
    </font>
    <font>
      <sz val="8"/>
      <name val="Arial"/>
      <family val="2"/>
      <charset val="178"/>
    </font>
    <font>
      <b/>
      <sz val="12"/>
      <name val="Arial"/>
      <family val="2"/>
      <charset val="178"/>
    </font>
    <font>
      <b/>
      <i/>
      <sz val="10"/>
      <name val="Arial"/>
      <family val="2"/>
    </font>
    <font>
      <b/>
      <sz val="15"/>
      <color indexed="62"/>
      <name val="Calibri"/>
      <family val="2"/>
    </font>
    <font>
      <b/>
      <sz val="13"/>
      <color indexed="62"/>
      <name val="Calibri"/>
      <family val="2"/>
    </font>
    <font>
      <b/>
      <sz val="11"/>
      <color indexed="62"/>
      <name val="Calibri"/>
      <family val="2"/>
    </font>
    <font>
      <sz val="10"/>
      <color indexed="9"/>
      <name val="Arial"/>
      <family val="2"/>
    </font>
    <font>
      <u/>
      <sz val="9"/>
      <color indexed="12"/>
      <name val="Arial"/>
      <family val="2"/>
    </font>
    <font>
      <sz val="11"/>
      <name val="Times New Roman"/>
      <family val="1"/>
      <charset val="178"/>
    </font>
    <font>
      <sz val="10"/>
      <name val="Arabic Transparent"/>
      <charset val="178"/>
    </font>
    <font>
      <sz val="11"/>
      <color indexed="19"/>
      <name val="Calibri"/>
      <family val="2"/>
    </font>
    <font>
      <b/>
      <i/>
      <sz val="16"/>
      <name val="Helv"/>
      <charset val="178"/>
    </font>
    <font>
      <sz val="10"/>
      <name val="MS Sans Serif"/>
      <family val="2"/>
    </font>
    <font>
      <sz val="10"/>
      <name val="Tahoma"/>
      <family val="2"/>
    </font>
    <font>
      <sz val="10"/>
      <name val="Arial"/>
      <family val="2"/>
      <charset val="204"/>
    </font>
    <font>
      <sz val="10"/>
      <name val="Tms Rmn"/>
      <charset val="178"/>
    </font>
    <font>
      <sz val="8"/>
      <name val="Helv"/>
      <charset val="178"/>
    </font>
    <font>
      <b/>
      <sz val="8"/>
      <color indexed="8"/>
      <name val="Helv"/>
      <charset val="178"/>
    </font>
    <font>
      <b/>
      <sz val="18"/>
      <color indexed="62"/>
      <name val="Cambria"/>
      <family val="2"/>
    </font>
    <font>
      <b/>
      <sz val="7"/>
      <name val="Tms Rmn"/>
      <charset val="178"/>
    </font>
    <font>
      <sz val="12"/>
      <name val="바탕체"/>
      <family val="1"/>
      <charset val="129"/>
    </font>
    <font>
      <b/>
      <u/>
      <sz val="11"/>
      <color theme="1"/>
      <name val="Calibri"/>
      <family val="2"/>
      <scheme val="minor"/>
    </font>
    <font>
      <b/>
      <i/>
      <sz val="12"/>
      <color theme="1"/>
      <name val="Arial"/>
      <family val="2"/>
    </font>
    <font>
      <b/>
      <i/>
      <sz val="14"/>
      <color theme="1"/>
      <name val="Arial"/>
      <family val="2"/>
    </font>
    <font>
      <b/>
      <i/>
      <sz val="11"/>
      <color theme="1"/>
      <name val="Arial"/>
      <family val="2"/>
    </font>
    <font>
      <b/>
      <i/>
      <sz val="12"/>
      <color rgb="FF0000FF"/>
      <name val="Arial"/>
      <family val="2"/>
    </font>
    <font>
      <sz val="12"/>
      <color theme="1"/>
      <name val="Arial"/>
      <family val="2"/>
    </font>
    <font>
      <b/>
      <sz val="12"/>
      <color indexed="8"/>
      <name val="Arial"/>
      <family val="2"/>
    </font>
    <font>
      <b/>
      <sz val="9"/>
      <color indexed="8"/>
      <name val="Arial"/>
      <family val="2"/>
    </font>
    <font>
      <b/>
      <sz val="12"/>
      <color rgb="FFFF0000"/>
      <name val="Arial"/>
      <family val="2"/>
    </font>
    <font>
      <b/>
      <i/>
      <sz val="12"/>
      <color rgb="FFFF0000"/>
      <name val="Arial"/>
      <family val="2"/>
    </font>
    <font>
      <sz val="14"/>
      <color theme="1"/>
      <name val="Cambria"/>
      <family val="1"/>
      <scheme val="major"/>
    </font>
    <font>
      <b/>
      <sz val="12"/>
      <color rgb="FFC00000"/>
      <name val="Arial"/>
      <family val="2"/>
    </font>
    <font>
      <b/>
      <sz val="11"/>
      <color indexed="8"/>
      <name val="Arial"/>
      <family val="2"/>
    </font>
    <font>
      <sz val="12"/>
      <color rgb="FFFF0000"/>
      <name val="Arial"/>
      <family val="2"/>
    </font>
    <font>
      <sz val="12"/>
      <color rgb="FFC00000"/>
      <name val="Arial"/>
      <family val="2"/>
    </font>
    <font>
      <i/>
      <sz val="12"/>
      <color theme="1"/>
      <name val="Arial"/>
      <family val="2"/>
    </font>
    <font>
      <b/>
      <sz val="16"/>
      <color rgb="FFFFFFFF"/>
      <name val="Calibri"/>
      <family val="2"/>
      <scheme val="minor"/>
    </font>
    <font>
      <b/>
      <i/>
      <u/>
      <sz val="10.5"/>
      <color theme="1"/>
      <name val="Arial"/>
      <family val="2"/>
    </font>
    <font>
      <b/>
      <i/>
      <sz val="10.5"/>
      <color theme="1"/>
      <name val="Arial"/>
      <family val="2"/>
    </font>
    <font>
      <sz val="10.5"/>
      <color theme="1"/>
      <name val="Arial"/>
      <family val="2"/>
    </font>
    <font>
      <sz val="10.5"/>
      <color rgb="FF000000"/>
      <name val="Arial"/>
      <family val="2"/>
    </font>
    <font>
      <sz val="7.5"/>
      <color rgb="FF000000"/>
      <name val="Arial"/>
      <family val="2"/>
    </font>
    <font>
      <sz val="7.5"/>
      <color theme="1"/>
      <name val="Arial"/>
      <family val="2"/>
    </font>
    <font>
      <sz val="10.5"/>
      <color rgb="FF000000"/>
      <name val="Wingdings"/>
      <charset val="2"/>
    </font>
    <font>
      <sz val="7"/>
      <color rgb="FF000000"/>
      <name val="Times New Roman"/>
      <family val="1"/>
    </font>
    <font>
      <b/>
      <sz val="10.5"/>
      <color rgb="FF000000"/>
      <name val="Arial"/>
      <family val="2"/>
    </font>
    <font>
      <b/>
      <u/>
      <sz val="10.5"/>
      <color theme="1"/>
      <name val="Arial"/>
      <family val="2"/>
    </font>
    <font>
      <b/>
      <i/>
      <sz val="7.5"/>
      <color theme="1"/>
      <name val="Arial"/>
      <family val="2"/>
    </font>
    <font>
      <b/>
      <sz val="8.5"/>
      <color theme="1"/>
      <name val="Arial"/>
      <family val="2"/>
    </font>
    <font>
      <b/>
      <sz val="12"/>
      <color rgb="FF000000"/>
      <name val="Calibri"/>
      <family val="2"/>
      <scheme val="minor"/>
    </font>
    <font>
      <b/>
      <sz val="10.5"/>
      <color theme="1"/>
      <name val="Arial"/>
      <family val="2"/>
    </font>
    <font>
      <b/>
      <i/>
      <sz val="12"/>
      <color theme="1"/>
      <name val="Calibri"/>
      <family val="2"/>
      <scheme val="minor"/>
    </font>
    <font>
      <sz val="10.5"/>
      <color rgb="FF000000"/>
      <name val="Cambria"/>
      <family val="1"/>
      <scheme val="major"/>
    </font>
    <font>
      <b/>
      <vertAlign val="superscript"/>
      <sz val="18"/>
      <color theme="1"/>
      <name val="Calibri"/>
      <family val="2"/>
      <scheme val="minor"/>
    </font>
    <font>
      <b/>
      <sz val="8.5"/>
      <color rgb="FF000000"/>
      <name val="Calibri"/>
      <family val="2"/>
      <scheme val="minor"/>
    </font>
  </fonts>
  <fills count="53">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EAF1DD"/>
        <bgColor indexed="64"/>
      </patternFill>
    </fill>
    <fill>
      <patternFill patternType="solid">
        <fgColor theme="8" tint="0.79998168889431442"/>
        <bgColor indexed="64"/>
      </patternFill>
    </fill>
    <fill>
      <patternFill patternType="solid">
        <fgColor theme="3" tint="0.59996337778862885"/>
        <bgColor indexed="64"/>
      </patternFill>
    </fill>
    <fill>
      <patternFill patternType="solid">
        <fgColor theme="2" tint="-9.9948118533890809E-2"/>
        <bgColor indexed="64"/>
      </patternFill>
    </fill>
    <fill>
      <gradientFill degree="270">
        <stop position="0">
          <color theme="0"/>
        </stop>
        <stop position="1">
          <color theme="5" tint="0.59999389629810485"/>
        </stop>
      </gradientFill>
    </fill>
    <fill>
      <patternFill patternType="solid">
        <fgColor theme="2" tint="-9.9978637043366805E-2"/>
        <bgColor indexed="64"/>
      </patternFill>
    </fill>
    <fill>
      <gradientFill degree="270">
        <stop position="0">
          <color theme="0"/>
        </stop>
        <stop position="1">
          <color theme="5" tint="0.40000610370189521"/>
        </stop>
      </gradientFill>
    </fill>
    <fill>
      <patternFill patternType="solid">
        <fgColor theme="4" tint="0.79998168889431442"/>
        <bgColor indexed="64"/>
      </patternFill>
    </fill>
    <fill>
      <patternFill patternType="solid">
        <fgColor theme="3" tint="0.79998168889431442"/>
        <bgColor indexed="64"/>
      </patternFill>
    </fill>
    <fill>
      <patternFill patternType="solid">
        <fgColor rgb="FF92D05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indexed="41"/>
        <bgColor indexed="64"/>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63"/>
        <bgColor indexed="64"/>
      </patternFill>
    </fill>
    <fill>
      <patternFill patternType="solid">
        <fgColor indexed="13"/>
        <bgColor indexed="64"/>
      </patternFill>
    </fill>
    <fill>
      <patternFill patternType="solid">
        <fgColor theme="0"/>
        <bgColor auto="1"/>
      </patternFill>
    </fill>
    <fill>
      <patternFill patternType="solid">
        <fgColor theme="4" tint="0.59999389629810485"/>
        <bgColor indexed="64"/>
      </patternFill>
    </fill>
    <fill>
      <patternFill patternType="solid">
        <fgColor theme="0"/>
      </patternFill>
    </fill>
    <fill>
      <patternFill patternType="solid">
        <fgColor rgb="FFFFFF00"/>
        <bgColor indexed="64"/>
      </patternFill>
    </fill>
    <fill>
      <patternFill patternType="solid">
        <fgColor rgb="FF4BACC6"/>
        <bgColor indexed="64"/>
      </patternFill>
    </fill>
  </fills>
  <borders count="4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auto="1"/>
      </left>
      <right style="double">
        <color auto="1"/>
      </right>
      <top style="double">
        <color auto="1"/>
      </top>
      <bottom style="double">
        <color auto="1"/>
      </bottom>
      <diagonal/>
    </border>
    <border>
      <left style="hair">
        <color theme="3" tint="0.39994506668294322"/>
      </left>
      <right style="hair">
        <color theme="3" tint="0.39994506668294322"/>
      </right>
      <top/>
      <bottom/>
      <diagonal/>
    </border>
    <border>
      <left/>
      <right style="hair">
        <color theme="3" tint="0.39994506668294322"/>
      </right>
      <top/>
      <bottom/>
      <diagonal/>
    </border>
    <border>
      <left style="double">
        <color auto="1"/>
      </left>
      <right style="thin">
        <color theme="0"/>
      </right>
      <top style="double">
        <color auto="1"/>
      </top>
      <bottom style="thin">
        <color theme="0"/>
      </bottom>
      <diagonal/>
    </border>
    <border>
      <left style="thin">
        <color theme="0"/>
      </left>
      <right style="thin">
        <color theme="0"/>
      </right>
      <top style="double">
        <color auto="1"/>
      </top>
      <bottom style="thin">
        <color theme="0"/>
      </bottom>
      <diagonal/>
    </border>
    <border>
      <left style="thin">
        <color theme="0"/>
      </left>
      <right style="double">
        <color auto="1"/>
      </right>
      <top style="double">
        <color auto="1"/>
      </top>
      <bottom style="thin">
        <color theme="0"/>
      </bottom>
      <diagonal/>
    </border>
    <border>
      <left style="double">
        <color auto="1"/>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double">
        <color auto="1"/>
      </right>
      <top style="thin">
        <color theme="0"/>
      </top>
      <bottom style="thin">
        <color theme="0"/>
      </bottom>
      <diagonal/>
    </border>
    <border>
      <left style="double">
        <color auto="1"/>
      </left>
      <right style="thin">
        <color theme="0"/>
      </right>
      <top style="thin">
        <color theme="0"/>
      </top>
      <bottom style="double">
        <color auto="1"/>
      </bottom>
      <diagonal/>
    </border>
    <border>
      <left style="thin">
        <color theme="0"/>
      </left>
      <right style="thin">
        <color theme="0"/>
      </right>
      <top style="thin">
        <color theme="0"/>
      </top>
      <bottom style="double">
        <color auto="1"/>
      </bottom>
      <diagonal/>
    </border>
    <border>
      <left style="thin">
        <color theme="0"/>
      </left>
      <right style="double">
        <color auto="1"/>
      </right>
      <top style="thin">
        <color theme="0"/>
      </top>
      <bottom style="double">
        <color auto="1"/>
      </bottom>
      <diagonal/>
    </border>
    <border>
      <left style="double">
        <color auto="1"/>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double">
        <color auto="1"/>
      </right>
      <top/>
      <bottom style="thin">
        <color theme="0"/>
      </bottom>
      <diagonal/>
    </border>
    <border>
      <left style="double">
        <color auto="1"/>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double">
        <color auto="1"/>
      </left>
      <right style="double">
        <color auto="1"/>
      </right>
      <top/>
      <bottom style="double">
        <color auto="1"/>
      </bottom>
      <diagonal/>
    </border>
    <border>
      <left style="double">
        <color auto="1"/>
      </left>
      <right/>
      <top/>
      <bottom style="thin">
        <color theme="0"/>
      </bottom>
      <diagonal/>
    </border>
    <border>
      <left/>
      <right/>
      <top/>
      <bottom style="thin">
        <color theme="0"/>
      </bottom>
      <diagonal/>
    </border>
    <border>
      <left/>
      <right style="thin">
        <color theme="0"/>
      </right>
      <top/>
      <bottom style="thin">
        <color theme="0"/>
      </bottom>
      <diagonal/>
    </border>
    <border>
      <left style="double">
        <color auto="1"/>
      </left>
      <right style="double">
        <color auto="1"/>
      </right>
      <top style="double">
        <color auto="1"/>
      </top>
      <bottom style="thin">
        <color indexed="64"/>
      </bottom>
      <diagonal/>
    </border>
    <border>
      <left style="double">
        <color auto="1"/>
      </left>
      <right/>
      <top style="thin">
        <color theme="0"/>
      </top>
      <bottom style="thin">
        <color indexed="64"/>
      </bottom>
      <diagonal/>
    </border>
    <border>
      <left/>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bottom style="thin">
        <color theme="0"/>
      </bottom>
      <diagonal/>
    </border>
    <border>
      <left style="thin">
        <color indexed="64"/>
      </left>
      <right style="thin">
        <color theme="0"/>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top/>
      <bottom style="thin">
        <color theme="0"/>
      </bottom>
      <diagonal/>
    </border>
    <border>
      <left style="double">
        <color theme="3"/>
      </left>
      <right/>
      <top style="double">
        <color theme="3"/>
      </top>
      <bottom style="thin">
        <color theme="0"/>
      </bottom>
      <diagonal/>
    </border>
    <border>
      <left/>
      <right/>
      <top style="double">
        <color theme="3"/>
      </top>
      <bottom style="thin">
        <color theme="0"/>
      </bottom>
      <diagonal/>
    </border>
    <border>
      <left/>
      <right style="thin">
        <color theme="0"/>
      </right>
      <top style="double">
        <color theme="3"/>
      </top>
      <bottom style="thin">
        <color theme="0"/>
      </bottom>
      <diagonal/>
    </border>
    <border>
      <left style="thin">
        <color theme="0"/>
      </left>
      <right/>
      <top style="double">
        <color theme="3"/>
      </top>
      <bottom/>
      <diagonal/>
    </border>
    <border>
      <left/>
      <right/>
      <top style="double">
        <color theme="3"/>
      </top>
      <bottom/>
      <diagonal/>
    </border>
    <border>
      <left/>
      <right style="thin">
        <color theme="0"/>
      </right>
      <top style="double">
        <color theme="3"/>
      </top>
      <bottom/>
      <diagonal/>
    </border>
    <border>
      <left/>
      <right style="double">
        <color theme="3"/>
      </right>
      <top style="double">
        <color theme="3"/>
      </top>
      <bottom/>
      <diagonal/>
    </border>
    <border>
      <left style="double">
        <color theme="3"/>
      </left>
      <right/>
      <top/>
      <bottom style="thin">
        <color theme="0"/>
      </bottom>
      <diagonal/>
    </border>
    <border>
      <left/>
      <right style="double">
        <color theme="3"/>
      </right>
      <top/>
      <bottom style="thin">
        <color theme="0"/>
      </bottom>
      <diagonal/>
    </border>
    <border>
      <left style="double">
        <color theme="3"/>
      </left>
      <right/>
      <top style="thin">
        <color theme="0"/>
      </top>
      <bottom style="thin">
        <color theme="0"/>
      </bottom>
      <diagonal/>
    </border>
    <border>
      <left/>
      <right style="double">
        <color theme="3"/>
      </right>
      <top style="thin">
        <color theme="0"/>
      </top>
      <bottom style="thin">
        <color theme="0"/>
      </bottom>
      <diagonal/>
    </border>
    <border>
      <left style="double">
        <color theme="3"/>
      </left>
      <right/>
      <top style="thin">
        <color theme="0"/>
      </top>
      <bottom style="double">
        <color theme="3"/>
      </bottom>
      <diagonal/>
    </border>
    <border>
      <left/>
      <right/>
      <top style="thin">
        <color theme="0"/>
      </top>
      <bottom style="double">
        <color theme="3"/>
      </bottom>
      <diagonal/>
    </border>
    <border>
      <left/>
      <right style="thin">
        <color theme="0"/>
      </right>
      <top style="thin">
        <color theme="0"/>
      </top>
      <bottom style="double">
        <color theme="3"/>
      </bottom>
      <diagonal/>
    </border>
    <border>
      <left style="thin">
        <color theme="0"/>
      </left>
      <right/>
      <top/>
      <bottom style="double">
        <color theme="3"/>
      </bottom>
      <diagonal/>
    </border>
    <border>
      <left/>
      <right/>
      <top/>
      <bottom style="double">
        <color theme="3"/>
      </bottom>
      <diagonal/>
    </border>
    <border>
      <left/>
      <right style="thin">
        <color theme="0"/>
      </right>
      <top/>
      <bottom style="double">
        <color theme="3"/>
      </bottom>
      <diagonal/>
    </border>
    <border>
      <left style="thin">
        <color theme="0"/>
      </left>
      <right/>
      <top style="thin">
        <color theme="0"/>
      </top>
      <bottom style="double">
        <color theme="3"/>
      </bottom>
      <diagonal/>
    </border>
    <border>
      <left/>
      <right style="double">
        <color theme="3"/>
      </right>
      <top style="thin">
        <color theme="0"/>
      </top>
      <bottom style="double">
        <color theme="3"/>
      </bottom>
      <diagonal/>
    </border>
    <border>
      <left style="double">
        <color theme="3"/>
      </left>
      <right/>
      <top style="double">
        <color theme="3"/>
      </top>
      <bottom/>
      <diagonal/>
    </border>
    <border>
      <left style="double">
        <color theme="3"/>
      </left>
      <right style="thin">
        <color theme="0"/>
      </right>
      <top style="double">
        <color theme="3"/>
      </top>
      <bottom style="thin">
        <color theme="0"/>
      </bottom>
      <diagonal/>
    </border>
    <border>
      <left style="double">
        <color theme="3"/>
      </left>
      <right style="thin">
        <color theme="0"/>
      </right>
      <top style="thin">
        <color theme="0"/>
      </top>
      <bottom style="thin">
        <color theme="0"/>
      </bottom>
      <diagonal/>
    </border>
    <border>
      <left style="thin">
        <color theme="0"/>
      </left>
      <right style="double">
        <color theme="3"/>
      </right>
      <top style="thin">
        <color theme="0"/>
      </top>
      <bottom style="thin">
        <color theme="0"/>
      </bottom>
      <diagonal/>
    </border>
    <border>
      <left style="double">
        <color theme="3"/>
      </left>
      <right style="thin">
        <color theme="0"/>
      </right>
      <top style="thin">
        <color theme="0"/>
      </top>
      <bottom style="double">
        <color theme="3"/>
      </bottom>
      <diagonal/>
    </border>
    <border>
      <left style="thin">
        <color theme="0"/>
      </left>
      <right style="thin">
        <color theme="0"/>
      </right>
      <top style="thin">
        <color theme="0"/>
      </top>
      <bottom style="double">
        <color theme="3"/>
      </bottom>
      <diagonal/>
    </border>
    <border>
      <left style="thin">
        <color theme="0"/>
      </left>
      <right style="double">
        <color theme="3"/>
      </right>
      <top style="thin">
        <color theme="0"/>
      </top>
      <bottom style="double">
        <color theme="3"/>
      </bottom>
      <diagonal/>
    </border>
    <border>
      <left style="thin">
        <color theme="0"/>
      </left>
      <right/>
      <top style="double">
        <color theme="3"/>
      </top>
      <bottom style="thin">
        <color theme="0"/>
      </bottom>
      <diagonal/>
    </border>
    <border>
      <left/>
      <right style="double">
        <color theme="3"/>
      </right>
      <top style="double">
        <color theme="3"/>
      </top>
      <bottom style="thin">
        <color theme="0"/>
      </bottom>
      <diagonal/>
    </border>
    <border>
      <left style="double">
        <color theme="3"/>
      </left>
      <right/>
      <top/>
      <bottom style="double">
        <color theme="3"/>
      </bottom>
      <diagonal/>
    </border>
    <border>
      <left style="thin">
        <color theme="0"/>
      </left>
      <right style="thin">
        <color theme="0"/>
      </right>
      <top style="double">
        <color theme="3"/>
      </top>
      <bottom style="thin">
        <color theme="0"/>
      </bottom>
      <diagonal/>
    </border>
    <border>
      <left style="thin">
        <color theme="0"/>
      </left>
      <right style="double">
        <color theme="3"/>
      </right>
      <top style="double">
        <color theme="3"/>
      </top>
      <bottom style="thin">
        <color theme="0"/>
      </bottom>
      <diagonal/>
    </border>
    <border>
      <left style="double">
        <color theme="3"/>
      </left>
      <right/>
      <top/>
      <bottom/>
      <diagonal/>
    </border>
    <border>
      <left style="double">
        <color theme="3"/>
      </left>
      <right style="thin">
        <color theme="0"/>
      </right>
      <top/>
      <bottom style="thin">
        <color theme="0"/>
      </bottom>
      <diagonal/>
    </border>
    <border>
      <left style="thin">
        <color theme="0"/>
      </left>
      <right style="double">
        <color theme="3"/>
      </right>
      <top/>
      <bottom style="thin">
        <color theme="0"/>
      </bottom>
      <diagonal/>
    </border>
    <border>
      <left style="double">
        <color auto="1"/>
      </left>
      <right style="double">
        <color auto="1"/>
      </right>
      <top style="double">
        <color theme="3"/>
      </top>
      <bottom style="double">
        <color auto="1"/>
      </bottom>
      <diagonal/>
    </border>
    <border>
      <left style="double">
        <color auto="1"/>
      </left>
      <right style="double">
        <color theme="3"/>
      </right>
      <top style="double">
        <color theme="3"/>
      </top>
      <bottom style="double">
        <color auto="1"/>
      </bottom>
      <diagonal/>
    </border>
    <border>
      <left style="double">
        <color theme="3"/>
      </left>
      <right style="double">
        <color auto="1"/>
      </right>
      <top style="double">
        <color theme="3"/>
      </top>
      <bottom style="double">
        <color auto="1"/>
      </bottom>
      <diagonal/>
    </border>
    <border>
      <left style="double">
        <color theme="3"/>
      </left>
      <right style="double">
        <color auto="1"/>
      </right>
      <top style="double">
        <color auto="1"/>
      </top>
      <bottom style="double">
        <color auto="1"/>
      </bottom>
      <diagonal/>
    </border>
    <border>
      <left style="double">
        <color theme="3"/>
      </left>
      <right style="hair">
        <color theme="3" tint="0.39994506668294322"/>
      </right>
      <top/>
      <bottom/>
      <diagonal/>
    </border>
    <border>
      <left style="hair">
        <color theme="3" tint="0.39994506668294322"/>
      </left>
      <right style="double">
        <color theme="3"/>
      </right>
      <top/>
      <bottom/>
      <diagonal/>
    </border>
    <border>
      <left style="double">
        <color theme="3"/>
      </left>
      <right style="hair">
        <color theme="3" tint="0.39994506668294322"/>
      </right>
      <top/>
      <bottom style="double">
        <color theme="3"/>
      </bottom>
      <diagonal/>
    </border>
    <border>
      <left style="hair">
        <color theme="3" tint="0.39994506668294322"/>
      </left>
      <right style="hair">
        <color theme="3" tint="0.39994506668294322"/>
      </right>
      <top/>
      <bottom style="double">
        <color theme="3"/>
      </bottom>
      <diagonal/>
    </border>
    <border>
      <left style="hair">
        <color theme="3" tint="0.39994506668294322"/>
      </left>
      <right style="double">
        <color theme="3"/>
      </right>
      <top/>
      <bottom style="double">
        <color theme="3"/>
      </bottom>
      <diagonal/>
    </border>
    <border>
      <left style="double">
        <color auto="1"/>
      </left>
      <right/>
      <top style="double">
        <color theme="3"/>
      </top>
      <bottom/>
      <diagonal/>
    </border>
    <border>
      <left/>
      <right style="double">
        <color auto="1"/>
      </right>
      <top style="double">
        <color theme="3"/>
      </top>
      <bottom/>
      <diagonal/>
    </border>
    <border>
      <left style="double">
        <color theme="3"/>
      </left>
      <right style="double">
        <color auto="1"/>
      </right>
      <top style="double">
        <color auto="1"/>
      </top>
      <bottom style="thin">
        <color indexed="64"/>
      </bottom>
      <diagonal/>
    </border>
    <border>
      <left style="thin">
        <color theme="0"/>
      </left>
      <right style="double">
        <color theme="3"/>
      </right>
      <top style="thin">
        <color theme="0"/>
      </top>
      <bottom style="thin">
        <color indexed="64"/>
      </bottom>
      <diagonal/>
    </border>
    <border>
      <left style="double">
        <color theme="3"/>
      </left>
      <right style="double">
        <color auto="1"/>
      </right>
      <top/>
      <bottom style="double">
        <color auto="1"/>
      </bottom>
      <diagonal/>
    </border>
    <border>
      <left style="double">
        <color theme="3"/>
      </left>
      <right style="double">
        <color auto="1"/>
      </right>
      <top style="double">
        <color auto="1"/>
      </top>
      <bottom style="double">
        <color theme="3"/>
      </bottom>
      <diagonal/>
    </border>
    <border>
      <left style="double">
        <color auto="1"/>
      </left>
      <right style="double">
        <color auto="1"/>
      </right>
      <top style="double">
        <color auto="1"/>
      </top>
      <bottom style="double">
        <color theme="3"/>
      </bottom>
      <diagonal/>
    </border>
    <border>
      <left style="double">
        <color auto="1"/>
      </left>
      <right/>
      <top style="thin">
        <color theme="0"/>
      </top>
      <bottom style="double">
        <color theme="3"/>
      </bottom>
      <diagonal/>
    </border>
    <border>
      <left style="thin">
        <color indexed="64"/>
      </left>
      <right style="thin">
        <color theme="0"/>
      </right>
      <top style="thin">
        <color theme="0"/>
      </top>
      <bottom style="double">
        <color theme="3"/>
      </bottom>
      <diagonal/>
    </border>
    <border>
      <left style="double">
        <color auto="1"/>
      </left>
      <right style="double">
        <color auto="1"/>
      </right>
      <top style="double">
        <color auto="1"/>
      </top>
      <bottom style="thin">
        <color theme="0"/>
      </bottom>
      <diagonal/>
    </border>
    <border>
      <left style="double">
        <color theme="3"/>
      </left>
      <right style="double">
        <color auto="1"/>
      </right>
      <top style="double">
        <color theme="3"/>
      </top>
      <bottom style="thin">
        <color theme="0"/>
      </bottom>
      <diagonal/>
    </border>
    <border>
      <left style="double">
        <color auto="1"/>
      </left>
      <right style="double">
        <color auto="1"/>
      </right>
      <top style="double">
        <color theme="3"/>
      </top>
      <bottom style="thin">
        <color theme="0"/>
      </bottom>
      <diagonal/>
    </border>
    <border>
      <left style="double">
        <color auto="1"/>
      </left>
      <right style="thin">
        <color theme="0"/>
      </right>
      <top style="double">
        <color theme="3"/>
      </top>
      <bottom style="thin">
        <color theme="0"/>
      </bottom>
      <diagonal/>
    </border>
    <border>
      <left style="thin">
        <color indexed="64"/>
      </left>
      <right style="thin">
        <color theme="0"/>
      </right>
      <top style="double">
        <color theme="3"/>
      </top>
      <bottom style="thin">
        <color theme="0"/>
      </bottom>
      <diagonal/>
    </border>
    <border>
      <left style="double">
        <color theme="3"/>
      </left>
      <right style="double">
        <color auto="1"/>
      </right>
      <top style="double">
        <color auto="1"/>
      </top>
      <bottom style="thin">
        <color theme="0"/>
      </bottom>
      <diagonal/>
    </border>
    <border>
      <left/>
      <right style="double">
        <color auto="1"/>
      </right>
      <top/>
      <bottom style="thin">
        <color theme="0"/>
      </bottom>
      <diagonal/>
    </border>
    <border>
      <left style="double">
        <color auto="1"/>
      </left>
      <right style="double">
        <color theme="3"/>
      </right>
      <top style="double">
        <color auto="1"/>
      </top>
      <bottom style="thin">
        <color theme="0"/>
      </bottom>
      <diagonal/>
    </border>
    <border>
      <left style="double">
        <color theme="3"/>
      </left>
      <right style="hair">
        <color theme="3" tint="0.39994506668294322"/>
      </right>
      <top style="double">
        <color theme="3"/>
      </top>
      <bottom style="thin">
        <color theme="0"/>
      </bottom>
      <diagonal/>
    </border>
    <border>
      <left style="hair">
        <color theme="3" tint="0.39994506668294322"/>
      </left>
      <right style="hair">
        <color theme="3" tint="0.39994506668294322"/>
      </right>
      <top style="double">
        <color theme="3"/>
      </top>
      <bottom style="thin">
        <color theme="0"/>
      </bottom>
      <diagonal/>
    </border>
    <border>
      <left style="hair">
        <color theme="3" tint="0.39994506668294322"/>
      </left>
      <right style="double">
        <color theme="3"/>
      </right>
      <top style="double">
        <color theme="3"/>
      </top>
      <bottom style="thin">
        <color theme="0"/>
      </bottom>
      <diagonal/>
    </border>
    <border>
      <left style="double">
        <color theme="3"/>
      </left>
      <right style="double">
        <color auto="1"/>
      </right>
      <top style="double">
        <color theme="3"/>
      </top>
      <bottom style="dashed">
        <color theme="0"/>
      </bottom>
      <diagonal/>
    </border>
    <border>
      <left style="double">
        <color auto="1"/>
      </left>
      <right style="double">
        <color auto="1"/>
      </right>
      <top style="double">
        <color theme="3"/>
      </top>
      <bottom style="dashed">
        <color theme="0"/>
      </bottom>
      <diagonal/>
    </border>
    <border>
      <left style="double">
        <color auto="1"/>
      </left>
      <right/>
      <top style="double">
        <color theme="3"/>
      </top>
      <bottom style="dashed">
        <color theme="0"/>
      </bottom>
      <diagonal/>
    </border>
    <border>
      <left/>
      <right/>
      <top style="double">
        <color theme="3"/>
      </top>
      <bottom style="dashed">
        <color theme="0"/>
      </bottom>
      <diagonal/>
    </border>
    <border>
      <left/>
      <right style="double">
        <color theme="3"/>
      </right>
      <top style="double">
        <color theme="3"/>
      </top>
      <bottom style="dashed">
        <color theme="0"/>
      </bottom>
      <diagonal/>
    </border>
    <border>
      <left style="double">
        <color auto="1"/>
      </left>
      <right/>
      <top style="double">
        <color theme="3"/>
      </top>
      <bottom style="thin">
        <color theme="0"/>
      </bottom>
      <diagonal/>
    </border>
    <border>
      <left style="thin">
        <color indexed="64"/>
      </left>
      <right style="thin">
        <color indexed="64"/>
      </right>
      <top style="thin">
        <color indexed="64"/>
      </top>
      <bottom style="thin">
        <color indexed="64"/>
      </bottom>
      <diagonal/>
    </border>
    <border>
      <left style="hair">
        <color theme="3"/>
      </left>
      <right style="hair">
        <color theme="3"/>
      </right>
      <top style="hair">
        <color theme="3"/>
      </top>
      <bottom style="hair">
        <color theme="3"/>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hair">
        <color theme="3"/>
      </left>
      <right style="hair">
        <color theme="3"/>
      </right>
      <top/>
      <bottom style="hair">
        <color theme="3"/>
      </bottom>
      <diagonal/>
    </border>
    <border>
      <left style="hair">
        <color theme="3"/>
      </left>
      <right style="hair">
        <color theme="3"/>
      </right>
      <top style="hair">
        <color theme="3"/>
      </top>
      <bottom/>
      <diagonal/>
    </border>
    <border>
      <left style="thin">
        <color indexed="64"/>
      </left>
      <right style="hair">
        <color theme="3"/>
      </right>
      <top style="thin">
        <color indexed="64"/>
      </top>
      <bottom style="thin">
        <color indexed="64"/>
      </bottom>
      <diagonal/>
    </border>
    <border>
      <left style="hair">
        <color theme="3"/>
      </left>
      <right style="hair">
        <color theme="3"/>
      </right>
      <top style="thin">
        <color indexed="64"/>
      </top>
      <bottom style="thin">
        <color indexed="64"/>
      </bottom>
      <diagonal/>
    </border>
    <border>
      <left style="thin">
        <color indexed="64"/>
      </left>
      <right style="hair">
        <color theme="3"/>
      </right>
      <top style="thin">
        <color indexed="64"/>
      </top>
      <bottom style="thin">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hair">
        <color auto="1"/>
      </right>
      <top style="thin">
        <color auto="1"/>
      </top>
      <bottom style="thin">
        <color auto="1"/>
      </bottom>
      <diagonal/>
    </border>
    <border>
      <left style="thin">
        <color auto="1"/>
      </left>
      <right style="hair">
        <color auto="1"/>
      </right>
      <top/>
      <bottom/>
      <diagonal/>
    </border>
    <border>
      <left style="hair">
        <color indexed="64"/>
      </left>
      <right style="hair">
        <color indexed="64"/>
      </right>
      <top/>
      <bottom/>
      <diagonal/>
    </border>
    <border>
      <left style="hair">
        <color indexed="64"/>
      </left>
      <right/>
      <top/>
      <bottom/>
      <diagonal/>
    </border>
    <border>
      <left/>
      <right/>
      <top style="thin">
        <color auto="1"/>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style="hair">
        <color indexed="64"/>
      </left>
      <right/>
      <top style="thin">
        <color indexed="64"/>
      </top>
      <bottom/>
      <diagonal/>
    </border>
    <border>
      <left/>
      <right style="hair">
        <color auto="1"/>
      </right>
      <top style="thin">
        <color indexed="64"/>
      </top>
      <bottom/>
      <diagonal/>
    </border>
    <border>
      <left style="hair">
        <color indexed="64"/>
      </left>
      <right/>
      <top/>
      <bottom style="thin">
        <color auto="1"/>
      </bottom>
      <diagonal/>
    </border>
    <border>
      <left/>
      <right style="hair">
        <color auto="1"/>
      </right>
      <top/>
      <bottom style="thin">
        <color auto="1"/>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style="hair">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style="double">
        <color indexed="64"/>
      </top>
      <bottom style="thin">
        <color auto="1"/>
      </bottom>
      <diagonal/>
    </border>
    <border>
      <left/>
      <right style="thin">
        <color indexed="64"/>
      </right>
      <top style="double">
        <color indexed="64"/>
      </top>
      <bottom style="thin">
        <color auto="1"/>
      </bottom>
      <diagonal/>
    </border>
    <border>
      <left style="thin">
        <color indexed="64"/>
      </left>
      <right/>
      <top style="double">
        <color indexed="64"/>
      </top>
      <bottom style="thin">
        <color auto="1"/>
      </bottom>
      <diagonal/>
    </border>
    <border>
      <left/>
      <right style="double">
        <color indexed="64"/>
      </right>
      <top style="double">
        <color indexed="64"/>
      </top>
      <bottom style="thin">
        <color auto="1"/>
      </bottom>
      <diagonal/>
    </border>
    <border>
      <left style="double">
        <color indexed="64"/>
      </left>
      <right/>
      <top style="thin">
        <color auto="1"/>
      </top>
      <bottom style="thin">
        <color auto="1"/>
      </bottom>
      <diagonal/>
    </border>
    <border>
      <left/>
      <right style="double">
        <color indexed="64"/>
      </right>
      <top style="thin">
        <color auto="1"/>
      </top>
      <bottom style="thin">
        <color auto="1"/>
      </bottom>
      <diagonal/>
    </border>
    <border>
      <left style="double">
        <color indexed="64"/>
      </left>
      <right/>
      <top style="thin">
        <color auto="1"/>
      </top>
      <bottom style="double">
        <color indexed="64"/>
      </bottom>
      <diagonal/>
    </border>
    <border>
      <left/>
      <right/>
      <top style="thin">
        <color auto="1"/>
      </top>
      <bottom style="double">
        <color indexed="64"/>
      </bottom>
      <diagonal/>
    </border>
    <border>
      <left/>
      <right style="thin">
        <color indexed="64"/>
      </right>
      <top style="thin">
        <color auto="1"/>
      </top>
      <bottom style="double">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bottom style="thin">
        <color indexed="64"/>
      </bottom>
      <diagonal/>
    </border>
    <border>
      <left style="hair">
        <color indexed="64"/>
      </left>
      <right style="hair">
        <color indexed="64"/>
      </right>
      <top style="hair">
        <color auto="1"/>
      </top>
      <bottom style="medium">
        <color auto="1"/>
      </bottom>
      <diagonal/>
    </border>
    <border>
      <left style="hair">
        <color indexed="64"/>
      </left>
      <right/>
      <top style="hair">
        <color auto="1"/>
      </top>
      <bottom style="medium">
        <color auto="1"/>
      </bottom>
      <diagonal/>
    </border>
    <border>
      <left/>
      <right style="hair">
        <color indexed="64"/>
      </right>
      <top style="hair">
        <color auto="1"/>
      </top>
      <bottom style="medium">
        <color auto="1"/>
      </bottom>
      <diagonal/>
    </border>
    <border>
      <left style="hair">
        <color indexed="64"/>
      </left>
      <right style="hair">
        <color indexed="64"/>
      </right>
      <top style="medium">
        <color auto="1"/>
      </top>
      <bottom style="hair">
        <color indexed="64"/>
      </bottom>
      <diagonal/>
    </border>
    <border>
      <left style="double">
        <color auto="1"/>
      </left>
      <right style="hair">
        <color auto="1"/>
      </right>
      <top style="double">
        <color auto="1"/>
      </top>
      <bottom style="thin">
        <color auto="1"/>
      </bottom>
      <diagonal/>
    </border>
    <border>
      <left style="hair">
        <color auto="1"/>
      </left>
      <right style="hair">
        <color auto="1"/>
      </right>
      <top style="double">
        <color auto="1"/>
      </top>
      <bottom style="thin">
        <color auto="1"/>
      </bottom>
      <diagonal/>
    </border>
    <border>
      <left style="hair">
        <color indexed="64"/>
      </left>
      <right/>
      <top style="double">
        <color auto="1"/>
      </top>
      <bottom style="thin">
        <color indexed="64"/>
      </bottom>
      <diagonal/>
    </border>
    <border>
      <left/>
      <right/>
      <top style="double">
        <color auto="1"/>
      </top>
      <bottom style="thin">
        <color auto="1"/>
      </bottom>
      <diagonal/>
    </border>
    <border>
      <left style="hair">
        <color auto="1"/>
      </left>
      <right style="double">
        <color auto="1"/>
      </right>
      <top style="double">
        <color auto="1"/>
      </top>
      <bottom style="thin">
        <color auto="1"/>
      </bottom>
      <diagonal/>
    </border>
    <border>
      <left style="double">
        <color auto="1"/>
      </left>
      <right style="hair">
        <color auto="1"/>
      </right>
      <top style="thin">
        <color auto="1"/>
      </top>
      <bottom style="hair">
        <color auto="1"/>
      </bottom>
      <diagonal/>
    </border>
    <border>
      <left/>
      <right style="double">
        <color auto="1"/>
      </right>
      <top style="thin">
        <color indexed="64"/>
      </top>
      <bottom style="hair">
        <color indexed="64"/>
      </bottom>
      <diagonal/>
    </border>
    <border>
      <left style="double">
        <color auto="1"/>
      </left>
      <right style="hair">
        <color auto="1"/>
      </right>
      <top style="hair">
        <color auto="1"/>
      </top>
      <bottom style="hair">
        <color auto="1"/>
      </bottom>
      <diagonal/>
    </border>
    <border>
      <left/>
      <right style="double">
        <color auto="1"/>
      </right>
      <top style="hair">
        <color indexed="64"/>
      </top>
      <bottom style="hair">
        <color indexed="64"/>
      </bottom>
      <diagonal/>
    </border>
    <border>
      <left style="double">
        <color auto="1"/>
      </left>
      <right style="hair">
        <color auto="1"/>
      </right>
      <top style="hair">
        <color auto="1"/>
      </top>
      <bottom style="medium">
        <color auto="1"/>
      </bottom>
      <diagonal/>
    </border>
    <border>
      <left/>
      <right style="double">
        <color auto="1"/>
      </right>
      <top style="hair">
        <color auto="1"/>
      </top>
      <bottom style="medium">
        <color auto="1"/>
      </bottom>
      <diagonal/>
    </border>
    <border>
      <left style="double">
        <color auto="1"/>
      </left>
      <right style="hair">
        <color auto="1"/>
      </right>
      <top style="medium">
        <color auto="1"/>
      </top>
      <bottom style="medium">
        <color auto="1"/>
      </bottom>
      <diagonal/>
    </border>
    <border>
      <left style="double">
        <color auto="1"/>
      </left>
      <right style="hair">
        <color auto="1"/>
      </right>
      <top style="medium">
        <color auto="1"/>
      </top>
      <bottom/>
      <diagonal/>
    </border>
    <border>
      <left/>
      <right style="double">
        <color auto="1"/>
      </right>
      <top style="medium">
        <color auto="1"/>
      </top>
      <bottom style="hair">
        <color indexed="64"/>
      </bottom>
      <diagonal/>
    </border>
    <border>
      <left style="double">
        <color auto="1"/>
      </left>
      <right style="hair">
        <color auto="1"/>
      </right>
      <top/>
      <bottom/>
      <diagonal/>
    </border>
    <border>
      <left style="double">
        <color auto="1"/>
      </left>
      <right style="hair">
        <color auto="1"/>
      </right>
      <top/>
      <bottom style="medium">
        <color auto="1"/>
      </bottom>
      <diagonal/>
    </border>
    <border>
      <left/>
      <right style="thin">
        <color indexed="64"/>
      </right>
      <top/>
      <bottom style="double">
        <color auto="1"/>
      </bottom>
      <diagonal/>
    </border>
    <border>
      <left style="thin">
        <color indexed="64"/>
      </left>
      <right style="thin">
        <color indexed="64"/>
      </right>
      <top/>
      <bottom style="double">
        <color auto="1"/>
      </bottom>
      <diagonal/>
    </border>
    <border>
      <left style="hair">
        <color indexed="64"/>
      </left>
      <right style="hair">
        <color indexed="64"/>
      </right>
      <top/>
      <bottom style="medium">
        <color auto="1"/>
      </bottom>
      <diagonal/>
    </border>
    <border>
      <left style="hair">
        <color indexed="64"/>
      </left>
      <right/>
      <top/>
      <bottom style="medium">
        <color auto="1"/>
      </bottom>
      <diagonal/>
    </border>
    <border>
      <left/>
      <right style="hair">
        <color indexed="64"/>
      </right>
      <top/>
      <bottom style="medium">
        <color auto="1"/>
      </bottom>
      <diagonal/>
    </border>
    <border>
      <left/>
      <right style="double">
        <color auto="1"/>
      </right>
      <top/>
      <bottom style="medium">
        <color auto="1"/>
      </bottom>
      <diagonal/>
    </border>
    <border>
      <left/>
      <right style="double">
        <color auto="1"/>
      </right>
      <top style="hair">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theme="3"/>
      </left>
      <right style="thin">
        <color indexed="64"/>
      </right>
      <top/>
      <bottom style="hair">
        <color theme="3"/>
      </bottom>
      <diagonal/>
    </border>
    <border>
      <left/>
      <right style="hair">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indexed="64"/>
      </left>
      <right/>
      <top style="thin">
        <color indexed="64"/>
      </top>
      <bottom style="thin">
        <color indexed="64"/>
      </bottom>
      <diagonal/>
    </border>
    <border>
      <left style="hair">
        <color auto="1"/>
      </left>
      <right style="hair">
        <color auto="1"/>
      </right>
      <top style="thin">
        <color auto="1"/>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hair">
        <color auto="1"/>
      </right>
      <top style="thin">
        <color indexed="64"/>
      </top>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double">
        <color auto="1"/>
      </right>
      <top style="hair">
        <color indexed="64"/>
      </top>
      <bottom/>
      <diagonal/>
    </border>
    <border>
      <left style="hair">
        <color indexed="64"/>
      </left>
      <right style="double">
        <color auto="1"/>
      </right>
      <top/>
      <bottom style="hair">
        <color indexed="64"/>
      </bottom>
      <diagonal/>
    </border>
    <border>
      <left style="hair">
        <color auto="1"/>
      </left>
      <right style="hair">
        <color indexed="64"/>
      </right>
      <top style="medium">
        <color auto="1"/>
      </top>
      <bottom/>
      <diagonal/>
    </border>
    <border>
      <left style="hair">
        <color indexed="64"/>
      </left>
      <right/>
      <top style="medium">
        <color auto="1"/>
      </top>
      <bottom/>
      <diagonal/>
    </border>
    <border>
      <left/>
      <right style="hair">
        <color indexed="64"/>
      </right>
      <top style="medium">
        <color auto="1"/>
      </top>
      <bottom/>
      <diagonal/>
    </border>
    <border>
      <left style="thin">
        <color auto="1"/>
      </left>
      <right style="double">
        <color auto="1"/>
      </right>
      <top style="double">
        <color auto="1"/>
      </top>
      <bottom style="thin">
        <color auto="1"/>
      </bottom>
      <diagonal/>
    </border>
    <border>
      <left style="thin">
        <color auto="1"/>
      </left>
      <right style="double">
        <color auto="1"/>
      </right>
      <top style="thin">
        <color auto="1"/>
      </top>
      <bottom style="thin">
        <color auto="1"/>
      </bottom>
      <diagonal/>
    </border>
    <border>
      <left style="thick">
        <color indexed="64"/>
      </left>
      <right/>
      <top/>
      <bottom/>
      <diagonal/>
    </border>
    <border>
      <left/>
      <right style="medium">
        <color indexed="64"/>
      </right>
      <top/>
      <bottom/>
      <diagonal/>
    </border>
    <border>
      <left/>
      <right/>
      <top style="medium">
        <color indexed="64"/>
      </top>
      <bottom style="medium">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hair">
        <color indexed="8"/>
      </top>
      <bottom style="hair">
        <color indexed="8"/>
      </bottom>
      <diagonal/>
    </border>
    <border>
      <left/>
      <right/>
      <top style="thin">
        <color indexed="56"/>
      </top>
      <bottom style="double">
        <color indexed="56"/>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indexed="64"/>
      </left>
      <right/>
      <top style="thin">
        <color indexed="64"/>
      </top>
      <bottom/>
      <diagonal/>
    </border>
    <border>
      <left/>
      <right style="hair">
        <color auto="1"/>
      </right>
      <top style="thin">
        <color indexed="64"/>
      </top>
      <bottom/>
      <diagonal/>
    </border>
    <border>
      <left style="hair">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right style="thin">
        <color auto="1"/>
      </right>
      <top style="thin">
        <color auto="1"/>
      </top>
      <bottom style="hair">
        <color auto="1"/>
      </bottom>
      <diagonal/>
    </border>
    <border>
      <left style="thin">
        <color indexed="64"/>
      </left>
      <right style="thin">
        <color indexed="64"/>
      </right>
      <top style="thin">
        <color indexed="64"/>
      </top>
      <bottom style="thin">
        <color indexed="64"/>
      </bottom>
      <diagonal/>
    </border>
    <border>
      <left style="thin">
        <color auto="1"/>
      </left>
      <right style="hair">
        <color auto="1"/>
      </right>
      <top style="hair">
        <color auto="1"/>
      </top>
      <bottom style="hair">
        <color auto="1"/>
      </bottom>
      <diagonal/>
    </border>
    <border>
      <left style="thin">
        <color auto="1"/>
      </left>
      <right style="thin">
        <color auto="1"/>
      </right>
      <top style="thin">
        <color auto="1"/>
      </top>
      <bottom style="double">
        <color auto="1"/>
      </bottom>
      <diagonal/>
    </border>
    <border>
      <left style="double">
        <color indexed="64"/>
      </left>
      <right/>
      <top style="medium">
        <color auto="1"/>
      </top>
      <bottom/>
      <diagonal/>
    </border>
    <border>
      <left style="thin">
        <color indexed="64"/>
      </left>
      <right/>
      <top/>
      <bottom style="double">
        <color auto="1"/>
      </bottom>
      <diagonal/>
    </border>
    <border>
      <left style="double">
        <color indexed="64"/>
      </left>
      <right/>
      <top/>
      <bottom style="medium">
        <color indexed="64"/>
      </bottom>
      <diagonal/>
    </border>
    <border>
      <left style="hair">
        <color indexed="64"/>
      </left>
      <right style="double">
        <color auto="1"/>
      </right>
      <top style="medium">
        <color indexed="64"/>
      </top>
      <bottom style="hair">
        <color indexed="64"/>
      </bottom>
      <diagonal/>
    </border>
    <border>
      <left style="hair">
        <color auto="1"/>
      </left>
      <right style="double">
        <color auto="1"/>
      </right>
      <top style="thin">
        <color auto="1"/>
      </top>
      <bottom style="medium">
        <color indexed="64"/>
      </bottom>
      <diagonal/>
    </border>
    <border>
      <left style="hair">
        <color auto="1"/>
      </left>
      <right style="hair">
        <color auto="1"/>
      </right>
      <top style="hair">
        <color auto="1"/>
      </top>
      <bottom/>
      <diagonal/>
    </border>
    <border>
      <left style="hair">
        <color indexed="64"/>
      </left>
      <right style="double">
        <color auto="1"/>
      </right>
      <top style="hair">
        <color indexed="64"/>
      </top>
      <bottom/>
      <diagonal/>
    </border>
    <border>
      <left style="hair">
        <color auto="1"/>
      </left>
      <right style="hair">
        <color auto="1"/>
      </right>
      <top style="thin">
        <color auto="1"/>
      </top>
      <bottom style="medium">
        <color indexed="64"/>
      </bottom>
      <diagonal/>
    </border>
    <border>
      <left style="thin">
        <color indexed="64"/>
      </left>
      <right/>
      <top style="thin">
        <color auto="1"/>
      </top>
      <bottom style="double">
        <color indexed="64"/>
      </bottom>
      <diagonal/>
    </border>
    <border>
      <left/>
      <right style="double">
        <color indexed="64"/>
      </right>
      <top style="thin">
        <color auto="1"/>
      </top>
      <bottom style="double">
        <color indexed="64"/>
      </bottom>
      <diagonal/>
    </border>
    <border>
      <left style="double">
        <color indexed="64"/>
      </left>
      <right style="thin">
        <color indexed="64"/>
      </right>
      <top style="thin">
        <color indexed="64"/>
      </top>
      <bottom style="thin">
        <color indexed="64"/>
      </bottom>
      <diagonal/>
    </border>
    <border>
      <left style="double">
        <color auto="1"/>
      </left>
      <right style="thin">
        <color auto="1"/>
      </right>
      <top style="thin">
        <color auto="1"/>
      </top>
      <bottom style="double">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thin">
        <color auto="1"/>
      </bottom>
      <diagonal/>
    </border>
    <border>
      <left style="hair">
        <color indexed="64"/>
      </left>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double">
        <color indexed="64"/>
      </right>
      <top style="thin">
        <color indexed="64"/>
      </top>
      <bottom style="thin">
        <color indexed="64"/>
      </bottom>
      <diagonal/>
    </border>
    <border>
      <left style="double">
        <color indexed="64"/>
      </left>
      <right/>
      <top/>
      <bottom style="thin">
        <color indexed="64"/>
      </bottom>
      <diagonal/>
    </border>
    <border>
      <left style="double">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double">
        <color indexed="64"/>
      </right>
      <top style="thin">
        <color indexed="64"/>
      </top>
      <bottom style="medium">
        <color indexed="64"/>
      </bottom>
      <diagonal/>
    </border>
    <border>
      <left style="double">
        <color indexed="64"/>
      </left>
      <right/>
      <top style="medium">
        <color indexed="64"/>
      </top>
      <bottom style="medium">
        <color indexed="64"/>
      </bottom>
      <diagonal/>
    </border>
    <border>
      <left/>
      <right/>
      <top/>
      <bottom style="medium">
        <color indexed="64"/>
      </bottom>
      <diagonal/>
    </border>
    <border>
      <left/>
      <right style="double">
        <color indexed="64"/>
      </right>
      <top style="medium">
        <color indexed="64"/>
      </top>
      <bottom style="medium">
        <color indexed="64"/>
      </bottom>
      <diagonal/>
    </border>
    <border>
      <left style="double">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double">
        <color indexed="64"/>
      </right>
      <top style="medium">
        <color indexed="64"/>
      </top>
      <bottom style="thin">
        <color indexed="64"/>
      </bottom>
      <diagonal/>
    </border>
    <border>
      <left style="double">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double">
        <color indexed="64"/>
      </right>
      <top style="thin">
        <color indexed="64"/>
      </top>
      <bottom/>
      <diagonal/>
    </border>
    <border>
      <left style="double">
        <color indexed="64"/>
      </left>
      <right style="thin">
        <color indexed="64"/>
      </right>
      <top/>
      <bottom style="thin">
        <color indexed="64"/>
      </bottom>
      <diagonal/>
    </border>
    <border>
      <left style="medium">
        <color indexed="64"/>
      </left>
      <right/>
      <top/>
      <bottom style="thin">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double">
        <color indexed="64"/>
      </left>
      <right/>
      <top style="thin">
        <color indexed="64"/>
      </top>
      <bottom/>
      <diagonal/>
    </border>
    <border>
      <left/>
      <right style="medium">
        <color indexed="64"/>
      </right>
      <top style="thin">
        <color indexed="64"/>
      </top>
      <bottom/>
      <diagonal/>
    </border>
    <border>
      <left/>
      <right style="double">
        <color indexed="64"/>
      </right>
      <top style="thin">
        <color indexed="64"/>
      </top>
      <bottom style="thin">
        <color indexed="64"/>
      </bottom>
      <diagonal/>
    </border>
    <border>
      <left/>
      <right style="medium">
        <color indexed="64"/>
      </right>
      <top/>
      <bottom style="thin">
        <color indexed="64"/>
      </bottom>
      <diagonal/>
    </border>
    <border>
      <left style="double">
        <color indexed="64"/>
      </left>
      <right/>
      <top style="hair">
        <color indexed="64"/>
      </top>
      <bottom style="thin">
        <color indexed="64"/>
      </bottom>
      <diagonal/>
    </border>
    <border>
      <left style="thin">
        <color indexed="64"/>
      </left>
      <right style="double">
        <color indexed="64"/>
      </right>
      <top style="thin">
        <color indexed="64"/>
      </top>
      <bottom style="medium">
        <color indexed="64"/>
      </bottom>
      <diagonal/>
    </border>
    <border>
      <left style="double">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double">
        <color indexed="64"/>
      </right>
      <top style="hair">
        <color indexed="64"/>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top style="hair">
        <color indexed="64"/>
      </top>
      <bottom style="hair">
        <color indexed="64"/>
      </bottom>
      <diagonal/>
    </border>
    <border>
      <left/>
      <right style="medium">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diagonal/>
    </border>
    <border>
      <left style="double">
        <color indexed="64"/>
      </left>
      <right/>
      <top style="hair">
        <color indexed="64"/>
      </top>
      <bottom style="medium">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double">
        <color indexed="64"/>
      </bottom>
      <diagonal/>
    </border>
    <border>
      <left/>
      <right/>
      <top style="medium">
        <color rgb="FF4BACC6"/>
      </top>
      <bottom/>
      <diagonal/>
    </border>
    <border>
      <left/>
      <right/>
      <top style="medium">
        <color rgb="FF4BACC6"/>
      </top>
      <bottom style="medium">
        <color rgb="FF4BACC6"/>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indexed="64"/>
      </left>
      <right/>
      <top style="medium">
        <color indexed="64"/>
      </top>
      <bottom style="medium">
        <color rgb="FF4BACC6"/>
      </bottom>
      <diagonal/>
    </border>
    <border>
      <left/>
      <right/>
      <top style="medium">
        <color indexed="64"/>
      </top>
      <bottom style="medium">
        <color rgb="FF4BACC6"/>
      </bottom>
      <diagonal/>
    </border>
    <border>
      <left style="medium">
        <color indexed="64"/>
      </left>
      <right/>
      <top style="medium">
        <color rgb="FF4BACC6"/>
      </top>
      <bottom style="medium">
        <color rgb="FF4BACC6"/>
      </bottom>
      <diagonal/>
    </border>
    <border>
      <left/>
      <right style="medium">
        <color indexed="64"/>
      </right>
      <top style="medium">
        <color rgb="FF4BACC6"/>
      </top>
      <bottom style="medium">
        <color rgb="FF4BACC6"/>
      </bottom>
      <diagonal/>
    </border>
    <border>
      <left style="medium">
        <color indexed="64"/>
      </left>
      <right/>
      <top style="medium">
        <color rgb="FF4BACC6"/>
      </top>
      <bottom/>
      <diagonal/>
    </border>
    <border>
      <left/>
      <right style="medium">
        <color indexed="64"/>
      </right>
      <top style="medium">
        <color rgb="FF4BACC6"/>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hair">
        <color auto="1"/>
      </right>
      <top style="hair">
        <color auto="1"/>
      </top>
      <bottom/>
      <diagonal/>
    </border>
    <border>
      <left style="hair">
        <color indexed="64"/>
      </left>
      <right/>
      <top style="hair">
        <color auto="1"/>
      </top>
      <bottom/>
      <diagonal/>
    </border>
    <border>
      <left/>
      <right/>
      <top style="hair">
        <color auto="1"/>
      </top>
      <bottom/>
      <diagonal/>
    </border>
    <border>
      <left/>
      <right style="hair">
        <color indexed="64"/>
      </right>
      <top style="hair">
        <color auto="1"/>
      </top>
      <bottom/>
      <diagonal/>
    </border>
  </borders>
  <cellStyleXfs count="2509">
    <xf numFmtId="0" fontId="0" fillId="0" borderId="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2" borderId="0" applyNumberFormat="0" applyBorder="0" applyAlignment="0" applyProtection="0"/>
    <xf numFmtId="0" fontId="4" fillId="6" borderId="0" applyNumberFormat="0" applyBorder="0" applyAlignment="0" applyProtection="0"/>
    <xf numFmtId="0" fontId="5" fillId="23" borderId="1" applyNumberFormat="0" applyAlignment="0" applyProtection="0"/>
    <xf numFmtId="0" fontId="6" fillId="24" borderId="2" applyNumberFormat="0" applyAlignment="0" applyProtection="0"/>
    <xf numFmtId="0" fontId="7" fillId="0" borderId="0" applyNumberFormat="0" applyFill="0" applyBorder="0" applyAlignment="0" applyProtection="0"/>
    <xf numFmtId="0" fontId="8" fillId="7"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10" borderId="1" applyNumberFormat="0" applyAlignment="0" applyProtection="0"/>
    <xf numFmtId="0" fontId="13" fillId="0" borderId="6" applyNumberFormat="0" applyFill="0" applyAlignment="0" applyProtection="0"/>
    <xf numFmtId="0" fontId="14" fillId="2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26" borderId="7" applyNumberFormat="0" applyFont="0" applyAlignment="0" applyProtection="0"/>
    <xf numFmtId="0" fontId="16" fillId="23" borderId="8" applyNumberFormat="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167" fontId="15" fillId="0" borderId="0"/>
    <xf numFmtId="43" fontId="62" fillId="0" borderId="0" applyFont="0" applyFill="0" applyBorder="0" applyAlignment="0" applyProtection="0"/>
    <xf numFmtId="0" fontId="15" fillId="0" borderId="0"/>
    <xf numFmtId="43" fontId="15" fillId="0" borderId="0" applyFont="0" applyFill="0" applyBorder="0" applyAlignment="0" applyProtection="0"/>
    <xf numFmtId="0" fontId="5" fillId="23" borderId="220" applyNumberFormat="0" applyAlignment="0" applyProtection="0"/>
    <xf numFmtId="0" fontId="5" fillId="23" borderId="220" applyNumberFormat="0" applyAlignment="0" applyProtection="0"/>
    <xf numFmtId="0" fontId="6" fillId="24" borderId="221" applyNumberFormat="0" applyAlignment="0" applyProtection="0"/>
    <xf numFmtId="173" fontId="106" fillId="0" borderId="0" applyFont="0" applyFill="0" applyBorder="0" applyAlignment="0" applyProtection="0"/>
    <xf numFmtId="174" fontId="15" fillId="0" borderId="0" applyFont="0" applyFill="0" applyBorder="0" applyAlignment="0" applyProtection="0"/>
    <xf numFmtId="0" fontId="12" fillId="10" borderId="220" applyNumberFormat="0" applyAlignment="0" applyProtection="0"/>
    <xf numFmtId="0" fontId="12" fillId="10" borderId="220" applyNumberFormat="0" applyAlignment="0" applyProtection="0"/>
    <xf numFmtId="0" fontId="107" fillId="0" borderId="0"/>
    <xf numFmtId="0" fontId="15" fillId="26" borderId="222" applyNumberFormat="0" applyFont="0" applyAlignment="0" applyProtection="0"/>
    <xf numFmtId="0" fontId="15" fillId="26" borderId="222" applyNumberFormat="0" applyFont="0" applyAlignment="0" applyProtection="0"/>
    <xf numFmtId="0" fontId="16" fillId="23" borderId="223" applyNumberFormat="0" applyAlignment="0" applyProtection="0"/>
    <xf numFmtId="0" fontId="16" fillId="23" borderId="223" applyNumberFormat="0" applyAlignment="0" applyProtection="0"/>
    <xf numFmtId="9" fontId="62" fillId="0" borderId="0" applyFont="0" applyFill="0" applyBorder="0" applyAlignment="0" applyProtection="0"/>
    <xf numFmtId="9" fontId="107" fillId="0" borderId="0" applyFont="0" applyFill="0" applyBorder="0" applyAlignment="0" applyProtection="0"/>
    <xf numFmtId="0" fontId="18" fillId="0" borderId="224" applyNumberFormat="0" applyFill="0" applyAlignment="0" applyProtection="0"/>
    <xf numFmtId="0" fontId="18" fillId="0" borderId="224" applyNumberFormat="0" applyFill="0" applyAlignment="0" applyProtection="0"/>
    <xf numFmtId="44" fontId="62" fillId="0" borderId="0" applyFont="0" applyFill="0" applyBorder="0" applyAlignment="0" applyProtection="0"/>
    <xf numFmtId="9" fontId="62" fillId="0" borderId="0" applyFont="0" applyFill="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9"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176" fontId="15" fillId="0" borderId="156" applyFont="0" applyFill="0" applyBorder="0" applyAlignment="0" applyProtection="0"/>
    <xf numFmtId="0" fontId="111" fillId="0" borderId="0">
      <alignment horizontal="center" wrapText="1"/>
      <protection locked="0"/>
    </xf>
    <xf numFmtId="0" fontId="4" fillId="8" borderId="0" applyNumberFormat="0" applyBorder="0" applyAlignment="0" applyProtection="0"/>
    <xf numFmtId="0" fontId="4" fillId="8" borderId="0" applyNumberFormat="0" applyBorder="0" applyAlignment="0" applyProtection="0"/>
    <xf numFmtId="49" fontId="112" fillId="0" borderId="166">
      <alignment horizontal="center" vertical="center" wrapText="1"/>
    </xf>
    <xf numFmtId="177" fontId="15" fillId="0" borderId="0" applyFill="0" applyBorder="0" applyAlignment="0"/>
    <xf numFmtId="178" fontId="15" fillId="0" borderId="0" applyFill="0" applyBorder="0" applyAlignment="0"/>
    <xf numFmtId="0" fontId="113" fillId="39" borderId="1" applyNumberFormat="0" applyAlignment="0" applyProtection="0"/>
    <xf numFmtId="0" fontId="113" fillId="39" borderId="1" applyNumberFormat="0" applyAlignment="0" applyProtection="0"/>
    <xf numFmtId="0" fontId="6" fillId="24" borderId="2" applyNumberFormat="0" applyAlignment="0" applyProtection="0"/>
    <xf numFmtId="0" fontId="80" fillId="40" borderId="166">
      <alignment horizontal="center" vertical="center" wrapText="1"/>
    </xf>
    <xf numFmtId="174" fontId="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01" fillId="0" borderId="0" applyFont="0" applyFill="0" applyBorder="0" applyAlignment="0" applyProtection="0"/>
    <xf numFmtId="43" fontId="15" fillId="0" borderId="0" applyFont="0" applyFill="0" applyBorder="0" applyAlignment="0" applyProtection="0"/>
    <xf numFmtId="0" fontId="101" fillId="0" borderId="0" applyFont="0" applyFill="0" applyBorder="0" applyAlignment="0" applyProtection="0"/>
    <xf numFmtId="174" fontId="2"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179"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43" fontId="15"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78"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14"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4" fontId="1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81" fontId="15" fillId="0" borderId="0" applyFont="0" applyFill="0" applyBorder="0" applyAlignment="0" applyProtection="0"/>
    <xf numFmtId="43" fontId="15" fillId="0" borderId="0" applyFont="0" applyFill="0" applyBorder="0" applyAlignment="0" applyProtection="0"/>
    <xf numFmtId="181" fontId="15" fillId="0" borderId="0" applyFont="0" applyFill="0" applyBorder="0" applyAlignment="0" applyProtection="0"/>
    <xf numFmtId="43" fontId="15" fillId="0" borderId="0" applyFont="0" applyFill="0" applyBorder="0" applyAlignment="0" applyProtection="0"/>
    <xf numFmtId="181" fontId="15" fillId="0" borderId="0" applyFont="0" applyFill="0" applyBorder="0" applyAlignment="0" applyProtection="0"/>
    <xf numFmtId="43" fontId="15" fillId="0" borderId="0" applyFont="0" applyFill="0" applyBorder="0" applyAlignment="0" applyProtection="0"/>
    <xf numFmtId="181" fontId="15" fillId="0" borderId="0" applyFont="0" applyFill="0" applyBorder="0" applyAlignment="0" applyProtection="0"/>
    <xf numFmtId="43" fontId="15" fillId="0" borderId="0" applyFont="0" applyFill="0" applyBorder="0" applyAlignment="0" applyProtection="0"/>
    <xf numFmtId="182" fontId="15" fillId="0" borderId="0" applyFont="0" applyFill="0" applyBorder="0" applyAlignment="0" applyProtection="0"/>
    <xf numFmtId="43" fontId="15" fillId="0" borderId="0" applyFont="0" applyFill="0" applyBorder="0" applyAlignment="0" applyProtection="0"/>
    <xf numFmtId="43" fontId="10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83" fontId="64"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84" fontId="15" fillId="0" borderId="0" applyFont="0" applyFill="0" applyBorder="0" applyAlignment="0" applyProtection="0"/>
    <xf numFmtId="184" fontId="15" fillId="0" borderId="0" applyFont="0" applyFill="0" applyBorder="0" applyAlignment="0" applyProtection="0"/>
    <xf numFmtId="184" fontId="15" fillId="0" borderId="0" applyFont="0" applyFill="0" applyBorder="0" applyAlignment="0" applyProtection="0"/>
    <xf numFmtId="184" fontId="15" fillId="0" borderId="0" applyFont="0" applyFill="0" applyBorder="0" applyAlignment="0" applyProtection="0"/>
    <xf numFmtId="184" fontId="15" fillId="0" borderId="0" applyFont="0" applyFill="0" applyBorder="0" applyAlignment="0" applyProtection="0"/>
    <xf numFmtId="43" fontId="15" fillId="0" borderId="0" applyFont="0" applyFill="0" applyBorder="0" applyAlignment="0" applyProtection="0"/>
    <xf numFmtId="18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82" fontId="15" fillId="0" borderId="0" applyFont="0" applyFill="0" applyBorder="0" applyAlignment="0" applyProtection="0"/>
    <xf numFmtId="174" fontId="15" fillId="0" borderId="0" applyFont="0" applyFill="0" applyBorder="0" applyAlignment="0" applyProtection="0"/>
    <xf numFmtId="186" fontId="15" fillId="0" borderId="0" applyFont="0" applyFill="0" applyBorder="0" applyAlignment="0" applyProtection="0"/>
    <xf numFmtId="43" fontId="15" fillId="0" borderId="0" applyFont="0" applyFill="0" applyBorder="0" applyAlignment="0" applyProtection="0"/>
    <xf numFmtId="183" fontId="15" fillId="0" borderId="0" applyFont="0" applyFill="0" applyBorder="0" applyAlignment="0" applyProtection="0"/>
    <xf numFmtId="179" fontId="15" fillId="0" borderId="0" applyFont="0" applyFill="0" applyBorder="0" applyAlignment="0" applyProtection="0"/>
    <xf numFmtId="43" fontId="15" fillId="0" borderId="0" applyFont="0" applyFill="0" applyBorder="0" applyAlignment="0" applyProtection="0"/>
    <xf numFmtId="180" fontId="15" fillId="0" borderId="0" applyFont="0" applyFill="0" applyBorder="0" applyAlignment="0" applyProtection="0"/>
    <xf numFmtId="43" fontId="15" fillId="0" borderId="0" applyFont="0" applyFill="0" applyBorder="0" applyAlignment="0" applyProtection="0"/>
    <xf numFmtId="180" fontId="15" fillId="0" borderId="0" applyFont="0" applyFill="0" applyBorder="0" applyAlignment="0" applyProtection="0"/>
    <xf numFmtId="43"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3"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1"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7" fontId="15" fillId="0" borderId="0" applyFont="0" applyFill="0" applyBorder="0" applyAlignment="0" applyProtection="0"/>
    <xf numFmtId="43" fontId="15" fillId="0" borderId="0" applyFont="0" applyFill="0" applyBorder="0" applyAlignment="0" applyProtection="0"/>
    <xf numFmtId="181" fontId="15" fillId="0" borderId="0" applyFont="0" applyFill="0" applyBorder="0" applyAlignment="0" applyProtection="0"/>
    <xf numFmtId="43" fontId="15" fillId="0" borderId="0" applyFont="0" applyFill="0" applyBorder="0" applyAlignment="0" applyProtection="0"/>
    <xf numFmtId="18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83" fontId="114" fillId="0" borderId="0" applyFont="0" applyFill="0" applyBorder="0" applyAlignment="0" applyProtection="0"/>
    <xf numFmtId="174" fontId="114" fillId="0" borderId="0" applyFont="0" applyFill="0" applyBorder="0" applyAlignment="0" applyProtection="0"/>
    <xf numFmtId="43" fontId="15" fillId="0" borderId="0" applyFont="0" applyFill="0" applyBorder="0" applyAlignment="0" applyProtection="0"/>
    <xf numFmtId="174" fontId="114" fillId="0" borderId="0" applyFont="0" applyFill="0" applyBorder="0" applyAlignment="0" applyProtection="0"/>
    <xf numFmtId="43" fontId="62" fillId="0" borderId="0" applyFont="0" applyFill="0" applyBorder="0" applyAlignment="0" applyProtection="0"/>
    <xf numFmtId="174" fontId="15"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174"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178" fontId="15"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43" fontId="15" fillId="0" borderId="0" applyFont="0" applyFill="0" applyBorder="0" applyAlignment="0" applyProtection="0"/>
    <xf numFmtId="18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81" fontId="15" fillId="0" borderId="0" applyFont="0" applyFill="0" applyBorder="0" applyAlignment="0" applyProtection="0"/>
    <xf numFmtId="188" fontId="15" fillId="0" borderId="0" applyFont="0" applyFill="0" applyBorder="0" applyAlignment="0" applyProtection="0"/>
    <xf numFmtId="181" fontId="15" fillId="0" borderId="0" applyFont="0" applyFill="0" applyBorder="0" applyAlignment="0" applyProtection="0"/>
    <xf numFmtId="187"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187"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168" fontId="15" fillId="0" borderId="0" applyFont="0" applyFill="0" applyBorder="0" applyAlignment="0" applyProtection="0"/>
    <xf numFmtId="180" fontId="15" fillId="0" borderId="0" applyFont="0" applyFill="0" applyBorder="0" applyAlignment="0" applyProtection="0"/>
    <xf numFmtId="43" fontId="15" fillId="0" borderId="0" applyFont="0" applyFill="0" applyBorder="0" applyAlignment="0" applyProtection="0"/>
    <xf numFmtId="0" fontId="101" fillId="0" borderId="0" applyFont="0" applyFill="0" applyBorder="0" applyAlignment="0" applyProtection="0"/>
    <xf numFmtId="43" fontId="15" fillId="0" borderId="0" applyFont="0" applyFill="0" applyBorder="0" applyAlignment="0" applyProtection="0"/>
    <xf numFmtId="0" fontId="10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87"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1" fontId="10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01"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174"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174" fontId="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6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81" fontId="15" fillId="0" borderId="0" applyFont="0" applyFill="0" applyBorder="0" applyAlignment="0" applyProtection="0"/>
    <xf numFmtId="41" fontId="101" fillId="0" borderId="0" applyFont="0" applyFill="0" applyBorder="0" applyAlignment="0" applyProtection="0"/>
    <xf numFmtId="41" fontId="101"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01" fillId="0" borderId="0" applyFont="0" applyFill="0" applyBorder="0" applyAlignment="0" applyProtection="0"/>
    <xf numFmtId="43" fontId="15" fillId="0" borderId="0" applyFont="0" applyFill="0" applyBorder="0" applyAlignment="0" applyProtection="0"/>
    <xf numFmtId="41" fontId="101" fillId="0" borderId="0" applyFont="0" applyFill="0" applyBorder="0" applyAlignment="0" applyProtection="0"/>
    <xf numFmtId="18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01" fillId="0" borderId="0" applyFont="0" applyFill="0" applyBorder="0" applyAlignment="0" applyProtection="0"/>
    <xf numFmtId="43" fontId="15" fillId="0" borderId="0" applyFont="0" applyFill="0" applyBorder="0" applyAlignment="0" applyProtection="0"/>
    <xf numFmtId="41" fontId="101" fillId="0" borderId="0" applyFont="0" applyFill="0" applyBorder="0" applyAlignment="0" applyProtection="0"/>
    <xf numFmtId="179"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3" fontId="15" fillId="0" borderId="293" applyProtection="0"/>
    <xf numFmtId="0" fontId="115" fillId="0" borderId="0" applyNumberFormat="0" applyAlignment="0">
      <alignment horizontal="left"/>
    </xf>
    <xf numFmtId="0" fontId="116" fillId="0" borderId="0" applyNumberFormat="0" applyAlignment="0"/>
    <xf numFmtId="189" fontId="15" fillId="0" borderId="0" applyFont="0" applyFill="0" applyBorder="0" applyAlignment="0" applyProtection="0"/>
    <xf numFmtId="190" fontId="15" fillId="0" borderId="294" applyFont="0" applyFill="0" applyBorder="0" applyAlignment="0" applyProtection="0"/>
    <xf numFmtId="44" fontId="15" fillId="0" borderId="0" applyFont="0" applyFill="0" applyBorder="0" applyAlignment="0" applyProtection="0"/>
    <xf numFmtId="180" fontId="15" fillId="0" borderId="0" applyFont="0" applyFill="0" applyBorder="0" applyAlignment="0" applyProtection="0"/>
    <xf numFmtId="44" fontId="117" fillId="0" borderId="0" applyFont="0" applyFill="0" applyBorder="0" applyAlignment="0" applyProtection="0"/>
    <xf numFmtId="0" fontId="118" fillId="0" borderId="0" applyNumberFormat="0" applyAlignment="0">
      <alignment horizontal="left"/>
    </xf>
    <xf numFmtId="0" fontId="7" fillId="0" borderId="0" applyNumberFormat="0" applyFill="0" applyBorder="0" applyAlignment="0" applyProtection="0"/>
    <xf numFmtId="0" fontId="8" fillId="9" borderId="0" applyNumberFormat="0" applyBorder="0" applyAlignment="0" applyProtection="0"/>
    <xf numFmtId="0" fontId="8" fillId="9" borderId="0" applyNumberFormat="0" applyBorder="0" applyAlignment="0" applyProtection="0"/>
    <xf numFmtId="38" fontId="119" fillId="41" borderId="0" applyNumberFormat="0" applyBorder="0" applyAlignment="0" applyProtection="0"/>
    <xf numFmtId="0" fontId="120" fillId="0" borderId="295" applyNumberFormat="0" applyAlignment="0" applyProtection="0">
      <alignment horizontal="left" vertical="center"/>
    </xf>
    <xf numFmtId="0" fontId="120" fillId="0" borderId="270">
      <alignment horizontal="left" vertical="center"/>
    </xf>
    <xf numFmtId="0" fontId="121" fillId="0" borderId="0"/>
    <xf numFmtId="0" fontId="122" fillId="0" borderId="296" applyNumberFormat="0" applyFill="0" applyAlignment="0" applyProtection="0"/>
    <xf numFmtId="0" fontId="122" fillId="0" borderId="296" applyNumberFormat="0" applyFill="0" applyAlignment="0" applyProtection="0"/>
    <xf numFmtId="0" fontId="123" fillId="0" borderId="297" applyNumberFormat="0" applyFill="0" applyAlignment="0" applyProtection="0"/>
    <xf numFmtId="0" fontId="123" fillId="0" borderId="297" applyNumberFormat="0" applyFill="0" applyAlignment="0" applyProtection="0"/>
    <xf numFmtId="0" fontId="124" fillId="0" borderId="298" applyNumberFormat="0" applyFill="0" applyAlignment="0" applyProtection="0"/>
    <xf numFmtId="0" fontId="124" fillId="0" borderId="298" applyNumberFormat="0" applyFill="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191" fontId="15" fillId="0" borderId="0" applyFont="0" applyFill="0" applyBorder="0" applyAlignment="0" applyProtection="0"/>
    <xf numFmtId="192" fontId="125" fillId="0" borderId="139" applyBorder="0" applyAlignment="0"/>
    <xf numFmtId="0" fontId="126" fillId="0" borderId="0" applyNumberFormat="0" applyFill="0" applyBorder="0" applyAlignment="0" applyProtection="0">
      <alignment vertical="top"/>
      <protection locked="0"/>
    </xf>
    <xf numFmtId="0" fontId="126" fillId="0" borderId="0" applyNumberFormat="0" applyFill="0" applyBorder="0" applyAlignment="0" applyProtection="0">
      <alignment vertical="top"/>
      <protection locked="0"/>
    </xf>
    <xf numFmtId="10" fontId="119" fillId="42" borderId="166" applyNumberFormat="0" applyBorder="0" applyAlignment="0" applyProtection="0"/>
    <xf numFmtId="0" fontId="12" fillId="25" borderId="1" applyNumberFormat="0" applyAlignment="0" applyProtection="0"/>
    <xf numFmtId="0" fontId="12" fillId="25" borderId="1" applyNumberFormat="0" applyAlignment="0" applyProtection="0"/>
    <xf numFmtId="0" fontId="15" fillId="43" borderId="0"/>
    <xf numFmtId="179" fontId="15" fillId="43" borderId="0"/>
    <xf numFmtId="0" fontId="127" fillId="0" borderId="0"/>
    <xf numFmtId="0" fontId="19" fillId="0" borderId="299" applyNumberFormat="0" applyFill="0" applyAlignment="0" applyProtection="0"/>
    <xf numFmtId="0" fontId="19" fillId="0" borderId="299" applyNumberFormat="0" applyFill="0" applyAlignment="0" applyProtection="0"/>
    <xf numFmtId="0" fontId="15" fillId="44" borderId="0"/>
    <xf numFmtId="179" fontId="15" fillId="44"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28" fillId="0" borderId="202" applyNumberFormat="0">
      <alignment horizontal="right"/>
    </xf>
    <xf numFmtId="0" fontId="129" fillId="25" borderId="0" applyNumberFormat="0" applyBorder="0" applyAlignment="0" applyProtection="0"/>
    <xf numFmtId="0" fontId="129" fillId="25" borderId="0" applyNumberFormat="0" applyBorder="0" applyAlignment="0" applyProtection="0"/>
    <xf numFmtId="193" fontId="130" fillId="0" borderId="0"/>
    <xf numFmtId="0" fontId="15" fillId="0" borderId="0"/>
    <xf numFmtId="0" fontId="15"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alignment horizontal="justify" vertical="top" wrapText="1"/>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15" fillId="0" borderId="0"/>
    <xf numFmtId="0" fontId="15" fillId="0" borderId="0">
      <alignment horizontal="justify" vertical="top" wrapText="1"/>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15" fillId="0" borderId="0">
      <alignment horizontal="justify" vertical="top" wrapText="1"/>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131"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15" fillId="0" borderId="0"/>
    <xf numFmtId="0" fontId="15" fillId="0" borderId="0"/>
    <xf numFmtId="0" fontId="114" fillId="0" borderId="0"/>
    <xf numFmtId="0" fontId="114" fillId="0" borderId="0"/>
    <xf numFmtId="0" fontId="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5" fillId="0" borderId="0"/>
    <xf numFmtId="0" fontId="62" fillId="0" borderId="0"/>
    <xf numFmtId="14" fontId="117" fillId="0" borderId="0"/>
    <xf numFmtId="0" fontId="15" fillId="0" borderId="0"/>
    <xf numFmtId="0" fontId="62" fillId="0" borderId="0"/>
    <xf numFmtId="0" fontId="62" fillId="0" borderId="0"/>
    <xf numFmtId="0" fontId="62" fillId="0" borderId="0"/>
    <xf numFmtId="0" fontId="62" fillId="0" borderId="0"/>
    <xf numFmtId="0" fontId="15" fillId="0" borderId="0"/>
    <xf numFmtId="0" fontId="15" fillId="0" borderId="0"/>
    <xf numFmtId="0" fontId="15" fillId="0" borderId="0"/>
    <xf numFmtId="0" fontId="15"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01" fillId="0" borderId="0"/>
    <xf numFmtId="0" fontId="101" fillId="0" borderId="0"/>
    <xf numFmtId="0" fontId="15" fillId="0" borderId="0">
      <alignment horizontal="justify" vertical="top" wrapText="1"/>
    </xf>
    <xf numFmtId="0" fontId="15" fillId="0" borderId="0"/>
    <xf numFmtId="0" fontId="15"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101" fillId="0" borderId="0"/>
    <xf numFmtId="0" fontId="101" fillId="0" borderId="0"/>
    <xf numFmtId="0" fontId="15" fillId="0" borderId="0">
      <alignment horizontal="justify" vertical="top" wrapText="1"/>
    </xf>
    <xf numFmtId="0" fontId="15" fillId="0" borderId="0"/>
    <xf numFmtId="0" fontId="15" fillId="0" borderId="0"/>
    <xf numFmtId="0" fontId="132" fillId="0" borderId="0"/>
    <xf numFmtId="0" fontId="15" fillId="0" borderId="0"/>
    <xf numFmtId="0" fontId="15" fillId="0" borderId="0"/>
    <xf numFmtId="0" fontId="15" fillId="0" borderId="0">
      <alignment horizontal="justify" vertical="top" wrapText="1"/>
    </xf>
    <xf numFmtId="0" fontId="15" fillId="0" borderId="0"/>
    <xf numFmtId="0" fontId="15"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15"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15" fillId="0" borderId="0">
      <alignment horizontal="justify" vertical="top" wrapText="1"/>
    </xf>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31"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2" fillId="0" borderId="0"/>
    <xf numFmtId="0" fontId="62" fillId="0" borderId="0"/>
    <xf numFmtId="0" fontId="62" fillId="0" borderId="0"/>
    <xf numFmtId="0" fontId="15" fillId="0" borderId="0"/>
    <xf numFmtId="0" fontId="15" fillId="0" borderId="0"/>
    <xf numFmtId="0" fontId="15" fillId="0" borderId="0"/>
    <xf numFmtId="0" fontId="62" fillId="0" borderId="0"/>
    <xf numFmtId="0" fontId="62" fillId="0" borderId="0"/>
    <xf numFmtId="0" fontId="62" fillId="0" borderId="0"/>
    <xf numFmtId="0" fontId="62" fillId="0" borderId="0"/>
    <xf numFmtId="0" fontId="15" fillId="0" borderId="0"/>
    <xf numFmtId="0" fontId="15" fillId="0" borderId="0"/>
    <xf numFmtId="0" fontId="15" fillId="0" borderId="0"/>
    <xf numFmtId="0" fontId="15" fillId="0" borderId="0"/>
    <xf numFmtId="0" fontId="15"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4" fillId="0" borderId="0"/>
    <xf numFmtId="0" fontId="15" fillId="0" borderId="0"/>
    <xf numFmtId="0" fontId="15" fillId="0" borderId="0"/>
    <xf numFmtId="0" fontId="133"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3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7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15" fillId="0" borderId="0"/>
    <xf numFmtId="0" fontId="15" fillId="0" borderId="0"/>
    <xf numFmtId="0" fontId="15" fillId="0" borderId="0"/>
    <xf numFmtId="0" fontId="15" fillId="0" borderId="0"/>
    <xf numFmtId="0" fontId="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alignment horizontal="justify" vertical="top" wrapText="1"/>
    </xf>
    <xf numFmtId="0" fontId="62" fillId="0" borderId="0"/>
    <xf numFmtId="0" fontId="15" fillId="0" borderId="0"/>
    <xf numFmtId="0" fontId="62" fillId="0" borderId="0"/>
    <xf numFmtId="0" fontId="15" fillId="0" borderId="0">
      <alignment horizontal="justify" vertical="top" wrapText="1"/>
    </xf>
    <xf numFmtId="0" fontId="15" fillId="0" borderId="0">
      <alignment horizontal="justify" vertical="top" wrapText="1"/>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5" fillId="26" borderId="7" applyNumberFormat="0" applyFont="0" applyAlignment="0" applyProtection="0"/>
    <xf numFmtId="0" fontId="15" fillId="26" borderId="7" applyNumberFormat="0" applyFont="0" applyAlignment="0" applyProtection="0"/>
    <xf numFmtId="174" fontId="15" fillId="0" borderId="0" applyFont="0" applyFill="0" applyBorder="0" applyAlignment="0" applyProtection="0"/>
    <xf numFmtId="194" fontId="15" fillId="0" borderId="0" applyFont="0" applyFill="0" applyBorder="0" applyAlignment="0" applyProtection="0"/>
    <xf numFmtId="0" fontId="16" fillId="39" borderId="8" applyNumberFormat="0" applyAlignment="0" applyProtection="0"/>
    <xf numFmtId="0" fontId="16" fillId="39" borderId="8" applyNumberFormat="0" applyAlignment="0" applyProtection="0"/>
    <xf numFmtId="14" fontId="111" fillId="0" borderId="0">
      <alignment horizontal="center" wrapText="1"/>
      <protection locked="0"/>
    </xf>
    <xf numFmtId="1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62"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95" fontId="134" fillId="0" borderId="0"/>
    <xf numFmtId="0" fontId="131" fillId="0" borderId="0" applyNumberFormat="0" applyFont="0" applyFill="0" applyBorder="0" applyAlignment="0" applyProtection="0">
      <alignment horizontal="left"/>
    </xf>
    <xf numFmtId="196" fontId="135" fillId="0" borderId="0" applyNumberFormat="0" applyFill="0" applyBorder="0" applyAlignment="0" applyProtection="0">
      <alignment horizontal="left"/>
    </xf>
    <xf numFmtId="14" fontId="99" fillId="45" borderId="10" applyNumberFormat="0" applyBorder="0"/>
    <xf numFmtId="0" fontId="128" fillId="0" borderId="202" applyNumberFormat="0">
      <alignment horizontal="right"/>
    </xf>
    <xf numFmtId="0" fontId="77" fillId="46" borderId="0" applyNumberFormat="0" applyBorder="0" applyProtection="0">
      <alignment vertical="top" wrapText="1"/>
    </xf>
    <xf numFmtId="197" fontId="99" fillId="0" borderId="215"/>
    <xf numFmtId="40" fontId="136" fillId="0" borderId="0" applyBorder="0">
      <alignment horizontal="right"/>
    </xf>
    <xf numFmtId="0" fontId="137" fillId="0" borderId="0" applyNumberFormat="0" applyFill="0" applyBorder="0" applyAlignment="0" applyProtection="0"/>
    <xf numFmtId="0" fontId="137" fillId="0" borderId="0" applyNumberFormat="0" applyFill="0" applyBorder="0" applyAlignment="0" applyProtection="0"/>
    <xf numFmtId="37" fontId="138" fillId="47" borderId="300" applyNumberFormat="0" applyFont="0" applyFill="0" applyAlignment="0" applyProtection="0">
      <protection locked="0"/>
    </xf>
    <xf numFmtId="0" fontId="18" fillId="0" borderId="301" applyNumberFormat="0" applyFill="0" applyAlignment="0" applyProtection="0"/>
    <xf numFmtId="0" fontId="18" fillId="0" borderId="301" applyNumberFormat="0" applyFill="0" applyAlignment="0" applyProtection="0"/>
    <xf numFmtId="198" fontId="15" fillId="0" borderId="0" applyFont="0" applyFill="0" applyBorder="0" applyAlignment="0" applyProtection="0"/>
    <xf numFmtId="0" fontId="19" fillId="0" borderId="0" applyNumberFormat="0" applyFill="0" applyBorder="0" applyAlignment="0" applyProtection="0"/>
    <xf numFmtId="199" fontId="139" fillId="0" borderId="0" applyFont="0" applyFill="0" applyBorder="0" applyAlignment="0" applyProtection="0"/>
    <xf numFmtId="0" fontId="139" fillId="0" borderId="0"/>
  </cellStyleXfs>
  <cellXfs count="2301">
    <xf numFmtId="0" fontId="0" fillId="0" borderId="0" xfId="0"/>
    <xf numFmtId="0" fontId="0" fillId="0" borderId="0" xfId="0" applyAlignment="1">
      <alignment vertical="center"/>
    </xf>
    <xf numFmtId="0" fontId="1" fillId="0" borderId="0" xfId="0" applyFont="1" applyAlignment="1">
      <alignment vertical="center"/>
    </xf>
    <xf numFmtId="0" fontId="26" fillId="0" borderId="0" xfId="0" applyFont="1" applyAlignment="1">
      <alignment vertical="center"/>
    </xf>
    <xf numFmtId="0" fontId="24" fillId="0" borderId="0" xfId="0" applyFont="1" applyAlignment="1">
      <alignment vertical="center"/>
    </xf>
    <xf numFmtId="0" fontId="30" fillId="0" borderId="0" xfId="0" applyFont="1" applyAlignment="1">
      <alignment vertical="center"/>
    </xf>
    <xf numFmtId="0" fontId="32" fillId="0" borderId="0" xfId="0" applyFont="1" applyAlignment="1">
      <alignment horizontal="center" vertical="center"/>
    </xf>
    <xf numFmtId="0" fontId="33" fillId="0" borderId="0" xfId="0" applyFont="1" applyAlignment="1">
      <alignment vertical="center"/>
    </xf>
    <xf numFmtId="0" fontId="32" fillId="0" borderId="0" xfId="0" applyFont="1" applyAlignment="1">
      <alignment vertical="center"/>
    </xf>
    <xf numFmtId="0" fontId="37" fillId="0" borderId="0" xfId="0" applyFont="1" applyAlignment="1">
      <alignment vertical="center"/>
    </xf>
    <xf numFmtId="0" fontId="0" fillId="0" borderId="0" xfId="0" applyAlignment="1"/>
    <xf numFmtId="0" fontId="32" fillId="0" borderId="0" xfId="0" applyFont="1" applyAlignment="1">
      <alignment horizontal="left" vertical="center"/>
    </xf>
    <xf numFmtId="0" fontId="26" fillId="0" borderId="0" xfId="0" applyFont="1" applyAlignment="1">
      <alignment horizontal="left" vertical="center"/>
    </xf>
    <xf numFmtId="0" fontId="0" fillId="0" borderId="0" xfId="0" applyAlignment="1">
      <alignment horizontal="left"/>
    </xf>
    <xf numFmtId="0" fontId="20" fillId="0" borderId="0" xfId="0" applyFont="1" applyAlignment="1">
      <alignment vertical="center"/>
    </xf>
    <xf numFmtId="0" fontId="0" fillId="0" borderId="0" xfId="0" applyFill="1" applyBorder="1" applyAlignment="1"/>
    <xf numFmtId="0" fontId="21" fillId="0" borderId="0" xfId="0" applyFont="1" applyFill="1" applyBorder="1" applyAlignment="1">
      <alignment horizontal="center" vertical="center"/>
    </xf>
    <xf numFmtId="20" fontId="24" fillId="0" borderId="0" xfId="0" applyNumberFormat="1" applyFont="1" applyFill="1" applyBorder="1" applyAlignment="1">
      <alignment horizontal="right" vertical="center"/>
    </xf>
    <xf numFmtId="0" fontId="38" fillId="0" borderId="0" xfId="0" applyFont="1" applyAlignment="1"/>
    <xf numFmtId="0" fontId="38" fillId="0" borderId="0" xfId="0" applyFont="1"/>
    <xf numFmtId="0" fontId="37" fillId="0" borderId="0" xfId="0" applyFont="1" applyAlignment="1"/>
    <xf numFmtId="0" fontId="37" fillId="0" borderId="0" xfId="0" applyFont="1" applyAlignment="1">
      <alignment horizontal="left"/>
    </xf>
    <xf numFmtId="0" fontId="23" fillId="0" borderId="0" xfId="0" applyFont="1" applyFill="1" applyBorder="1" applyAlignment="1">
      <alignment vertical="center"/>
    </xf>
    <xf numFmtId="0" fontId="31" fillId="0" borderId="0" xfId="0" applyFont="1" applyFill="1" applyBorder="1" applyAlignment="1">
      <alignment vertical="center"/>
    </xf>
    <xf numFmtId="0" fontId="28" fillId="2" borderId="0" xfId="0" applyFont="1" applyFill="1" applyBorder="1" applyAlignment="1">
      <alignment horizontal="center" vertical="center"/>
    </xf>
    <xf numFmtId="0" fontId="39" fillId="0" borderId="0" xfId="0" applyFont="1" applyFill="1" applyAlignment="1"/>
    <xf numFmtId="0" fontId="0" fillId="0" borderId="0" xfId="0" applyFill="1" applyAlignment="1"/>
    <xf numFmtId="0" fontId="28" fillId="0" borderId="0" xfId="0" applyFont="1" applyFill="1" applyBorder="1" applyAlignment="1">
      <alignment horizontal="center" vertical="center"/>
    </xf>
    <xf numFmtId="0" fontId="0" fillId="0" borderId="0" xfId="0" applyFill="1" applyAlignment="1">
      <alignment horizontal="left"/>
    </xf>
    <xf numFmtId="0" fontId="0" fillId="0" borderId="0" xfId="0" applyFill="1" applyAlignment="1">
      <alignment vertical="center"/>
    </xf>
    <xf numFmtId="0" fontId="20" fillId="0" borderId="0" xfId="0" applyFont="1" applyAlignment="1">
      <alignment vertical="top"/>
    </xf>
    <xf numFmtId="0" fontId="33" fillId="0" borderId="0" xfId="0" applyFont="1" applyFill="1" applyAlignment="1">
      <alignment vertical="center"/>
    </xf>
    <xf numFmtId="0" fontId="32" fillId="0" borderId="0" xfId="0" applyFont="1" applyAlignment="1"/>
    <xf numFmtId="0" fontId="32" fillId="0" borderId="0" xfId="0" applyFont="1" applyFill="1" applyAlignment="1"/>
    <xf numFmtId="0" fontId="45" fillId="0" borderId="0" xfId="0" applyFont="1" applyAlignment="1">
      <alignment vertical="center"/>
    </xf>
    <xf numFmtId="0" fontId="32" fillId="0" borderId="0" xfId="0" applyFont="1"/>
    <xf numFmtId="0" fontId="47" fillId="0" borderId="0" xfId="0" applyFont="1" applyAlignment="1">
      <alignment horizontal="left" vertical="center"/>
    </xf>
    <xf numFmtId="0" fontId="23" fillId="0" borderId="0" xfId="0" applyFont="1" applyAlignment="1">
      <alignment vertical="center"/>
    </xf>
    <xf numFmtId="0" fontId="23" fillId="0" borderId="0" xfId="0" applyFont="1" applyAlignment="1">
      <alignment horizontal="left" vertical="center"/>
    </xf>
    <xf numFmtId="0" fontId="29" fillId="0" borderId="0" xfId="0" applyFont="1" applyFill="1" applyBorder="1" applyAlignment="1">
      <alignment horizontal="left" vertical="center"/>
    </xf>
    <xf numFmtId="0" fontId="0" fillId="0" borderId="0" xfId="0" applyFill="1" applyBorder="1" applyAlignment="1">
      <alignment horizontal="left" vertical="center"/>
    </xf>
    <xf numFmtId="0" fontId="25" fillId="0" borderId="0" xfId="0" applyFont="1" applyFill="1" applyBorder="1" applyAlignment="1">
      <alignment horizontal="left" vertical="center"/>
    </xf>
    <xf numFmtId="0" fontId="35" fillId="0" borderId="0" xfId="0" applyFont="1" applyFill="1" applyBorder="1" applyAlignment="1">
      <alignment horizontal="left" vertical="center"/>
    </xf>
    <xf numFmtId="0" fontId="25" fillId="0" borderId="0" xfId="0" applyFont="1" applyFill="1" applyBorder="1" applyAlignment="1">
      <alignment horizontal="center" vertical="center"/>
    </xf>
    <xf numFmtId="0" fontId="29" fillId="0" borderId="0" xfId="0" applyFont="1" applyFill="1" applyBorder="1" applyAlignment="1">
      <alignment horizontal="center" vertical="center"/>
    </xf>
    <xf numFmtId="0" fontId="32" fillId="0" borderId="0" xfId="0" applyFont="1" applyFill="1" applyBorder="1" applyAlignment="1">
      <alignment horizontal="left" vertical="center"/>
    </xf>
    <xf numFmtId="0" fontId="0" fillId="0" borderId="0" xfId="0" applyBorder="1" applyAlignment="1"/>
    <xf numFmtId="0" fontId="60" fillId="0" borderId="0" xfId="0" applyFont="1"/>
    <xf numFmtId="0" fontId="70" fillId="3" borderId="160" xfId="0" applyFont="1" applyFill="1" applyBorder="1" applyAlignment="1">
      <alignment horizontal="center" vertical="center" wrapText="1"/>
    </xf>
    <xf numFmtId="0" fontId="70" fillId="3" borderId="161" xfId="0" applyFont="1" applyFill="1" applyBorder="1" applyAlignment="1">
      <alignment horizontal="center" vertical="center" wrapText="1"/>
    </xf>
    <xf numFmtId="0" fontId="70" fillId="3" borderId="162" xfId="0" applyFont="1" applyFill="1" applyBorder="1" applyAlignment="1">
      <alignment horizontal="center" vertical="center" wrapText="1"/>
    </xf>
    <xf numFmtId="0" fontId="0" fillId="0" borderId="166" xfId="0" applyBorder="1" applyAlignment="1">
      <alignment vertical="center"/>
    </xf>
    <xf numFmtId="0" fontId="0" fillId="0" borderId="166" xfId="0" applyBorder="1" applyAlignment="1">
      <alignment horizontal="left" vertical="center" indent="1"/>
    </xf>
    <xf numFmtId="0" fontId="63" fillId="0" borderId="0" xfId="0" applyFont="1" applyBorder="1" applyAlignment="1"/>
    <xf numFmtId="0" fontId="63" fillId="0" borderId="137" xfId="0" applyFont="1" applyBorder="1" applyAlignment="1"/>
    <xf numFmtId="169" fontId="0" fillId="0" borderId="166" xfId="0" applyNumberFormat="1" applyBorder="1" applyAlignment="1">
      <alignment horizontal="left" vertical="center" indent="1"/>
    </xf>
    <xf numFmtId="0" fontId="61" fillId="3" borderId="163" xfId="0" applyFont="1" applyFill="1" applyBorder="1" applyAlignment="1">
      <alignment horizontal="center" vertical="center" wrapText="1"/>
    </xf>
    <xf numFmtId="0" fontId="70" fillId="3" borderId="164" xfId="0" applyFont="1" applyFill="1" applyBorder="1" applyAlignment="1">
      <alignment horizontal="center" vertical="center" wrapText="1"/>
    </xf>
    <xf numFmtId="0" fontId="70" fillId="3" borderId="165" xfId="0" applyFont="1" applyFill="1" applyBorder="1" applyAlignment="1">
      <alignment horizontal="center" vertical="center" wrapText="1"/>
    </xf>
    <xf numFmtId="0" fontId="73" fillId="0" borderId="149" xfId="0" applyFont="1" applyBorder="1" applyAlignment="1">
      <alignment horizontal="left" vertical="center"/>
    </xf>
    <xf numFmtId="0" fontId="73" fillId="0" borderId="0" xfId="0" applyFont="1" applyBorder="1" applyAlignment="1">
      <alignment horizontal="left" vertical="center"/>
    </xf>
    <xf numFmtId="0" fontId="73" fillId="0" borderId="137" xfId="0" applyFont="1" applyBorder="1" applyAlignment="1">
      <alignment horizontal="left" vertical="center"/>
    </xf>
    <xf numFmtId="0" fontId="0" fillId="0" borderId="116" xfId="0" applyFill="1" applyBorder="1" applyAlignment="1">
      <alignment vertical="center"/>
    </xf>
    <xf numFmtId="0" fontId="0" fillId="0" borderId="116" xfId="0" applyFill="1" applyBorder="1" applyAlignment="1">
      <alignment horizontal="left" vertical="center" indent="1"/>
    </xf>
    <xf numFmtId="167" fontId="0" fillId="0" borderId="116" xfId="0" applyNumberFormat="1" applyFill="1" applyBorder="1" applyAlignment="1">
      <alignment horizontal="left" vertical="center" indent="1"/>
    </xf>
    <xf numFmtId="0" fontId="70" fillId="3" borderId="147" xfId="0" applyFont="1" applyFill="1" applyBorder="1" applyAlignment="1">
      <alignment horizontal="center" vertical="center" wrapText="1"/>
    </xf>
    <xf numFmtId="0" fontId="70" fillId="3" borderId="147" xfId="0" applyFont="1" applyFill="1" applyBorder="1" applyAlignment="1">
      <alignment horizontal="center" vertical="center"/>
    </xf>
    <xf numFmtId="0" fontId="85" fillId="0" borderId="0" xfId="0" applyFont="1" applyBorder="1"/>
    <xf numFmtId="0" fontId="84" fillId="0" borderId="149" xfId="0" applyFont="1" applyBorder="1"/>
    <xf numFmtId="0" fontId="85" fillId="0" borderId="0" xfId="0" applyFont="1"/>
    <xf numFmtId="0" fontId="85" fillId="0" borderId="0" xfId="0" applyFont="1" applyAlignment="1"/>
    <xf numFmtId="0" fontId="85" fillId="0" borderId="0" xfId="0" applyFont="1" applyFill="1" applyAlignment="1"/>
    <xf numFmtId="0" fontId="88" fillId="0" borderId="116" xfId="0" applyFont="1" applyBorder="1" applyAlignment="1">
      <alignment vertical="center"/>
    </xf>
    <xf numFmtId="0" fontId="79" fillId="29" borderId="181" xfId="0" applyFont="1" applyFill="1" applyBorder="1" applyAlignment="1">
      <alignment horizontal="center" vertical="center"/>
    </xf>
    <xf numFmtId="0" fontId="80" fillId="29" borderId="166" xfId="0" applyFont="1" applyFill="1" applyBorder="1" applyAlignment="1">
      <alignment horizontal="center" vertical="center"/>
    </xf>
    <xf numFmtId="0" fontId="78" fillId="0" borderId="166" xfId="0" applyFont="1" applyBorder="1" applyAlignment="1">
      <alignment vertical="center"/>
    </xf>
    <xf numFmtId="0" fontId="1" fillId="0" borderId="149" xfId="0" applyFont="1" applyBorder="1" applyAlignment="1">
      <alignment horizontal="left" vertical="center" indent="1"/>
    </xf>
    <xf numFmtId="0" fontId="0" fillId="0" borderId="0" xfId="0" applyFill="1"/>
    <xf numFmtId="0" fontId="64" fillId="0" borderId="158" xfId="0" applyFont="1" applyFill="1" applyBorder="1" applyAlignment="1">
      <alignment horizontal="left" vertical="center" wrapText="1" indent="1"/>
    </xf>
    <xf numFmtId="0" fontId="64" fillId="0" borderId="118" xfId="0" applyFont="1" applyFill="1" applyBorder="1" applyAlignment="1">
      <alignment horizontal="center" vertical="center" wrapText="1"/>
    </xf>
    <xf numFmtId="0" fontId="64" fillId="0" borderId="144" xfId="0" applyFont="1" applyFill="1" applyBorder="1" applyAlignment="1">
      <alignment horizontal="left" vertical="center" wrapText="1" indent="1"/>
    </xf>
    <xf numFmtId="0" fontId="64" fillId="0" borderId="119" xfId="0" applyFont="1" applyFill="1" applyBorder="1" applyAlignment="1">
      <alignment horizontal="center" vertical="center" wrapText="1"/>
    </xf>
    <xf numFmtId="0" fontId="64" fillId="0" borderId="145" xfId="0" applyFont="1" applyFill="1" applyBorder="1" applyAlignment="1">
      <alignment horizontal="center" vertical="center" wrapText="1"/>
    </xf>
    <xf numFmtId="0" fontId="64" fillId="0" borderId="147" xfId="0" applyFont="1" applyFill="1" applyBorder="1" applyAlignment="1">
      <alignment horizontal="center" vertical="center" wrapText="1"/>
    </xf>
    <xf numFmtId="0" fontId="64" fillId="0" borderId="158" xfId="0" applyFont="1" applyFill="1" applyBorder="1" applyAlignment="1">
      <alignment horizontal="center" vertical="center"/>
    </xf>
    <xf numFmtId="0" fontId="64" fillId="0" borderId="118" xfId="0" applyFont="1" applyFill="1" applyBorder="1" applyAlignment="1">
      <alignment horizontal="center" vertical="center"/>
    </xf>
    <xf numFmtId="0" fontId="64" fillId="0" borderId="144" xfId="0" applyFont="1" applyFill="1" applyBorder="1" applyAlignment="1">
      <alignment horizontal="center" vertical="center"/>
    </xf>
    <xf numFmtId="0" fontId="64" fillId="0" borderId="119" xfId="0" applyFont="1" applyFill="1" applyBorder="1" applyAlignment="1">
      <alignment horizontal="center" vertical="center"/>
    </xf>
    <xf numFmtId="0" fontId="64" fillId="0" borderId="145" xfId="0" applyFont="1" applyFill="1" applyBorder="1" applyAlignment="1">
      <alignment horizontal="center" vertical="center"/>
    </xf>
    <xf numFmtId="0" fontId="64" fillId="0" borderId="146" xfId="0" applyFont="1" applyFill="1" applyBorder="1" applyAlignment="1">
      <alignment horizontal="center" vertical="center"/>
    </xf>
    <xf numFmtId="0" fontId="64" fillId="0" borderId="147" xfId="0" applyFont="1" applyFill="1" applyBorder="1" applyAlignment="1">
      <alignment horizontal="center" vertical="center"/>
    </xf>
    <xf numFmtId="0" fontId="77" fillId="0" borderId="142" xfId="0" applyFont="1" applyFill="1" applyBorder="1" applyAlignment="1">
      <alignment horizontal="left" vertical="center"/>
    </xf>
    <xf numFmtId="0" fontId="77" fillId="0" borderId="119" xfId="0" applyFont="1" applyFill="1" applyBorder="1" applyAlignment="1">
      <alignment horizontal="left" vertical="center"/>
    </xf>
    <xf numFmtId="0" fontId="77" fillId="0" borderId="119" xfId="0" applyFont="1" applyFill="1" applyBorder="1" applyAlignment="1">
      <alignment horizontal="left" vertical="center" wrapText="1"/>
    </xf>
    <xf numFmtId="0" fontId="77" fillId="0" borderId="147" xfId="0" applyFont="1" applyFill="1" applyBorder="1" applyAlignment="1">
      <alignment horizontal="left" vertical="center"/>
    </xf>
    <xf numFmtId="0" fontId="79" fillId="29" borderId="166" xfId="0" applyFont="1" applyFill="1" applyBorder="1" applyAlignment="1">
      <alignment horizontal="center" vertical="center"/>
    </xf>
    <xf numFmtId="43" fontId="15" fillId="0" borderId="119" xfId="52" applyNumberFormat="1" applyFont="1" applyFill="1" applyBorder="1" applyAlignment="1">
      <alignment horizontal="right" vertical="center" indent="1"/>
    </xf>
    <xf numFmtId="0" fontId="40" fillId="0" borderId="0" xfId="0" applyFont="1"/>
    <xf numFmtId="0" fontId="83" fillId="0" borderId="0" xfId="0" applyFont="1"/>
    <xf numFmtId="0" fontId="24" fillId="0" borderId="0" xfId="0" applyFont="1" applyAlignment="1"/>
    <xf numFmtId="0" fontId="24" fillId="0" borderId="0" xfId="0" applyFont="1"/>
    <xf numFmtId="0" fontId="97" fillId="0" borderId="0" xfId="0" applyFont="1" applyFill="1" applyBorder="1" applyAlignment="1"/>
    <xf numFmtId="0" fontId="97" fillId="0" borderId="0" xfId="0" applyFont="1" applyBorder="1" applyAlignment="1">
      <alignment horizontal="center" vertical="center"/>
    </xf>
    <xf numFmtId="0" fontId="97" fillId="0" borderId="0" xfId="0" applyFont="1" applyBorder="1" applyAlignment="1"/>
    <xf numFmtId="0" fontId="61" fillId="0" borderId="0" xfId="0" applyFont="1" applyBorder="1" applyAlignment="1">
      <alignment horizontal="left" vertical="center"/>
    </xf>
    <xf numFmtId="0" fontId="15" fillId="0" borderId="144" xfId="0" applyFont="1" applyFill="1" applyBorder="1" applyAlignment="1">
      <alignment vertical="center" wrapText="1"/>
    </xf>
    <xf numFmtId="0" fontId="96" fillId="0" borderId="0" xfId="0" applyFont="1" applyAlignment="1">
      <alignment vertical="center"/>
    </xf>
    <xf numFmtId="0" fontId="95" fillId="0" borderId="0" xfId="0" applyFont="1" applyAlignment="1">
      <alignment vertical="center"/>
    </xf>
    <xf numFmtId="0" fontId="95" fillId="0" borderId="0" xfId="0" applyFont="1" applyFill="1" applyAlignment="1">
      <alignment vertical="center"/>
    </xf>
    <xf numFmtId="0" fontId="76" fillId="0" borderId="158" xfId="0" applyFont="1" applyFill="1" applyBorder="1" applyAlignment="1">
      <alignment horizontal="left" vertical="center"/>
    </xf>
    <xf numFmtId="0" fontId="76" fillId="0" borderId="144" xfId="0" applyFont="1" applyFill="1" applyBorder="1" applyAlignment="1">
      <alignment horizontal="left" vertical="center"/>
    </xf>
    <xf numFmtId="0" fontId="77" fillId="0" borderId="142" xfId="0" applyFont="1" applyFill="1" applyBorder="1" applyAlignment="1">
      <alignment horizontal="center" vertical="center"/>
    </xf>
    <xf numFmtId="0" fontId="77" fillId="0" borderId="143" xfId="0" applyFont="1" applyFill="1" applyBorder="1" applyAlignment="1">
      <alignment horizontal="center" vertical="center"/>
    </xf>
    <xf numFmtId="0" fontId="77" fillId="0" borderId="119" xfId="0" applyFont="1" applyFill="1" applyBorder="1" applyAlignment="1">
      <alignment horizontal="center"/>
    </xf>
    <xf numFmtId="0" fontId="77" fillId="0" borderId="145" xfId="0" applyFont="1" applyFill="1" applyBorder="1" applyAlignment="1">
      <alignment horizontal="center"/>
    </xf>
    <xf numFmtId="0" fontId="77" fillId="0" borderId="147" xfId="0" applyFont="1" applyFill="1" applyBorder="1" applyAlignment="1">
      <alignment horizontal="center"/>
    </xf>
    <xf numFmtId="0" fontId="77" fillId="0" borderId="148" xfId="0" applyFont="1" applyFill="1" applyBorder="1" applyAlignment="1">
      <alignment horizontal="center"/>
    </xf>
    <xf numFmtId="0" fontId="79" fillId="29" borderId="166" xfId="0" applyFont="1" applyFill="1" applyBorder="1" applyAlignment="1">
      <alignment horizontal="center" vertical="center"/>
    </xf>
    <xf numFmtId="0" fontId="79" fillId="29" borderId="166" xfId="0" applyFont="1" applyFill="1" applyBorder="1" applyAlignment="1">
      <alignment vertical="center"/>
    </xf>
    <xf numFmtId="0" fontId="77" fillId="0" borderId="119" xfId="0" applyFont="1" applyFill="1" applyBorder="1" applyAlignment="1">
      <alignment horizontal="center" vertical="center"/>
    </xf>
    <xf numFmtId="0" fontId="77" fillId="0" borderId="145" xfId="0" applyFont="1" applyFill="1" applyBorder="1" applyAlignment="1">
      <alignment horizontal="center" vertical="center"/>
    </xf>
    <xf numFmtId="43" fontId="15" fillId="0" borderId="142" xfId="52" applyFont="1" applyFill="1" applyBorder="1" applyAlignment="1">
      <alignment horizontal="right" vertical="center" indent="1"/>
    </xf>
    <xf numFmtId="43" fontId="15" fillId="0" borderId="119" xfId="52" applyFont="1" applyFill="1" applyBorder="1" applyAlignment="1">
      <alignment horizontal="right" vertical="center" indent="1"/>
    </xf>
    <xf numFmtId="0" fontId="76" fillId="0" borderId="144" xfId="0" applyFont="1" applyFill="1" applyBorder="1" applyAlignment="1">
      <alignment horizontal="center" vertical="center"/>
    </xf>
    <xf numFmtId="0" fontId="76" fillId="0" borderId="146" xfId="0" applyFont="1" applyFill="1" applyBorder="1" applyAlignment="1">
      <alignment horizontal="center" vertical="center"/>
    </xf>
    <xf numFmtId="0" fontId="0" fillId="0" borderId="145" xfId="0" applyFill="1" applyBorder="1" applyAlignment="1">
      <alignment vertical="center"/>
    </xf>
    <xf numFmtId="0" fontId="0" fillId="0" borderId="148" xfId="0" applyFill="1" applyBorder="1" applyAlignment="1">
      <alignment vertical="center"/>
    </xf>
    <xf numFmtId="0" fontId="76" fillId="0" borderId="141" xfId="0" applyFont="1" applyFill="1" applyBorder="1" applyAlignment="1">
      <alignment horizontal="center" vertical="center"/>
    </xf>
    <xf numFmtId="43" fontId="15" fillId="0" borderId="147" xfId="52" applyFont="1" applyFill="1" applyBorder="1" applyAlignment="1">
      <alignment horizontal="right" vertical="center" indent="1"/>
    </xf>
    <xf numFmtId="167" fontId="77" fillId="0" borderId="145" xfId="0" applyNumberFormat="1" applyFont="1" applyFill="1" applyBorder="1" applyAlignment="1">
      <alignment horizontal="center"/>
    </xf>
    <xf numFmtId="0" fontId="76" fillId="0" borderId="146" xfId="0" applyFont="1" applyFill="1" applyBorder="1" applyAlignment="1">
      <alignment horizontal="center" vertical="center"/>
    </xf>
    <xf numFmtId="17" fontId="15" fillId="0" borderId="119" xfId="53" applyNumberFormat="1" applyFont="1" applyBorder="1" applyAlignment="1">
      <alignment horizontal="center" vertical="center"/>
    </xf>
    <xf numFmtId="43" fontId="15" fillId="0" borderId="119" xfId="54" applyNumberFormat="1" applyFont="1" applyBorder="1" applyAlignment="1">
      <alignment vertical="center"/>
    </xf>
    <xf numFmtId="0" fontId="0" fillId="0" borderId="0" xfId="0" applyAlignment="1">
      <alignment horizontal="center"/>
    </xf>
    <xf numFmtId="0" fontId="40" fillId="0" borderId="197" xfId="0" applyFont="1" applyBorder="1" applyAlignment="1">
      <alignment horizontal="center" vertical="center"/>
    </xf>
    <xf numFmtId="0" fontId="40" fillId="0" borderId="198" xfId="0" applyFont="1" applyBorder="1" applyAlignment="1">
      <alignment horizontal="center" vertical="center"/>
    </xf>
    <xf numFmtId="0" fontId="0" fillId="0" borderId="0" xfId="0" applyAlignment="1">
      <alignment horizontal="center" vertical="center"/>
    </xf>
    <xf numFmtId="0" fontId="76" fillId="0" borderId="119" xfId="0" applyFont="1" applyFill="1" applyBorder="1" applyAlignment="1">
      <alignment horizontal="center" vertical="center"/>
    </xf>
    <xf numFmtId="0" fontId="76" fillId="0" borderId="142" xfId="0" applyFont="1" applyFill="1" applyBorder="1" applyAlignment="1">
      <alignment horizontal="center" vertical="center"/>
    </xf>
    <xf numFmtId="0" fontId="76" fillId="0" borderId="147" xfId="0" applyFont="1" applyFill="1" applyBorder="1" applyAlignment="1">
      <alignment horizontal="center" vertical="center"/>
    </xf>
    <xf numFmtId="43" fontId="74" fillId="2" borderId="202" xfId="52" applyFont="1" applyFill="1" applyBorder="1" applyAlignment="1">
      <alignment vertical="center"/>
    </xf>
    <xf numFmtId="43" fontId="64" fillId="2" borderId="121" xfId="52" applyNumberFormat="1" applyFont="1" applyFill="1" applyBorder="1" applyAlignment="1">
      <alignment horizontal="left" vertical="center" indent="1"/>
    </xf>
    <xf numFmtId="0" fontId="74" fillId="2" borderId="122" xfId="0" applyFont="1" applyFill="1" applyBorder="1" applyAlignment="1">
      <alignment vertical="center"/>
    </xf>
    <xf numFmtId="43" fontId="15" fillId="0" borderId="124" xfId="52" applyFont="1" applyFill="1" applyBorder="1" applyAlignment="1">
      <alignment horizontal="right" vertical="center" indent="1"/>
    </xf>
    <xf numFmtId="0" fontId="63" fillId="2" borderId="125" xfId="0" applyFont="1" applyFill="1" applyBorder="1" applyAlignment="1">
      <alignment vertical="center"/>
    </xf>
    <xf numFmtId="0" fontId="63" fillId="0" borderId="0" xfId="0" applyFont="1" applyFill="1"/>
    <xf numFmtId="43" fontId="63" fillId="2" borderId="126" xfId="52" applyFont="1" applyFill="1" applyBorder="1" applyAlignment="1">
      <alignment vertical="center"/>
    </xf>
    <xf numFmtId="43" fontId="64" fillId="2" borderId="125" xfId="52" applyNumberFormat="1" applyFont="1" applyFill="1" applyBorder="1" applyAlignment="1">
      <alignment horizontal="left" vertical="center" indent="1"/>
    </xf>
    <xf numFmtId="0" fontId="63" fillId="2" borderId="126" xfId="0" applyFont="1" applyFill="1" applyBorder="1" applyAlignment="1">
      <alignment vertical="center"/>
    </xf>
    <xf numFmtId="43" fontId="15" fillId="0" borderId="127" xfId="52" applyFont="1" applyFill="1" applyBorder="1" applyAlignment="1">
      <alignment horizontal="right" vertical="center" indent="1"/>
    </xf>
    <xf numFmtId="0" fontId="63" fillId="2" borderId="203" xfId="0" applyFont="1" applyFill="1" applyBorder="1" applyAlignment="1">
      <alignment vertical="center"/>
    </xf>
    <xf numFmtId="43" fontId="15" fillId="2" borderId="125" xfId="52" applyNumberFormat="1" applyFont="1" applyFill="1" applyBorder="1" applyAlignment="1">
      <alignment horizontal="right" vertical="center" indent="1"/>
    </xf>
    <xf numFmtId="43" fontId="15" fillId="2" borderId="126" xfId="52" applyNumberFormat="1" applyFont="1" applyFill="1" applyBorder="1" applyAlignment="1">
      <alignment horizontal="right" vertical="center" indent="1"/>
    </xf>
    <xf numFmtId="43" fontId="15" fillId="0" borderId="125" xfId="52" applyNumberFormat="1" applyFont="1" applyFill="1" applyBorder="1" applyAlignment="1">
      <alignment horizontal="right" vertical="center" indent="1"/>
    </xf>
    <xf numFmtId="17" fontId="101" fillId="0" borderId="119" xfId="53" applyNumberFormat="1" applyFont="1" applyBorder="1" applyAlignment="1">
      <alignment horizontal="center" vertical="center"/>
    </xf>
    <xf numFmtId="43" fontId="15" fillId="0" borderId="147" xfId="52" applyNumberFormat="1" applyFont="1" applyFill="1" applyBorder="1" applyAlignment="1">
      <alignment horizontal="right" vertical="center" indent="1"/>
    </xf>
    <xf numFmtId="0" fontId="87" fillId="0" borderId="166" xfId="0" applyFont="1" applyBorder="1" applyAlignment="1">
      <alignment horizontal="center" vertical="center"/>
    </xf>
    <xf numFmtId="0" fontId="102" fillId="3" borderId="167" xfId="0" applyFont="1" applyFill="1" applyBorder="1" applyAlignment="1">
      <alignment horizontal="center" vertical="center"/>
    </xf>
    <xf numFmtId="167" fontId="102" fillId="3" borderId="167" xfId="0" applyNumberFormat="1" applyFont="1" applyFill="1" applyBorder="1" applyAlignment="1">
      <alignment horizontal="center" vertical="center"/>
    </xf>
    <xf numFmtId="0" fontId="0" fillId="0" borderId="143" xfId="0" applyFill="1" applyBorder="1" applyAlignment="1">
      <alignment vertical="center" wrapText="1"/>
    </xf>
    <xf numFmtId="0" fontId="0" fillId="0" borderId="145" xfId="0" applyFill="1" applyBorder="1" applyAlignment="1">
      <alignment vertical="center" wrapText="1"/>
    </xf>
    <xf numFmtId="0" fontId="73" fillId="0" borderId="149" xfId="0" applyFont="1" applyBorder="1" applyAlignment="1">
      <alignment horizontal="left" vertical="center"/>
    </xf>
    <xf numFmtId="0" fontId="73" fillId="0" borderId="0" xfId="0" applyFont="1" applyBorder="1" applyAlignment="1">
      <alignment horizontal="left" vertical="center"/>
    </xf>
    <xf numFmtId="0" fontId="73" fillId="0" borderId="137" xfId="0" applyFont="1" applyBorder="1" applyAlignment="1">
      <alignment horizontal="left" vertical="center"/>
    </xf>
    <xf numFmtId="167" fontId="77" fillId="0" borderId="119" xfId="0" applyNumberFormat="1" applyFont="1" applyFill="1" applyBorder="1" applyAlignment="1">
      <alignment horizontal="center"/>
    </xf>
    <xf numFmtId="169" fontId="64" fillId="0" borderId="118" xfId="0" applyNumberFormat="1" applyFont="1" applyFill="1" applyBorder="1" applyAlignment="1">
      <alignment horizontal="left" vertical="center" wrapText="1"/>
    </xf>
    <xf numFmtId="169" fontId="64" fillId="0" borderId="119" xfId="0" applyNumberFormat="1" applyFont="1" applyFill="1" applyBorder="1" applyAlignment="1">
      <alignment horizontal="left" vertical="center" wrapText="1"/>
    </xf>
    <xf numFmtId="17" fontId="15" fillId="0" borderId="119" xfId="53" applyNumberFormat="1" applyFont="1" applyFill="1" applyBorder="1" applyAlignment="1">
      <alignment horizontal="center" vertical="center"/>
    </xf>
    <xf numFmtId="43" fontId="15" fillId="0" borderId="119" xfId="54" applyNumberFormat="1" applyFont="1" applyBorder="1" applyAlignment="1">
      <alignment horizontal="center" vertical="center"/>
    </xf>
    <xf numFmtId="4" fontId="15" fillId="0" borderId="119" xfId="52" applyNumberFormat="1" applyFont="1" applyFill="1" applyBorder="1" applyAlignment="1">
      <alignment horizontal="left" vertical="center"/>
    </xf>
    <xf numFmtId="43" fontId="74" fillId="2" borderId="126" xfId="52" applyFont="1" applyFill="1" applyBorder="1" applyAlignment="1">
      <alignment vertical="center"/>
    </xf>
    <xf numFmtId="43" fontId="103" fillId="2" borderId="126" xfId="52" applyFont="1" applyFill="1" applyBorder="1" applyAlignment="1">
      <alignment vertical="center"/>
    </xf>
    <xf numFmtId="0" fontId="0" fillId="0" borderId="149" xfId="0" applyBorder="1"/>
    <xf numFmtId="0" fontId="0" fillId="0" borderId="0" xfId="0" applyBorder="1"/>
    <xf numFmtId="0" fontId="0" fillId="0" borderId="137" xfId="0" applyBorder="1"/>
    <xf numFmtId="43" fontId="70" fillId="0" borderId="148" xfId="52" applyFont="1" applyFill="1" applyBorder="1" applyAlignment="1">
      <alignment horizontal="center" vertical="center"/>
    </xf>
    <xf numFmtId="0" fontId="77" fillId="0" borderId="119" xfId="0" applyFont="1" applyFill="1" applyBorder="1" applyAlignment="1">
      <alignment horizontal="center" vertical="center"/>
    </xf>
    <xf numFmtId="0" fontId="77" fillId="0" borderId="119" xfId="0" applyFont="1" applyFill="1" applyBorder="1" applyAlignment="1">
      <alignment horizontal="center"/>
    </xf>
    <xf numFmtId="0" fontId="15" fillId="0" borderId="146" xfId="0" applyFont="1" applyFill="1" applyBorder="1" applyAlignment="1">
      <alignment vertical="center" wrapText="1"/>
    </xf>
    <xf numFmtId="43" fontId="79" fillId="0" borderId="147" xfId="52" applyFont="1" applyFill="1" applyBorder="1" applyAlignment="1">
      <alignment horizontal="center" vertical="center"/>
    </xf>
    <xf numFmtId="0" fontId="0" fillId="0" borderId="119" xfId="0" applyFill="1" applyBorder="1" applyAlignment="1">
      <alignment vertical="center" wrapText="1"/>
    </xf>
    <xf numFmtId="0" fontId="61" fillId="0" borderId="0" xfId="0" applyFont="1" applyBorder="1" applyAlignment="1">
      <alignment vertical="center"/>
    </xf>
    <xf numFmtId="0" fontId="97" fillId="0" borderId="0" xfId="0" applyFont="1" applyBorder="1" applyAlignment="1">
      <alignment vertical="center"/>
    </xf>
    <xf numFmtId="0" fontId="97" fillId="0" borderId="0" xfId="0" applyFont="1" applyBorder="1" applyAlignment="1">
      <alignment horizontal="center"/>
    </xf>
    <xf numFmtId="0" fontId="0" fillId="0" borderId="206" xfId="0" applyBorder="1"/>
    <xf numFmtId="0" fontId="0" fillId="0" borderId="207" xfId="0" applyFill="1" applyBorder="1" applyAlignment="1"/>
    <xf numFmtId="0" fontId="96" fillId="0" borderId="0" xfId="0" applyFont="1" applyBorder="1" applyAlignment="1">
      <alignment vertical="center"/>
    </xf>
    <xf numFmtId="0" fontId="96" fillId="0" borderId="0" xfId="0" applyFont="1" applyFill="1" applyBorder="1" applyAlignment="1">
      <alignment vertical="center"/>
    </xf>
    <xf numFmtId="0" fontId="96" fillId="0" borderId="207" xfId="0" applyFont="1" applyBorder="1" applyAlignment="1">
      <alignment vertical="center"/>
    </xf>
    <xf numFmtId="0" fontId="0" fillId="0" borderId="206" xfId="0" applyFill="1" applyBorder="1"/>
    <xf numFmtId="0" fontId="0" fillId="0" borderId="0" xfId="0" applyFill="1" applyBorder="1"/>
    <xf numFmtId="0" fontId="85" fillId="0" borderId="208" xfId="0" applyFont="1" applyBorder="1" applyAlignment="1">
      <alignment horizontal="left" vertical="center"/>
    </xf>
    <xf numFmtId="0" fontId="85" fillId="0" borderId="209" xfId="0" applyFont="1" applyBorder="1" applyAlignment="1">
      <alignment horizontal="left" vertical="center"/>
    </xf>
    <xf numFmtId="0" fontId="0" fillId="0" borderId="207" xfId="0" applyBorder="1" applyAlignment="1"/>
    <xf numFmtId="0" fontId="85" fillId="0" borderId="212" xfId="0" applyFont="1" applyBorder="1" applyAlignment="1">
      <alignment horizontal="left" vertical="center"/>
    </xf>
    <xf numFmtId="0" fontId="85" fillId="0" borderId="173" xfId="0" applyFont="1" applyBorder="1" applyAlignment="1">
      <alignment horizontal="left" vertical="center"/>
    </xf>
    <xf numFmtId="0" fontId="85" fillId="0" borderId="174" xfId="0" applyFont="1" applyBorder="1" applyAlignment="1">
      <alignment horizontal="left" vertical="center"/>
    </xf>
    <xf numFmtId="0" fontId="85" fillId="0" borderId="214" xfId="0" applyFont="1" applyBorder="1" applyAlignment="1">
      <alignment horizontal="left" vertical="center"/>
    </xf>
    <xf numFmtId="0" fontId="85" fillId="0" borderId="215" xfId="0" applyFont="1" applyBorder="1" applyAlignment="1">
      <alignment horizontal="left" vertical="center"/>
    </xf>
    <xf numFmtId="0" fontId="85" fillId="0" borderId="216" xfId="0" applyFont="1" applyBorder="1" applyAlignment="1">
      <alignment horizontal="left" vertical="center"/>
    </xf>
    <xf numFmtId="0" fontId="104" fillId="0" borderId="0" xfId="0" applyFont="1" applyFill="1" applyBorder="1" applyAlignment="1">
      <alignment vertical="center" wrapText="1"/>
    </xf>
    <xf numFmtId="0" fontId="105" fillId="2" borderId="0" xfId="0" applyFont="1" applyFill="1" applyBorder="1" applyAlignment="1">
      <alignment vertical="center" wrapText="1"/>
    </xf>
    <xf numFmtId="0" fontId="104" fillId="2" borderId="0" xfId="0" applyFont="1" applyFill="1" applyBorder="1" applyAlignment="1">
      <alignment vertical="center" wrapText="1"/>
    </xf>
    <xf numFmtId="0" fontId="0" fillId="0" borderId="217" xfId="0" applyBorder="1"/>
    <xf numFmtId="0" fontId="0" fillId="0" borderId="218" xfId="0" applyBorder="1"/>
    <xf numFmtId="0" fontId="0" fillId="0" borderId="218" xfId="0" applyBorder="1" applyAlignment="1"/>
    <xf numFmtId="0" fontId="0" fillId="0" borderId="218" xfId="0" applyFill="1" applyBorder="1" applyAlignment="1"/>
    <xf numFmtId="0" fontId="0" fillId="0" borderId="219" xfId="0" applyBorder="1" applyAlignment="1"/>
    <xf numFmtId="0" fontId="61" fillId="0" borderId="207" xfId="0" applyFont="1" applyBorder="1" applyAlignment="1">
      <alignment vertical="center"/>
    </xf>
    <xf numFmtId="0" fontId="97" fillId="0" borderId="206" xfId="0" applyFont="1" applyBorder="1" applyAlignment="1"/>
    <xf numFmtId="0" fontId="97" fillId="0" borderId="207" xfId="0" applyFont="1" applyFill="1" applyBorder="1" applyAlignment="1">
      <alignment vertical="center"/>
    </xf>
    <xf numFmtId="0" fontId="61" fillId="0" borderId="207" xfId="0" applyFont="1" applyBorder="1" applyAlignment="1">
      <alignment horizontal="left" vertical="center"/>
    </xf>
    <xf numFmtId="0" fontId="97" fillId="0" borderId="206" xfId="0" applyFont="1" applyBorder="1" applyAlignment="1">
      <alignment horizontal="center"/>
    </xf>
    <xf numFmtId="0" fontId="97" fillId="0" borderId="0" xfId="0" applyFont="1" applyBorder="1" applyAlignment="1">
      <alignment vertical="center"/>
    </xf>
    <xf numFmtId="0" fontId="97" fillId="0" borderId="0" xfId="0" applyFont="1" applyBorder="1" applyAlignment="1">
      <alignment vertical="center"/>
    </xf>
    <xf numFmtId="0" fontId="61" fillId="0" borderId="0" xfId="0" applyFont="1" applyBorder="1" applyAlignment="1">
      <alignment horizontal="center" vertical="center"/>
    </xf>
    <xf numFmtId="0" fontId="61" fillId="0" borderId="0" xfId="0" applyFont="1" applyBorder="1" applyAlignment="1">
      <alignment vertical="center"/>
    </xf>
    <xf numFmtId="0" fontId="15" fillId="0" borderId="147" xfId="0" applyFont="1" applyFill="1" applyBorder="1" applyAlignment="1">
      <alignment horizontal="left" vertical="center"/>
    </xf>
    <xf numFmtId="0" fontId="99" fillId="0" borderId="231" xfId="0" applyFont="1" applyFill="1" applyBorder="1" applyAlignment="1">
      <alignment horizontal="left" vertical="center"/>
    </xf>
    <xf numFmtId="43" fontId="99" fillId="0" borderId="231" xfId="52" applyFont="1" applyFill="1" applyBorder="1" applyAlignment="1">
      <alignment horizontal="left" vertical="center"/>
    </xf>
    <xf numFmtId="0" fontId="77" fillId="0" borderId="234" xfId="0" applyFont="1" applyFill="1" applyBorder="1" applyAlignment="1">
      <alignment horizontal="left" vertical="center"/>
    </xf>
    <xf numFmtId="0" fontId="80" fillId="3" borderId="236" xfId="0" applyFont="1" applyFill="1" applyBorder="1" applyAlignment="1">
      <alignment horizontal="center" vertical="center"/>
    </xf>
    <xf numFmtId="0" fontId="80" fillId="3" borderId="236" xfId="0" applyFont="1" applyFill="1" applyBorder="1" applyAlignment="1">
      <alignment horizontal="center" vertical="center" wrapText="1"/>
    </xf>
    <xf numFmtId="0" fontId="80" fillId="3" borderId="239" xfId="0" applyFont="1" applyFill="1" applyBorder="1" applyAlignment="1">
      <alignment horizontal="center" vertical="center"/>
    </xf>
    <xf numFmtId="40" fontId="15" fillId="0" borderId="241" xfId="52" applyNumberFormat="1" applyFont="1" applyFill="1" applyBorder="1" applyAlignment="1">
      <alignment vertical="center"/>
    </xf>
    <xf numFmtId="40" fontId="15" fillId="0" borderId="243" xfId="52" applyNumberFormat="1" applyFont="1" applyFill="1" applyBorder="1" applyAlignment="1">
      <alignment vertical="center"/>
    </xf>
    <xf numFmtId="40" fontId="99" fillId="0" borderId="245" xfId="52" applyNumberFormat="1" applyFont="1" applyFill="1" applyBorder="1" applyAlignment="1">
      <alignment vertical="center"/>
    </xf>
    <xf numFmtId="0" fontId="77" fillId="0" borderId="246" xfId="0" applyFont="1" applyFill="1" applyBorder="1" applyAlignment="1">
      <alignment horizontal="left" vertical="center" wrapText="1"/>
    </xf>
    <xf numFmtId="40" fontId="15" fillId="0" borderId="248" xfId="52" applyNumberFormat="1" applyFont="1" applyFill="1" applyBorder="1" applyAlignment="1">
      <alignment vertical="center"/>
    </xf>
    <xf numFmtId="43" fontId="61" fillId="35" borderId="252" xfId="52" applyFont="1" applyFill="1" applyBorder="1" applyAlignment="1">
      <alignment horizontal="center" vertical="center"/>
    </xf>
    <xf numFmtId="0" fontId="99" fillId="0" borderId="253" xfId="0" applyFont="1" applyFill="1" applyBorder="1" applyAlignment="1">
      <alignment horizontal="left" vertical="center"/>
    </xf>
    <xf numFmtId="43" fontId="99" fillId="0" borderId="253" xfId="52" applyFont="1" applyFill="1" applyBorder="1" applyAlignment="1">
      <alignment horizontal="left" vertical="center"/>
    </xf>
    <xf numFmtId="40" fontId="99" fillId="0" borderId="256" xfId="52" applyNumberFormat="1" applyFont="1" applyFill="1" applyBorder="1" applyAlignment="1">
      <alignment vertical="center"/>
    </xf>
    <xf numFmtId="40" fontId="15" fillId="0" borderId="257" xfId="52" applyNumberFormat="1" applyFont="1" applyFill="1" applyBorder="1" applyAlignment="1">
      <alignment vertical="center"/>
    </xf>
    <xf numFmtId="0" fontId="38" fillId="0" borderId="258" xfId="0" applyFont="1" applyBorder="1"/>
    <xf numFmtId="0" fontId="38" fillId="0" borderId="259" xfId="0" applyFont="1" applyBorder="1"/>
    <xf numFmtId="0" fontId="39" fillId="0" borderId="259" xfId="0" applyFont="1" applyFill="1" applyBorder="1" applyAlignment="1"/>
    <xf numFmtId="0" fontId="39" fillId="0" borderId="260" xfId="0" applyFont="1" applyFill="1" applyBorder="1" applyAlignment="1"/>
    <xf numFmtId="0" fontId="85" fillId="0" borderId="238" xfId="0" applyFont="1" applyBorder="1" applyAlignment="1">
      <alignment horizontal="left" vertical="center"/>
    </xf>
    <xf numFmtId="0" fontId="64" fillId="0" borderId="118" xfId="0" applyNumberFormat="1" applyFont="1" applyFill="1" applyBorder="1" applyAlignment="1">
      <alignment horizontal="center" vertical="center"/>
    </xf>
    <xf numFmtId="15" fontId="64" fillId="0" borderId="145" xfId="0" applyNumberFormat="1" applyFont="1" applyFill="1" applyBorder="1" applyAlignment="1">
      <alignment horizontal="center" vertical="center"/>
    </xf>
    <xf numFmtId="15" fontId="64" fillId="0" borderId="119" xfId="0" applyNumberFormat="1" applyFont="1" applyFill="1" applyBorder="1" applyAlignment="1">
      <alignment horizontal="left" vertical="center" wrapText="1"/>
    </xf>
    <xf numFmtId="0" fontId="64" fillId="0" borderId="120" xfId="0" applyFont="1" applyFill="1" applyBorder="1" applyAlignment="1">
      <alignment horizontal="center" vertical="center" wrapText="1"/>
    </xf>
    <xf numFmtId="15" fontId="64" fillId="0" borderId="120" xfId="0" applyNumberFormat="1" applyFont="1" applyFill="1" applyBorder="1" applyAlignment="1">
      <alignment horizontal="left" vertical="center" wrapText="1"/>
    </xf>
    <xf numFmtId="0" fontId="64" fillId="0" borderId="120" xfId="0" applyFont="1" applyFill="1" applyBorder="1" applyAlignment="1">
      <alignment horizontal="center" vertical="center"/>
    </xf>
    <xf numFmtId="15" fontId="64" fillId="0" borderId="147" xfId="0" applyNumberFormat="1" applyFont="1" applyFill="1" applyBorder="1" applyAlignment="1">
      <alignment horizontal="left" vertical="center" wrapText="1"/>
    </xf>
    <xf numFmtId="0" fontId="77" fillId="0" borderId="119" xfId="0" applyFont="1" applyFill="1" applyBorder="1" applyAlignment="1">
      <alignment horizontal="center" vertical="center"/>
    </xf>
    <xf numFmtId="0" fontId="94" fillId="0" borderId="229" xfId="0" applyFont="1" applyBorder="1" applyAlignment="1">
      <alignment vertical="center"/>
    </xf>
    <xf numFmtId="0" fontId="94" fillId="0" borderId="229" xfId="0" applyFont="1" applyBorder="1" applyAlignment="1">
      <alignment horizontal="left" vertical="center" indent="1"/>
    </xf>
    <xf numFmtId="16" fontId="94" fillId="0" borderId="229" xfId="0" applyNumberFormat="1" applyFont="1" applyBorder="1" applyAlignment="1">
      <alignment vertical="center"/>
    </xf>
    <xf numFmtId="167" fontId="94" fillId="0" borderId="229" xfId="0" applyNumberFormat="1" applyFont="1" applyBorder="1" applyAlignment="1">
      <alignment horizontal="left" vertical="center" indent="1"/>
    </xf>
    <xf numFmtId="0" fontId="80" fillId="3" borderId="229" xfId="0" applyFont="1" applyFill="1" applyBorder="1" applyAlignment="1">
      <alignment horizontal="center" vertical="center" wrapText="1"/>
    </xf>
    <xf numFmtId="0" fontId="80" fillId="3" borderId="229" xfId="0" applyFont="1" applyFill="1" applyBorder="1" applyAlignment="1">
      <alignment horizontal="center" vertical="center"/>
    </xf>
    <xf numFmtId="0" fontId="15" fillId="0" borderId="158" xfId="0" applyFont="1" applyFill="1" applyBorder="1" applyAlignment="1">
      <alignment vertical="center" wrapText="1"/>
    </xf>
    <xf numFmtId="17" fontId="15" fillId="0" borderId="118" xfId="53" applyNumberFormat="1" applyFont="1" applyBorder="1" applyAlignment="1">
      <alignment horizontal="center" vertical="center"/>
    </xf>
    <xf numFmtId="43" fontId="15" fillId="0" borderId="118" xfId="54" applyNumberFormat="1" applyFont="1" applyBorder="1" applyAlignment="1">
      <alignment horizontal="center" vertical="center"/>
    </xf>
    <xf numFmtId="43" fontId="15" fillId="0" borderId="118" xfId="52" applyNumberFormat="1" applyFont="1" applyFill="1" applyBorder="1" applyAlignment="1">
      <alignment horizontal="right" vertical="center" indent="1"/>
    </xf>
    <xf numFmtId="4" fontId="70" fillId="3" borderId="229" xfId="0" applyNumberFormat="1" applyFont="1" applyFill="1" applyBorder="1" applyAlignment="1">
      <alignment horizontal="center" vertical="center"/>
    </xf>
    <xf numFmtId="4" fontId="15" fillId="0" borderId="119" xfId="52" applyNumberFormat="1" applyFont="1" applyFill="1" applyBorder="1" applyAlignment="1">
      <alignment horizontal="right" vertical="center"/>
    </xf>
    <xf numFmtId="0" fontId="0" fillId="0" borderId="229" xfId="0" applyBorder="1" applyAlignment="1">
      <alignment vertical="center"/>
    </xf>
    <xf numFmtId="0" fontId="0" fillId="0" borderId="229" xfId="0" applyBorder="1" applyAlignment="1">
      <alignment horizontal="left" vertical="center" indent="1"/>
    </xf>
    <xf numFmtId="15" fontId="0" fillId="0" borderId="229" xfId="0" applyNumberFormat="1" applyBorder="1" applyAlignment="1">
      <alignment horizontal="left" vertical="center" indent="1"/>
    </xf>
    <xf numFmtId="0" fontId="0" fillId="0" borderId="277" xfId="0" applyBorder="1" applyAlignment="1">
      <alignment vertical="center"/>
    </xf>
    <xf numFmtId="4" fontId="0" fillId="0" borderId="278" xfId="0" applyNumberFormat="1" applyBorder="1" applyAlignment="1">
      <alignment horizontal="center" vertical="center"/>
    </xf>
    <xf numFmtId="0" fontId="0" fillId="0" borderId="277" xfId="0" applyBorder="1" applyAlignment="1">
      <alignment vertical="center" wrapText="1"/>
    </xf>
    <xf numFmtId="4" fontId="0" fillId="0" borderId="278" xfId="0" applyNumberFormat="1" applyFill="1" applyBorder="1" applyAlignment="1">
      <alignment horizontal="center" vertical="center"/>
    </xf>
    <xf numFmtId="0" fontId="40" fillId="0" borderId="279" xfId="0" applyFont="1" applyBorder="1" applyAlignment="1">
      <alignment vertical="center"/>
    </xf>
    <xf numFmtId="4" fontId="40" fillId="0" borderId="280" xfId="0" applyNumberFormat="1" applyFont="1" applyBorder="1" applyAlignment="1">
      <alignment horizontal="center" vertical="center"/>
    </xf>
    <xf numFmtId="0" fontId="1" fillId="0" borderId="0" xfId="0" applyFont="1" applyFill="1"/>
    <xf numFmtId="0" fontId="40" fillId="0" borderId="0" xfId="0" applyFont="1" applyFill="1"/>
    <xf numFmtId="43" fontId="63" fillId="2" borderId="270" xfId="52" applyFont="1" applyFill="1" applyBorder="1" applyAlignment="1">
      <alignment vertical="center"/>
    </xf>
    <xf numFmtId="43" fontId="15" fillId="2" borderId="270" xfId="52" applyNumberFormat="1" applyFont="1" applyFill="1" applyBorder="1" applyAlignment="1">
      <alignment horizontal="right" vertical="center" indent="1"/>
    </xf>
    <xf numFmtId="43" fontId="15" fillId="0" borderId="270" xfId="52" applyFont="1" applyFill="1" applyBorder="1" applyAlignment="1">
      <alignment horizontal="right" vertical="center" indent="1"/>
    </xf>
    <xf numFmtId="43" fontId="15" fillId="0" borderId="270" xfId="52" applyNumberFormat="1" applyFont="1" applyFill="1" applyBorder="1" applyAlignment="1">
      <alignment horizontal="right" vertical="center" indent="1"/>
    </xf>
    <xf numFmtId="0" fontId="15" fillId="0" borderId="276" xfId="0" applyFont="1" applyFill="1" applyBorder="1" applyAlignment="1">
      <alignment horizontal="left" vertical="center"/>
    </xf>
    <xf numFmtId="0" fontId="15" fillId="0" borderId="144" xfId="0" applyFont="1" applyFill="1" applyBorder="1" applyAlignment="1">
      <alignment horizontal="center" vertical="center" wrapText="1"/>
    </xf>
    <xf numFmtId="2" fontId="0" fillId="0" borderId="0" xfId="0" applyNumberFormat="1"/>
    <xf numFmtId="43" fontId="15" fillId="0" borderId="119" xfId="52" applyFont="1" applyFill="1" applyBorder="1" applyAlignment="1">
      <alignment horizontal="left" vertical="center"/>
    </xf>
    <xf numFmtId="43" fontId="15" fillId="0" borderId="145" xfId="52" applyFont="1" applyFill="1" applyBorder="1" applyAlignment="1">
      <alignment horizontal="center" vertical="center"/>
    </xf>
    <xf numFmtId="15" fontId="64" fillId="0" borderId="159" xfId="0" applyNumberFormat="1" applyFont="1" applyFill="1" applyBorder="1" applyAlignment="1">
      <alignment horizontal="center" vertical="center" wrapText="1"/>
    </xf>
    <xf numFmtId="15" fontId="64" fillId="0" borderId="145" xfId="0" applyNumberFormat="1" applyFont="1" applyFill="1" applyBorder="1" applyAlignment="1">
      <alignment horizontal="center" vertical="center" wrapText="1"/>
    </xf>
    <xf numFmtId="43" fontId="0" fillId="0" borderId="0" xfId="0" applyNumberFormat="1" applyFill="1"/>
    <xf numFmtId="0" fontId="85" fillId="0" borderId="166" xfId="0" applyFont="1" applyBorder="1" applyAlignment="1">
      <alignment horizontal="left" vertical="center" indent="1"/>
    </xf>
    <xf numFmtId="167" fontId="85" fillId="0" borderId="166" xfId="0" applyNumberFormat="1" applyFont="1" applyBorder="1" applyAlignment="1">
      <alignment horizontal="left" vertical="center" indent="1"/>
    </xf>
    <xf numFmtId="0" fontId="85" fillId="0" borderId="166" xfId="0" applyFont="1" applyBorder="1" applyAlignment="1">
      <alignment vertical="center"/>
    </xf>
    <xf numFmtId="16" fontId="85" fillId="0" borderId="166" xfId="0" applyNumberFormat="1" applyFont="1" applyBorder="1" applyAlignment="1">
      <alignment vertical="center"/>
    </xf>
    <xf numFmtId="0" fontId="40" fillId="0" borderId="206" xfId="0" applyFont="1" applyBorder="1" applyAlignment="1">
      <alignment vertical="center"/>
    </xf>
    <xf numFmtId="0" fontId="0" fillId="0" borderId="207" xfId="0" applyBorder="1" applyAlignment="1">
      <alignment vertical="center"/>
    </xf>
    <xf numFmtId="0" fontId="40" fillId="0" borderId="207" xfId="0" applyFont="1" applyBorder="1" applyAlignment="1">
      <alignment vertical="center"/>
    </xf>
    <xf numFmtId="15" fontId="0" fillId="0" borderId="0" xfId="0" applyNumberFormat="1" applyFill="1"/>
    <xf numFmtId="0" fontId="0" fillId="0" borderId="0" xfId="0" applyNumberFormat="1" applyFill="1"/>
    <xf numFmtId="167" fontId="85" fillId="0" borderId="116" xfId="0" applyNumberFormat="1" applyFont="1" applyBorder="1" applyAlignment="1">
      <alignment horizontal="left" vertical="center" indent="1"/>
    </xf>
    <xf numFmtId="0" fontId="85" fillId="0" borderId="116" xfId="0" applyFont="1" applyBorder="1" applyAlignment="1">
      <alignment horizontal="center" vertical="center"/>
    </xf>
    <xf numFmtId="0" fontId="85" fillId="0" borderId="116" xfId="0" applyFont="1" applyBorder="1" applyAlignment="1">
      <alignment horizontal="left" vertical="center" indent="1"/>
    </xf>
    <xf numFmtId="0" fontId="70" fillId="3" borderId="229" xfId="0" applyFont="1" applyFill="1" applyBorder="1" applyAlignment="1">
      <alignment horizontal="center" vertical="center" wrapText="1"/>
    </xf>
    <xf numFmtId="0" fontId="77" fillId="0" borderId="119" xfId="0" applyFont="1" applyFill="1" applyBorder="1" applyAlignment="1">
      <alignment horizontal="center" vertical="center"/>
    </xf>
    <xf numFmtId="43" fontId="0" fillId="0" borderId="0" xfId="52" applyFont="1"/>
    <xf numFmtId="43" fontId="0" fillId="0" borderId="0" xfId="52" applyFont="1" applyFill="1"/>
    <xf numFmtId="43" fontId="15" fillId="0" borderId="120" xfId="54" applyNumberFormat="1" applyFont="1" applyBorder="1" applyAlignment="1">
      <alignment vertical="center"/>
    </xf>
    <xf numFmtId="43" fontId="15" fillId="0" borderId="120" xfId="52" applyNumberFormat="1" applyFont="1" applyFill="1" applyBorder="1" applyAlignment="1">
      <alignment horizontal="right" vertical="center" indent="1"/>
    </xf>
    <xf numFmtId="0" fontId="85" fillId="0" borderId="229" xfId="0" applyFont="1" applyBorder="1" applyAlignment="1">
      <alignment horizontal="left" vertical="center" indent="1"/>
    </xf>
    <xf numFmtId="167" fontId="85" fillId="0" borderId="229" xfId="0" applyNumberFormat="1" applyFont="1" applyBorder="1" applyAlignment="1">
      <alignment horizontal="left" vertical="center" indent="1"/>
    </xf>
    <xf numFmtId="0" fontId="87" fillId="0" borderId="229" xfId="0" applyFont="1" applyBorder="1" applyAlignment="1">
      <alignment vertical="center"/>
    </xf>
    <xf numFmtId="16" fontId="87" fillId="0" borderId="229" xfId="0" applyNumberFormat="1" applyFont="1" applyBorder="1" applyAlignment="1">
      <alignment vertical="center"/>
    </xf>
    <xf numFmtId="0" fontId="64" fillId="0" borderId="144" xfId="0" applyNumberFormat="1" applyFont="1" applyFill="1" applyBorder="1" applyAlignment="1">
      <alignment horizontal="center" vertical="center"/>
    </xf>
    <xf numFmtId="0" fontId="64" fillId="0" borderId="119" xfId="0" applyNumberFormat="1" applyFont="1" applyFill="1" applyBorder="1" applyAlignment="1">
      <alignment horizontal="left" vertical="center"/>
    </xf>
    <xf numFmtId="4" fontId="64" fillId="0" borderId="119" xfId="0" applyNumberFormat="1" applyFont="1" applyFill="1" applyBorder="1" applyAlignment="1">
      <alignment horizontal="right" vertical="center"/>
    </xf>
    <xf numFmtId="0" fontId="64" fillId="0" borderId="119" xfId="0" applyNumberFormat="1" applyFont="1" applyFill="1" applyBorder="1" applyAlignment="1">
      <alignment horizontal="center" vertical="center"/>
    </xf>
    <xf numFmtId="0" fontId="70" fillId="3" borderId="229" xfId="0" applyFont="1" applyFill="1" applyBorder="1" applyAlignment="1">
      <alignment horizontal="center" vertical="center"/>
    </xf>
    <xf numFmtId="1" fontId="64" fillId="0" borderId="119" xfId="0" applyNumberFormat="1" applyFont="1" applyFill="1" applyBorder="1" applyAlignment="1">
      <alignment horizontal="right" vertical="center"/>
    </xf>
    <xf numFmtId="4" fontId="64" fillId="0" borderId="119" xfId="0" applyNumberFormat="1" applyFont="1" applyFill="1" applyBorder="1" applyAlignment="1">
      <alignment horizontal="center" vertical="center"/>
    </xf>
    <xf numFmtId="0" fontId="64" fillId="0" borderId="145" xfId="0" applyNumberFormat="1" applyFont="1" applyFill="1" applyBorder="1" applyAlignment="1">
      <alignment horizontal="center" vertical="center"/>
    </xf>
    <xf numFmtId="43" fontId="70" fillId="3" borderId="119" xfId="52" applyFont="1" applyFill="1" applyBorder="1" applyAlignment="1">
      <alignment horizontal="right" vertical="center"/>
    </xf>
    <xf numFmtId="43" fontId="70" fillId="3" borderId="119" xfId="52" applyFont="1" applyFill="1" applyBorder="1" applyAlignment="1">
      <alignment horizontal="center" vertical="center"/>
    </xf>
    <xf numFmtId="0" fontId="70" fillId="3" borderId="119" xfId="0" applyNumberFormat="1" applyFont="1" applyFill="1" applyBorder="1" applyAlignment="1">
      <alignment horizontal="center" vertical="center"/>
    </xf>
    <xf numFmtId="0" fontId="70" fillId="3" borderId="145" xfId="0" applyNumberFormat="1" applyFont="1" applyFill="1" applyBorder="1" applyAlignment="1">
      <alignment horizontal="center" vertical="center" wrapText="1"/>
    </xf>
    <xf numFmtId="1" fontId="64" fillId="0" borderId="145" xfId="0" applyNumberFormat="1" applyFont="1" applyFill="1" applyBorder="1" applyAlignment="1">
      <alignment horizontal="center" vertical="center" wrapText="1"/>
    </xf>
    <xf numFmtId="43" fontId="15" fillId="0" borderId="119" xfId="52" applyFont="1" applyFill="1" applyBorder="1" applyAlignment="1">
      <alignment horizontal="left" vertical="center" wrapText="1"/>
    </xf>
    <xf numFmtId="0" fontId="83" fillId="2" borderId="306" xfId="0" applyFont="1" applyFill="1" applyBorder="1" applyAlignment="1">
      <alignment vertical="center"/>
    </xf>
    <xf numFmtId="0" fontId="83" fillId="2" borderId="307" xfId="0" applyFont="1" applyFill="1" applyBorder="1" applyAlignment="1">
      <alignment vertical="center"/>
    </xf>
    <xf numFmtId="0" fontId="1" fillId="2" borderId="307" xfId="0" applyFont="1" applyFill="1" applyBorder="1" applyAlignment="1">
      <alignment vertical="center"/>
    </xf>
    <xf numFmtId="0" fontId="1" fillId="2" borderId="308" xfId="0" applyFont="1" applyFill="1" applyBorder="1" applyAlignment="1">
      <alignment vertical="center"/>
    </xf>
    <xf numFmtId="3" fontId="15" fillId="0" borderId="321" xfId="52" applyNumberFormat="1" applyFont="1" applyFill="1" applyBorder="1" applyAlignment="1">
      <alignment horizontal="center" vertical="center"/>
    </xf>
    <xf numFmtId="40" fontId="61" fillId="35" borderId="219" xfId="52" applyNumberFormat="1" applyFont="1" applyFill="1" applyBorder="1" applyAlignment="1">
      <alignment vertical="center"/>
    </xf>
    <xf numFmtId="43" fontId="99" fillId="0" borderId="234" xfId="52" applyFont="1" applyFill="1" applyBorder="1" applyAlignment="1">
      <alignment horizontal="left" vertical="center"/>
    </xf>
    <xf numFmtId="40" fontId="99" fillId="0" borderId="326" xfId="52" applyNumberFormat="1" applyFont="1" applyFill="1" applyBorder="1" applyAlignment="1">
      <alignment vertical="center"/>
    </xf>
    <xf numFmtId="43" fontId="99" fillId="0" borderId="328" xfId="52" applyFont="1" applyFill="1" applyBorder="1" applyAlignment="1">
      <alignment horizontal="left" vertical="center"/>
    </xf>
    <xf numFmtId="40" fontId="99" fillId="0" borderId="329" xfId="52" applyNumberFormat="1" applyFont="1" applyFill="1" applyBorder="1" applyAlignment="1">
      <alignment vertical="center"/>
    </xf>
    <xf numFmtId="0" fontId="99" fillId="0" borderId="330" xfId="0" applyFont="1" applyFill="1" applyBorder="1" applyAlignment="1">
      <alignment horizontal="left" vertical="center"/>
    </xf>
    <xf numFmtId="43" fontId="99" fillId="0" borderId="330" xfId="52" applyFont="1" applyFill="1" applyBorder="1" applyAlignment="1">
      <alignment horizontal="left" vertical="center"/>
    </xf>
    <xf numFmtId="40" fontId="99" fillId="0" borderId="327" xfId="52" applyNumberFormat="1" applyFont="1" applyFill="1" applyBorder="1" applyAlignment="1">
      <alignment vertical="center"/>
    </xf>
    <xf numFmtId="10" fontId="21" fillId="0" borderId="322" xfId="72" applyNumberFormat="1" applyFont="1" applyBorder="1" applyAlignment="1">
      <alignment horizontal="center" vertical="center"/>
    </xf>
    <xf numFmtId="0" fontId="40" fillId="36" borderId="320" xfId="0" applyFont="1" applyFill="1" applyBorder="1" applyAlignment="1">
      <alignment horizontal="center" vertical="center"/>
    </xf>
    <xf numFmtId="43" fontId="110" fillId="0" borderId="334" xfId="0" applyNumberFormat="1" applyFont="1" applyBorder="1" applyAlignment="1">
      <alignment vertical="center"/>
    </xf>
    <xf numFmtId="43" fontId="21" fillId="0" borderId="322" xfId="0" applyNumberFormat="1" applyFont="1" applyBorder="1" applyAlignment="1">
      <alignment vertical="center"/>
    </xf>
    <xf numFmtId="0" fontId="0" fillId="0" borderId="206" xfId="0" applyBorder="1" applyAlignment="1">
      <alignment vertical="center"/>
    </xf>
    <xf numFmtId="0" fontId="140" fillId="0" borderId="0" xfId="0" applyFont="1"/>
    <xf numFmtId="0" fontId="0" fillId="0" borderId="0" xfId="0" quotePrefix="1" applyAlignment="1">
      <alignment horizontal="right"/>
    </xf>
    <xf numFmtId="0" fontId="0" fillId="0" borderId="0" xfId="0" quotePrefix="1" applyAlignment="1">
      <alignment horizontal="center"/>
    </xf>
    <xf numFmtId="43" fontId="0" fillId="0" borderId="0" xfId="0" applyNumberFormat="1"/>
    <xf numFmtId="43" fontId="0" fillId="0" borderId="0" xfId="71" applyNumberFormat="1" applyFont="1"/>
    <xf numFmtId="43" fontId="0" fillId="0" borderId="320" xfId="71" applyNumberFormat="1" applyFont="1" applyBorder="1"/>
    <xf numFmtId="43" fontId="0" fillId="0" borderId="320" xfId="0" applyNumberFormat="1" applyBorder="1"/>
    <xf numFmtId="43" fontId="15" fillId="0" borderId="234" xfId="52" applyFont="1" applyFill="1" applyBorder="1" applyAlignment="1">
      <alignment horizontal="left" vertical="center"/>
    </xf>
    <xf numFmtId="43" fontId="15" fillId="0" borderId="328" xfId="52" applyFont="1" applyFill="1" applyBorder="1" applyAlignment="1">
      <alignment horizontal="left" vertical="center"/>
    </xf>
    <xf numFmtId="0" fontId="15" fillId="0" borderId="234" xfId="0" applyFont="1" applyFill="1" applyBorder="1" applyAlignment="1">
      <alignment horizontal="left" vertical="center"/>
    </xf>
    <xf numFmtId="0" fontId="15" fillId="0" borderId="328" xfId="0" applyFont="1" applyFill="1" applyBorder="1" applyAlignment="1">
      <alignment horizontal="left" vertical="center"/>
    </xf>
    <xf numFmtId="15" fontId="0" fillId="0" borderId="0" xfId="0" applyNumberFormat="1" applyAlignment="1"/>
    <xf numFmtId="0" fontId="15" fillId="0" borderId="321" xfId="0" applyFont="1" applyFill="1" applyBorder="1" applyAlignment="1">
      <alignment horizontal="center" vertical="center" wrapText="1"/>
    </xf>
    <xf numFmtId="0" fontId="64" fillId="0" borderId="321" xfId="0" applyNumberFormat="1" applyFont="1" applyFill="1" applyBorder="1" applyAlignment="1">
      <alignment horizontal="center" vertical="center" wrapText="1"/>
    </xf>
    <xf numFmtId="0" fontId="64" fillId="0" borderId="312" xfId="0" applyNumberFormat="1" applyFont="1" applyFill="1" applyBorder="1" applyAlignment="1">
      <alignment horizontal="center" vertical="center" wrapText="1"/>
    </xf>
    <xf numFmtId="0" fontId="64" fillId="0" borderId="313" xfId="0" applyNumberFormat="1" applyFont="1" applyFill="1" applyBorder="1" applyAlignment="1">
      <alignment horizontal="left" vertical="center"/>
    </xf>
    <xf numFmtId="4" fontId="64" fillId="0" borderId="313" xfId="0" applyNumberFormat="1" applyFont="1" applyFill="1" applyBorder="1" applyAlignment="1">
      <alignment horizontal="right" vertical="center"/>
    </xf>
    <xf numFmtId="4" fontId="64" fillId="0" borderId="313" xfId="0" applyNumberFormat="1" applyFont="1" applyFill="1" applyBorder="1" applyAlignment="1">
      <alignment horizontal="center" vertical="center" wrapText="1"/>
    </xf>
    <xf numFmtId="0" fontId="64" fillId="0" borderId="313" xfId="0" applyNumberFormat="1" applyFont="1" applyFill="1" applyBorder="1" applyAlignment="1">
      <alignment horizontal="center" vertical="center"/>
    </xf>
    <xf numFmtId="1" fontId="64" fillId="0" borderId="313" xfId="0" applyNumberFormat="1" applyFont="1" applyFill="1" applyBorder="1" applyAlignment="1">
      <alignment horizontal="center" vertical="center"/>
    </xf>
    <xf numFmtId="4" fontId="64" fillId="0" borderId="119" xfId="0" applyNumberFormat="1" applyFont="1" applyFill="1" applyBorder="1" applyAlignment="1">
      <alignment horizontal="center" vertical="center" wrapText="1"/>
    </xf>
    <xf numFmtId="0" fontId="77" fillId="0" borderId="119" xfId="0" applyFont="1" applyFill="1" applyBorder="1" applyAlignment="1">
      <alignment horizontal="center" vertical="center"/>
    </xf>
    <xf numFmtId="43" fontId="0" fillId="0" borderId="0" xfId="52" applyFont="1" applyAlignment="1">
      <alignment vertical="center"/>
    </xf>
    <xf numFmtId="4" fontId="0" fillId="0" borderId="0" xfId="0" applyNumberFormat="1" applyAlignment="1">
      <alignment vertical="center"/>
    </xf>
    <xf numFmtId="192" fontId="0" fillId="0" borderId="0" xfId="0" applyNumberFormat="1" applyAlignment="1">
      <alignment vertical="center"/>
    </xf>
    <xf numFmtId="43" fontId="0" fillId="0" borderId="0" xfId="0" applyNumberFormat="1" applyAlignment="1">
      <alignment vertical="center"/>
    </xf>
    <xf numFmtId="0" fontId="70" fillId="3" borderId="320" xfId="0" applyFont="1" applyFill="1" applyBorder="1" applyAlignment="1">
      <alignment horizontal="center" vertical="center"/>
    </xf>
    <xf numFmtId="9" fontId="0" fillId="0" borderId="0" xfId="72" applyFont="1" applyAlignment="1">
      <alignment horizontal="center" vertical="center"/>
    </xf>
    <xf numFmtId="43" fontId="0" fillId="0" borderId="0" xfId="52" applyFont="1" applyAlignment="1">
      <alignment horizontal="center" vertical="center"/>
    </xf>
    <xf numFmtId="4" fontId="0" fillId="0" borderId="0" xfId="0" applyNumberFormat="1"/>
    <xf numFmtId="192" fontId="0" fillId="0" borderId="278" xfId="0" applyNumberFormat="1" applyBorder="1" applyAlignment="1">
      <alignment horizontal="center" vertical="center"/>
    </xf>
    <xf numFmtId="1" fontId="64" fillId="0" borderId="337" xfId="0" applyNumberFormat="1" applyFont="1" applyFill="1" applyBorder="1" applyAlignment="1">
      <alignment horizontal="center" vertical="center" wrapText="1"/>
    </xf>
    <xf numFmtId="167" fontId="85" fillId="0" borderId="229" xfId="0" applyNumberFormat="1" applyFont="1" applyBorder="1" applyAlignment="1">
      <alignment horizontal="center" vertical="center"/>
    </xf>
    <xf numFmtId="0" fontId="64" fillId="2" borderId="291" xfId="0" applyFont="1" applyFill="1" applyBorder="1" applyAlignment="1">
      <alignment horizontal="left" vertical="center" wrapText="1"/>
    </xf>
    <xf numFmtId="49" fontId="64" fillId="2" borderId="352" xfId="0" applyNumberFormat="1" applyFont="1" applyFill="1" applyBorder="1" applyAlignment="1">
      <alignment horizontal="center" vertical="center" wrapText="1"/>
    </xf>
    <xf numFmtId="169" fontId="64" fillId="2" borderId="352" xfId="0" applyNumberFormat="1" applyFont="1" applyFill="1" applyBorder="1" applyAlignment="1">
      <alignment horizontal="center" vertical="center" wrapText="1"/>
    </xf>
    <xf numFmtId="0" fontId="141" fillId="0" borderId="212" xfId="0" applyFont="1" applyBorder="1" applyAlignment="1">
      <alignment vertical="center" wrapText="1"/>
    </xf>
    <xf numFmtId="171" fontId="142" fillId="0" borderId="352" xfId="0" applyNumberFormat="1" applyFont="1" applyBorder="1" applyAlignment="1">
      <alignment horizontal="center" vertical="center" wrapText="1"/>
    </xf>
    <xf numFmtId="0" fontId="63" fillId="0" borderId="0" xfId="0" applyFont="1" applyFill="1" applyBorder="1" applyAlignment="1">
      <alignment vertical="center"/>
    </xf>
    <xf numFmtId="0" fontId="141" fillId="0" borderId="354" xfId="0" applyFont="1" applyBorder="1" applyAlignment="1">
      <alignment vertical="center" wrapText="1"/>
    </xf>
    <xf numFmtId="49" fontId="144" fillId="48" borderId="366" xfId="0" applyNumberFormat="1" applyFont="1" applyFill="1" applyBorder="1" applyAlignment="1">
      <alignment horizontal="left" vertical="center"/>
    </xf>
    <xf numFmtId="0" fontId="145" fillId="0" borderId="0" xfId="0" applyFont="1" applyFill="1" applyBorder="1" applyAlignment="1">
      <alignment vertical="center"/>
    </xf>
    <xf numFmtId="0" fontId="102" fillId="2" borderId="366" xfId="0" applyFont="1" applyFill="1" applyBorder="1" applyAlignment="1">
      <alignment horizontal="center" vertical="center" wrapText="1"/>
    </xf>
    <xf numFmtId="0" fontId="102" fillId="49" borderId="320" xfId="0" applyFont="1" applyFill="1" applyBorder="1" applyAlignment="1">
      <alignment horizontal="center" vertical="center"/>
    </xf>
    <xf numFmtId="49" fontId="102" fillId="4" borderId="374" xfId="0" applyNumberFormat="1" applyFont="1" applyFill="1" applyBorder="1" applyAlignment="1">
      <alignment horizontal="left" vertical="center"/>
    </xf>
    <xf numFmtId="169" fontId="145" fillId="4" borderId="375" xfId="0" applyNumberFormat="1" applyFont="1" applyFill="1" applyBorder="1" applyAlignment="1">
      <alignment vertical="center"/>
    </xf>
    <xf numFmtId="10" fontId="145" fillId="4" borderId="375" xfId="0" applyNumberFormat="1" applyFont="1" applyFill="1" applyBorder="1" applyAlignment="1">
      <alignment vertical="center"/>
    </xf>
    <xf numFmtId="10" fontId="148" fillId="4" borderId="375" xfId="0" applyNumberFormat="1" applyFont="1" applyFill="1" applyBorder="1" applyAlignment="1">
      <alignment vertical="center"/>
    </xf>
    <xf numFmtId="10" fontId="145" fillId="2" borderId="366" xfId="0" applyNumberFormat="1" applyFont="1" applyFill="1" applyBorder="1" applyAlignment="1">
      <alignment horizontal="center" vertical="center"/>
    </xf>
    <xf numFmtId="43" fontId="145" fillId="4" borderId="378" xfId="52" applyFont="1" applyFill="1" applyBorder="1" applyAlignment="1">
      <alignment vertical="center"/>
    </xf>
    <xf numFmtId="43" fontId="61" fillId="4" borderId="379" xfId="52" applyFont="1" applyFill="1" applyBorder="1" applyAlignment="1">
      <alignment vertical="center"/>
    </xf>
    <xf numFmtId="200" fontId="145" fillId="0" borderId="0" xfId="0" applyNumberFormat="1" applyFont="1" applyFill="1" applyBorder="1" applyAlignment="1">
      <alignment vertical="center"/>
    </xf>
    <xf numFmtId="49" fontId="102" fillId="34" borderId="380" xfId="0" applyNumberFormat="1" applyFont="1" applyFill="1" applyBorder="1" applyAlignment="1">
      <alignment horizontal="left" vertical="center" wrapText="1"/>
    </xf>
    <xf numFmtId="169" fontId="145" fillId="34" borderId="375" xfId="0" applyNumberFormat="1" applyFont="1" applyFill="1" applyBorder="1" applyAlignment="1">
      <alignment vertical="center"/>
    </xf>
    <xf numFmtId="10" fontId="145" fillId="34" borderId="375" xfId="0" applyNumberFormat="1" applyFont="1" applyFill="1" applyBorder="1" applyAlignment="1">
      <alignment vertical="center"/>
    </xf>
    <xf numFmtId="10" fontId="148" fillId="34" borderId="375" xfId="0" applyNumberFormat="1" applyFont="1" applyFill="1" applyBorder="1" applyAlignment="1">
      <alignment vertical="center"/>
    </xf>
    <xf numFmtId="43" fontId="145" fillId="34" borderId="375" xfId="52" applyFont="1" applyFill="1" applyBorder="1" applyAlignment="1">
      <alignment vertical="center"/>
    </xf>
    <xf numFmtId="43" fontId="61" fillId="34" borderId="383" xfId="52" applyFont="1" applyFill="1" applyBorder="1" applyAlignment="1">
      <alignment vertical="center"/>
    </xf>
    <xf numFmtId="0" fontId="145" fillId="2" borderId="0" xfId="0" applyFont="1" applyFill="1" applyBorder="1" applyAlignment="1">
      <alignment vertical="center"/>
    </xf>
    <xf numFmtId="14" fontId="145" fillId="2" borderId="0" xfId="0" applyNumberFormat="1" applyFont="1" applyFill="1" applyBorder="1" applyAlignment="1">
      <alignment vertical="center"/>
    </xf>
    <xf numFmtId="49" fontId="102" fillId="4" borderId="380" xfId="0" applyNumberFormat="1" applyFont="1" applyFill="1" applyBorder="1" applyAlignment="1">
      <alignment horizontal="left" vertical="center"/>
    </xf>
    <xf numFmtId="169" fontId="145" fillId="4" borderId="384" xfId="0" applyNumberFormat="1" applyFont="1" applyFill="1" applyBorder="1" applyAlignment="1">
      <alignment vertical="center"/>
    </xf>
    <xf numFmtId="10" fontId="145" fillId="4" borderId="384" xfId="0" applyNumberFormat="1" applyFont="1" applyFill="1" applyBorder="1" applyAlignment="1">
      <alignment vertical="center"/>
    </xf>
    <xf numFmtId="10" fontId="148" fillId="4" borderId="384" xfId="0" applyNumberFormat="1" applyFont="1" applyFill="1" applyBorder="1" applyAlignment="1">
      <alignment vertical="center"/>
    </xf>
    <xf numFmtId="43" fontId="145" fillId="4" borderId="384" xfId="52" applyFont="1" applyFill="1" applyBorder="1" applyAlignment="1">
      <alignment vertical="center"/>
    </xf>
    <xf numFmtId="43" fontId="102" fillId="4" borderId="383" xfId="52" applyFont="1" applyFill="1" applyBorder="1" applyAlignment="1">
      <alignment vertical="center"/>
    </xf>
    <xf numFmtId="49" fontId="102" fillId="34" borderId="380" xfId="0" applyNumberFormat="1" applyFont="1" applyFill="1" applyBorder="1" applyAlignment="1">
      <alignment horizontal="left" vertical="center"/>
    </xf>
    <xf numFmtId="167" fontId="145" fillId="34" borderId="384" xfId="0" applyNumberFormat="1" applyFont="1" applyFill="1" applyBorder="1" applyAlignment="1">
      <alignment vertical="center"/>
    </xf>
    <xf numFmtId="10" fontId="145" fillId="34" borderId="384" xfId="0" applyNumberFormat="1" applyFont="1" applyFill="1" applyBorder="1" applyAlignment="1">
      <alignment vertical="center"/>
    </xf>
    <xf numFmtId="43" fontId="145" fillId="34" borderId="384" xfId="52" applyFont="1" applyFill="1" applyBorder="1" applyAlignment="1">
      <alignment vertical="center"/>
    </xf>
    <xf numFmtId="40" fontId="102" fillId="34" borderId="384" xfId="52" applyNumberFormat="1" applyFont="1" applyFill="1" applyBorder="1" applyAlignment="1">
      <alignment vertical="center"/>
    </xf>
    <xf numFmtId="43" fontId="145" fillId="34" borderId="383" xfId="52" applyFont="1" applyFill="1" applyBorder="1" applyAlignment="1">
      <alignment vertical="center"/>
    </xf>
    <xf numFmtId="49" fontId="102" fillId="4" borderId="386" xfId="0" applyNumberFormat="1" applyFont="1" applyFill="1" applyBorder="1" applyAlignment="1">
      <alignment horizontal="left" vertical="center"/>
    </xf>
    <xf numFmtId="167" fontId="145" fillId="4" borderId="387" xfId="0" applyNumberFormat="1" applyFont="1" applyFill="1" applyBorder="1" applyAlignment="1">
      <alignment vertical="center"/>
    </xf>
    <xf numFmtId="10" fontId="145" fillId="4" borderId="387" xfId="0" applyNumberFormat="1" applyFont="1" applyFill="1" applyBorder="1" applyAlignment="1">
      <alignment vertical="center"/>
    </xf>
    <xf numFmtId="43" fontId="145" fillId="4" borderId="390" xfId="52" applyFont="1" applyFill="1" applyBorder="1" applyAlignment="1">
      <alignment vertical="center"/>
    </xf>
    <xf numFmtId="43" fontId="102" fillId="4" borderId="387" xfId="52" applyFont="1" applyFill="1" applyBorder="1" applyAlignment="1">
      <alignment vertical="center"/>
    </xf>
    <xf numFmtId="0" fontId="145" fillId="4" borderId="391" xfId="0" applyFont="1" applyFill="1" applyBorder="1" applyAlignment="1">
      <alignment vertical="center"/>
    </xf>
    <xf numFmtId="0" fontId="102" fillId="34" borderId="392" xfId="0" applyFont="1" applyFill="1" applyBorder="1" applyAlignment="1">
      <alignment vertical="center" wrapText="1"/>
    </xf>
    <xf numFmtId="43" fontId="102" fillId="34" borderId="358" xfId="52" applyFont="1" applyFill="1" applyBorder="1" applyAlignment="1">
      <alignment vertical="center"/>
    </xf>
    <xf numFmtId="3" fontId="145" fillId="2" borderId="0" xfId="0" applyNumberFormat="1" applyFont="1" applyFill="1" applyBorder="1" applyAlignment="1">
      <alignment vertical="center"/>
    </xf>
    <xf numFmtId="0" fontId="102" fillId="49" borderId="333" xfId="0" applyFont="1" applyFill="1" applyBorder="1" applyAlignment="1">
      <alignment horizontal="center" vertical="center"/>
    </xf>
    <xf numFmtId="0" fontId="102" fillId="49" borderId="320" xfId="0" applyFont="1" applyFill="1" applyBorder="1" applyAlignment="1">
      <alignment horizontal="center" vertical="center" wrapText="1"/>
    </xf>
    <xf numFmtId="0" fontId="102" fillId="49" borderId="369" xfId="0" applyFont="1" applyFill="1" applyBorder="1" applyAlignment="1">
      <alignment horizontal="center" vertical="center" wrapText="1"/>
    </xf>
    <xf numFmtId="0" fontId="102" fillId="49" borderId="352" xfId="0" applyFont="1" applyFill="1" applyBorder="1" applyAlignment="1">
      <alignment horizontal="center" vertical="center"/>
    </xf>
    <xf numFmtId="0" fontId="102" fillId="4" borderId="374" xfId="0" applyFont="1" applyFill="1" applyBorder="1" applyAlignment="1">
      <alignment horizontal="left" vertical="center"/>
    </xf>
    <xf numFmtId="3" fontId="145" fillId="4" borderId="378" xfId="0" applyNumberFormat="1" applyFont="1" applyFill="1" applyBorder="1" applyAlignment="1">
      <alignment vertical="center"/>
    </xf>
    <xf numFmtId="13" fontId="145" fillId="4" borderId="394" xfId="0" applyNumberFormat="1" applyFont="1" applyFill="1" applyBorder="1" applyAlignment="1">
      <alignment vertical="center"/>
    </xf>
    <xf numFmtId="13" fontId="145" fillId="2" borderId="366" xfId="0" applyNumberFormat="1" applyFont="1" applyFill="1" applyBorder="1" applyAlignment="1">
      <alignment vertical="center"/>
    </xf>
    <xf numFmtId="3" fontId="145" fillId="4" borderId="378" xfId="0" applyNumberFormat="1" applyFont="1" applyFill="1" applyBorder="1" applyAlignment="1">
      <alignment horizontal="center" vertical="center"/>
    </xf>
    <xf numFmtId="0" fontId="145" fillId="4" borderId="378" xfId="0" applyFont="1" applyFill="1" applyBorder="1" applyAlignment="1">
      <alignment horizontal="center" vertical="center"/>
    </xf>
    <xf numFmtId="0" fontId="145" fillId="4" borderId="395" xfId="0" applyFont="1" applyFill="1" applyBorder="1" applyAlignment="1">
      <alignment horizontal="center" vertical="center"/>
    </xf>
    <xf numFmtId="0" fontId="102" fillId="34" borderId="386" xfId="0" applyFont="1" applyFill="1" applyBorder="1" applyAlignment="1">
      <alignment horizontal="left" vertical="center"/>
    </xf>
    <xf numFmtId="3" fontId="145" fillId="34" borderId="387" xfId="0" applyNumberFormat="1" applyFont="1" applyFill="1" applyBorder="1" applyAlignment="1">
      <alignment horizontal="center" vertical="center"/>
    </xf>
    <xf numFmtId="10" fontId="145" fillId="34" borderId="387" xfId="0" applyNumberFormat="1" applyFont="1" applyFill="1" applyBorder="1" applyAlignment="1">
      <alignment horizontal="center" vertical="center"/>
    </xf>
    <xf numFmtId="3" fontId="151" fillId="34" borderId="387" xfId="0" applyNumberFormat="1" applyFont="1" applyFill="1" applyBorder="1" applyAlignment="1">
      <alignment horizontal="center" vertical="center"/>
    </xf>
    <xf numFmtId="167" fontId="145" fillId="34" borderId="388" xfId="0" applyNumberFormat="1" applyFont="1" applyFill="1" applyBorder="1" applyAlignment="1">
      <alignment horizontal="center" vertical="center"/>
    </xf>
    <xf numFmtId="167" fontId="145" fillId="2" borderId="366" xfId="0" applyNumberFormat="1" applyFont="1" applyFill="1" applyBorder="1" applyAlignment="1">
      <alignment horizontal="center" vertical="center"/>
    </xf>
    <xf numFmtId="3" fontId="145" fillId="34" borderId="384" xfId="0" applyNumberFormat="1" applyFont="1" applyFill="1" applyBorder="1" applyAlignment="1">
      <alignment horizontal="center" vertical="center"/>
    </xf>
    <xf numFmtId="0" fontId="145" fillId="34" borderId="384" xfId="0" applyFont="1" applyFill="1" applyBorder="1" applyAlignment="1">
      <alignment horizontal="center" vertical="center"/>
    </xf>
    <xf numFmtId="0" fontId="145" fillId="34" borderId="383" xfId="0" applyFont="1" applyFill="1" applyBorder="1" applyAlignment="1">
      <alignment horizontal="center" vertical="center"/>
    </xf>
    <xf numFmtId="0" fontId="141" fillId="4" borderId="396" xfId="0" applyFont="1" applyFill="1" applyBorder="1" applyAlignment="1">
      <alignment horizontal="left" vertical="center"/>
    </xf>
    <xf numFmtId="3" fontId="145" fillId="4" borderId="361" xfId="0" applyNumberFormat="1" applyFont="1" applyFill="1" applyBorder="1" applyAlignment="1">
      <alignment vertical="center"/>
    </xf>
    <xf numFmtId="3" fontId="145" fillId="4" borderId="397" xfId="0" applyNumberFormat="1" applyFont="1" applyFill="1" applyBorder="1" applyAlignment="1">
      <alignment vertical="center"/>
    </xf>
    <xf numFmtId="3" fontId="145" fillId="2" borderId="366" xfId="0" applyNumberFormat="1" applyFont="1" applyFill="1" applyBorder="1" applyAlignment="1">
      <alignment vertical="center"/>
    </xf>
    <xf numFmtId="3" fontId="145" fillId="4" borderId="401" xfId="0" applyNumberFormat="1" applyFont="1" applyFill="1" applyBorder="1" applyAlignment="1">
      <alignment horizontal="center" vertical="center"/>
    </xf>
    <xf numFmtId="0" fontId="102" fillId="2" borderId="366" xfId="0" applyFont="1" applyFill="1" applyBorder="1" applyAlignment="1">
      <alignment horizontal="center" vertical="center"/>
    </xf>
    <xf numFmtId="49" fontId="102" fillId="49" borderId="306" xfId="0" applyNumberFormat="1" applyFont="1" applyFill="1" applyBorder="1" applyAlignment="1">
      <alignment horizontal="center" vertical="center"/>
    </xf>
    <xf numFmtId="0" fontId="153" fillId="4" borderId="394" xfId="0" applyFont="1" applyFill="1" applyBorder="1" applyAlignment="1">
      <alignment horizontal="center" vertical="center"/>
    </xf>
    <xf numFmtId="0" fontId="145" fillId="2" borderId="366" xfId="0" applyFont="1" applyFill="1" applyBorder="1" applyAlignment="1">
      <alignment horizontal="center" vertical="center"/>
    </xf>
    <xf numFmtId="43" fontId="145" fillId="34" borderId="340" xfId="52" applyFont="1" applyFill="1" applyBorder="1" applyAlignment="1">
      <alignment vertical="center"/>
    </xf>
    <xf numFmtId="9" fontId="102" fillId="34" borderId="378" xfId="72" applyFont="1" applyFill="1" applyBorder="1" applyAlignment="1">
      <alignment vertical="center"/>
    </xf>
    <xf numFmtId="43" fontId="102" fillId="34" borderId="395" xfId="52" applyFont="1" applyFill="1" applyBorder="1" applyAlignment="1">
      <alignment vertical="center"/>
    </xf>
    <xf numFmtId="0" fontId="153" fillId="34" borderId="385" xfId="0" applyFont="1" applyFill="1" applyBorder="1" applyAlignment="1">
      <alignment horizontal="center" vertical="center"/>
    </xf>
    <xf numFmtId="43" fontId="145" fillId="4" borderId="345" xfId="52" applyFont="1" applyFill="1" applyBorder="1" applyAlignment="1">
      <alignment vertical="center"/>
    </xf>
    <xf numFmtId="9" fontId="102" fillId="4" borderId="384" xfId="72" applyFont="1" applyFill="1" applyBorder="1" applyAlignment="1">
      <alignment vertical="center"/>
    </xf>
    <xf numFmtId="3" fontId="145" fillId="0" borderId="0" xfId="0" applyNumberFormat="1" applyFont="1" applyFill="1" applyBorder="1" applyAlignment="1">
      <alignment vertical="center"/>
    </xf>
    <xf numFmtId="0" fontId="145" fillId="4" borderId="384" xfId="0" applyFont="1" applyFill="1" applyBorder="1" applyAlignment="1">
      <alignment horizontal="center" vertical="center"/>
    </xf>
    <xf numFmtId="0" fontId="153" fillId="4" borderId="385" xfId="0" applyFont="1" applyFill="1" applyBorder="1" applyAlignment="1">
      <alignment horizontal="center" vertical="center"/>
    </xf>
    <xf numFmtId="43" fontId="145" fillId="34" borderId="345" xfId="52" applyFont="1" applyFill="1" applyBorder="1" applyAlignment="1">
      <alignment vertical="center"/>
    </xf>
    <xf numFmtId="9" fontId="145" fillId="34" borderId="384" xfId="72" applyFont="1" applyFill="1" applyBorder="1" applyAlignment="1">
      <alignment vertical="center"/>
    </xf>
    <xf numFmtId="39" fontId="145" fillId="4" borderId="345" xfId="52" applyNumberFormat="1" applyFont="1" applyFill="1" applyBorder="1" applyAlignment="1">
      <alignment vertical="center"/>
    </xf>
    <xf numFmtId="39" fontId="145" fillId="4" borderId="384" xfId="52" applyNumberFormat="1" applyFont="1" applyFill="1" applyBorder="1" applyAlignment="1">
      <alignment vertical="center"/>
    </xf>
    <xf numFmtId="39" fontId="145" fillId="4" borderId="383" xfId="52" applyNumberFormat="1" applyFont="1" applyFill="1" applyBorder="1" applyAlignment="1">
      <alignment vertical="center"/>
    </xf>
    <xf numFmtId="0" fontId="151" fillId="4" borderId="384" xfId="0" applyFont="1" applyFill="1" applyBorder="1" applyAlignment="1">
      <alignment horizontal="center" vertical="center"/>
    </xf>
    <xf numFmtId="0" fontId="148" fillId="4" borderId="385" xfId="0" applyFont="1" applyFill="1" applyBorder="1" applyAlignment="1">
      <alignment horizontal="center" vertical="center"/>
    </xf>
    <xf numFmtId="0" fontId="151" fillId="2" borderId="366" xfId="0" applyFont="1" applyFill="1" applyBorder="1" applyAlignment="1">
      <alignment horizontal="center" vertical="center"/>
    </xf>
    <xf numFmtId="169" fontId="102" fillId="34" borderId="387" xfId="0" applyNumberFormat="1" applyFont="1" applyFill="1" applyBorder="1" applyAlignment="1">
      <alignment horizontal="center" vertical="center"/>
    </xf>
    <xf numFmtId="0" fontId="145" fillId="34" borderId="388" xfId="0" applyFont="1" applyFill="1" applyBorder="1" applyAlignment="1">
      <alignment vertical="center"/>
    </xf>
    <xf numFmtId="0" fontId="145" fillId="2" borderId="366" xfId="0" applyFont="1" applyFill="1" applyBorder="1" applyAlignment="1">
      <alignment vertical="center"/>
    </xf>
    <xf numFmtId="43" fontId="102" fillId="4" borderId="345" xfId="52" applyFont="1" applyFill="1" applyBorder="1" applyAlignment="1">
      <alignment vertical="center"/>
    </xf>
    <xf numFmtId="0" fontId="145" fillId="4" borderId="356" xfId="0" applyFont="1" applyFill="1" applyBorder="1" applyAlignment="1">
      <alignment vertical="center"/>
    </xf>
    <xf numFmtId="0" fontId="145" fillId="4" borderId="393" xfId="0" applyFont="1" applyFill="1" applyBorder="1" applyAlignment="1">
      <alignment vertical="center"/>
    </xf>
    <xf numFmtId="43" fontId="102" fillId="4" borderId="355" xfId="52" applyFont="1" applyFill="1" applyBorder="1" applyAlignment="1">
      <alignment vertical="center"/>
    </xf>
    <xf numFmtId="10" fontId="102" fillId="4" borderId="355" xfId="72" applyNumberFormat="1" applyFont="1" applyFill="1" applyBorder="1" applyAlignment="1">
      <alignment horizontal="center" vertical="center"/>
    </xf>
    <xf numFmtId="43" fontId="102" fillId="4" borderId="407" xfId="52" applyFont="1" applyFill="1" applyBorder="1" applyAlignment="1">
      <alignment vertical="center"/>
    </xf>
    <xf numFmtId="0" fontId="145" fillId="49" borderId="212" xfId="0" applyFont="1" applyFill="1" applyBorder="1" applyAlignment="1">
      <alignment horizontal="center" vertical="center"/>
    </xf>
    <xf numFmtId="0" fontId="102" fillId="49" borderId="306" xfId="0" applyFont="1" applyFill="1" applyBorder="1" applyAlignment="1">
      <alignment horizontal="center" vertical="center"/>
    </xf>
    <xf numFmtId="3" fontId="145" fillId="4" borderId="340" xfId="0" applyNumberFormat="1" applyFont="1" applyFill="1" applyBorder="1" applyAlignment="1">
      <alignment horizontal="center" vertical="center"/>
    </xf>
    <xf numFmtId="3" fontId="145" fillId="2" borderId="366" xfId="0" applyNumberFormat="1" applyFont="1" applyFill="1" applyBorder="1" applyAlignment="1">
      <alignment horizontal="center" vertical="center"/>
    </xf>
    <xf numFmtId="3" fontId="154" fillId="4" borderId="384" xfId="0" applyNumberFormat="1" applyFont="1" applyFill="1" applyBorder="1" applyAlignment="1">
      <alignment horizontal="center" vertical="center"/>
    </xf>
    <xf numFmtId="3" fontId="153" fillId="4" borderId="378" xfId="0" applyNumberFormat="1" applyFont="1" applyFill="1" applyBorder="1" applyAlignment="1">
      <alignment horizontal="center" vertical="center"/>
    </xf>
    <xf numFmtId="0" fontId="102" fillId="34" borderId="380" xfId="0" applyFont="1" applyFill="1" applyBorder="1" applyAlignment="1">
      <alignment horizontal="left" vertical="center"/>
    </xf>
    <xf numFmtId="9" fontId="145" fillId="34" borderId="384" xfId="0" applyNumberFormat="1" applyFont="1" applyFill="1" applyBorder="1" applyAlignment="1">
      <alignment horizontal="center" vertical="center"/>
    </xf>
    <xf numFmtId="3" fontId="145" fillId="34" borderId="345" xfId="0" applyNumberFormat="1" applyFont="1" applyFill="1" applyBorder="1" applyAlignment="1">
      <alignment horizontal="center" vertical="center"/>
    </xf>
    <xf numFmtId="38" fontId="153" fillId="34" borderId="384" xfId="0" applyNumberFormat="1" applyFont="1" applyFill="1" applyBorder="1" applyAlignment="1">
      <alignment horizontal="center" vertical="center"/>
    </xf>
    <xf numFmtId="3" fontId="145" fillId="34" borderId="384" xfId="0" applyNumberFormat="1" applyFont="1" applyFill="1" applyBorder="1" applyAlignment="1">
      <alignment vertical="center"/>
    </xf>
    <xf numFmtId="3" fontId="145" fillId="34" borderId="383" xfId="0" applyNumberFormat="1" applyFont="1" applyFill="1" applyBorder="1" applyAlignment="1">
      <alignment vertical="center"/>
    </xf>
    <xf numFmtId="0" fontId="102" fillId="4" borderId="380" xfId="0" applyFont="1" applyFill="1" applyBorder="1" applyAlignment="1">
      <alignment horizontal="left" vertical="center"/>
    </xf>
    <xf numFmtId="9" fontId="145" fillId="4" borderId="384" xfId="0" applyNumberFormat="1" applyFont="1" applyFill="1" applyBorder="1" applyAlignment="1">
      <alignment horizontal="center" vertical="center"/>
    </xf>
    <xf numFmtId="3" fontId="97" fillId="4" borderId="384" xfId="0" applyNumberFormat="1" applyFont="1" applyFill="1" applyBorder="1" applyAlignment="1">
      <alignment horizontal="center" vertical="center"/>
    </xf>
    <xf numFmtId="3" fontId="145" fillId="4" borderId="384" xfId="0" applyNumberFormat="1" applyFont="1" applyFill="1" applyBorder="1" applyAlignment="1">
      <alignment vertical="center"/>
    </xf>
    <xf numFmtId="3" fontId="145" fillId="4" borderId="384" xfId="0" applyNumberFormat="1" applyFont="1" applyFill="1" applyBorder="1" applyAlignment="1">
      <alignment horizontal="center" vertical="center"/>
    </xf>
    <xf numFmtId="3" fontId="145" fillId="4" borderId="383" xfId="0" applyNumberFormat="1" applyFont="1" applyFill="1" applyBorder="1" applyAlignment="1">
      <alignment vertical="center"/>
    </xf>
    <xf numFmtId="0" fontId="102" fillId="34" borderId="408" xfId="0" applyFont="1" applyFill="1" applyBorder="1" applyAlignment="1">
      <alignment horizontal="left" vertical="center"/>
    </xf>
    <xf numFmtId="3" fontId="148" fillId="34" borderId="390" xfId="0" applyNumberFormat="1" applyFont="1" applyFill="1" applyBorder="1" applyAlignment="1">
      <alignment horizontal="center" vertical="center"/>
    </xf>
    <xf numFmtId="9" fontId="145" fillId="34" borderId="390" xfId="0" applyNumberFormat="1" applyFont="1" applyFill="1" applyBorder="1" applyAlignment="1">
      <alignment horizontal="center" vertical="center"/>
    </xf>
    <xf numFmtId="3" fontId="151" fillId="34" borderId="390" xfId="0" applyNumberFormat="1" applyFont="1" applyFill="1" applyBorder="1" applyAlignment="1">
      <alignment horizontal="center" vertical="center"/>
    </xf>
    <xf numFmtId="3" fontId="145" fillId="34" borderId="390" xfId="0" applyNumberFormat="1" applyFont="1" applyFill="1" applyBorder="1" applyAlignment="1">
      <alignment vertical="center"/>
    </xf>
    <xf numFmtId="3" fontId="145" fillId="34" borderId="409" xfId="0" applyNumberFormat="1" applyFont="1" applyFill="1" applyBorder="1" applyAlignment="1">
      <alignment vertical="center"/>
    </xf>
    <xf numFmtId="3" fontId="145" fillId="34" borderId="387" xfId="0" applyNumberFormat="1" applyFont="1" applyFill="1" applyBorder="1" applyAlignment="1">
      <alignment vertical="center"/>
    </xf>
    <xf numFmtId="3" fontId="145" fillId="34" borderId="411" xfId="0" applyNumberFormat="1" applyFont="1" applyFill="1" applyBorder="1" applyAlignment="1">
      <alignment vertical="center"/>
    </xf>
    <xf numFmtId="0" fontId="145" fillId="4" borderId="354" xfId="0" applyFont="1" applyFill="1" applyBorder="1" applyAlignment="1">
      <alignment horizontal="left" vertical="center"/>
    </xf>
    <xf numFmtId="3" fontId="145" fillId="4" borderId="356" xfId="0" applyNumberFormat="1" applyFont="1" applyFill="1" applyBorder="1" applyAlignment="1">
      <alignment horizontal="center" vertical="center"/>
    </xf>
    <xf numFmtId="3" fontId="145" fillId="4" borderId="356" xfId="0" applyNumberFormat="1" applyFont="1" applyFill="1" applyBorder="1" applyAlignment="1">
      <alignment vertical="center"/>
    </xf>
    <xf numFmtId="0" fontId="145" fillId="4" borderId="279" xfId="0" applyFont="1" applyFill="1" applyBorder="1" applyAlignment="1">
      <alignment vertical="center"/>
    </xf>
    <xf numFmtId="3" fontId="145" fillId="4" borderId="359" xfId="0" applyNumberFormat="1" applyFont="1" applyFill="1" applyBorder="1" applyAlignment="1">
      <alignment vertical="center"/>
    </xf>
    <xf numFmtId="49" fontId="144" fillId="31" borderId="363" xfId="0" applyNumberFormat="1" applyFont="1" applyFill="1" applyBorder="1" applyAlignment="1">
      <alignment vertical="center"/>
    </xf>
    <xf numFmtId="49" fontId="144" fillId="31" borderId="364" xfId="0" applyNumberFormat="1" applyFont="1" applyFill="1" applyBorder="1" applyAlignment="1">
      <alignment vertical="center"/>
    </xf>
    <xf numFmtId="49" fontId="144" fillId="31" borderId="365" xfId="0" applyNumberFormat="1" applyFont="1" applyFill="1" applyBorder="1" applyAlignment="1">
      <alignment vertical="center"/>
    </xf>
    <xf numFmtId="49" fontId="102" fillId="2" borderId="366" xfId="0" applyNumberFormat="1" applyFont="1" applyFill="1" applyBorder="1" applyAlignment="1">
      <alignment horizontal="left" vertical="center"/>
    </xf>
    <xf numFmtId="0" fontId="102" fillId="49" borderId="413" xfId="0" applyFont="1" applyFill="1" applyBorder="1" applyAlignment="1">
      <alignment vertical="center"/>
    </xf>
    <xf numFmtId="0" fontId="102" fillId="49" borderId="352" xfId="0" applyFont="1" applyFill="1" applyBorder="1" applyAlignment="1">
      <alignment horizontal="center" vertical="center" wrapText="1"/>
    </xf>
    <xf numFmtId="0" fontId="74" fillId="34" borderId="414" xfId="0" applyFont="1" applyFill="1" applyBorder="1" applyAlignment="1">
      <alignment vertical="center"/>
    </xf>
    <xf numFmtId="0" fontId="74" fillId="34" borderId="317" xfId="0" applyFont="1" applyFill="1" applyBorder="1" applyAlignment="1">
      <alignment vertical="center" wrapText="1"/>
    </xf>
    <xf numFmtId="0" fontId="74" fillId="34" borderId="317" xfId="0" applyFont="1" applyFill="1" applyBorder="1" applyAlignment="1">
      <alignment vertical="center"/>
    </xf>
    <xf numFmtId="0" fontId="74" fillId="34" borderId="415" xfId="0" applyFont="1" applyFill="1" applyBorder="1" applyAlignment="1">
      <alignment vertical="center"/>
    </xf>
    <xf numFmtId="0" fontId="74" fillId="2" borderId="366" xfId="0" applyFont="1" applyFill="1" applyBorder="1" applyAlignment="1">
      <alignment vertical="center"/>
    </xf>
    <xf numFmtId="0" fontId="102" fillId="34" borderId="416" xfId="0" applyFont="1" applyFill="1" applyBorder="1" applyAlignment="1">
      <alignment vertical="center"/>
    </xf>
    <xf numFmtId="0" fontId="145" fillId="34" borderId="378" xfId="0" applyFont="1" applyFill="1" applyBorder="1" applyAlignment="1">
      <alignment horizontal="center" vertical="center" wrapText="1"/>
    </xf>
    <xf numFmtId="0" fontId="145" fillId="34" borderId="395" xfId="0" applyFont="1" applyFill="1" applyBorder="1" applyAlignment="1">
      <alignment horizontal="center" vertical="center" wrapText="1"/>
    </xf>
    <xf numFmtId="0" fontId="74" fillId="4" borderId="414" xfId="0" applyFont="1" applyFill="1" applyBorder="1" applyAlignment="1">
      <alignment horizontal="left" vertical="center"/>
    </xf>
    <xf numFmtId="0" fontId="74" fillId="4" borderId="346" xfId="0" applyFont="1" applyFill="1" applyBorder="1" applyAlignment="1">
      <alignment vertical="center"/>
    </xf>
    <xf numFmtId="0" fontId="74" fillId="4" borderId="345" xfId="0" applyFont="1" applyFill="1" applyBorder="1" applyAlignment="1">
      <alignment vertical="center"/>
    </xf>
    <xf numFmtId="0" fontId="74" fillId="4" borderId="381" xfId="0" applyFont="1" applyFill="1" applyBorder="1" applyAlignment="1">
      <alignment vertical="center"/>
    </xf>
    <xf numFmtId="0" fontId="102" fillId="4" borderId="417" xfId="0" applyFont="1" applyFill="1" applyBorder="1" applyAlignment="1">
      <alignment vertical="center"/>
    </xf>
    <xf numFmtId="3" fontId="145" fillId="4" borderId="383" xfId="0" applyNumberFormat="1" applyFont="1" applyFill="1" applyBorder="1" applyAlignment="1">
      <alignment horizontal="center" vertical="center"/>
    </xf>
    <xf numFmtId="0" fontId="74" fillId="34" borderId="346" xfId="0" applyFont="1" applyFill="1" applyBorder="1" applyAlignment="1">
      <alignment vertical="center"/>
    </xf>
    <xf numFmtId="0" fontId="74" fillId="34" borderId="345" xfId="0" applyFont="1" applyFill="1" applyBorder="1" applyAlignment="1">
      <alignment vertical="center"/>
    </xf>
    <xf numFmtId="0" fontId="74" fillId="34" borderId="381" xfId="0" applyFont="1" applyFill="1" applyBorder="1" applyAlignment="1">
      <alignment vertical="center"/>
    </xf>
    <xf numFmtId="0" fontId="102" fillId="34" borderId="417" xfId="0" applyFont="1" applyFill="1" applyBorder="1" applyAlignment="1">
      <alignment vertical="center"/>
    </xf>
    <xf numFmtId="3" fontId="145" fillId="34" borderId="383" xfId="0" applyNumberFormat="1" applyFont="1" applyFill="1" applyBorder="1" applyAlignment="1">
      <alignment horizontal="center" vertical="center"/>
    </xf>
    <xf numFmtId="0" fontId="74" fillId="4" borderId="414" xfId="0" applyFont="1" applyFill="1" applyBorder="1" applyAlignment="1">
      <alignment vertical="center"/>
    </xf>
    <xf numFmtId="0" fontId="102" fillId="34" borderId="417" xfId="0" applyFont="1" applyFill="1" applyBorder="1" applyAlignment="1">
      <alignment vertical="center" wrapText="1"/>
    </xf>
    <xf numFmtId="0" fontId="145" fillId="34" borderId="384" xfId="0" applyFont="1" applyFill="1" applyBorder="1" applyAlignment="1">
      <alignment vertical="center"/>
    </xf>
    <xf numFmtId="167" fontId="145" fillId="34" borderId="384" xfId="0" applyNumberFormat="1" applyFont="1" applyFill="1" applyBorder="1" applyAlignment="1">
      <alignment horizontal="center" vertical="center"/>
    </xf>
    <xf numFmtId="0" fontId="63" fillId="2" borderId="0" xfId="0" applyFont="1" applyFill="1" applyBorder="1" applyAlignment="1">
      <alignment vertical="center"/>
    </xf>
    <xf numFmtId="167" fontId="145" fillId="4" borderId="384" xfId="0" applyNumberFormat="1" applyFont="1" applyFill="1" applyBorder="1" applyAlignment="1">
      <alignment vertical="center"/>
    </xf>
    <xf numFmtId="167" fontId="145" fillId="4" borderId="383" xfId="0" applyNumberFormat="1" applyFont="1" applyFill="1" applyBorder="1" applyAlignment="1">
      <alignment vertical="center"/>
    </xf>
    <xf numFmtId="0" fontId="141" fillId="34" borderId="417" xfId="0" applyFont="1" applyFill="1" applyBorder="1" applyAlignment="1">
      <alignment vertical="center"/>
    </xf>
    <xf numFmtId="0" fontId="145" fillId="4" borderId="384" xfId="0" applyFont="1" applyFill="1" applyBorder="1" applyAlignment="1">
      <alignment vertical="center"/>
    </xf>
    <xf numFmtId="0" fontId="102" fillId="34" borderId="418" xfId="0" applyFont="1" applyFill="1" applyBorder="1" applyAlignment="1">
      <alignment vertical="center" wrapText="1"/>
    </xf>
    <xf numFmtId="0" fontId="145" fillId="34" borderId="390" xfId="0" applyFont="1" applyFill="1" applyBorder="1" applyAlignment="1">
      <alignment vertical="center"/>
    </xf>
    <xf numFmtId="0" fontId="74" fillId="4" borderId="419" xfId="0" applyFont="1" applyFill="1" applyBorder="1" applyAlignment="1">
      <alignment vertical="center"/>
    </xf>
    <xf numFmtId="0" fontId="74" fillId="4" borderId="399" xfId="0" applyFont="1" applyFill="1" applyBorder="1" applyAlignment="1">
      <alignment vertical="center"/>
    </xf>
    <xf numFmtId="0" fontId="74" fillId="4" borderId="420" xfId="0" applyFont="1" applyFill="1" applyBorder="1" applyAlignment="1">
      <alignment vertical="center"/>
    </xf>
    <xf numFmtId="0" fontId="155" fillId="4" borderId="422" xfId="0" applyFont="1" applyFill="1" applyBorder="1" applyAlignment="1">
      <alignment horizontal="right" vertical="center"/>
    </xf>
    <xf numFmtId="0" fontId="102" fillId="0" borderId="331" xfId="0" applyFont="1" applyFill="1" applyBorder="1" applyAlignment="1">
      <alignment horizontal="right" vertical="center"/>
    </xf>
    <xf numFmtId="201" fontId="102" fillId="0" borderId="216" xfId="0" applyNumberFormat="1" applyFont="1" applyFill="1" applyBorder="1" applyAlignment="1">
      <alignment horizontal="center" vertical="center"/>
    </xf>
    <xf numFmtId="0" fontId="102" fillId="50" borderId="331" xfId="0" applyFont="1" applyFill="1" applyBorder="1" applyAlignment="1">
      <alignment vertical="center"/>
    </xf>
    <xf numFmtId="0" fontId="102" fillId="50" borderId="215" xfId="0" applyFont="1" applyFill="1" applyBorder="1" applyAlignment="1">
      <alignment vertical="center"/>
    </xf>
    <xf numFmtId="0" fontId="102" fillId="50" borderId="216" xfId="0" applyFont="1" applyFill="1" applyBorder="1" applyAlignment="1">
      <alignment vertical="center"/>
    </xf>
    <xf numFmtId="0" fontId="63" fillId="0" borderId="0" xfId="0" applyFont="1" applyAlignment="1">
      <alignment horizontal="left" vertical="center"/>
    </xf>
    <xf numFmtId="0" fontId="74" fillId="34" borderId="340" xfId="0" applyFont="1" applyFill="1" applyBorder="1" applyAlignment="1">
      <alignment vertical="center"/>
    </xf>
    <xf numFmtId="167" fontId="145" fillId="34" borderId="341" xfId="0" applyNumberFormat="1" applyFont="1" applyFill="1" applyBorder="1" applyAlignment="1">
      <alignment horizontal="center" vertical="center"/>
    </xf>
    <xf numFmtId="0" fontId="29" fillId="0" borderId="427" xfId="0" applyFont="1" applyBorder="1" applyAlignment="1">
      <alignment vertical="center"/>
    </xf>
    <xf numFmtId="10" fontId="0" fillId="0" borderId="397" xfId="0" applyNumberFormat="1" applyBorder="1" applyAlignment="1">
      <alignment horizontal="center" vertical="center"/>
    </xf>
    <xf numFmtId="0" fontId="169" fillId="0" borderId="427" xfId="0" applyFont="1" applyBorder="1" applyAlignment="1">
      <alignment vertical="center"/>
    </xf>
    <xf numFmtId="0" fontId="0" fillId="52" borderId="12" xfId="0" applyFill="1" applyBorder="1" applyAlignment="1">
      <alignment vertical="top" wrapText="1"/>
    </xf>
    <xf numFmtId="0" fontId="0" fillId="0" borderId="294" xfId="0" applyBorder="1" applyAlignment="1">
      <alignment vertical="center" wrapText="1"/>
    </xf>
    <xf numFmtId="0" fontId="163" fillId="0" borderId="13" xfId="0" applyFont="1" applyBorder="1" applyAlignment="1">
      <alignment horizontal="left" vertical="center" wrapText="1" indent="5"/>
    </xf>
    <xf numFmtId="0" fontId="163" fillId="0" borderId="361" xfId="0" applyFont="1" applyBorder="1" applyAlignment="1">
      <alignment horizontal="left" vertical="center" wrapText="1" indent="5"/>
    </xf>
    <xf numFmtId="0" fontId="163" fillId="0" borderId="397" xfId="0" applyFont="1" applyBorder="1" applyAlignment="1">
      <alignment horizontal="left" vertical="center" wrapText="1" indent="5"/>
    </xf>
    <xf numFmtId="0" fontId="110" fillId="0" borderId="425" xfId="0" applyFont="1" applyBorder="1" applyAlignment="1">
      <alignment horizontal="center" vertical="center" wrapText="1"/>
    </xf>
    <xf numFmtId="0" fontId="110" fillId="0" borderId="433" xfId="0" applyFont="1" applyBorder="1" applyAlignment="1">
      <alignment horizontal="center" vertical="center" wrapText="1"/>
    </xf>
    <xf numFmtId="202" fontId="0" fillId="0" borderId="0" xfId="0" applyNumberFormat="1" applyFill="1"/>
    <xf numFmtId="9" fontId="0" fillId="0" borderId="0" xfId="72" applyFont="1" applyFill="1"/>
    <xf numFmtId="0" fontId="64" fillId="0" borderId="144" xfId="0" applyNumberFormat="1" applyFont="1" applyFill="1" applyBorder="1" applyAlignment="1">
      <alignment horizontal="center" vertical="center" wrapText="1"/>
    </xf>
    <xf numFmtId="0" fontId="0" fillId="0" borderId="0" xfId="0" applyBorder="1" applyAlignment="1">
      <alignment horizontal="center"/>
    </xf>
    <xf numFmtId="0" fontId="61" fillId="0" borderId="0" xfId="0" applyFont="1" applyBorder="1" applyAlignment="1">
      <alignment horizontal="center" vertical="center"/>
    </xf>
    <xf numFmtId="0" fontId="97" fillId="0" borderId="206" xfId="0" applyFont="1" applyBorder="1" applyAlignment="1">
      <alignment horizontal="center"/>
    </xf>
    <xf numFmtId="0" fontId="97" fillId="0" borderId="0" xfId="0" applyFont="1" applyBorder="1" applyAlignment="1">
      <alignment horizontal="center"/>
    </xf>
    <xf numFmtId="0" fontId="159" fillId="0" borderId="436" xfId="0" applyFont="1" applyBorder="1" applyAlignment="1">
      <alignment vertical="center" wrapText="1"/>
    </xf>
    <xf numFmtId="0" fontId="159" fillId="0" borderId="0" xfId="0" applyFont="1" applyBorder="1" applyAlignment="1">
      <alignment vertical="center" wrapText="1"/>
    </xf>
    <xf numFmtId="0" fontId="159" fillId="0" borderId="294" xfId="0" applyFont="1" applyBorder="1" applyAlignment="1">
      <alignment vertical="center" wrapText="1"/>
    </xf>
    <xf numFmtId="0" fontId="0" fillId="0" borderId="0" xfId="0" applyAlignment="1">
      <alignment horizontal="center" wrapText="1"/>
    </xf>
    <xf numFmtId="0" fontId="0" fillId="0" borderId="436" xfId="0" applyBorder="1"/>
    <xf numFmtId="0" fontId="0" fillId="0" borderId="294" xfId="0" applyBorder="1"/>
    <xf numFmtId="43" fontId="0" fillId="0" borderId="436" xfId="52" applyFont="1" applyBorder="1"/>
    <xf numFmtId="43" fontId="0" fillId="0" borderId="0" xfId="52" applyFont="1" applyBorder="1" applyAlignment="1">
      <alignment horizontal="center"/>
    </xf>
    <xf numFmtId="43" fontId="0" fillId="0" borderId="0" xfId="52" applyFont="1" applyBorder="1"/>
    <xf numFmtId="43" fontId="0" fillId="0" borderId="294" xfId="52" applyFont="1" applyBorder="1"/>
    <xf numFmtId="43" fontId="110" fillId="0" borderId="436" xfId="0" applyNumberFormat="1" applyFont="1" applyBorder="1"/>
    <xf numFmtId="43" fontId="110" fillId="0" borderId="0" xfId="0" applyNumberFormat="1" applyFont="1" applyBorder="1"/>
    <xf numFmtId="43" fontId="110" fillId="0" borderId="294" xfId="0" applyNumberFormat="1" applyFont="1" applyBorder="1"/>
    <xf numFmtId="43" fontId="0" fillId="0" borderId="0" xfId="52" applyFont="1" applyBorder="1" applyAlignment="1">
      <alignment horizontal="center" vertical="center"/>
    </xf>
    <xf numFmtId="43" fontId="0" fillId="0" borderId="294" xfId="52" applyFont="1" applyBorder="1" applyAlignment="1">
      <alignment horizontal="center" vertical="center"/>
    </xf>
    <xf numFmtId="43" fontId="0" fillId="0" borderId="0" xfId="52" applyFont="1" applyBorder="1" applyAlignment="1">
      <alignment vertical="center"/>
    </xf>
    <xf numFmtId="43" fontId="0" fillId="0" borderId="294" xfId="52" applyFont="1" applyBorder="1" applyAlignment="1">
      <alignment vertical="center"/>
    </xf>
    <xf numFmtId="43" fontId="171" fillId="0" borderId="436" xfId="0" applyNumberFormat="1" applyFont="1" applyBorder="1"/>
    <xf numFmtId="43" fontId="171" fillId="0" borderId="0" xfId="0" applyNumberFormat="1" applyFont="1" applyBorder="1"/>
    <xf numFmtId="43" fontId="171" fillId="0" borderId="294" xfId="0" applyNumberFormat="1" applyFont="1" applyBorder="1"/>
    <xf numFmtId="0" fontId="0" fillId="0" borderId="13" xfId="0" applyBorder="1"/>
    <xf numFmtId="4" fontId="0" fillId="0" borderId="361" xfId="0" applyNumberFormat="1" applyBorder="1" applyAlignment="1">
      <alignment horizontal="center" vertical="center"/>
    </xf>
    <xf numFmtId="4" fontId="0" fillId="0" borderId="397" xfId="0" applyNumberFormat="1" applyBorder="1" applyAlignment="1">
      <alignment horizontal="center" vertical="center"/>
    </xf>
    <xf numFmtId="0" fontId="0" fillId="0" borderId="437" xfId="0" applyBorder="1" applyAlignment="1">
      <alignment horizontal="center" wrapText="1"/>
    </xf>
    <xf numFmtId="0" fontId="0" fillId="0" borderId="295" xfId="0" applyBorder="1" applyAlignment="1">
      <alignment horizontal="center" wrapText="1"/>
    </xf>
    <xf numFmtId="0" fontId="0" fillId="0" borderId="438" xfId="0" applyBorder="1" applyAlignment="1">
      <alignment horizontal="center" wrapText="1"/>
    </xf>
    <xf numFmtId="0" fontId="21" fillId="0" borderId="437" xfId="0" applyFont="1" applyBorder="1"/>
    <xf numFmtId="0" fontId="0" fillId="0" borderId="295" xfId="0" applyBorder="1" applyAlignment="1">
      <alignment horizontal="center"/>
    </xf>
    <xf numFmtId="0" fontId="0" fillId="0" borderId="295" xfId="0" applyBorder="1"/>
    <xf numFmtId="0" fontId="0" fillId="0" borderId="438" xfId="0" applyBorder="1"/>
    <xf numFmtId="0" fontId="0" fillId="0" borderId="361" xfId="0" applyBorder="1" applyAlignment="1">
      <alignment horizontal="center"/>
    </xf>
    <xf numFmtId="0" fontId="0" fillId="0" borderId="361" xfId="0" applyBorder="1"/>
    <xf numFmtId="0" fontId="0" fillId="0" borderId="397" xfId="0" applyBorder="1"/>
    <xf numFmtId="0" fontId="0" fillId="0" borderId="11" xfId="0" applyBorder="1"/>
    <xf numFmtId="0" fontId="0" fillId="0" borderId="11" xfId="0" applyBorder="1" applyAlignment="1">
      <alignment horizontal="center"/>
    </xf>
    <xf numFmtId="0" fontId="0" fillId="0" borderId="10" xfId="0" applyBorder="1"/>
    <xf numFmtId="0" fontId="0" fillId="0" borderId="12" xfId="0" applyBorder="1"/>
    <xf numFmtId="0" fontId="163" fillId="0" borderId="0" xfId="0" applyFont="1" applyBorder="1" applyAlignment="1">
      <alignment vertical="center" wrapText="1"/>
    </xf>
    <xf numFmtId="0" fontId="163" fillId="0" borderId="294" xfId="0" applyFont="1" applyBorder="1" applyAlignment="1">
      <alignment vertical="center" wrapText="1"/>
    </xf>
    <xf numFmtId="0" fontId="172" fillId="0" borderId="0" xfId="52" applyNumberFormat="1" applyFont="1" applyBorder="1" applyAlignment="1">
      <alignment horizontal="center" vertical="center" wrapText="1"/>
    </xf>
    <xf numFmtId="0" fontId="159" fillId="0" borderId="0" xfId="0" applyFont="1" applyBorder="1" applyAlignment="1">
      <alignment horizontal="left" vertical="center" wrapText="1"/>
    </xf>
    <xf numFmtId="204" fontId="170" fillId="0" borderId="0" xfId="0" applyNumberFormat="1" applyFont="1" applyBorder="1" applyAlignment="1">
      <alignment horizontal="left" vertical="center" wrapText="1"/>
    </xf>
    <xf numFmtId="175" fontId="170" fillId="0" borderId="0" xfId="0" applyNumberFormat="1" applyFont="1" applyBorder="1" applyAlignment="1">
      <alignment vertical="center" wrapText="1"/>
    </xf>
    <xf numFmtId="15" fontId="173" fillId="0" borderId="294" xfId="0" applyNumberFormat="1" applyFont="1" applyBorder="1" applyAlignment="1">
      <alignment horizontal="center" vertical="center" wrapText="1"/>
    </xf>
    <xf numFmtId="0" fontId="23" fillId="0" borderId="0" xfId="0" applyFont="1" applyBorder="1" applyAlignment="1">
      <alignment horizontal="center" vertical="center" wrapText="1"/>
    </xf>
    <xf numFmtId="0" fontId="74" fillId="34" borderId="346" xfId="0" applyFont="1" applyFill="1" applyBorder="1" applyAlignment="1">
      <alignment vertical="center" wrapText="1"/>
    </xf>
    <xf numFmtId="0" fontId="74" fillId="34" borderId="381" xfId="0" applyFont="1" applyFill="1" applyBorder="1" applyAlignment="1">
      <alignment vertical="center" wrapText="1"/>
    </xf>
    <xf numFmtId="0" fontId="74" fillId="4" borderId="346" xfId="0" applyFont="1" applyFill="1" applyBorder="1" applyAlignment="1">
      <alignment vertical="center" wrapText="1"/>
    </xf>
    <xf numFmtId="0" fontId="74" fillId="4" borderId="381" xfId="0" applyFont="1" applyFill="1" applyBorder="1" applyAlignment="1">
      <alignment vertical="center" wrapText="1"/>
    </xf>
    <xf numFmtId="43" fontId="15" fillId="0" borderId="145" xfId="52" applyNumberFormat="1" applyFont="1" applyFill="1" applyBorder="1" applyAlignment="1">
      <alignment horizontal="center" vertical="center"/>
    </xf>
    <xf numFmtId="43" fontId="0" fillId="0" borderId="0" xfId="0" applyNumberFormat="1" applyFill="1" applyAlignment="1"/>
    <xf numFmtId="0" fontId="169" fillId="0" borderId="436" xfId="0" applyFont="1" applyBorder="1" applyAlignment="1">
      <alignment vertical="center"/>
    </xf>
    <xf numFmtId="10" fontId="0" fillId="0" borderId="0" xfId="0" applyNumberFormat="1" applyBorder="1" applyAlignment="1">
      <alignment horizontal="center" vertical="center"/>
    </xf>
    <xf numFmtId="0" fontId="174" fillId="0" borderId="436" xfId="0" applyFont="1" applyBorder="1" applyAlignment="1">
      <alignment vertical="center"/>
    </xf>
    <xf numFmtId="0" fontId="29" fillId="0" borderId="436" xfId="0" applyFont="1" applyBorder="1" applyAlignment="1">
      <alignment vertical="center"/>
    </xf>
    <xf numFmtId="43" fontId="15" fillId="0" borderId="145" xfId="52" applyNumberFormat="1" applyFont="1" applyFill="1" applyBorder="1" applyAlignment="1">
      <alignment horizontal="center" vertical="center"/>
    </xf>
    <xf numFmtId="43" fontId="145" fillId="0" borderId="0" xfId="0" applyNumberFormat="1" applyFont="1" applyFill="1" applyBorder="1" applyAlignment="1">
      <alignment vertical="center"/>
    </xf>
    <xf numFmtId="10" fontId="145" fillId="0" borderId="0" xfId="72" applyNumberFormat="1" applyFont="1" applyFill="1" applyBorder="1" applyAlignment="1">
      <alignment vertical="center"/>
    </xf>
    <xf numFmtId="43" fontId="70" fillId="3" borderId="119" xfId="52" applyNumberFormat="1" applyFont="1" applyFill="1" applyBorder="1" applyAlignment="1">
      <alignment horizontal="right" vertical="center"/>
    </xf>
    <xf numFmtId="43" fontId="15" fillId="0" borderId="328" xfId="54" applyNumberFormat="1" applyFont="1" applyBorder="1" applyAlignment="1">
      <alignment vertical="center"/>
    </xf>
    <xf numFmtId="43" fontId="15" fillId="0" borderId="328" xfId="52" applyNumberFormat="1" applyFont="1" applyFill="1" applyBorder="1" applyAlignment="1">
      <alignment horizontal="right" vertical="center" indent="1"/>
    </xf>
    <xf numFmtId="10" fontId="0" fillId="0" borderId="0" xfId="72" applyNumberFormat="1" applyFont="1" applyFill="1"/>
    <xf numFmtId="9" fontId="0" fillId="0" borderId="0" xfId="72" applyFont="1"/>
    <xf numFmtId="187" fontId="0" fillId="0" borderId="0" xfId="72" applyNumberFormat="1" applyFont="1"/>
    <xf numFmtId="4" fontId="0" fillId="0" borderId="0" xfId="72" applyNumberFormat="1" applyFont="1" applyFill="1"/>
    <xf numFmtId="0" fontId="0" fillId="0" borderId="0" xfId="0" applyNumberFormat="1" applyFill="1" applyAlignment="1">
      <alignment horizontal="right"/>
    </xf>
    <xf numFmtId="43" fontId="0" fillId="0" borderId="0" xfId="0" applyNumberFormat="1" applyFill="1" applyAlignment="1">
      <alignment vertical="center"/>
    </xf>
    <xf numFmtId="3" fontId="145" fillId="4" borderId="395" xfId="0" applyNumberFormat="1" applyFont="1" applyFill="1" applyBorder="1" applyAlignment="1">
      <alignment horizontal="center" vertical="center"/>
    </xf>
    <xf numFmtId="0" fontId="143" fillId="2" borderId="363" xfId="0" applyFont="1" applyFill="1" applyBorder="1" applyAlignment="1">
      <alignment horizontal="center" vertical="center"/>
    </xf>
    <xf numFmtId="0" fontId="143" fillId="2" borderId="364" xfId="0" applyFont="1" applyFill="1" applyBorder="1" applyAlignment="1">
      <alignment horizontal="center" vertical="center"/>
    </xf>
    <xf numFmtId="0" fontId="143" fillId="2" borderId="156" xfId="0" applyFont="1" applyFill="1" applyBorder="1" applyAlignment="1">
      <alignment horizontal="center" vertical="center"/>
    </xf>
    <xf numFmtId="0" fontId="143" fillId="2" borderId="367" xfId="0" applyFont="1" applyFill="1" applyBorder="1" applyAlignment="1">
      <alignment horizontal="center" vertical="center"/>
    </xf>
    <xf numFmtId="0" fontId="102" fillId="50" borderId="334" xfId="0" applyFont="1" applyFill="1" applyBorder="1" applyAlignment="1">
      <alignment horizontal="left" vertical="center"/>
    </xf>
    <xf numFmtId="0" fontId="102" fillId="50" borderId="322" xfId="0" applyFont="1" applyFill="1" applyBorder="1" applyAlignment="1">
      <alignment horizontal="left" vertical="center"/>
    </xf>
    <xf numFmtId="0" fontId="102" fillId="0" borderId="322" xfId="0" applyFont="1" applyBorder="1" applyAlignment="1">
      <alignment horizontal="left" vertical="center"/>
    </xf>
    <xf numFmtId="0" fontId="102" fillId="0" borderId="322" xfId="0" applyFont="1" applyFill="1" applyBorder="1" applyAlignment="1">
      <alignment horizontal="left" vertical="center" wrapText="1"/>
    </xf>
    <xf numFmtId="0" fontId="102" fillId="0" borderId="322" xfId="0" applyFont="1" applyFill="1" applyBorder="1" applyAlignment="1">
      <alignment horizontal="left" vertical="center"/>
    </xf>
    <xf numFmtId="0" fontId="102" fillId="0" borderId="423" xfId="0" applyFont="1" applyFill="1" applyBorder="1" applyAlignment="1">
      <alignment horizontal="left" vertical="center"/>
    </xf>
    <xf numFmtId="0" fontId="74" fillId="34" borderId="346" xfId="0" applyFont="1" applyFill="1" applyBorder="1" applyAlignment="1">
      <alignment horizontal="left" vertical="center" wrapText="1"/>
    </xf>
    <xf numFmtId="0" fontId="74" fillId="34" borderId="381" xfId="0" applyFont="1" applyFill="1" applyBorder="1" applyAlignment="1">
      <alignment horizontal="left" vertical="center" wrapText="1"/>
    </xf>
    <xf numFmtId="0" fontId="74" fillId="4" borderId="399" xfId="0" applyFont="1" applyFill="1" applyBorder="1" applyAlignment="1">
      <alignment horizontal="left" vertical="center" wrapText="1"/>
    </xf>
    <xf numFmtId="0" fontId="74" fillId="4" borderId="421" xfId="0" applyFont="1" applyFill="1" applyBorder="1" applyAlignment="1">
      <alignment horizontal="left" vertical="center" wrapText="1"/>
    </xf>
    <xf numFmtId="0" fontId="145" fillId="4" borderId="356" xfId="0" applyFont="1" applyFill="1" applyBorder="1" applyAlignment="1">
      <alignment horizontal="left" vertical="center"/>
    </xf>
    <xf numFmtId="0" fontId="145" fillId="4" borderId="359" xfId="0" applyFont="1" applyFill="1" applyBorder="1" applyAlignment="1">
      <alignment horizontal="left" vertical="center"/>
    </xf>
    <xf numFmtId="49" fontId="144" fillId="33" borderId="197" xfId="0" applyNumberFormat="1" applyFont="1" applyFill="1" applyBorder="1" applyAlignment="1">
      <alignment horizontal="left" vertical="center"/>
    </xf>
    <xf numFmtId="49" fontId="144" fillId="33" borderId="364" xfId="0" applyNumberFormat="1" applyFont="1" applyFill="1" applyBorder="1" applyAlignment="1">
      <alignment horizontal="left" vertical="center"/>
    </xf>
    <xf numFmtId="49" fontId="144" fillId="33" borderId="367" xfId="0" applyNumberFormat="1" applyFont="1" applyFill="1" applyBorder="1" applyAlignment="1">
      <alignment horizontal="left" vertical="center"/>
    </xf>
    <xf numFmtId="49" fontId="102" fillId="49" borderId="212" xfId="0" applyNumberFormat="1" applyFont="1" applyFill="1" applyBorder="1" applyAlignment="1">
      <alignment horizontal="left" vertical="center"/>
    </xf>
    <xf numFmtId="49" fontId="102" fillId="49" borderId="307" xfId="0" applyNumberFormat="1" applyFont="1" applyFill="1" applyBorder="1" applyAlignment="1">
      <alignment horizontal="left" vertical="center"/>
    </xf>
    <xf numFmtId="49" fontId="102" fillId="49" borderId="308" xfId="0" applyNumberFormat="1" applyFont="1" applyFill="1" applyBorder="1" applyAlignment="1">
      <alignment horizontal="left" vertical="center"/>
    </xf>
    <xf numFmtId="49" fontId="102" fillId="49" borderId="306" xfId="0" applyNumberFormat="1" applyFont="1" applyFill="1" applyBorder="1" applyAlignment="1">
      <alignment horizontal="left" vertical="center"/>
    </xf>
    <xf numFmtId="49" fontId="102" fillId="49" borderId="412" xfId="0" applyNumberFormat="1" applyFont="1" applyFill="1" applyBorder="1" applyAlignment="1">
      <alignment horizontal="left" vertical="center"/>
    </xf>
    <xf numFmtId="0" fontId="102" fillId="4" borderId="384" xfId="0" applyFont="1" applyFill="1" applyBorder="1" applyAlignment="1">
      <alignment horizontal="left" vertical="center"/>
    </xf>
    <xf numFmtId="0" fontId="102" fillId="4" borderId="382" xfId="0" applyFont="1" applyFill="1" applyBorder="1" applyAlignment="1">
      <alignment horizontal="left" vertical="center"/>
    </xf>
    <xf numFmtId="0" fontId="102" fillId="4" borderId="348" xfId="0" applyFont="1" applyFill="1" applyBorder="1" applyAlignment="1">
      <alignment horizontal="left" vertical="center"/>
    </xf>
    <xf numFmtId="9" fontId="145" fillId="34" borderId="409" xfId="0" applyNumberFormat="1" applyFont="1" applyFill="1" applyBorder="1" applyAlignment="1">
      <alignment horizontal="center" vertical="center"/>
    </xf>
    <xf numFmtId="9" fontId="145" fillId="34" borderId="410" xfId="0" applyNumberFormat="1" applyFont="1" applyFill="1" applyBorder="1" applyAlignment="1">
      <alignment horizontal="center" vertical="center"/>
    </xf>
    <xf numFmtId="0" fontId="145" fillId="34" borderId="389" xfId="0" applyFont="1" applyFill="1" applyBorder="1" applyAlignment="1">
      <alignment horizontal="center" vertical="center"/>
    </xf>
    <xf numFmtId="0" fontId="145" fillId="34" borderId="349" xfId="0" applyFont="1" applyFill="1" applyBorder="1" applyAlignment="1">
      <alignment horizontal="center" vertical="center"/>
    </xf>
    <xf numFmtId="3" fontId="145" fillId="4" borderId="356" xfId="0" applyNumberFormat="1" applyFont="1" applyFill="1" applyBorder="1" applyAlignment="1">
      <alignment horizontal="center" vertical="center"/>
    </xf>
    <xf numFmtId="0" fontId="141" fillId="2" borderId="360" xfId="0" applyFont="1" applyFill="1" applyBorder="1" applyAlignment="1">
      <alignment horizontal="center" vertical="center"/>
    </xf>
    <xf numFmtId="0" fontId="141" fillId="2" borderId="295" xfId="0" applyFont="1" applyFill="1" applyBorder="1" applyAlignment="1">
      <alignment horizontal="center" vertical="center"/>
    </xf>
    <xf numFmtId="0" fontId="141" fillId="2" borderId="0" xfId="0" applyFont="1" applyFill="1" applyBorder="1" applyAlignment="1">
      <alignment horizontal="center" vertical="center"/>
    </xf>
    <xf numFmtId="0" fontId="141" fillId="2" borderId="362" xfId="0" applyFont="1" applyFill="1" applyBorder="1" applyAlignment="1">
      <alignment horizontal="center" vertical="center"/>
    </xf>
    <xf numFmtId="0" fontId="102" fillId="49" borderId="306" xfId="0" applyFont="1" applyFill="1" applyBorder="1" applyAlignment="1">
      <alignment horizontal="center" vertical="center"/>
    </xf>
    <xf numFmtId="0" fontId="102" fillId="49" borderId="308" xfId="0" applyFont="1" applyFill="1" applyBorder="1" applyAlignment="1">
      <alignment horizontal="center" vertical="center"/>
    </xf>
    <xf numFmtId="0" fontId="145" fillId="49" borderId="306" xfId="0" applyFont="1" applyFill="1" applyBorder="1" applyAlignment="1">
      <alignment horizontal="center" vertical="center"/>
    </xf>
    <xf numFmtId="0" fontId="145" fillId="49" borderId="308" xfId="0" applyFont="1" applyFill="1" applyBorder="1" applyAlignment="1">
      <alignment horizontal="center" vertical="center"/>
    </xf>
    <xf numFmtId="0" fontId="102" fillId="4" borderId="378" xfId="0" applyFont="1" applyFill="1" applyBorder="1" applyAlignment="1">
      <alignment horizontal="left" vertical="center"/>
    </xf>
    <xf numFmtId="0" fontId="102" fillId="4" borderId="377" xfId="0" applyFont="1" applyFill="1" applyBorder="1" applyAlignment="1">
      <alignment horizontal="left" vertical="center"/>
    </xf>
    <xf numFmtId="0" fontId="102" fillId="4" borderId="319" xfId="0" applyFont="1" applyFill="1" applyBorder="1" applyAlignment="1">
      <alignment horizontal="left" vertical="center"/>
    </xf>
    <xf numFmtId="0" fontId="102" fillId="34" borderId="384" xfId="0" applyFont="1" applyFill="1" applyBorder="1" applyAlignment="1">
      <alignment horizontal="left" vertical="center"/>
    </xf>
    <xf numFmtId="0" fontId="102" fillId="34" borderId="382" xfId="0" applyFont="1" applyFill="1" applyBorder="1" applyAlignment="1">
      <alignment horizontal="left" vertical="center"/>
    </xf>
    <xf numFmtId="0" fontId="102" fillId="34" borderId="348" xfId="0" applyFont="1" applyFill="1" applyBorder="1" applyAlignment="1">
      <alignment horizontal="left" vertical="center"/>
    </xf>
    <xf numFmtId="49" fontId="144" fillId="31" borderId="363" xfId="0" applyNumberFormat="1" applyFont="1" applyFill="1" applyBorder="1" applyAlignment="1">
      <alignment horizontal="left" vertical="center"/>
    </xf>
    <xf numFmtId="49" fontId="144" fillId="31" borderId="364" xfId="0" applyNumberFormat="1" applyFont="1" applyFill="1" applyBorder="1" applyAlignment="1">
      <alignment horizontal="left" vertical="center"/>
    </xf>
    <xf numFmtId="0" fontId="102" fillId="49" borderId="212" xfId="0" applyFont="1" applyFill="1" applyBorder="1" applyAlignment="1">
      <alignment horizontal="center" vertical="center"/>
    </xf>
    <xf numFmtId="0" fontId="102" fillId="49" borderId="307" xfId="0" applyFont="1" applyFill="1" applyBorder="1" applyAlignment="1">
      <alignment horizontal="center" vertical="center"/>
    </xf>
    <xf numFmtId="0" fontId="102" fillId="49" borderId="370" xfId="0" applyFont="1" applyFill="1" applyBorder="1" applyAlignment="1">
      <alignment horizontal="center" vertical="center"/>
    </xf>
    <xf numFmtId="0" fontId="102" fillId="49" borderId="305" xfId="0" applyFont="1" applyFill="1" applyBorder="1" applyAlignment="1">
      <alignment horizontal="center" vertical="center"/>
    </xf>
    <xf numFmtId="0" fontId="102" fillId="49" borderId="373" xfId="0" applyFont="1" applyFill="1" applyBorder="1" applyAlignment="1">
      <alignment horizontal="center" vertical="center"/>
    </xf>
    <xf numFmtId="0" fontId="102" fillId="49" borderId="157" xfId="0" applyFont="1" applyFill="1" applyBorder="1" applyAlignment="1">
      <alignment horizontal="center" vertical="center"/>
    </xf>
    <xf numFmtId="0" fontId="102" fillId="49" borderId="404" xfId="0" applyFont="1" applyFill="1" applyBorder="1" applyAlignment="1">
      <alignment horizontal="center" vertical="center"/>
    </xf>
    <xf numFmtId="0" fontId="102" fillId="49" borderId="306" xfId="0" applyFont="1" applyFill="1" applyBorder="1" applyAlignment="1">
      <alignment horizontal="center" vertical="center" wrapText="1"/>
    </xf>
    <xf numFmtId="0" fontId="102" fillId="49" borderId="308" xfId="0" applyFont="1" applyFill="1" applyBorder="1" applyAlignment="1">
      <alignment horizontal="center" vertical="center" wrapText="1"/>
    </xf>
    <xf numFmtId="0" fontId="102" fillId="34" borderId="406" xfId="0" applyFont="1" applyFill="1" applyBorder="1" applyAlignment="1">
      <alignment horizontal="left" vertical="center" wrapText="1"/>
    </xf>
    <xf numFmtId="0" fontId="102" fillId="34" borderId="349" xfId="0" applyFont="1" applyFill="1" applyBorder="1" applyAlignment="1">
      <alignment horizontal="left" vertical="center" wrapText="1"/>
    </xf>
    <xf numFmtId="169" fontId="102" fillId="34" borderId="341" xfId="0" applyNumberFormat="1" applyFont="1" applyFill="1" applyBorder="1" applyAlignment="1">
      <alignment horizontal="center" vertical="center"/>
    </xf>
    <xf numFmtId="169" fontId="102" fillId="34" borderId="349" xfId="0" applyNumberFormat="1" applyFont="1" applyFill="1" applyBorder="1" applyAlignment="1">
      <alignment horizontal="center" vertical="center"/>
    </xf>
    <xf numFmtId="169" fontId="145" fillId="34" borderId="341" xfId="0" applyNumberFormat="1" applyFont="1" applyFill="1" applyBorder="1" applyAlignment="1">
      <alignment horizontal="left" vertical="center"/>
    </xf>
    <xf numFmtId="169" fontId="145" fillId="34" borderId="349" xfId="0" applyNumberFormat="1" applyFont="1" applyFill="1" applyBorder="1" applyAlignment="1">
      <alignment horizontal="left" vertical="center"/>
    </xf>
    <xf numFmtId="0" fontId="149" fillId="4" borderId="382" xfId="0" applyFont="1" applyFill="1" applyBorder="1" applyAlignment="1">
      <alignment horizontal="left" vertical="center"/>
    </xf>
    <xf numFmtId="0" fontId="102" fillId="4" borderId="346" xfId="0" applyFont="1" applyFill="1" applyBorder="1" applyAlignment="1">
      <alignment horizontal="left" vertical="center"/>
    </xf>
    <xf numFmtId="0" fontId="145" fillId="4" borderId="354" xfId="0" applyFont="1" applyFill="1" applyBorder="1" applyAlignment="1">
      <alignment horizontal="center" vertical="center"/>
    </xf>
    <xf numFmtId="0" fontId="145" fillId="4" borderId="356" xfId="0" applyFont="1" applyFill="1" applyBorder="1" applyAlignment="1">
      <alignment horizontal="center" vertical="center"/>
    </xf>
    <xf numFmtId="0" fontId="102" fillId="4" borderId="279" xfId="0" applyFont="1" applyFill="1" applyBorder="1" applyAlignment="1">
      <alignment horizontal="left" vertical="center"/>
    </xf>
    <xf numFmtId="0" fontId="102" fillId="4" borderId="356" xfId="0" applyFont="1" applyFill="1" applyBorder="1" applyAlignment="1">
      <alignment horizontal="left" vertical="center"/>
    </xf>
    <xf numFmtId="0" fontId="102" fillId="4" borderId="357" xfId="0" applyFont="1" applyFill="1" applyBorder="1" applyAlignment="1">
      <alignment horizontal="left" vertical="center"/>
    </xf>
    <xf numFmtId="0" fontId="102" fillId="34" borderId="380" xfId="0" applyFont="1" applyFill="1" applyBorder="1" applyAlignment="1">
      <alignment horizontal="left" vertical="center"/>
    </xf>
    <xf numFmtId="0" fontId="102" fillId="34" borderId="345" xfId="0" applyFont="1" applyFill="1" applyBorder="1" applyAlignment="1">
      <alignment horizontal="left" vertical="center"/>
    </xf>
    <xf numFmtId="0" fontId="102" fillId="4" borderId="380" xfId="0" applyFont="1" applyFill="1" applyBorder="1" applyAlignment="1">
      <alignment horizontal="left" vertical="center" wrapText="1"/>
    </xf>
    <xf numFmtId="0" fontId="102" fillId="4" borderId="384" xfId="0" applyFont="1" applyFill="1" applyBorder="1" applyAlignment="1">
      <alignment horizontal="left" vertical="center" wrapText="1"/>
    </xf>
    <xf numFmtId="0" fontId="102" fillId="4" borderId="345" xfId="0" applyFont="1" applyFill="1" applyBorder="1" applyAlignment="1">
      <alignment horizontal="left" vertical="center"/>
    </xf>
    <xf numFmtId="0" fontId="102" fillId="34" borderId="346" xfId="0" applyFont="1" applyFill="1" applyBorder="1" applyAlignment="1">
      <alignment horizontal="left" vertical="center"/>
    </xf>
    <xf numFmtId="0" fontId="102" fillId="4" borderId="380" xfId="0" applyFont="1" applyFill="1" applyBorder="1" applyAlignment="1">
      <alignment horizontal="left" vertical="center"/>
    </xf>
    <xf numFmtId="49" fontId="102" fillId="49" borderId="306" xfId="0" applyNumberFormat="1" applyFont="1" applyFill="1" applyBorder="1" applyAlignment="1">
      <alignment horizontal="center" vertical="center" wrapText="1"/>
    </xf>
    <xf numFmtId="49" fontId="102" fillId="49" borderId="404" xfId="0" applyNumberFormat="1" applyFont="1" applyFill="1" applyBorder="1" applyAlignment="1">
      <alignment horizontal="center" vertical="center" wrapText="1"/>
    </xf>
    <xf numFmtId="0" fontId="102" fillId="4" borderId="374" xfId="0" applyFont="1" applyFill="1" applyBorder="1" applyAlignment="1">
      <alignment horizontal="left" vertical="center"/>
    </xf>
    <xf numFmtId="0" fontId="102" fillId="4" borderId="340" xfId="0" applyFont="1" applyFill="1" applyBorder="1" applyAlignment="1">
      <alignment horizontal="left" vertical="center"/>
    </xf>
    <xf numFmtId="0" fontId="102" fillId="34" borderId="377" xfId="0" applyFont="1" applyFill="1" applyBorder="1" applyAlignment="1">
      <alignment horizontal="left" vertical="center"/>
    </xf>
    <xf numFmtId="0" fontId="102" fillId="34" borderId="317" xfId="0" applyFont="1" applyFill="1" applyBorder="1" applyAlignment="1">
      <alignment horizontal="left" vertical="center"/>
    </xf>
    <xf numFmtId="0" fontId="102" fillId="34" borderId="319" xfId="0" applyFont="1" applyFill="1" applyBorder="1" applyAlignment="1">
      <alignment horizontal="left" vertical="center"/>
    </xf>
    <xf numFmtId="49" fontId="144" fillId="31" borderId="365" xfId="0" applyNumberFormat="1" applyFont="1" applyFill="1" applyBorder="1" applyAlignment="1">
      <alignment horizontal="left" vertical="center"/>
    </xf>
    <xf numFmtId="0" fontId="102" fillId="49" borderId="402" xfId="0" applyFont="1" applyFill="1" applyBorder="1" applyAlignment="1">
      <alignment horizontal="center" vertical="center"/>
    </xf>
    <xf numFmtId="0" fontId="102" fillId="49" borderId="267" xfId="0" applyFont="1" applyFill="1" applyBorder="1" applyAlignment="1">
      <alignment horizontal="center" vertical="center"/>
    </xf>
    <xf numFmtId="0" fontId="102" fillId="49" borderId="353" xfId="0" applyFont="1" applyFill="1" applyBorder="1" applyAlignment="1">
      <alignment horizontal="center" vertical="center"/>
    </xf>
    <xf numFmtId="0" fontId="102" fillId="49" borderId="156" xfId="0" applyFont="1" applyFill="1" applyBorder="1" applyAlignment="1">
      <alignment horizontal="center" vertical="center"/>
    </xf>
    <xf numFmtId="0" fontId="102" fillId="49" borderId="303" xfId="0" applyFont="1" applyFill="1" applyBorder="1" applyAlignment="1">
      <alignment horizontal="center" vertical="center" wrapText="1"/>
    </xf>
    <xf numFmtId="0" fontId="102" fillId="49" borderId="267" xfId="0" applyFont="1" applyFill="1" applyBorder="1" applyAlignment="1">
      <alignment horizontal="center" vertical="center" wrapText="1"/>
    </xf>
    <xf numFmtId="0" fontId="102" fillId="49" borderId="305" xfId="0" applyFont="1" applyFill="1" applyBorder="1" applyAlignment="1">
      <alignment horizontal="center" vertical="center" wrapText="1"/>
    </xf>
    <xf numFmtId="0" fontId="102" fillId="49" borderId="155" xfId="0" applyFont="1" applyFill="1" applyBorder="1" applyAlignment="1">
      <alignment horizontal="center" vertical="center" wrapText="1"/>
    </xf>
    <xf numFmtId="0" fontId="102" fillId="49" borderId="156" xfId="0" applyFont="1" applyFill="1" applyBorder="1" applyAlignment="1">
      <alignment horizontal="center" vertical="center" wrapText="1"/>
    </xf>
    <xf numFmtId="0" fontId="102" fillId="49" borderId="157" xfId="0" applyFont="1" applyFill="1" applyBorder="1" applyAlignment="1">
      <alignment horizontal="center" vertical="center" wrapText="1"/>
    </xf>
    <xf numFmtId="0" fontId="102" fillId="49" borderId="303" xfId="0" applyFont="1" applyFill="1" applyBorder="1" applyAlignment="1">
      <alignment horizontal="center" vertical="center"/>
    </xf>
    <xf numFmtId="0" fontId="102" fillId="49" borderId="403" xfId="0" applyFont="1" applyFill="1" applyBorder="1" applyAlignment="1">
      <alignment horizontal="center" vertical="center"/>
    </xf>
    <xf numFmtId="0" fontId="102" fillId="49" borderId="155" xfId="0" applyFont="1" applyFill="1" applyBorder="1" applyAlignment="1">
      <alignment horizontal="center" vertical="center"/>
    </xf>
    <xf numFmtId="0" fontId="102" fillId="49" borderId="405" xfId="0" applyFont="1" applyFill="1" applyBorder="1" applyAlignment="1">
      <alignment horizontal="center" vertical="center"/>
    </xf>
    <xf numFmtId="0" fontId="145" fillId="49" borderId="370" xfId="0" applyFont="1" applyFill="1" applyBorder="1" applyAlignment="1">
      <alignment horizontal="center" vertical="center"/>
    </xf>
    <xf numFmtId="0" fontId="145" fillId="49" borderId="267" xfId="0" applyFont="1" applyFill="1" applyBorder="1" applyAlignment="1">
      <alignment horizontal="center" vertical="center"/>
    </xf>
    <xf numFmtId="0" fontId="145" fillId="49" borderId="305" xfId="0" applyFont="1" applyFill="1" applyBorder="1" applyAlignment="1">
      <alignment horizontal="center" vertical="center"/>
    </xf>
    <xf numFmtId="0" fontId="145" fillId="49" borderId="373" xfId="0" applyFont="1" applyFill="1" applyBorder="1" applyAlignment="1">
      <alignment horizontal="center" vertical="center"/>
    </xf>
    <xf numFmtId="0" fontId="145" fillId="49" borderId="156" xfId="0" applyFont="1" applyFill="1" applyBorder="1" applyAlignment="1">
      <alignment horizontal="center" vertical="center"/>
    </xf>
    <xf numFmtId="0" fontId="145" fillId="49" borderId="157" xfId="0" applyFont="1" applyFill="1" applyBorder="1" applyAlignment="1">
      <alignment horizontal="center" vertical="center"/>
    </xf>
    <xf numFmtId="49" fontId="152" fillId="49" borderId="306" xfId="0" applyNumberFormat="1" applyFont="1" applyFill="1" applyBorder="1" applyAlignment="1">
      <alignment horizontal="center" vertical="center" wrapText="1"/>
    </xf>
    <xf numFmtId="49" fontId="1" fillId="49" borderId="308" xfId="0" applyNumberFormat="1" applyFont="1" applyFill="1" applyBorder="1" applyAlignment="1">
      <alignment horizontal="center" vertical="center"/>
    </xf>
    <xf numFmtId="49" fontId="102" fillId="49" borderId="302" xfId="0" applyNumberFormat="1" applyFont="1" applyFill="1" applyBorder="1" applyAlignment="1">
      <alignment horizontal="center" vertical="center"/>
    </xf>
    <xf numFmtId="49" fontId="102" fillId="49" borderId="140" xfId="0" applyNumberFormat="1" applyFont="1" applyFill="1" applyBorder="1" applyAlignment="1">
      <alignment horizontal="center" vertical="center"/>
    </xf>
    <xf numFmtId="49" fontId="102" fillId="49" borderId="302" xfId="0" applyNumberFormat="1" applyFont="1" applyFill="1" applyBorder="1" applyAlignment="1">
      <alignment horizontal="center" vertical="center" wrapText="1"/>
    </xf>
    <xf numFmtId="49" fontId="102" fillId="49" borderId="140" xfId="0" applyNumberFormat="1" applyFont="1" applyFill="1" applyBorder="1" applyAlignment="1">
      <alignment horizontal="center" vertical="center" wrapText="1"/>
    </xf>
    <xf numFmtId="49" fontId="152" fillId="49" borderId="302" xfId="0" applyNumberFormat="1" applyFont="1" applyFill="1" applyBorder="1" applyAlignment="1">
      <alignment horizontal="center" vertical="center" wrapText="1"/>
    </xf>
    <xf numFmtId="49" fontId="152" fillId="49" borderId="140" xfId="0" applyNumberFormat="1" applyFont="1" applyFill="1" applyBorder="1" applyAlignment="1">
      <alignment horizontal="center" vertical="center" wrapText="1"/>
    </xf>
    <xf numFmtId="0" fontId="102" fillId="49" borderId="320" xfId="0" applyFont="1" applyFill="1" applyBorder="1" applyAlignment="1">
      <alignment horizontal="center" vertical="center" wrapText="1"/>
    </xf>
    <xf numFmtId="0" fontId="145" fillId="49" borderId="277" xfId="0" applyFont="1" applyFill="1" applyBorder="1" applyAlignment="1">
      <alignment horizontal="center" vertical="center"/>
    </xf>
    <xf numFmtId="0" fontId="145" fillId="49" borderId="307" xfId="0" applyFont="1" applyFill="1" applyBorder="1" applyAlignment="1">
      <alignment horizontal="center" vertical="center"/>
    </xf>
    <xf numFmtId="0" fontId="102" fillId="4" borderId="317" xfId="0" applyFont="1" applyFill="1" applyBorder="1" applyAlignment="1">
      <alignment horizontal="left" vertical="center"/>
    </xf>
    <xf numFmtId="0" fontId="102" fillId="4" borderId="398" xfId="0" applyFont="1" applyFill="1" applyBorder="1" applyAlignment="1">
      <alignment horizontal="left" vertical="center"/>
    </xf>
    <xf numFmtId="0" fontId="102" fillId="4" borderId="399" xfId="0" applyFont="1" applyFill="1" applyBorder="1" applyAlignment="1">
      <alignment horizontal="left" vertical="center"/>
    </xf>
    <xf numFmtId="0" fontId="102" fillId="4" borderId="400" xfId="0" applyFont="1" applyFill="1" applyBorder="1" applyAlignment="1">
      <alignment horizontal="left" vertical="center"/>
    </xf>
    <xf numFmtId="10" fontId="150" fillId="34" borderId="355" xfId="0" applyNumberFormat="1" applyFont="1" applyFill="1" applyBorder="1" applyAlignment="1">
      <alignment horizontal="left" vertical="top" wrapText="1"/>
    </xf>
    <xf numFmtId="10" fontId="150" fillId="34" borderId="356" xfId="0" applyNumberFormat="1" applyFont="1" applyFill="1" applyBorder="1" applyAlignment="1">
      <alignment horizontal="left" vertical="top"/>
    </xf>
    <xf numFmtId="10" fontId="150" fillId="34" borderId="393" xfId="0" applyNumberFormat="1" applyFont="1" applyFill="1" applyBorder="1" applyAlignment="1">
      <alignment horizontal="left" vertical="top"/>
    </xf>
    <xf numFmtId="165" fontId="102" fillId="34" borderId="279" xfId="0" applyNumberFormat="1" applyFont="1" applyFill="1" applyBorder="1" applyAlignment="1">
      <alignment horizontal="center" vertical="center"/>
    </xf>
    <xf numFmtId="165" fontId="102" fillId="34" borderId="357" xfId="0" applyNumberFormat="1" applyFont="1" applyFill="1" applyBorder="1" applyAlignment="1">
      <alignment horizontal="center" vertical="center"/>
    </xf>
    <xf numFmtId="165" fontId="102" fillId="34" borderId="355" xfId="0" applyNumberFormat="1" applyFont="1" applyFill="1" applyBorder="1" applyAlignment="1">
      <alignment horizontal="center" vertical="center"/>
    </xf>
    <xf numFmtId="0" fontId="145" fillId="34" borderId="355" xfId="0" applyFont="1" applyFill="1" applyBorder="1" applyAlignment="1">
      <alignment horizontal="center" vertical="center"/>
    </xf>
    <xf numFmtId="0" fontId="145" fillId="34" borderId="356" xfId="0" applyFont="1" applyFill="1" applyBorder="1" applyAlignment="1">
      <alignment horizontal="center" vertical="center"/>
    </xf>
    <xf numFmtId="0" fontId="145" fillId="34" borderId="359" xfId="0" applyFont="1" applyFill="1" applyBorder="1" applyAlignment="1">
      <alignment horizontal="center" vertical="center"/>
    </xf>
    <xf numFmtId="10" fontId="145" fillId="34" borderId="384" xfId="0" applyNumberFormat="1" applyFont="1" applyFill="1" applyBorder="1" applyAlignment="1">
      <alignment horizontal="center" vertical="center"/>
    </xf>
    <xf numFmtId="10" fontId="145" fillId="34" borderId="385" xfId="0" applyNumberFormat="1" applyFont="1" applyFill="1" applyBorder="1" applyAlignment="1">
      <alignment horizontal="center" vertical="center"/>
    </xf>
    <xf numFmtId="0" fontId="102" fillId="34" borderId="382" xfId="0" applyFont="1" applyFill="1" applyBorder="1" applyAlignment="1">
      <alignment horizontal="left" vertical="center" wrapText="1"/>
    </xf>
    <xf numFmtId="0" fontId="102" fillId="34" borderId="348" xfId="0" applyFont="1" applyFill="1" applyBorder="1" applyAlignment="1">
      <alignment horizontal="left" vertical="center" wrapText="1"/>
    </xf>
    <xf numFmtId="0" fontId="145" fillId="34" borderId="345" xfId="0" applyFont="1" applyFill="1" applyBorder="1" applyAlignment="1">
      <alignment horizontal="left" vertical="center"/>
    </xf>
    <xf numFmtId="0" fontId="145" fillId="34" borderId="346" xfId="0" applyFont="1" applyFill="1" applyBorder="1" applyAlignment="1">
      <alignment horizontal="left" vertical="center"/>
    </xf>
    <xf numFmtId="0" fontId="145" fillId="34" borderId="348" xfId="0" applyFont="1" applyFill="1" applyBorder="1" applyAlignment="1">
      <alignment horizontal="left" vertical="center"/>
    </xf>
    <xf numFmtId="10" fontId="145" fillId="4" borderId="387" xfId="0" applyNumberFormat="1" applyFont="1" applyFill="1" applyBorder="1" applyAlignment="1">
      <alignment horizontal="center" vertical="center"/>
    </xf>
    <xf numFmtId="10" fontId="145" fillId="4" borderId="388" xfId="0" applyNumberFormat="1" applyFont="1" applyFill="1" applyBorder="1" applyAlignment="1">
      <alignment horizontal="center" vertical="center"/>
    </xf>
    <xf numFmtId="0" fontId="145" fillId="4" borderId="389" xfId="0" applyFont="1" applyFill="1" applyBorder="1" applyAlignment="1">
      <alignment horizontal="left" vertical="center"/>
    </xf>
    <xf numFmtId="0" fontId="145" fillId="4" borderId="349" xfId="0" applyFont="1" applyFill="1" applyBorder="1" applyAlignment="1">
      <alignment horizontal="left" vertical="center"/>
    </xf>
    <xf numFmtId="4" fontId="102" fillId="4" borderId="341" xfId="0" applyNumberFormat="1" applyFont="1" applyFill="1" applyBorder="1" applyAlignment="1">
      <alignment horizontal="center" vertical="center"/>
    </xf>
    <xf numFmtId="4" fontId="102" fillId="4" borderId="349" xfId="0" applyNumberFormat="1" applyFont="1" applyFill="1" applyBorder="1" applyAlignment="1">
      <alignment horizontal="center" vertical="center"/>
    </xf>
    <xf numFmtId="0" fontId="145" fillId="4" borderId="341" xfId="0" applyFont="1" applyFill="1" applyBorder="1" applyAlignment="1">
      <alignment vertical="center"/>
    </xf>
    <xf numFmtId="0" fontId="145" fillId="4" borderId="342" xfId="0" applyFont="1" applyFill="1" applyBorder="1" applyAlignment="1">
      <alignment vertical="center"/>
    </xf>
    <xf numFmtId="0" fontId="145" fillId="4" borderId="349" xfId="0" applyFont="1" applyFill="1" applyBorder="1" applyAlignment="1">
      <alignment vertical="center"/>
    </xf>
    <xf numFmtId="0" fontId="141" fillId="34" borderId="345" xfId="0" applyFont="1" applyFill="1" applyBorder="1" applyAlignment="1">
      <alignment horizontal="left" vertical="center" wrapText="1"/>
    </xf>
    <xf numFmtId="0" fontId="141" fillId="34" borderId="346" xfId="0" applyFont="1" applyFill="1" applyBorder="1" applyAlignment="1">
      <alignment horizontal="left" vertical="center" wrapText="1"/>
    </xf>
    <xf numFmtId="0" fontId="141" fillId="34" borderId="348" xfId="0" applyFont="1" applyFill="1" applyBorder="1" applyAlignment="1">
      <alignment horizontal="left" vertical="center" wrapText="1"/>
    </xf>
    <xf numFmtId="10" fontId="145" fillId="4" borderId="384" xfId="0" applyNumberFormat="1" applyFont="1" applyFill="1" applyBorder="1" applyAlignment="1">
      <alignment horizontal="center" vertical="center"/>
    </xf>
    <xf numFmtId="10" fontId="145" fillId="4" borderId="385" xfId="0" applyNumberFormat="1" applyFont="1" applyFill="1" applyBorder="1" applyAlignment="1">
      <alignment horizontal="center" vertical="center"/>
    </xf>
    <xf numFmtId="0" fontId="102" fillId="4" borderId="382" xfId="0" applyFont="1" applyFill="1" applyBorder="1" applyAlignment="1">
      <alignment horizontal="left" vertical="center" wrapText="1"/>
    </xf>
    <xf numFmtId="0" fontId="102" fillId="4" borderId="348" xfId="0" applyFont="1" applyFill="1" applyBorder="1" applyAlignment="1">
      <alignment horizontal="left" vertical="center" wrapText="1"/>
    </xf>
    <xf numFmtId="0" fontId="102" fillId="4" borderId="345" xfId="0" applyFont="1" applyFill="1" applyBorder="1" applyAlignment="1">
      <alignment horizontal="left" vertical="center" wrapText="1"/>
    </xf>
    <xf numFmtId="0" fontId="141" fillId="4" borderId="345" xfId="0" applyFont="1" applyFill="1" applyBorder="1" applyAlignment="1">
      <alignment horizontal="left" vertical="center" wrapText="1"/>
    </xf>
    <xf numFmtId="0" fontId="141" fillId="4" borderId="346" xfId="0" applyFont="1" applyFill="1" applyBorder="1" applyAlignment="1">
      <alignment horizontal="left" vertical="center" wrapText="1"/>
    </xf>
    <xf numFmtId="0" fontId="141" fillId="4" borderId="348" xfId="0" applyFont="1" applyFill="1" applyBorder="1" applyAlignment="1">
      <alignment horizontal="left" vertical="center" wrapText="1"/>
    </xf>
    <xf numFmtId="10" fontId="145" fillId="34" borderId="345" xfId="0" applyNumberFormat="1" applyFont="1" applyFill="1" applyBorder="1" applyAlignment="1">
      <alignment horizontal="center" vertical="center"/>
    </xf>
    <xf numFmtId="10" fontId="145" fillId="34" borderId="381" xfId="0" applyNumberFormat="1" applyFont="1" applyFill="1" applyBorder="1" applyAlignment="1">
      <alignment horizontal="center" vertical="center"/>
    </xf>
    <xf numFmtId="0" fontId="102" fillId="34" borderId="345" xfId="0" applyFont="1" applyFill="1" applyBorder="1" applyAlignment="1">
      <alignment horizontal="left" vertical="center" wrapText="1"/>
    </xf>
    <xf numFmtId="0" fontId="102" fillId="34" borderId="346" xfId="0" applyFont="1" applyFill="1" applyBorder="1" applyAlignment="1">
      <alignment horizontal="left" vertical="center" wrapText="1"/>
    </xf>
    <xf numFmtId="0" fontId="102" fillId="4" borderId="346" xfId="0" applyFont="1" applyFill="1" applyBorder="1" applyAlignment="1">
      <alignment horizontal="left" vertical="center" wrapText="1"/>
    </xf>
    <xf numFmtId="49" fontId="102" fillId="49" borderId="303" xfId="0" applyNumberFormat="1" applyFont="1" applyFill="1" applyBorder="1" applyAlignment="1">
      <alignment horizontal="center" vertical="center"/>
    </xf>
    <xf numFmtId="49" fontId="102" fillId="49" borderId="267" xfId="0" applyNumberFormat="1" applyFont="1" applyFill="1" applyBorder="1" applyAlignment="1">
      <alignment horizontal="center" vertical="center"/>
    </xf>
    <xf numFmtId="49" fontId="102" fillId="49" borderId="305" xfId="0" applyNumberFormat="1" applyFont="1" applyFill="1" applyBorder="1" applyAlignment="1">
      <alignment horizontal="center" vertical="center"/>
    </xf>
    <xf numFmtId="49" fontId="102" fillId="49" borderId="155" xfId="0" applyNumberFormat="1" applyFont="1" applyFill="1" applyBorder="1" applyAlignment="1">
      <alignment horizontal="center" vertical="center"/>
    </xf>
    <xf numFmtId="49" fontId="102" fillId="49" borderId="156" xfId="0" applyNumberFormat="1" applyFont="1" applyFill="1" applyBorder="1" applyAlignment="1">
      <alignment horizontal="center" vertical="center"/>
    </xf>
    <xf numFmtId="49" fontId="102" fillId="49" borderId="157" xfId="0" applyNumberFormat="1" applyFont="1" applyFill="1" applyBorder="1" applyAlignment="1">
      <alignment horizontal="center" vertical="center"/>
    </xf>
    <xf numFmtId="49" fontId="102" fillId="49" borderId="371" xfId="0" applyNumberFormat="1" applyFont="1" applyFill="1" applyBorder="1" applyAlignment="1">
      <alignment horizontal="center" vertical="center"/>
    </xf>
    <xf numFmtId="49" fontId="102" fillId="49" borderId="230" xfId="0" applyNumberFormat="1" applyFont="1" applyFill="1" applyBorder="1" applyAlignment="1">
      <alignment horizontal="center" vertical="center"/>
    </xf>
    <xf numFmtId="10" fontId="145" fillId="4" borderId="375" xfId="0" applyNumberFormat="1" applyFont="1" applyFill="1" applyBorder="1" applyAlignment="1">
      <alignment horizontal="center" vertical="center"/>
    </xf>
    <xf numFmtId="10" fontId="145" fillId="4" borderId="376" xfId="0" applyNumberFormat="1" applyFont="1" applyFill="1" applyBorder="1" applyAlignment="1">
      <alignment horizontal="center" vertical="center"/>
    </xf>
    <xf numFmtId="0" fontId="102" fillId="49" borderId="368" xfId="0" applyFont="1" applyFill="1" applyBorder="1" applyAlignment="1">
      <alignment horizontal="center" vertical="center"/>
    </xf>
    <xf numFmtId="0" fontId="102" fillId="49" borderId="372" xfId="0" applyFont="1" applyFill="1" applyBorder="1" applyAlignment="1">
      <alignment horizontal="center" vertical="center"/>
    </xf>
    <xf numFmtId="0" fontId="102" fillId="49" borderId="320" xfId="0" applyFont="1" applyFill="1" applyBorder="1" applyAlignment="1">
      <alignment horizontal="center" vertical="center"/>
    </xf>
    <xf numFmtId="0" fontId="102" fillId="49" borderId="369" xfId="0" applyFont="1" applyFill="1" applyBorder="1" applyAlignment="1">
      <alignment horizontal="center" vertical="center" wrapText="1"/>
    </xf>
    <xf numFmtId="49" fontId="102" fillId="49" borderId="370" xfId="0" applyNumberFormat="1" applyFont="1" applyFill="1" applyBorder="1" applyAlignment="1">
      <alignment horizontal="center" vertical="center" wrapText="1"/>
    </xf>
    <xf numFmtId="49" fontId="102" fillId="49" borderId="267" xfId="0" applyNumberFormat="1" applyFont="1" applyFill="1" applyBorder="1" applyAlignment="1">
      <alignment horizontal="center" vertical="center" wrapText="1"/>
    </xf>
    <xf numFmtId="49" fontId="102" fillId="49" borderId="305" xfId="0" applyNumberFormat="1" applyFont="1" applyFill="1" applyBorder="1" applyAlignment="1">
      <alignment horizontal="center" vertical="center" wrapText="1"/>
    </xf>
    <xf numFmtId="49" fontId="102" fillId="49" borderId="373" xfId="0" applyNumberFormat="1" applyFont="1" applyFill="1" applyBorder="1" applyAlignment="1">
      <alignment horizontal="center" vertical="center" wrapText="1"/>
    </xf>
    <xf numFmtId="49" fontId="102" fillId="49" borderId="156" xfId="0" applyNumberFormat="1" applyFont="1" applyFill="1" applyBorder="1" applyAlignment="1">
      <alignment horizontal="center" vertical="center" wrapText="1"/>
    </xf>
    <xf numFmtId="49" fontId="102" fillId="49" borderId="157" xfId="0" applyNumberFormat="1" applyFont="1" applyFill="1" applyBorder="1" applyAlignment="1">
      <alignment horizontal="center" vertical="center" wrapText="1"/>
    </xf>
    <xf numFmtId="0" fontId="141" fillId="0" borderId="355" xfId="0" applyFont="1" applyBorder="1" applyAlignment="1">
      <alignment horizontal="left" vertical="center"/>
    </xf>
    <xf numFmtId="0" fontId="141" fillId="0" borderId="356" xfId="0" applyFont="1" applyBorder="1" applyAlignment="1">
      <alignment horizontal="left" vertical="center"/>
    </xf>
    <xf numFmtId="0" fontId="141" fillId="0" borderId="357" xfId="0" applyFont="1" applyBorder="1" applyAlignment="1">
      <alignment horizontal="left" vertical="center"/>
    </xf>
    <xf numFmtId="0" fontId="141" fillId="0" borderId="355" xfId="0" applyFont="1" applyBorder="1" applyAlignment="1">
      <alignment horizontal="left" vertical="center" wrapText="1"/>
    </xf>
    <xf numFmtId="0" fontId="141" fillId="0" borderId="357" xfId="0" applyFont="1" applyBorder="1" applyAlignment="1">
      <alignment horizontal="left" vertical="center" wrapText="1"/>
    </xf>
    <xf numFmtId="0" fontId="141" fillId="0" borderId="355" xfId="0" applyFont="1" applyBorder="1" applyAlignment="1">
      <alignment horizontal="center" vertical="center" wrapText="1"/>
    </xf>
    <xf numFmtId="0" fontId="141" fillId="0" borderId="356" xfId="0" applyFont="1" applyBorder="1" applyAlignment="1">
      <alignment horizontal="center" vertical="center" wrapText="1"/>
    </xf>
    <xf numFmtId="0" fontId="141" fillId="0" borderId="358" xfId="0" applyFont="1" applyBorder="1" applyAlignment="1">
      <alignment horizontal="left" vertical="center" wrapText="1"/>
    </xf>
    <xf numFmtId="0" fontId="141" fillId="0" borderId="359" xfId="0" applyFont="1" applyBorder="1" applyAlignment="1">
      <alignment horizontal="center" vertical="center" wrapText="1"/>
    </xf>
    <xf numFmtId="0" fontId="143" fillId="2" borderId="360" xfId="0" applyFont="1" applyFill="1" applyBorder="1" applyAlignment="1">
      <alignment horizontal="center" vertical="center"/>
    </xf>
    <xf numFmtId="0" fontId="143" fillId="2" borderId="295" xfId="0" applyFont="1" applyFill="1" applyBorder="1" applyAlignment="1">
      <alignment horizontal="center" vertical="center"/>
    </xf>
    <xf numFmtId="0" fontId="143" fillId="2" borderId="11" xfId="0" applyFont="1" applyFill="1" applyBorder="1" applyAlignment="1">
      <alignment horizontal="center" vertical="center"/>
    </xf>
    <xf numFmtId="0" fontId="143" fillId="2" borderId="361" xfId="0" applyFont="1" applyFill="1" applyBorder="1" applyAlignment="1">
      <alignment horizontal="center" vertical="center"/>
    </xf>
    <xf numFmtId="0" fontId="143" fillId="2" borderId="362" xfId="0" applyFont="1" applyFill="1" applyBorder="1" applyAlignment="1">
      <alignment horizontal="center" vertical="center"/>
    </xf>
    <xf numFmtId="0" fontId="70" fillId="2" borderId="258" xfId="0" applyFont="1" applyFill="1" applyBorder="1" applyAlignment="1">
      <alignment horizontal="center" vertical="center" wrapText="1"/>
    </xf>
    <xf numFmtId="0" fontId="70" fillId="2" borderId="206" xfId="0" applyFont="1" applyFill="1" applyBorder="1" applyAlignment="1">
      <alignment horizontal="center" vertical="center" wrapText="1"/>
    </xf>
    <xf numFmtId="0" fontId="70" fillId="2" borderId="353" xfId="0" applyFont="1" applyFill="1" applyBorder="1" applyAlignment="1">
      <alignment horizontal="center" vertical="center" wrapText="1"/>
    </xf>
    <xf numFmtId="0" fontId="66" fillId="32" borderId="350" xfId="0" applyFont="1" applyFill="1" applyBorder="1" applyAlignment="1">
      <alignment horizontal="center" vertical="center" wrapText="1"/>
    </xf>
    <xf numFmtId="0" fontId="66" fillId="32" borderId="259" xfId="0" applyFont="1" applyFill="1" applyBorder="1" applyAlignment="1">
      <alignment horizontal="center" vertical="center"/>
    </xf>
    <xf numFmtId="0" fontId="66" fillId="32" borderId="351" xfId="0" applyFont="1" applyFill="1" applyBorder="1" applyAlignment="1">
      <alignment horizontal="center" vertical="center"/>
    </xf>
    <xf numFmtId="0" fontId="66" fillId="32" borderId="149" xfId="0" applyFont="1" applyFill="1" applyBorder="1" applyAlignment="1">
      <alignment horizontal="center" vertical="center"/>
    </xf>
    <xf numFmtId="0" fontId="66" fillId="32" borderId="0" xfId="0" applyFont="1" applyFill="1" applyBorder="1" applyAlignment="1">
      <alignment horizontal="center" vertical="center"/>
    </xf>
    <xf numFmtId="0" fontId="66" fillId="32" borderId="137" xfId="0" applyFont="1" applyFill="1" applyBorder="1" applyAlignment="1">
      <alignment horizontal="center" vertical="center"/>
    </xf>
    <xf numFmtId="0" fontId="66" fillId="32" borderId="155" xfId="0" applyFont="1" applyFill="1" applyBorder="1" applyAlignment="1">
      <alignment horizontal="center" vertical="center"/>
    </xf>
    <xf numFmtId="0" fontId="66" fillId="32" borderId="156" xfId="0" applyFont="1" applyFill="1" applyBorder="1" applyAlignment="1">
      <alignment horizontal="center" vertical="center"/>
    </xf>
    <xf numFmtId="0" fontId="66" fillId="32" borderId="157" xfId="0" applyFont="1" applyFill="1" applyBorder="1" applyAlignment="1">
      <alignment horizontal="center" vertical="center"/>
    </xf>
    <xf numFmtId="0" fontId="1" fillId="2" borderId="210" xfId="0" applyFont="1" applyFill="1" applyBorder="1" applyAlignment="1">
      <alignment horizontal="left" vertical="center" wrapText="1"/>
    </xf>
    <xf numFmtId="0" fontId="1" fillId="2" borderId="209" xfId="0" applyFont="1" applyFill="1" applyBorder="1" applyAlignment="1">
      <alignment horizontal="left" vertical="center" wrapText="1"/>
    </xf>
    <xf numFmtId="0" fontId="1" fillId="2" borderId="320" xfId="0" applyFont="1" applyFill="1" applyBorder="1" applyAlignment="1">
      <alignment horizontal="left" vertical="center" wrapText="1"/>
    </xf>
    <xf numFmtId="0" fontId="141" fillId="0" borderId="306" xfId="0" applyFont="1" applyBorder="1" applyAlignment="1">
      <alignment horizontal="left" vertical="center"/>
    </xf>
    <xf numFmtId="0" fontId="141" fillId="0" borderId="307" xfId="0" applyFont="1" applyBorder="1" applyAlignment="1">
      <alignment horizontal="left" vertical="center"/>
    </xf>
    <xf numFmtId="0" fontId="141" fillId="0" borderId="308" xfId="0" applyFont="1" applyBorder="1" applyAlignment="1">
      <alignment horizontal="left" vertical="center"/>
    </xf>
    <xf numFmtId="49" fontId="141" fillId="2" borderId="306" xfId="0" applyNumberFormat="1" applyFont="1" applyFill="1" applyBorder="1" applyAlignment="1">
      <alignment horizontal="left" vertical="center"/>
    </xf>
    <xf numFmtId="49" fontId="141" fillId="2" borderId="308" xfId="0" applyNumberFormat="1" applyFont="1" applyFill="1" applyBorder="1" applyAlignment="1">
      <alignment horizontal="left" vertical="center"/>
    </xf>
    <xf numFmtId="0" fontId="105" fillId="2" borderId="0" xfId="0" applyFont="1" applyFill="1" applyBorder="1" applyAlignment="1">
      <alignment horizontal="left" vertical="center" wrapText="1"/>
    </xf>
    <xf numFmtId="0" fontId="104" fillId="2" borderId="0" xfId="0" applyFont="1" applyFill="1" applyBorder="1" applyAlignment="1">
      <alignment horizontal="left" vertical="center" wrapText="1"/>
    </xf>
    <xf numFmtId="0" fontId="76" fillId="2" borderId="210" xfId="0" applyFont="1" applyFill="1" applyBorder="1" applyAlignment="1">
      <alignment horizontal="left" vertical="center" wrapText="1"/>
    </xf>
    <xf numFmtId="0" fontId="76" fillId="2" borderId="238" xfId="0" applyFont="1" applyFill="1" applyBorder="1" applyAlignment="1">
      <alignment horizontal="left" vertical="center" wrapText="1"/>
    </xf>
    <xf numFmtId="0" fontId="76" fillId="2" borderId="211" xfId="0" applyFont="1" applyFill="1" applyBorder="1" applyAlignment="1">
      <alignment horizontal="left" vertical="center" wrapText="1"/>
    </xf>
    <xf numFmtId="0" fontId="76" fillId="2" borderId="172" xfId="0" applyFont="1" applyFill="1" applyBorder="1" applyAlignment="1">
      <alignment horizontal="left" vertical="center" wrapText="1"/>
    </xf>
    <xf numFmtId="0" fontId="76" fillId="2" borderId="173" xfId="0" applyFont="1" applyFill="1" applyBorder="1" applyAlignment="1">
      <alignment horizontal="left" vertical="center" wrapText="1"/>
    </xf>
    <xf numFmtId="0" fontId="76" fillId="2" borderId="213" xfId="0" applyFont="1" applyFill="1" applyBorder="1" applyAlignment="1">
      <alignment horizontal="left" vertical="center" wrapText="1"/>
    </xf>
    <xf numFmtId="167" fontId="76" fillId="2" borderId="331" xfId="0" applyNumberFormat="1" applyFont="1" applyFill="1" applyBorder="1" applyAlignment="1">
      <alignment horizontal="left" vertical="center" wrapText="1"/>
    </xf>
    <xf numFmtId="167" fontId="76" fillId="2" borderId="215" xfId="0" applyNumberFormat="1" applyFont="1" applyFill="1" applyBorder="1" applyAlignment="1">
      <alignment horizontal="left" vertical="center" wrapText="1"/>
    </xf>
    <xf numFmtId="167" fontId="76" fillId="2" borderId="332" xfId="0" applyNumberFormat="1" applyFont="1" applyFill="1" applyBorder="1" applyAlignment="1">
      <alignment horizontal="left" vertical="center" wrapText="1"/>
    </xf>
    <xf numFmtId="0" fontId="97" fillId="0" borderId="206" xfId="0" applyFont="1" applyBorder="1" applyAlignment="1">
      <alignment horizontal="center"/>
    </xf>
    <xf numFmtId="0" fontId="97" fillId="0" borderId="0" xfId="0" applyFont="1" applyBorder="1" applyAlignment="1">
      <alignment horizontal="center"/>
    </xf>
    <xf numFmtId="0" fontId="61" fillId="0" borderId="0" xfId="0" applyFont="1" applyBorder="1" applyAlignment="1">
      <alignment vertical="center"/>
    </xf>
    <xf numFmtId="0" fontId="61" fillId="0" borderId="0" xfId="0" applyFont="1" applyBorder="1" applyAlignment="1">
      <alignment horizontal="center" vertical="center"/>
    </xf>
    <xf numFmtId="0" fontId="97" fillId="0" borderId="0" xfId="0" applyFont="1" applyBorder="1" applyAlignment="1">
      <alignment vertical="center"/>
    </xf>
    <xf numFmtId="0" fontId="0" fillId="0" borderId="225" xfId="0" applyBorder="1" applyAlignment="1">
      <alignment horizontal="center"/>
    </xf>
    <xf numFmtId="0" fontId="0" fillId="0" borderId="226"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0" fontId="95" fillId="34" borderId="227" xfId="0" applyFont="1" applyFill="1" applyBorder="1" applyAlignment="1">
      <alignment horizontal="center" vertical="center"/>
    </xf>
    <xf numFmtId="0" fontId="95" fillId="34" borderId="204" xfId="0" applyFont="1" applyFill="1" applyBorder="1" applyAlignment="1">
      <alignment horizontal="center" vertical="center"/>
    </xf>
    <xf numFmtId="0" fontId="95" fillId="34" borderId="205" xfId="0" applyFont="1" applyFill="1" applyBorder="1" applyAlignment="1">
      <alignment horizontal="center" vertical="center"/>
    </xf>
    <xf numFmtId="0" fontId="95" fillId="34" borderId="149" xfId="0" applyFont="1" applyFill="1" applyBorder="1" applyAlignment="1">
      <alignment horizontal="center" vertical="center"/>
    </xf>
    <xf numFmtId="0" fontId="95" fillId="34" borderId="0" xfId="0" applyFont="1" applyFill="1" applyBorder="1" applyAlignment="1">
      <alignment horizontal="center" vertical="center"/>
    </xf>
    <xf numFmtId="0" fontId="95" fillId="34" borderId="207" xfId="0" applyFont="1" applyFill="1" applyBorder="1" applyAlignment="1">
      <alignment horizontal="center" vertical="center"/>
    </xf>
    <xf numFmtId="0" fontId="95" fillId="34" borderId="155" xfId="0" applyFont="1" applyFill="1" applyBorder="1" applyAlignment="1">
      <alignment horizontal="center" vertical="center"/>
    </xf>
    <xf numFmtId="0" fontId="95" fillId="34" borderId="156" xfId="0" applyFont="1" applyFill="1" applyBorder="1" applyAlignment="1">
      <alignment horizontal="center" vertical="center"/>
    </xf>
    <xf numFmtId="0" fontId="95" fillId="34" borderId="230" xfId="0" applyFont="1" applyFill="1" applyBorder="1" applyAlignment="1">
      <alignment horizontal="center" vertical="center"/>
    </xf>
    <xf numFmtId="172" fontId="70" fillId="0" borderId="0" xfId="0" applyNumberFormat="1" applyFont="1" applyBorder="1" applyAlignment="1">
      <alignment horizontal="center" vertical="center"/>
    </xf>
    <xf numFmtId="0" fontId="97" fillId="0" borderId="0" xfId="0" applyFont="1" applyBorder="1" applyAlignment="1">
      <alignment horizontal="left" vertical="center"/>
    </xf>
    <xf numFmtId="0" fontId="158" fillId="0" borderId="436" xfId="0" applyFont="1" applyBorder="1" applyAlignment="1">
      <alignment vertical="center" wrapText="1"/>
    </xf>
    <xf numFmtId="0" fontId="158" fillId="0" borderId="0" xfId="0" applyFont="1" applyBorder="1" applyAlignment="1">
      <alignment vertical="center" wrapText="1"/>
    </xf>
    <xf numFmtId="0" fontId="158" fillId="0" borderId="294" xfId="0" applyFont="1" applyBorder="1" applyAlignment="1">
      <alignment vertical="center" wrapText="1"/>
    </xf>
    <xf numFmtId="0" fontId="160" fillId="0" borderId="436" xfId="0" applyFont="1" applyBorder="1" applyAlignment="1">
      <alignment vertical="center" wrapText="1"/>
    </xf>
    <xf numFmtId="0" fontId="160" fillId="0" borderId="0" xfId="0" applyFont="1" applyBorder="1" applyAlignment="1">
      <alignment vertical="center" wrapText="1"/>
    </xf>
    <xf numFmtId="0" fontId="160" fillId="0" borderId="294" xfId="0" applyFont="1" applyBorder="1" applyAlignment="1">
      <alignment vertical="center" wrapText="1"/>
    </xf>
    <xf numFmtId="0" fontId="159" fillId="0" borderId="436" xfId="0" applyFont="1" applyBorder="1" applyAlignment="1">
      <alignment horizontal="justify" vertical="center" wrapText="1"/>
    </xf>
    <xf numFmtId="0" fontId="159" fillId="0" borderId="0" xfId="0" applyFont="1" applyBorder="1" applyAlignment="1">
      <alignment horizontal="justify" vertical="center" wrapText="1"/>
    </xf>
    <xf numFmtId="0" fontId="159" fillId="0" borderId="294" xfId="0" applyFont="1" applyBorder="1" applyAlignment="1">
      <alignment horizontal="justify" vertical="center" wrapText="1"/>
    </xf>
    <xf numFmtId="0" fontId="157" fillId="0" borderId="436" xfId="0" applyFont="1" applyBorder="1" applyAlignment="1">
      <alignment vertical="center" wrapText="1"/>
    </xf>
    <xf numFmtId="0" fontId="157" fillId="0" borderId="0" xfId="0" applyFont="1" applyBorder="1" applyAlignment="1">
      <alignment vertical="center" wrapText="1"/>
    </xf>
    <xf numFmtId="0" fontId="157" fillId="0" borderId="294" xfId="0" applyFont="1" applyBorder="1" applyAlignment="1">
      <alignment vertical="center" wrapText="1"/>
    </xf>
    <xf numFmtId="0" fontId="160" fillId="0" borderId="436" xfId="0" applyFont="1" applyBorder="1" applyAlignment="1">
      <alignment horizontal="justify" vertical="center" wrapText="1"/>
    </xf>
    <xf numFmtId="0" fontId="160" fillId="0" borderId="0" xfId="0" applyFont="1" applyBorder="1" applyAlignment="1">
      <alignment horizontal="justify" vertical="center" wrapText="1"/>
    </xf>
    <xf numFmtId="0" fontId="160" fillId="0" borderId="294" xfId="0" applyFont="1" applyBorder="1" applyAlignment="1">
      <alignment horizontal="justify" vertical="center" wrapText="1"/>
    </xf>
    <xf numFmtId="0" fontId="161" fillId="0" borderId="436" xfId="0" applyFont="1" applyBorder="1" applyAlignment="1">
      <alignment horizontal="justify" vertical="center" wrapText="1"/>
    </xf>
    <xf numFmtId="0" fontId="161" fillId="0" borderId="0" xfId="0" applyFont="1" applyBorder="1" applyAlignment="1">
      <alignment horizontal="justify" vertical="center" wrapText="1"/>
    </xf>
    <xf numFmtId="0" fontId="161" fillId="0" borderId="294" xfId="0" applyFont="1" applyBorder="1" applyAlignment="1">
      <alignment horizontal="justify" vertical="center" wrapText="1"/>
    </xf>
    <xf numFmtId="0" fontId="162" fillId="0" borderId="436" xfId="0" applyFont="1" applyBorder="1" applyAlignment="1">
      <alignment horizontal="left" vertical="center" wrapText="1" indent="10"/>
    </xf>
    <xf numFmtId="0" fontId="162" fillId="0" borderId="0" xfId="0" applyFont="1" applyBorder="1" applyAlignment="1">
      <alignment horizontal="left" vertical="center" wrapText="1" indent="10"/>
    </xf>
    <xf numFmtId="0" fontId="162" fillId="0" borderId="294" xfId="0" applyFont="1" applyBorder="1" applyAlignment="1">
      <alignment horizontal="left" vertical="center" wrapText="1" indent="10"/>
    </xf>
    <xf numFmtId="0" fontId="156" fillId="52" borderId="430" xfId="0" applyFont="1" applyFill="1" applyBorder="1" applyAlignment="1">
      <alignment vertical="center" wrapText="1"/>
    </xf>
    <xf numFmtId="0" fontId="156" fillId="52" borderId="431" xfId="0" applyFont="1" applyFill="1" applyBorder="1" applyAlignment="1">
      <alignment vertical="center" wrapText="1"/>
    </xf>
    <xf numFmtId="0" fontId="110" fillId="0" borderId="432" xfId="0" applyFont="1" applyBorder="1" applyAlignment="1">
      <alignment vertical="center" wrapText="1"/>
    </xf>
    <xf numFmtId="0" fontId="110" fillId="0" borderId="425" xfId="0" applyFont="1" applyBorder="1" applyAlignment="1">
      <alignment vertical="center" wrapText="1"/>
    </xf>
    <xf numFmtId="0" fontId="158" fillId="0" borderId="434" xfId="0" applyFont="1" applyBorder="1" applyAlignment="1">
      <alignment vertical="center" wrapText="1"/>
    </xf>
    <xf numFmtId="0" fontId="158" fillId="0" borderId="424" xfId="0" applyFont="1" applyBorder="1" applyAlignment="1">
      <alignment vertical="center" wrapText="1"/>
    </xf>
    <xf numFmtId="0" fontId="158" fillId="0" borderId="435" xfId="0" applyFont="1" applyBorder="1" applyAlignment="1">
      <alignment vertical="center" wrapText="1"/>
    </xf>
    <xf numFmtId="0" fontId="163" fillId="0" borderId="436" xfId="0" applyFont="1" applyBorder="1" applyAlignment="1">
      <alignment horizontal="left" vertical="center" wrapText="1" indent="5"/>
    </xf>
    <xf numFmtId="0" fontId="163" fillId="0" borderId="0" xfId="0" applyFont="1" applyBorder="1" applyAlignment="1">
      <alignment horizontal="left" vertical="center" wrapText="1" indent="5"/>
    </xf>
    <xf numFmtId="0" fontId="163" fillId="0" borderId="294" xfId="0" applyFont="1" applyBorder="1" applyAlignment="1">
      <alignment horizontal="left" vertical="center" wrapText="1" indent="5"/>
    </xf>
    <xf numFmtId="0" fontId="167" fillId="0" borderId="10" xfId="0" applyFont="1" applyBorder="1" applyAlignment="1">
      <alignment horizontal="justify" vertical="center" wrapText="1"/>
    </xf>
    <xf numFmtId="0" fontId="167" fillId="0" borderId="11" xfId="0" applyFont="1" applyBorder="1" applyAlignment="1">
      <alignment horizontal="justify" vertical="center" wrapText="1"/>
    </xf>
    <xf numFmtId="0" fontId="167" fillId="0" borderId="12" xfId="0" applyFont="1" applyBorder="1" applyAlignment="1">
      <alignment horizontal="justify" vertical="center" wrapText="1"/>
    </xf>
    <xf numFmtId="0" fontId="157" fillId="0" borderId="436" xfId="0" applyFont="1" applyBorder="1" applyAlignment="1">
      <alignment horizontal="justify" vertical="center" wrapText="1"/>
    </xf>
    <xf numFmtId="0" fontId="157" fillId="0" borderId="0" xfId="0" applyFont="1" applyBorder="1" applyAlignment="1">
      <alignment horizontal="justify" vertical="center" wrapText="1"/>
    </xf>
    <xf numFmtId="0" fontId="157" fillId="0" borderId="294" xfId="0" applyFont="1" applyBorder="1" applyAlignment="1">
      <alignment horizontal="justify" vertical="center" wrapText="1"/>
    </xf>
    <xf numFmtId="0" fontId="165" fillId="0" borderId="436" xfId="0" applyFont="1" applyBorder="1" applyAlignment="1">
      <alignment vertical="center" wrapText="1"/>
    </xf>
    <xf numFmtId="0" fontId="165" fillId="0" borderId="0" xfId="0" applyFont="1" applyBorder="1" applyAlignment="1">
      <alignment vertical="center" wrapText="1"/>
    </xf>
    <xf numFmtId="0" fontId="165" fillId="0" borderId="294" xfId="0" applyFont="1" applyBorder="1" applyAlignment="1">
      <alignment vertical="center" wrapText="1"/>
    </xf>
    <xf numFmtId="0" fontId="166" fillId="0" borderId="436" xfId="0" applyFont="1" applyBorder="1" applyAlignment="1">
      <alignment vertical="center" wrapText="1"/>
    </xf>
    <xf numFmtId="0" fontId="166" fillId="0" borderId="0" xfId="0" applyFont="1" applyBorder="1" applyAlignment="1">
      <alignment vertical="center" wrapText="1"/>
    </xf>
    <xf numFmtId="0" fontId="166" fillId="0" borderId="294" xfId="0" applyFont="1" applyBorder="1" applyAlignment="1">
      <alignment vertical="center" wrapText="1"/>
    </xf>
    <xf numFmtId="0" fontId="159" fillId="0" borderId="436" xfId="0" applyFont="1" applyBorder="1" applyAlignment="1">
      <alignment vertical="center" wrapText="1"/>
    </xf>
    <xf numFmtId="0" fontId="159" fillId="0" borderId="0" xfId="0" applyFont="1" applyBorder="1" applyAlignment="1">
      <alignment vertical="center" wrapText="1"/>
    </xf>
    <xf numFmtId="0" fontId="159" fillId="0" borderId="294" xfId="0" applyFont="1" applyBorder="1" applyAlignment="1">
      <alignment vertical="center" wrapText="1"/>
    </xf>
    <xf numFmtId="0" fontId="163" fillId="0" borderId="436" xfId="0" applyFont="1" applyBorder="1" applyAlignment="1">
      <alignment horizontal="left" vertical="center" wrapText="1"/>
    </xf>
    <xf numFmtId="0" fontId="163" fillId="0" borderId="0" xfId="0" applyFont="1" applyBorder="1" applyAlignment="1">
      <alignment horizontal="left" vertical="center" wrapText="1"/>
    </xf>
    <xf numFmtId="0" fontId="167" fillId="0" borderId="436" xfId="0" applyFont="1" applyBorder="1" applyAlignment="1">
      <alignment vertical="center" wrapText="1"/>
    </xf>
    <xf numFmtId="0" fontId="167" fillId="0" borderId="0" xfId="0" applyFont="1" applyBorder="1" applyAlignment="1">
      <alignment vertical="center" wrapText="1"/>
    </xf>
    <xf numFmtId="0" fontId="167" fillId="0" borderId="294" xfId="0" applyFont="1" applyBorder="1" applyAlignment="1">
      <alignment vertical="center" wrapText="1"/>
    </xf>
    <xf numFmtId="0" fontId="29" fillId="51" borderId="426" xfId="0" applyFont="1" applyFill="1" applyBorder="1" applyAlignment="1">
      <alignment horizontal="center" vertical="center"/>
    </xf>
    <xf numFmtId="0" fontId="29" fillId="51" borderId="427" xfId="0" applyFont="1" applyFill="1" applyBorder="1" applyAlignment="1">
      <alignment horizontal="center" vertical="center"/>
    </xf>
    <xf numFmtId="0" fontId="29" fillId="51" borderId="12" xfId="0" applyFont="1" applyFill="1" applyBorder="1" applyAlignment="1">
      <alignment horizontal="center" vertical="center"/>
    </xf>
    <xf numFmtId="0" fontId="29" fillId="51" borderId="428" xfId="0" applyFont="1" applyFill="1" applyBorder="1" applyAlignment="1">
      <alignment horizontal="center" vertical="center"/>
    </xf>
    <xf numFmtId="0" fontId="29" fillId="51" borderId="429" xfId="0" applyFont="1" applyFill="1" applyBorder="1" applyAlignment="1">
      <alignment horizontal="center" vertical="center"/>
    </xf>
    <xf numFmtId="0" fontId="168" fillId="0" borderId="436" xfId="0" applyFont="1" applyBorder="1" applyAlignment="1">
      <alignment horizontal="justify" vertical="center" wrapText="1"/>
    </xf>
    <xf numFmtId="0" fontId="168" fillId="0" borderId="0" xfId="0" applyFont="1" applyBorder="1" applyAlignment="1">
      <alignment horizontal="justify" vertical="center" wrapText="1"/>
    </xf>
    <xf numFmtId="0" fontId="168" fillId="0" borderId="294" xfId="0" applyFont="1" applyBorder="1" applyAlignment="1">
      <alignment horizontal="justify" vertical="center" wrapText="1"/>
    </xf>
    <xf numFmtId="0" fontId="170" fillId="0" borderId="436" xfId="0" applyFont="1" applyBorder="1" applyAlignment="1">
      <alignment horizontal="justify" vertical="center" wrapText="1"/>
    </xf>
    <xf numFmtId="0" fontId="170" fillId="0" borderId="0" xfId="0" applyFont="1" applyBorder="1" applyAlignment="1">
      <alignment horizontal="justify" vertical="center" wrapText="1"/>
    </xf>
    <xf numFmtId="0" fontId="170" fillId="0" borderId="294" xfId="0" applyFont="1" applyBorder="1" applyAlignment="1">
      <alignment horizontal="justify" vertical="center" wrapText="1"/>
    </xf>
    <xf numFmtId="0" fontId="168" fillId="0" borderId="436" xfId="0" applyFont="1" applyBorder="1" applyAlignment="1">
      <alignment vertical="center" wrapText="1"/>
    </xf>
    <xf numFmtId="0" fontId="168" fillId="0" borderId="0" xfId="0" applyFont="1" applyBorder="1" applyAlignment="1">
      <alignment vertical="center" wrapText="1"/>
    </xf>
    <xf numFmtId="0" fontId="168" fillId="0" borderId="294" xfId="0" applyFont="1" applyBorder="1" applyAlignment="1">
      <alignment vertical="center" wrapText="1"/>
    </xf>
    <xf numFmtId="0" fontId="158" fillId="0" borderId="436" xfId="0" applyFont="1" applyBorder="1" applyAlignment="1">
      <alignment horizontal="justify" vertical="center" wrapText="1"/>
    </xf>
    <xf numFmtId="0" fontId="158" fillId="0" borderId="0" xfId="0" applyFont="1" applyBorder="1" applyAlignment="1">
      <alignment horizontal="justify" vertical="center" wrapText="1"/>
    </xf>
    <xf numFmtId="0" fontId="158" fillId="0" borderId="294" xfId="0" applyFont="1" applyBorder="1" applyAlignment="1">
      <alignment horizontal="justify" vertical="center" wrapText="1"/>
    </xf>
    <xf numFmtId="0" fontId="159" fillId="0" borderId="436" xfId="0" applyFont="1" applyBorder="1" applyAlignment="1">
      <alignment horizontal="right" vertical="center" wrapText="1"/>
    </xf>
    <xf numFmtId="0" fontId="159" fillId="0" borderId="0" xfId="0" applyFont="1" applyBorder="1" applyAlignment="1">
      <alignment horizontal="right" vertical="center" wrapText="1"/>
    </xf>
    <xf numFmtId="0" fontId="159" fillId="0" borderId="13" xfId="0" applyFont="1" applyBorder="1" applyAlignment="1">
      <alignment vertical="center" wrapText="1"/>
    </xf>
    <xf numFmtId="0" fontId="159" fillId="0" borderId="361" xfId="0" applyFont="1" applyBorder="1" applyAlignment="1">
      <alignment vertical="center" wrapText="1"/>
    </xf>
    <xf numFmtId="0" fontId="159" fillId="0" borderId="397" xfId="0" applyFont="1" applyBorder="1" applyAlignment="1">
      <alignment vertical="center" wrapText="1"/>
    </xf>
    <xf numFmtId="0" fontId="160" fillId="0" borderId="436" xfId="0" applyFont="1" applyBorder="1" applyAlignment="1">
      <alignment horizontal="left" vertical="center" wrapText="1" indent="5"/>
    </xf>
    <xf numFmtId="0" fontId="160" fillId="0" borderId="0" xfId="0" applyFont="1" applyBorder="1" applyAlignment="1">
      <alignment horizontal="left" vertical="center" wrapText="1" indent="5"/>
    </xf>
    <xf numFmtId="0" fontId="160" fillId="0" borderId="294" xfId="0" applyFont="1" applyBorder="1" applyAlignment="1">
      <alignment horizontal="left" vertical="center" wrapText="1" indent="5"/>
    </xf>
    <xf numFmtId="0" fontId="160" fillId="0" borderId="436" xfId="0" applyFont="1" applyFill="1" applyBorder="1" applyAlignment="1">
      <alignment horizontal="left" vertical="center" wrapText="1"/>
    </xf>
    <xf numFmtId="0" fontId="160" fillId="0" borderId="0" xfId="0" applyFont="1" applyFill="1" applyBorder="1" applyAlignment="1">
      <alignment horizontal="left" vertical="center" wrapText="1"/>
    </xf>
    <xf numFmtId="0" fontId="160" fillId="0" borderId="294" xfId="0" applyFont="1" applyFill="1" applyBorder="1" applyAlignment="1">
      <alignment horizontal="left" vertical="center" wrapText="1"/>
    </xf>
    <xf numFmtId="0" fontId="160" fillId="0" borderId="436" xfId="0" applyFont="1" applyFill="1" applyBorder="1" applyAlignment="1">
      <alignment horizontal="justify" vertical="center" wrapText="1"/>
    </xf>
    <xf numFmtId="0" fontId="160" fillId="0" borderId="0" xfId="0" applyFont="1" applyFill="1" applyBorder="1" applyAlignment="1">
      <alignment horizontal="justify" vertical="center" wrapText="1"/>
    </xf>
    <xf numFmtId="0" fontId="160" fillId="0" borderId="294" xfId="0" applyFont="1" applyFill="1" applyBorder="1" applyAlignment="1">
      <alignment horizontal="justify" vertical="center" wrapText="1"/>
    </xf>
    <xf numFmtId="10" fontId="63" fillId="0" borderId="119" xfId="0" applyNumberFormat="1" applyFont="1" applyFill="1" applyBorder="1" applyAlignment="1">
      <alignment horizontal="center" vertical="center"/>
    </xf>
    <xf numFmtId="10" fontId="63" fillId="0" borderId="284" xfId="0" applyNumberFormat="1" applyFont="1" applyFill="1" applyBorder="1" applyAlignment="1">
      <alignment horizontal="center" vertical="center"/>
    </xf>
    <xf numFmtId="10" fontId="63" fillId="0" borderId="203" xfId="0" applyNumberFormat="1" applyFont="1" applyFill="1" applyBorder="1" applyAlignment="1">
      <alignment horizontal="center" vertical="center"/>
    </xf>
    <xf numFmtId="10" fontId="63" fillId="0" borderId="285" xfId="0" applyNumberFormat="1" applyFont="1" applyFill="1" applyBorder="1" applyAlignment="1">
      <alignment horizontal="center" vertical="center"/>
    </xf>
    <xf numFmtId="10" fontId="63" fillId="0" borderId="199" xfId="0" applyNumberFormat="1" applyFont="1" applyFill="1" applyBorder="1" applyAlignment="1">
      <alignment horizontal="center" vertical="center"/>
    </xf>
    <xf numFmtId="10" fontId="63" fillId="0" borderId="202" xfId="0" applyNumberFormat="1" applyFont="1" applyFill="1" applyBorder="1" applyAlignment="1">
      <alignment horizontal="center" vertical="center"/>
    </xf>
    <xf numFmtId="10" fontId="63" fillId="0" borderId="201" xfId="0" applyNumberFormat="1" applyFont="1" applyFill="1" applyBorder="1" applyAlignment="1">
      <alignment horizontal="center" vertical="center"/>
    </xf>
    <xf numFmtId="10" fontId="64" fillId="0" borderId="119" xfId="0" applyNumberFormat="1" applyFont="1" applyFill="1" applyBorder="1" applyAlignment="1">
      <alignment horizontal="center" vertical="center"/>
    </xf>
    <xf numFmtId="0" fontId="67" fillId="0" borderId="125" xfId="0" applyFont="1" applyFill="1" applyBorder="1" applyAlignment="1">
      <alignment horizontal="left" vertical="center"/>
    </xf>
    <xf numFmtId="0" fontId="67" fillId="0" borderId="126" xfId="0" applyFont="1" applyFill="1" applyBorder="1" applyAlignment="1">
      <alignment horizontal="left" vertical="center"/>
    </xf>
    <xf numFmtId="0" fontId="67" fillId="0" borderId="127" xfId="0" applyFont="1" applyFill="1" applyBorder="1" applyAlignment="1">
      <alignment horizontal="left" vertical="center"/>
    </xf>
    <xf numFmtId="0" fontId="67" fillId="0" borderId="266" xfId="0" applyFont="1" applyFill="1" applyBorder="1" applyAlignment="1">
      <alignment horizontal="left" vertical="center" wrapText="1"/>
    </xf>
    <xf numFmtId="0" fontId="67" fillId="0" borderId="267" xfId="0" applyFont="1" applyFill="1" applyBorder="1" applyAlignment="1">
      <alignment horizontal="left" vertical="center" wrapText="1"/>
    </xf>
    <xf numFmtId="0" fontId="67" fillId="0" borderId="268" xfId="0" applyFont="1" applyFill="1" applyBorder="1" applyAlignment="1">
      <alignment horizontal="left" vertical="center" wrapText="1"/>
    </xf>
    <xf numFmtId="0" fontId="67" fillId="0" borderId="262" xfId="0" applyFont="1" applyFill="1" applyBorder="1" applyAlignment="1">
      <alignment horizontal="left" vertical="center" wrapText="1"/>
    </xf>
    <xf numFmtId="0" fontId="67" fillId="0" borderId="202" xfId="0" applyFont="1" applyFill="1" applyBorder="1" applyAlignment="1">
      <alignment horizontal="left" vertical="center" wrapText="1"/>
    </xf>
    <xf numFmtId="0" fontId="67" fillId="0" borderId="263" xfId="0" applyFont="1" applyFill="1" applyBorder="1" applyAlignment="1">
      <alignment horizontal="left" vertical="center" wrapText="1"/>
    </xf>
    <xf numFmtId="10" fontId="64" fillId="1" borderId="119" xfId="0" applyNumberFormat="1" applyFont="1" applyFill="1" applyBorder="1" applyAlignment="1">
      <alignment horizontal="center" vertical="center"/>
    </xf>
    <xf numFmtId="10" fontId="64" fillId="1" borderId="145" xfId="0" applyNumberFormat="1" applyFont="1" applyFill="1" applyBorder="1" applyAlignment="1">
      <alignment horizontal="center" vertical="center"/>
    </xf>
    <xf numFmtId="10" fontId="63" fillId="0" borderId="195" xfId="0" applyNumberFormat="1" applyFont="1" applyFill="1" applyBorder="1" applyAlignment="1">
      <alignment horizontal="center" vertical="center"/>
    </xf>
    <xf numFmtId="10" fontId="63" fillId="0" borderId="156" xfId="0" applyNumberFormat="1" applyFont="1" applyFill="1" applyBorder="1" applyAlignment="1">
      <alignment horizontal="center" vertical="center"/>
    </xf>
    <xf numFmtId="10" fontId="63" fillId="0" borderId="196" xfId="0" applyNumberFormat="1" applyFont="1" applyFill="1" applyBorder="1" applyAlignment="1">
      <alignment horizontal="center" vertical="center"/>
    </xf>
    <xf numFmtId="10" fontId="63" fillId="0" borderId="147" xfId="0" applyNumberFormat="1" applyFont="1" applyFill="1" applyBorder="1" applyAlignment="1">
      <alignment horizontal="center" vertical="center"/>
    </xf>
    <xf numFmtId="170" fontId="64" fillId="0" borderId="284" xfId="0" applyNumberFormat="1" applyFont="1" applyFill="1" applyBorder="1" applyAlignment="1">
      <alignment horizontal="center" vertical="center"/>
    </xf>
    <xf numFmtId="170" fontId="64" fillId="0" borderId="203" xfId="0" applyNumberFormat="1" applyFont="1" applyFill="1" applyBorder="1" applyAlignment="1">
      <alignment horizontal="center" vertical="center"/>
    </xf>
    <xf numFmtId="170" fontId="64" fillId="0" borderId="285" xfId="0" applyNumberFormat="1" applyFont="1" applyFill="1" applyBorder="1" applyAlignment="1">
      <alignment horizontal="center" vertical="center"/>
    </xf>
    <xf numFmtId="170" fontId="64" fillId="0" borderId="199" xfId="0" applyNumberFormat="1" applyFont="1" applyFill="1" applyBorder="1" applyAlignment="1">
      <alignment horizontal="center" vertical="center"/>
    </xf>
    <xf numFmtId="170" fontId="64" fillId="0" borderId="202" xfId="0" applyNumberFormat="1" applyFont="1" applyFill="1" applyBorder="1" applyAlignment="1">
      <alignment horizontal="center" vertical="center"/>
    </xf>
    <xf numFmtId="170" fontId="64" fillId="0" borderId="201" xfId="0" applyNumberFormat="1" applyFont="1" applyFill="1" applyBorder="1" applyAlignment="1">
      <alignment horizontal="center" vertical="center"/>
    </xf>
    <xf numFmtId="170" fontId="64" fillId="0" borderId="195" xfId="0" applyNumberFormat="1" applyFont="1" applyFill="1" applyBorder="1" applyAlignment="1">
      <alignment horizontal="center" vertical="center"/>
    </xf>
    <xf numFmtId="170" fontId="64" fillId="0" borderId="156" xfId="0" applyNumberFormat="1" applyFont="1" applyFill="1" applyBorder="1" applyAlignment="1">
      <alignment horizontal="center" vertical="center"/>
    </xf>
    <xf numFmtId="170" fontId="64" fillId="0" borderId="196" xfId="0" applyNumberFormat="1" applyFont="1" applyFill="1" applyBorder="1" applyAlignment="1">
      <alignment horizontal="center" vertical="center"/>
    </xf>
    <xf numFmtId="0" fontId="70" fillId="0" borderId="261" xfId="0" applyFont="1" applyFill="1" applyBorder="1" applyAlignment="1">
      <alignment horizontal="center" vertical="center"/>
    </xf>
    <xf numFmtId="0" fontId="70" fillId="0" borderId="203" xfId="0" applyFont="1" applyFill="1" applyBorder="1" applyAlignment="1">
      <alignment horizontal="center" vertical="center"/>
    </xf>
    <xf numFmtId="0" fontId="70" fillId="0" borderId="285" xfId="0" applyFont="1" applyFill="1" applyBorder="1" applyAlignment="1">
      <alignment horizontal="center" vertical="center"/>
    </xf>
    <xf numFmtId="0" fontId="70" fillId="0" borderId="155" xfId="0" applyFont="1" applyFill="1" applyBorder="1" applyAlignment="1">
      <alignment horizontal="center" vertical="center"/>
    </xf>
    <xf numFmtId="0" fontId="70" fillId="0" borderId="156" xfId="0" applyFont="1" applyFill="1" applyBorder="1" applyAlignment="1">
      <alignment horizontal="center" vertical="center"/>
    </xf>
    <xf numFmtId="0" fontId="70" fillId="0" borderId="196" xfId="0" applyFont="1" applyFill="1" applyBorder="1" applyAlignment="1">
      <alignment horizontal="center" vertical="center"/>
    </xf>
    <xf numFmtId="0" fontId="70" fillId="0" borderId="262" xfId="0" applyFont="1" applyFill="1" applyBorder="1" applyAlignment="1">
      <alignment horizontal="center" vertical="center"/>
    </xf>
    <xf numFmtId="0" fontId="70" fillId="0" borderId="202" xfId="0" applyFont="1" applyFill="1" applyBorder="1" applyAlignment="1">
      <alignment horizontal="center" vertical="center"/>
    </xf>
    <xf numFmtId="0" fontId="70" fillId="0" borderId="201" xfId="0" applyFont="1" applyFill="1" applyBorder="1" applyAlignment="1">
      <alignment horizontal="center" vertical="center"/>
    </xf>
    <xf numFmtId="10" fontId="63" fillId="0" borderId="119" xfId="0" applyNumberFormat="1" applyFont="1" applyFill="1" applyBorder="1" applyAlignment="1">
      <alignment horizontal="center" vertical="center" wrapText="1"/>
    </xf>
    <xf numFmtId="10" fontId="64" fillId="1" borderId="147" xfId="0" applyNumberFormat="1" applyFont="1" applyFill="1" applyBorder="1" applyAlignment="1">
      <alignment horizontal="center" vertical="center"/>
    </xf>
    <xf numFmtId="10" fontId="64" fillId="1" borderId="148" xfId="0" applyNumberFormat="1" applyFont="1" applyFill="1" applyBorder="1" applyAlignment="1">
      <alignment horizontal="center" vertical="center"/>
    </xf>
    <xf numFmtId="0" fontId="67" fillId="0" borderId="144" xfId="0" applyFont="1" applyFill="1" applyBorder="1" applyAlignment="1">
      <alignment vertical="center"/>
    </xf>
    <xf numFmtId="0" fontId="67" fillId="0" borderId="119" xfId="0" applyFont="1" applyFill="1" applyBorder="1" applyAlignment="1">
      <alignment vertical="center"/>
    </xf>
    <xf numFmtId="0" fontId="68" fillId="0" borderId="119" xfId="0" applyFont="1" applyFill="1" applyBorder="1" applyAlignment="1">
      <alignment horizontal="center" vertical="center"/>
    </xf>
    <xf numFmtId="0" fontId="68" fillId="0" borderId="119" xfId="0" applyFont="1" applyFill="1" applyBorder="1" applyAlignment="1">
      <alignment vertical="center"/>
    </xf>
    <xf numFmtId="164" fontId="68" fillId="0" borderId="119" xfId="0" applyNumberFormat="1" applyFont="1" applyFill="1" applyBorder="1" applyAlignment="1">
      <alignment horizontal="center" vertical="center"/>
    </xf>
    <xf numFmtId="0" fontId="70" fillId="3" borderId="133" xfId="0" applyFont="1" applyFill="1" applyBorder="1" applyAlignment="1">
      <alignment horizontal="center" vertical="center"/>
    </xf>
    <xf numFmtId="0" fontId="70" fillId="3" borderId="126" xfId="0" applyFont="1" applyFill="1" applyBorder="1" applyAlignment="1">
      <alignment horizontal="center" vertical="center"/>
    </xf>
    <xf numFmtId="0" fontId="70" fillId="3" borderId="276" xfId="0" applyFont="1" applyFill="1" applyBorder="1" applyAlignment="1">
      <alignment horizontal="center" vertical="center"/>
    </xf>
    <xf numFmtId="0" fontId="70" fillId="3" borderId="118" xfId="0" applyFont="1" applyFill="1" applyBorder="1" applyAlignment="1">
      <alignment horizontal="center" vertical="center"/>
    </xf>
    <xf numFmtId="0" fontId="69" fillId="31" borderId="150" xfId="0" applyFont="1" applyFill="1" applyBorder="1" applyAlignment="1">
      <alignment horizontal="left" vertical="center" indent="1"/>
    </xf>
    <xf numFmtId="0" fontId="69" fillId="31" borderId="136" xfId="0" applyFont="1" applyFill="1" applyBorder="1" applyAlignment="1">
      <alignment horizontal="left" vertical="center" indent="1"/>
    </xf>
    <xf numFmtId="0" fontId="69" fillId="31" borderId="151" xfId="0" applyFont="1" applyFill="1" applyBorder="1" applyAlignment="1">
      <alignment horizontal="left" vertical="center" indent="1"/>
    </xf>
    <xf numFmtId="0" fontId="70" fillId="3" borderId="127" xfId="0" applyFont="1" applyFill="1" applyBorder="1" applyAlignment="1">
      <alignment horizontal="center" vertical="center"/>
    </xf>
    <xf numFmtId="0" fontId="70" fillId="3" borderId="276" xfId="0" applyFont="1" applyFill="1" applyBorder="1" applyAlignment="1">
      <alignment horizontal="center" vertical="center" wrapText="1"/>
    </xf>
    <xf numFmtId="0" fontId="70" fillId="3" borderId="118" xfId="0" applyFont="1" applyFill="1" applyBorder="1" applyAlignment="1">
      <alignment horizontal="center" vertical="center" wrapText="1"/>
    </xf>
    <xf numFmtId="0" fontId="70" fillId="3" borderId="132" xfId="0" applyFont="1" applyFill="1" applyBorder="1" applyAlignment="1">
      <alignment horizontal="center" vertical="center"/>
    </xf>
    <xf numFmtId="0" fontId="70" fillId="3" borderId="122" xfId="0" applyFont="1" applyFill="1" applyBorder="1" applyAlignment="1">
      <alignment horizontal="center" vertical="center"/>
    </xf>
    <xf numFmtId="0" fontId="70" fillId="3" borderId="124" xfId="0" applyFont="1" applyFill="1" applyBorder="1" applyAlignment="1">
      <alignment horizontal="center" vertical="center"/>
    </xf>
    <xf numFmtId="0" fontId="0" fillId="0" borderId="152" xfId="0" applyBorder="1" applyAlignment="1">
      <alignment horizontal="center"/>
    </xf>
    <xf numFmtId="0" fontId="0" fillId="0" borderId="153" xfId="0" applyBorder="1" applyAlignment="1">
      <alignment horizontal="center"/>
    </xf>
    <xf numFmtId="0" fontId="0" fillId="0" borderId="154" xfId="0" applyBorder="1" applyAlignment="1">
      <alignment horizontal="center"/>
    </xf>
    <xf numFmtId="10" fontId="64" fillId="0" borderId="119" xfId="72" applyNumberFormat="1" applyFont="1" applyFill="1" applyBorder="1" applyAlignment="1">
      <alignment horizontal="center" vertical="center"/>
    </xf>
    <xf numFmtId="203" fontId="64" fillId="0" borderId="119" xfId="72" applyNumberFormat="1" applyFont="1" applyFill="1" applyBorder="1" applyAlignment="1">
      <alignment horizontal="center" vertical="center"/>
    </xf>
    <xf numFmtId="0" fontId="70" fillId="3" borderId="142" xfId="0" applyFont="1" applyFill="1" applyBorder="1" applyAlignment="1">
      <alignment horizontal="center" vertical="center"/>
    </xf>
    <xf numFmtId="1" fontId="68" fillId="0" borderId="119" xfId="0" applyNumberFormat="1" applyFont="1" applyFill="1" applyBorder="1" applyAlignment="1">
      <alignment horizontal="center" vertical="center"/>
    </xf>
    <xf numFmtId="171" fontId="68" fillId="0" borderId="119" xfId="0" applyNumberFormat="1" applyFont="1" applyFill="1" applyBorder="1" applyAlignment="1">
      <alignment horizontal="center" vertical="center"/>
    </xf>
    <xf numFmtId="169" fontId="68" fillId="0" borderId="119" xfId="0" applyNumberFormat="1" applyFont="1" applyFill="1" applyBorder="1" applyAlignment="1">
      <alignment horizontal="center" vertical="center"/>
    </xf>
    <xf numFmtId="169" fontId="68" fillId="0" borderId="133" xfId="0" applyNumberFormat="1" applyFont="1" applyFill="1" applyBorder="1" applyAlignment="1">
      <alignment horizontal="center" vertical="center"/>
    </xf>
    <xf numFmtId="169" fontId="68" fillId="0" borderId="126" xfId="0" applyNumberFormat="1" applyFont="1" applyFill="1" applyBorder="1" applyAlignment="1">
      <alignment horizontal="center" vertical="center"/>
    </xf>
    <xf numFmtId="169" fontId="68" fillId="0" borderId="200" xfId="0" applyNumberFormat="1" applyFont="1" applyFill="1" applyBorder="1" applyAlignment="1">
      <alignment horizontal="center" vertical="center"/>
    </xf>
    <xf numFmtId="164" fontId="68" fillId="0" borderId="145" xfId="0" applyNumberFormat="1" applyFont="1" applyFill="1" applyBorder="1" applyAlignment="1">
      <alignment horizontal="center" vertical="center"/>
    </xf>
    <xf numFmtId="0" fontId="69" fillId="2" borderId="152" xfId="0" applyFont="1" applyFill="1" applyBorder="1" applyAlignment="1">
      <alignment horizontal="center" vertical="center"/>
    </xf>
    <xf numFmtId="0" fontId="69" fillId="2" borderId="153" xfId="0" applyFont="1" applyFill="1" applyBorder="1" applyAlignment="1">
      <alignment horizontal="center" vertical="center"/>
    </xf>
    <xf numFmtId="0" fontId="69" fillId="2" borderId="154" xfId="0" applyFont="1" applyFill="1" applyBorder="1" applyAlignment="1">
      <alignment horizontal="center" vertical="center"/>
    </xf>
    <xf numFmtId="0" fontId="70" fillId="3" borderId="143" xfId="0" applyFont="1" applyFill="1" applyBorder="1" applyAlignment="1">
      <alignment horizontal="center" vertical="center"/>
    </xf>
    <xf numFmtId="0" fontId="15" fillId="2" borderId="116" xfId="0" applyFont="1" applyFill="1" applyBorder="1" applyAlignment="1">
      <alignment horizontal="left" vertical="center" wrapText="1"/>
    </xf>
    <xf numFmtId="0" fontId="72" fillId="30" borderId="175" xfId="0" applyFont="1" applyFill="1" applyBorder="1" applyAlignment="1">
      <alignment horizontal="center" vertical="center" wrapText="1"/>
    </xf>
    <xf numFmtId="0" fontId="72" fillId="30" borderId="175" xfId="0" applyFont="1" applyFill="1" applyBorder="1" applyAlignment="1">
      <alignment horizontal="center" vertical="center"/>
    </xf>
    <xf numFmtId="0" fontId="72" fillId="30" borderId="139" xfId="0" applyFont="1" applyFill="1" applyBorder="1" applyAlignment="1">
      <alignment horizontal="center" vertical="center"/>
    </xf>
    <xf numFmtId="0" fontId="72" fillId="30" borderId="140" xfId="0" applyFont="1" applyFill="1" applyBorder="1" applyAlignment="1">
      <alignment horizontal="center" vertical="center"/>
    </xf>
    <xf numFmtId="0" fontId="65" fillId="3" borderId="152" xfId="0" applyFont="1" applyFill="1" applyBorder="1" applyAlignment="1">
      <alignment horizontal="center" vertical="center"/>
    </xf>
    <xf numFmtId="0" fontId="65" fillId="3" borderId="153" xfId="0" applyFont="1" applyFill="1" applyBorder="1" applyAlignment="1">
      <alignment horizontal="center" vertical="center"/>
    </xf>
    <xf numFmtId="0" fontId="65" fillId="3" borderId="154" xfId="0" applyFont="1" applyFill="1" applyBorder="1" applyAlignment="1">
      <alignment horizontal="center" vertical="center"/>
    </xf>
    <xf numFmtId="0" fontId="65" fillId="3" borderId="155" xfId="0" applyFont="1" applyFill="1" applyBorder="1" applyAlignment="1">
      <alignment horizontal="center" vertical="center"/>
    </xf>
    <xf numFmtId="0" fontId="65" fillId="3" borderId="156" xfId="0" applyFont="1" applyFill="1" applyBorder="1" applyAlignment="1">
      <alignment horizontal="center" vertical="center"/>
    </xf>
    <xf numFmtId="0" fontId="65" fillId="3" borderId="157" xfId="0" applyFont="1" applyFill="1" applyBorder="1" applyAlignment="1">
      <alignment horizontal="center" vertical="center"/>
    </xf>
    <xf numFmtId="0" fontId="0" fillId="0" borderId="149" xfId="0" applyBorder="1" applyAlignment="1">
      <alignment horizontal="center"/>
    </xf>
    <xf numFmtId="0" fontId="0" fillId="0" borderId="0" xfId="0" applyBorder="1" applyAlignment="1">
      <alignment horizontal="center"/>
    </xf>
    <xf numFmtId="0" fontId="0" fillId="0" borderId="137" xfId="0" applyBorder="1" applyAlignment="1">
      <alignment horizontal="center"/>
    </xf>
    <xf numFmtId="0" fontId="0" fillId="0" borderId="138" xfId="0" applyBorder="1" applyAlignment="1">
      <alignment horizontal="center"/>
    </xf>
    <xf numFmtId="0" fontId="0" fillId="0" borderId="139" xfId="0" applyBorder="1" applyAlignment="1">
      <alignment horizontal="center"/>
    </xf>
    <xf numFmtId="0" fontId="0" fillId="0" borderId="140" xfId="0" applyBorder="1" applyAlignment="1">
      <alignment horizontal="center"/>
    </xf>
    <xf numFmtId="0" fontId="15" fillId="2" borderId="116" xfId="0" applyFont="1" applyFill="1" applyBorder="1" applyAlignment="1">
      <alignment horizontal="left" vertical="center" wrapText="1" indent="1"/>
    </xf>
    <xf numFmtId="0" fontId="15" fillId="2" borderId="166" xfId="0" applyFont="1" applyFill="1" applyBorder="1" applyAlignment="1">
      <alignment horizontal="left" vertical="center" wrapText="1" indent="1"/>
    </xf>
    <xf numFmtId="167" fontId="15" fillId="2" borderId="306" xfId="0" applyNumberFormat="1" applyFont="1" applyFill="1" applyBorder="1" applyAlignment="1">
      <alignment horizontal="center" vertical="center" wrapText="1"/>
    </xf>
    <xf numFmtId="167" fontId="15" fillId="2" borderId="307" xfId="0" applyNumberFormat="1" applyFont="1" applyFill="1" applyBorder="1" applyAlignment="1">
      <alignment horizontal="center" vertical="center" wrapText="1"/>
    </xf>
    <xf numFmtId="167" fontId="15" fillId="2" borderId="308" xfId="0" applyNumberFormat="1" applyFont="1" applyFill="1" applyBorder="1" applyAlignment="1">
      <alignment horizontal="center" vertical="center" wrapText="1"/>
    </xf>
    <xf numFmtId="169" fontId="68" fillId="0" borderId="127" xfId="0" applyNumberFormat="1" applyFont="1" applyFill="1" applyBorder="1" applyAlignment="1">
      <alignment horizontal="center" vertical="center"/>
    </xf>
    <xf numFmtId="0" fontId="70" fillId="3" borderId="141" xfId="0" applyFont="1" applyFill="1" applyBorder="1" applyAlignment="1">
      <alignment horizontal="center" vertical="center"/>
    </xf>
    <xf numFmtId="0" fontId="67" fillId="0" borderId="128" xfId="0" applyFont="1" applyFill="1" applyBorder="1" applyAlignment="1">
      <alignment horizontal="center" vertical="center"/>
    </xf>
    <xf numFmtId="0" fontId="67" fillId="0" borderId="129" xfId="0" applyFont="1" applyFill="1" applyBorder="1" applyAlignment="1">
      <alignment horizontal="center" vertical="center"/>
    </xf>
    <xf numFmtId="0" fontId="67" fillId="0" borderId="131" xfId="0" applyFont="1" applyFill="1" applyBorder="1" applyAlignment="1">
      <alignment horizontal="center" vertical="center"/>
    </xf>
    <xf numFmtId="0" fontId="67" fillId="0" borderId="125" xfId="0" applyFont="1" applyFill="1" applyBorder="1" applyAlignment="1">
      <alignment horizontal="center" vertical="center"/>
    </xf>
    <xf numFmtId="0" fontId="67" fillId="0" borderId="126" xfId="0" applyFont="1" applyFill="1" applyBorder="1" applyAlignment="1">
      <alignment horizontal="center" vertical="center"/>
    </xf>
    <xf numFmtId="0" fontId="67" fillId="0" borderId="127" xfId="0" applyFont="1" applyFill="1" applyBorder="1" applyAlignment="1">
      <alignment horizontal="center" vertical="center"/>
    </xf>
    <xf numFmtId="164" fontId="100" fillId="0" borderId="133" xfId="0" quotePrefix="1" applyNumberFormat="1" applyFont="1" applyFill="1" applyBorder="1" applyAlignment="1">
      <alignment horizontal="center" vertical="center"/>
    </xf>
    <xf numFmtId="164" fontId="100" fillId="0" borderId="126" xfId="0" applyNumberFormat="1" applyFont="1" applyFill="1" applyBorder="1" applyAlignment="1">
      <alignment horizontal="center" vertical="center"/>
    </xf>
    <xf numFmtId="164" fontId="100" fillId="0" borderId="127" xfId="0" applyNumberFormat="1" applyFont="1" applyFill="1" applyBorder="1" applyAlignment="1">
      <alignment horizontal="center" vertical="center"/>
    </xf>
    <xf numFmtId="0" fontId="63" fillId="0" borderId="146" xfId="0" applyFont="1" applyFill="1" applyBorder="1" applyAlignment="1">
      <alignment horizontal="left" vertical="center" indent="2"/>
    </xf>
    <xf numFmtId="0" fontId="63" fillId="0" borderId="147" xfId="0" applyFont="1" applyFill="1" applyBorder="1" applyAlignment="1">
      <alignment horizontal="left" vertical="center" indent="2"/>
    </xf>
    <xf numFmtId="0" fontId="63" fillId="0" borderId="148" xfId="0" applyFont="1" applyFill="1" applyBorder="1" applyAlignment="1">
      <alignment horizontal="left" vertical="center" indent="2"/>
    </xf>
    <xf numFmtId="0" fontId="70" fillId="3" borderId="144" xfId="0" applyFont="1" applyFill="1" applyBorder="1" applyAlignment="1">
      <alignment horizontal="center" vertical="center"/>
    </xf>
    <xf numFmtId="0" fontId="70" fillId="3" borderId="119" xfId="0" applyFont="1" applyFill="1" applyBorder="1" applyAlignment="1">
      <alignment horizontal="center" vertical="center"/>
    </xf>
    <xf numFmtId="0" fontId="68" fillId="0" borderId="119" xfId="0" applyNumberFormat="1" applyFont="1" applyFill="1" applyBorder="1" applyAlignment="1">
      <alignment horizontal="center" vertical="center"/>
    </xf>
    <xf numFmtId="10" fontId="64" fillId="0" borderId="145" xfId="0" applyNumberFormat="1" applyFont="1" applyFill="1" applyBorder="1" applyAlignment="1">
      <alignment horizontal="center" vertical="center"/>
    </xf>
    <xf numFmtId="0" fontId="70" fillId="3" borderId="200" xfId="0" applyFont="1" applyFill="1" applyBorder="1" applyAlignment="1">
      <alignment horizontal="center" vertical="center"/>
    </xf>
    <xf numFmtId="0" fontId="76" fillId="0" borderId="144" xfId="0" applyFont="1" applyFill="1" applyBorder="1" applyAlignment="1">
      <alignment horizontal="left" vertical="center"/>
    </xf>
    <xf numFmtId="0" fontId="76" fillId="0" borderId="146" xfId="0" applyFont="1" applyFill="1" applyBorder="1" applyAlignment="1">
      <alignment horizontal="left" vertical="center"/>
    </xf>
    <xf numFmtId="0" fontId="79" fillId="29" borderId="166" xfId="0" applyFont="1" applyFill="1" applyBorder="1" applyAlignment="1">
      <alignment horizontal="center" vertical="center"/>
    </xf>
    <xf numFmtId="0" fontId="79" fillId="29" borderId="166" xfId="0" applyFont="1" applyFill="1" applyBorder="1" applyAlignment="1">
      <alignment horizontal="center" vertical="center" wrapText="1"/>
    </xf>
    <xf numFmtId="0" fontId="76" fillId="0" borderId="142" xfId="0" applyFont="1" applyFill="1" applyBorder="1" applyAlignment="1">
      <alignment horizontal="center" vertical="center"/>
    </xf>
    <xf numFmtId="0" fontId="76" fillId="0" borderId="119" xfId="0" applyFont="1" applyFill="1" applyBorder="1" applyAlignment="1">
      <alignment horizontal="center" vertical="center"/>
    </xf>
    <xf numFmtId="0" fontId="76" fillId="0" borderId="147" xfId="0" applyFont="1" applyFill="1" applyBorder="1" applyAlignment="1">
      <alignment horizontal="center" vertical="center"/>
    </xf>
    <xf numFmtId="0" fontId="76" fillId="0" borderId="142" xfId="0" applyFont="1" applyFill="1" applyBorder="1" applyAlignment="1">
      <alignment horizontal="left" vertical="center"/>
    </xf>
    <xf numFmtId="0" fontId="76" fillId="0" borderId="119" xfId="0" applyFont="1" applyFill="1" applyBorder="1" applyAlignment="1">
      <alignment horizontal="left" vertical="center"/>
    </xf>
    <xf numFmtId="0" fontId="76" fillId="0" borderId="119" xfId="0" applyFont="1" applyFill="1" applyBorder="1" applyAlignment="1">
      <alignment horizontal="left" vertical="center" wrapText="1"/>
    </xf>
    <xf numFmtId="0" fontId="76" fillId="0" borderId="147" xfId="0" applyFont="1" applyFill="1" applyBorder="1" applyAlignment="1">
      <alignment horizontal="left" vertical="center"/>
    </xf>
    <xf numFmtId="0" fontId="0" fillId="0" borderId="166" xfId="0" applyBorder="1" applyAlignment="1">
      <alignment horizontal="center"/>
    </xf>
    <xf numFmtId="0" fontId="1" fillId="32" borderId="167" xfId="0" applyFont="1" applyFill="1" applyBorder="1" applyAlignment="1">
      <alignment horizontal="center" vertical="center" wrapText="1"/>
    </xf>
    <xf numFmtId="0" fontId="1" fillId="32" borderId="188" xfId="0" applyFont="1" applyFill="1" applyBorder="1" applyAlignment="1">
      <alignment horizontal="center" vertical="center"/>
    </xf>
    <xf numFmtId="0" fontId="1" fillId="32" borderId="169" xfId="0" applyFont="1" applyFill="1" applyBorder="1" applyAlignment="1">
      <alignment horizontal="center" vertical="center"/>
    </xf>
    <xf numFmtId="0" fontId="1" fillId="32" borderId="149" xfId="0" applyFont="1" applyFill="1" applyBorder="1" applyAlignment="1">
      <alignment horizontal="center" vertical="center"/>
    </xf>
    <xf numFmtId="0" fontId="1" fillId="32" borderId="0" xfId="0" applyFont="1" applyFill="1" applyBorder="1" applyAlignment="1">
      <alignment horizontal="center" vertical="center"/>
    </xf>
    <xf numFmtId="0" fontId="1" fillId="32" borderId="137" xfId="0" applyFont="1" applyFill="1" applyBorder="1" applyAlignment="1">
      <alignment horizontal="center" vertical="center"/>
    </xf>
    <xf numFmtId="0" fontId="1" fillId="32" borderId="155" xfId="0" applyFont="1" applyFill="1" applyBorder="1" applyAlignment="1">
      <alignment horizontal="center" vertical="center"/>
    </xf>
    <xf numFmtId="0" fontId="1" fillId="32" borderId="156" xfId="0" applyFont="1" applyFill="1" applyBorder="1" applyAlignment="1">
      <alignment horizontal="center" vertical="center"/>
    </xf>
    <xf numFmtId="0" fontId="1" fillId="32" borderId="157" xfId="0" applyFont="1" applyFill="1" applyBorder="1" applyAlignment="1">
      <alignment horizontal="center" vertical="center"/>
    </xf>
    <xf numFmtId="169" fontId="64" fillId="0" borderId="156" xfId="0" applyNumberFormat="1" applyFont="1" applyBorder="1" applyAlignment="1">
      <alignment horizontal="center" vertical="center"/>
    </xf>
    <xf numFmtId="0" fontId="63" fillId="0" borderId="167" xfId="0" applyFont="1" applyBorder="1" applyAlignment="1">
      <alignment horizontal="center" vertical="center"/>
    </xf>
    <xf numFmtId="0" fontId="63" fillId="0" borderId="168" xfId="0" applyFont="1" applyBorder="1" applyAlignment="1">
      <alignment horizontal="center" vertical="center"/>
    </xf>
    <xf numFmtId="0" fontId="63" fillId="0" borderId="169" xfId="0" applyFont="1" applyBorder="1" applyAlignment="1">
      <alignment horizontal="center" vertical="center"/>
    </xf>
    <xf numFmtId="0" fontId="63" fillId="0" borderId="155" xfId="0" applyFont="1" applyBorder="1" applyAlignment="1">
      <alignment horizontal="center"/>
    </xf>
    <xf numFmtId="0" fontId="63" fillId="0" borderId="156" xfId="0" applyFont="1" applyBorder="1" applyAlignment="1">
      <alignment horizontal="center"/>
    </xf>
    <xf numFmtId="0" fontId="63" fillId="0" borderId="157" xfId="0" applyFont="1" applyBorder="1" applyAlignment="1">
      <alignment horizontal="center"/>
    </xf>
    <xf numFmtId="0" fontId="0" fillId="0" borderId="119" xfId="0" applyBorder="1" applyAlignment="1">
      <alignment horizontal="center" vertical="center"/>
    </xf>
    <xf numFmtId="0" fontId="0" fillId="0" borderId="145" xfId="0" applyBorder="1" applyAlignment="1">
      <alignment horizontal="center" vertical="center"/>
    </xf>
    <xf numFmtId="0" fontId="75" fillId="33" borderId="172" xfId="0" applyFont="1" applyFill="1" applyBorder="1" applyAlignment="1">
      <alignment horizontal="left" vertical="center"/>
    </xf>
    <xf numFmtId="0" fontId="75" fillId="33" borderId="173" xfId="0" applyFont="1" applyFill="1" applyBorder="1" applyAlignment="1">
      <alignment horizontal="left" vertical="center"/>
    </xf>
    <xf numFmtId="0" fontId="75" fillId="33" borderId="174" xfId="0" applyFont="1" applyFill="1" applyBorder="1" applyAlignment="1">
      <alignment horizontal="left" vertical="center"/>
    </xf>
    <xf numFmtId="0" fontId="76" fillId="0" borderId="141" xfId="0" applyFont="1" applyFill="1" applyBorder="1" applyAlignment="1">
      <alignment horizontal="left" vertical="center"/>
    </xf>
    <xf numFmtId="0" fontId="70" fillId="3" borderId="134" xfId="0" applyFont="1" applyFill="1" applyBorder="1" applyAlignment="1">
      <alignment horizontal="center" vertical="center" wrapText="1"/>
    </xf>
    <xf numFmtId="0" fontId="70" fillId="3" borderId="129" xfId="0" applyFont="1" applyFill="1" applyBorder="1" applyAlignment="1">
      <alignment horizontal="center" vertical="center" wrapText="1"/>
    </xf>
    <xf numFmtId="0" fontId="70" fillId="3" borderId="130" xfId="0" applyFont="1" applyFill="1" applyBorder="1" applyAlignment="1">
      <alignment horizontal="center" vertical="center" wrapText="1"/>
    </xf>
    <xf numFmtId="0" fontId="70" fillId="3" borderId="131" xfId="0" applyFont="1" applyFill="1" applyBorder="1" applyAlignment="1">
      <alignment horizontal="center" vertical="center" wrapText="1"/>
    </xf>
    <xf numFmtId="167" fontId="73" fillId="0" borderId="156" xfId="0" applyNumberFormat="1" applyFont="1" applyBorder="1" applyAlignment="1">
      <alignment horizontal="center" vertical="center"/>
    </xf>
    <xf numFmtId="0" fontId="74" fillId="0" borderId="155" xfId="0" applyFont="1" applyBorder="1" applyAlignment="1">
      <alignment horizontal="center"/>
    </xf>
    <xf numFmtId="0" fontId="74" fillId="0" borderId="156" xfId="0" applyFont="1" applyBorder="1" applyAlignment="1">
      <alignment horizontal="center"/>
    </xf>
    <xf numFmtId="0" fontId="74" fillId="0" borderId="157" xfId="0" applyFont="1" applyBorder="1" applyAlignment="1">
      <alignment horizontal="center"/>
    </xf>
    <xf numFmtId="0" fontId="74" fillId="0" borderId="149" xfId="0" applyFont="1" applyBorder="1" applyAlignment="1">
      <alignment horizontal="center"/>
    </xf>
    <xf numFmtId="0" fontId="74" fillId="0" borderId="0" xfId="0" applyFont="1" applyBorder="1" applyAlignment="1">
      <alignment horizontal="center"/>
    </xf>
    <xf numFmtId="0" fontId="74" fillId="0" borderId="137" xfId="0" applyFont="1" applyBorder="1" applyAlignment="1">
      <alignment horizontal="center"/>
    </xf>
    <xf numFmtId="0" fontId="74" fillId="0" borderId="303" xfId="0" applyFont="1" applyBorder="1" applyAlignment="1">
      <alignment horizontal="center"/>
    </xf>
    <xf numFmtId="0" fontId="74" fillId="0" borderId="304" xfId="0" applyFont="1" applyBorder="1" applyAlignment="1">
      <alignment horizontal="center"/>
    </xf>
    <xf numFmtId="0" fontId="74" fillId="0" borderId="0" xfId="0" applyFont="1" applyFill="1" applyBorder="1" applyAlignment="1">
      <alignment horizontal="center"/>
    </xf>
    <xf numFmtId="0" fontId="0" fillId="0" borderId="175" xfId="0" applyBorder="1" applyAlignment="1">
      <alignment horizontal="center"/>
    </xf>
    <xf numFmtId="0" fontId="76" fillId="2" borderId="172" xfId="0" applyFont="1" applyFill="1" applyBorder="1" applyAlignment="1">
      <alignment horizontal="left" vertical="center" wrapText="1" indent="1"/>
    </xf>
    <xf numFmtId="0" fontId="76" fillId="2" borderId="173" xfId="0" applyFont="1" applyFill="1" applyBorder="1" applyAlignment="1">
      <alignment horizontal="left" vertical="center" wrapText="1" indent="1"/>
    </xf>
    <xf numFmtId="0" fontId="76" fillId="2" borderId="174" xfId="0" applyFont="1" applyFill="1" applyBorder="1" applyAlignment="1">
      <alignment horizontal="left" vertical="center" wrapText="1" indent="1"/>
    </xf>
    <xf numFmtId="167" fontId="76" fillId="2" borderId="306" xfId="0" applyNumberFormat="1" applyFont="1" applyFill="1" applyBorder="1" applyAlignment="1">
      <alignment horizontal="center" vertical="center" wrapText="1"/>
    </xf>
    <xf numFmtId="167" fontId="76" fillId="2" borderId="307" xfId="0" applyNumberFormat="1" applyFont="1" applyFill="1" applyBorder="1" applyAlignment="1">
      <alignment horizontal="center" vertical="center" wrapText="1"/>
    </xf>
    <xf numFmtId="167" fontId="76" fillId="2" borderId="308" xfId="0" applyNumberFormat="1" applyFont="1" applyFill="1" applyBorder="1" applyAlignment="1">
      <alignment horizontal="center" vertical="center" wrapText="1"/>
    </xf>
    <xf numFmtId="0" fontId="78" fillId="2" borderId="172" xfId="0" applyFont="1" applyFill="1" applyBorder="1" applyAlignment="1">
      <alignment horizontal="left" vertical="center" wrapText="1"/>
    </xf>
    <xf numFmtId="0" fontId="78" fillId="2" borderId="173" xfId="0" applyFont="1" applyFill="1" applyBorder="1" applyAlignment="1">
      <alignment horizontal="left" vertical="center" wrapText="1"/>
    </xf>
    <xf numFmtId="0" fontId="78" fillId="2" borderId="174" xfId="0" applyFont="1" applyFill="1" applyBorder="1" applyAlignment="1">
      <alignment horizontal="left" vertical="center" wrapText="1"/>
    </xf>
    <xf numFmtId="0" fontId="1" fillId="32" borderId="188" xfId="0" applyFont="1" applyFill="1" applyBorder="1" applyAlignment="1">
      <alignment horizontal="center" vertical="center" wrapText="1"/>
    </xf>
    <xf numFmtId="0" fontId="1" fillId="32" borderId="169" xfId="0" applyFont="1" applyFill="1" applyBorder="1" applyAlignment="1">
      <alignment horizontal="center" vertical="center" wrapText="1"/>
    </xf>
    <xf numFmtId="0" fontId="1" fillId="32" borderId="149" xfId="0" applyFont="1" applyFill="1" applyBorder="1" applyAlignment="1">
      <alignment horizontal="center" vertical="center" wrapText="1"/>
    </xf>
    <xf numFmtId="0" fontId="1" fillId="32" borderId="0" xfId="0" applyFont="1" applyFill="1" applyBorder="1" applyAlignment="1">
      <alignment horizontal="center" vertical="center" wrapText="1"/>
    </xf>
    <xf numFmtId="0" fontId="1" fillId="32" borderId="137" xfId="0" applyFont="1" applyFill="1" applyBorder="1" applyAlignment="1">
      <alignment horizontal="center" vertical="center" wrapText="1"/>
    </xf>
    <xf numFmtId="0" fontId="1" fillId="32" borderId="155" xfId="0" applyFont="1" applyFill="1" applyBorder="1" applyAlignment="1">
      <alignment horizontal="center" vertical="center" wrapText="1"/>
    </xf>
    <xf numFmtId="0" fontId="1" fillId="32" borderId="156" xfId="0" applyFont="1" applyFill="1" applyBorder="1" applyAlignment="1">
      <alignment horizontal="center" vertical="center" wrapText="1"/>
    </xf>
    <xf numFmtId="0" fontId="1" fillId="32" borderId="157" xfId="0" applyFont="1" applyFill="1" applyBorder="1" applyAlignment="1">
      <alignment horizontal="center" vertical="center" wrapText="1"/>
    </xf>
    <xf numFmtId="0" fontId="80" fillId="3" borderId="142" xfId="0" applyFont="1" applyFill="1" applyBorder="1" applyAlignment="1">
      <alignment horizontal="center" vertical="center" wrapText="1"/>
    </xf>
    <xf numFmtId="0" fontId="80" fillId="3" borderId="143" xfId="0" applyFont="1" applyFill="1" applyBorder="1" applyAlignment="1">
      <alignment horizontal="center" vertical="center" wrapText="1"/>
    </xf>
    <xf numFmtId="0" fontId="80" fillId="0" borderId="144" xfId="0" applyFont="1" applyFill="1" applyBorder="1" applyAlignment="1">
      <alignment horizontal="left" vertical="center" wrapText="1" indent="1"/>
    </xf>
    <xf numFmtId="0" fontId="80" fillId="0" borderId="119" xfId="0" applyFont="1" applyFill="1" applyBorder="1" applyAlignment="1">
      <alignment horizontal="left" vertical="center" wrapText="1" indent="1"/>
    </xf>
    <xf numFmtId="0" fontId="77" fillId="0" borderId="119" xfId="0" applyFont="1" applyFill="1" applyBorder="1" applyAlignment="1">
      <alignment horizontal="center" vertical="center" wrapText="1"/>
    </xf>
    <xf numFmtId="0" fontId="80" fillId="3" borderId="141" xfId="0" applyFont="1" applyFill="1" applyBorder="1" applyAlignment="1">
      <alignment horizontal="center" vertical="center" wrapText="1"/>
    </xf>
    <xf numFmtId="0" fontId="77" fillId="0" borderId="145" xfId="0" applyFont="1" applyFill="1" applyBorder="1" applyAlignment="1">
      <alignment horizontal="center" vertical="center" wrapText="1"/>
    </xf>
    <xf numFmtId="0" fontId="80" fillId="3" borderId="160" xfId="0" applyFont="1" applyFill="1" applyBorder="1" applyAlignment="1">
      <alignment horizontal="center" vertical="center" wrapText="1"/>
    </xf>
    <xf numFmtId="0" fontId="80" fillId="3" borderId="161" xfId="0" applyFont="1" applyFill="1" applyBorder="1" applyAlignment="1">
      <alignment horizontal="center" vertical="center" wrapText="1"/>
    </xf>
    <xf numFmtId="0" fontId="80" fillId="3" borderId="162" xfId="0" applyFont="1" applyFill="1" applyBorder="1" applyAlignment="1">
      <alignment horizontal="center" vertical="center" wrapText="1"/>
    </xf>
    <xf numFmtId="0" fontId="80" fillId="0" borderId="120" xfId="0" applyFont="1" applyFill="1" applyBorder="1" applyAlignment="1">
      <alignment horizontal="center" vertical="center" wrapText="1"/>
    </xf>
    <xf numFmtId="0" fontId="80" fillId="0" borderId="171" xfId="0" applyFont="1" applyFill="1" applyBorder="1" applyAlignment="1">
      <alignment horizontal="center" vertical="center" wrapText="1"/>
    </xf>
    <xf numFmtId="0" fontId="80" fillId="3" borderId="181" xfId="0" applyFont="1" applyFill="1" applyBorder="1" applyAlignment="1">
      <alignment horizontal="center" vertical="center" wrapText="1"/>
    </xf>
    <xf numFmtId="0" fontId="80" fillId="3" borderId="182" xfId="0" applyFont="1" applyFill="1" applyBorder="1" applyAlignment="1">
      <alignment horizontal="center" vertical="center" wrapText="1"/>
    </xf>
    <xf numFmtId="0" fontId="99" fillId="3" borderId="182" xfId="0" applyFont="1" applyFill="1" applyBorder="1" applyAlignment="1">
      <alignment horizontal="center" vertical="center" wrapText="1"/>
    </xf>
    <xf numFmtId="0" fontId="80" fillId="0" borderId="170" xfId="0" applyFont="1" applyFill="1" applyBorder="1" applyAlignment="1">
      <alignment horizontal="left" vertical="center" wrapText="1" indent="1"/>
    </xf>
    <xf numFmtId="0" fontId="80" fillId="0" borderId="120" xfId="0" applyFont="1" applyFill="1" applyBorder="1" applyAlignment="1">
      <alignment horizontal="left" vertical="center" wrapText="1" indent="1"/>
    </xf>
    <xf numFmtId="0" fontId="15" fillId="0" borderId="120" xfId="0" applyFont="1" applyFill="1" applyBorder="1" applyAlignment="1">
      <alignment horizontal="center" vertical="center" wrapText="1"/>
    </xf>
    <xf numFmtId="0" fontId="76" fillId="0" borderId="117" xfId="0" applyFont="1" applyFill="1" applyBorder="1" applyAlignment="1">
      <alignment horizontal="center" vertical="center" wrapText="1"/>
    </xf>
    <xf numFmtId="0" fontId="76" fillId="0" borderId="117" xfId="0" applyFont="1" applyFill="1" applyBorder="1" applyAlignment="1">
      <alignment horizontal="center" vertical="center"/>
    </xf>
    <xf numFmtId="0" fontId="76" fillId="0" borderId="176" xfId="0" applyFont="1" applyFill="1" applyBorder="1" applyAlignment="1">
      <alignment horizontal="center" vertical="center" wrapText="1"/>
    </xf>
    <xf numFmtId="0" fontId="76" fillId="0" borderId="176" xfId="0" applyFont="1" applyFill="1" applyBorder="1" applyAlignment="1">
      <alignment horizontal="center" vertical="center"/>
    </xf>
    <xf numFmtId="0" fontId="80" fillId="3" borderId="178" xfId="0" applyFont="1" applyFill="1" applyBorder="1" applyAlignment="1">
      <alignment horizontal="center" vertical="center" wrapText="1"/>
    </xf>
    <xf numFmtId="0" fontId="80" fillId="3" borderId="179" xfId="0" applyFont="1" applyFill="1" applyBorder="1" applyAlignment="1">
      <alignment horizontal="center" vertical="center" wrapText="1"/>
    </xf>
    <xf numFmtId="0" fontId="15" fillId="0" borderId="177" xfId="0" applyFont="1" applyFill="1" applyBorder="1" applyAlignment="1">
      <alignment horizontal="center" vertical="center" wrapText="1"/>
    </xf>
    <xf numFmtId="0" fontId="15" fillId="0" borderId="177" xfId="0" applyFont="1" applyFill="1" applyBorder="1" applyAlignment="1">
      <alignment horizontal="center" vertical="center"/>
    </xf>
    <xf numFmtId="0" fontId="76" fillId="0" borderId="264" xfId="0" applyFont="1" applyFill="1" applyBorder="1" applyAlignment="1">
      <alignment horizontal="center" vertical="center"/>
    </xf>
    <xf numFmtId="0" fontId="80" fillId="0" borderId="0" xfId="0" applyFont="1" applyFill="1" applyBorder="1" applyAlignment="1">
      <alignment horizontal="center" vertical="center" wrapText="1"/>
    </xf>
    <xf numFmtId="0" fontId="99" fillId="3" borderId="179" xfId="0" applyFont="1" applyFill="1" applyBorder="1" applyAlignment="1">
      <alignment horizontal="center" vertical="center" wrapText="1"/>
    </xf>
    <xf numFmtId="0" fontId="99" fillId="3" borderId="179" xfId="0" applyFont="1" applyFill="1" applyBorder="1" applyAlignment="1">
      <alignment horizontal="center" vertical="center"/>
    </xf>
    <xf numFmtId="0" fontId="73" fillId="0" borderId="149" xfId="0" applyFont="1" applyBorder="1" applyAlignment="1">
      <alignment horizontal="left" vertical="center"/>
    </xf>
    <xf numFmtId="0" fontId="73" fillId="0" borderId="0" xfId="0" applyFont="1" applyBorder="1" applyAlignment="1">
      <alignment horizontal="left" vertical="center"/>
    </xf>
    <xf numFmtId="0" fontId="73" fillId="0" borderId="137" xfId="0" applyFont="1" applyBorder="1" applyAlignment="1">
      <alignment horizontal="left" vertical="center"/>
    </xf>
    <xf numFmtId="0" fontId="81" fillId="31" borderId="172" xfId="0" applyFont="1" applyFill="1" applyBorder="1" applyAlignment="1">
      <alignment horizontal="left" vertical="center" indent="1"/>
    </xf>
    <xf numFmtId="0" fontId="81" fillId="31" borderId="173" xfId="0" applyFont="1" applyFill="1" applyBorder="1" applyAlignment="1">
      <alignment horizontal="left" vertical="center" indent="1"/>
    </xf>
    <xf numFmtId="0" fontId="81" fillId="31" borderId="174" xfId="0" applyFont="1" applyFill="1" applyBorder="1" applyAlignment="1">
      <alignment horizontal="left" vertical="center" indent="1"/>
    </xf>
    <xf numFmtId="0" fontId="81" fillId="0" borderId="0" xfId="0" applyFont="1" applyFill="1" applyBorder="1" applyAlignment="1">
      <alignment horizontal="left" vertical="center" indent="1"/>
    </xf>
    <xf numFmtId="0" fontId="80" fillId="3" borderId="166" xfId="0" applyFont="1" applyFill="1" applyBorder="1" applyAlignment="1">
      <alignment horizontal="center" vertical="center" wrapText="1"/>
    </xf>
    <xf numFmtId="0" fontId="99" fillId="3" borderId="166" xfId="0" applyFont="1" applyFill="1" applyBorder="1" applyAlignment="1">
      <alignment horizontal="center" vertical="center" wrapText="1"/>
    </xf>
    <xf numFmtId="0" fontId="99" fillId="3" borderId="166" xfId="0" applyFont="1" applyFill="1" applyBorder="1" applyAlignment="1">
      <alignment horizontal="center" vertical="center"/>
    </xf>
    <xf numFmtId="0" fontId="77" fillId="2" borderId="147" xfId="0" applyFont="1" applyFill="1" applyBorder="1" applyAlignment="1">
      <alignment vertical="top" wrapText="1"/>
    </xf>
    <xf numFmtId="0" fontId="77" fillId="0" borderId="146" xfId="0" applyFont="1" applyFill="1" applyBorder="1" applyAlignment="1">
      <alignment horizontal="left" vertical="center" wrapText="1"/>
    </xf>
    <xf numFmtId="0" fontId="77" fillId="0" borderId="147" xfId="0" applyFont="1" applyFill="1" applyBorder="1" applyAlignment="1">
      <alignment horizontal="left" vertical="center" wrapText="1"/>
    </xf>
    <xf numFmtId="0" fontId="77" fillId="2" borderId="147" xfId="0" applyFont="1" applyFill="1" applyBorder="1" applyAlignment="1">
      <alignment horizontal="center" vertical="center" wrapText="1"/>
    </xf>
    <xf numFmtId="170" fontId="77" fillId="2" borderId="147" xfId="0" applyNumberFormat="1" applyFont="1" applyFill="1" applyBorder="1" applyAlignment="1">
      <alignment horizontal="center" vertical="center" wrapText="1"/>
    </xf>
    <xf numFmtId="0" fontId="77" fillId="0" borderId="144" xfId="0" applyFont="1" applyFill="1" applyBorder="1" applyAlignment="1">
      <alignment horizontal="left" vertical="center" wrapText="1"/>
    </xf>
    <xf numFmtId="0" fontId="77" fillId="0" borderId="119" xfId="0" applyFont="1" applyFill="1" applyBorder="1" applyAlignment="1">
      <alignment horizontal="left" vertical="center" wrapText="1"/>
    </xf>
    <xf numFmtId="0" fontId="77" fillId="2" borderId="119" xfId="0" applyFont="1" applyFill="1" applyBorder="1" applyAlignment="1">
      <alignment horizontal="center" vertical="center" wrapText="1"/>
    </xf>
    <xf numFmtId="0" fontId="77" fillId="2" borderId="119" xfId="0" applyFont="1" applyFill="1" applyBorder="1" applyAlignment="1">
      <alignment vertical="center" wrapText="1"/>
    </xf>
    <xf numFmtId="170" fontId="77" fillId="2" borderId="119" xfId="0" applyNumberFormat="1" applyFont="1" applyFill="1" applyBorder="1" applyAlignment="1">
      <alignment horizontal="center" vertical="center" wrapText="1"/>
    </xf>
    <xf numFmtId="0" fontId="77" fillId="2" borderId="119" xfId="0" applyFont="1" applyFill="1" applyBorder="1" applyAlignment="1">
      <alignment vertical="top" wrapText="1"/>
    </xf>
    <xf numFmtId="0" fontId="77" fillId="0" borderId="141" xfId="0" applyFont="1" applyFill="1" applyBorder="1" applyAlignment="1">
      <alignment horizontal="left" vertical="center" wrapText="1"/>
    </xf>
    <xf numFmtId="0" fontId="77" fillId="0" borderId="142" xfId="0" applyFont="1" applyFill="1" applyBorder="1" applyAlignment="1">
      <alignment horizontal="left" vertical="center" wrapText="1"/>
    </xf>
    <xf numFmtId="0" fontId="77" fillId="2" borderId="142" xfId="0" applyFont="1" applyFill="1" applyBorder="1" applyAlignment="1">
      <alignment horizontal="center" vertical="center" wrapText="1"/>
    </xf>
    <xf numFmtId="0" fontId="77" fillId="2" borderId="142" xfId="0" applyFont="1" applyFill="1" applyBorder="1" applyAlignment="1">
      <alignment vertical="center" wrapText="1"/>
    </xf>
    <xf numFmtId="170" fontId="77" fillId="2" borderId="142" xfId="0" applyNumberFormat="1" applyFont="1" applyFill="1" applyBorder="1" applyAlignment="1">
      <alignment horizontal="center" vertical="center" wrapText="1"/>
    </xf>
    <xf numFmtId="0" fontId="80" fillId="3" borderId="172" xfId="0" applyFont="1" applyFill="1" applyBorder="1" applyAlignment="1">
      <alignment horizontal="center" vertical="center" wrapText="1"/>
    </xf>
    <xf numFmtId="0" fontId="80" fillId="3" borderId="173" xfId="0" applyFont="1" applyFill="1" applyBorder="1" applyAlignment="1">
      <alignment horizontal="center" vertical="center" wrapText="1"/>
    </xf>
    <xf numFmtId="0" fontId="80" fillId="3" borderId="174" xfId="0" applyFont="1" applyFill="1" applyBorder="1" applyAlignment="1">
      <alignment horizontal="center" vertical="center" wrapText="1"/>
    </xf>
    <xf numFmtId="0" fontId="80" fillId="3" borderId="180" xfId="0" applyFont="1" applyFill="1" applyBorder="1" applyAlignment="1">
      <alignment horizontal="center" vertical="center" wrapText="1"/>
    </xf>
    <xf numFmtId="0" fontId="99" fillId="3" borderId="172" xfId="0" applyFont="1" applyFill="1" applyBorder="1" applyAlignment="1">
      <alignment horizontal="center" vertical="center" wrapText="1"/>
    </xf>
    <xf numFmtId="0" fontId="99" fillId="3" borderId="173" xfId="0" applyFont="1" applyFill="1" applyBorder="1" applyAlignment="1">
      <alignment horizontal="center" vertical="center" wrapText="1"/>
    </xf>
    <xf numFmtId="0" fontId="99" fillId="3" borderId="174" xfId="0" applyFont="1" applyFill="1" applyBorder="1" applyAlignment="1">
      <alignment horizontal="center" vertical="center" wrapText="1"/>
    </xf>
    <xf numFmtId="0" fontId="77" fillId="2" borderId="147" xfId="0" applyFont="1" applyFill="1" applyBorder="1" applyAlignment="1">
      <alignment vertical="center" wrapText="1"/>
    </xf>
    <xf numFmtId="0" fontId="77" fillId="2" borderId="148" xfId="0" applyFont="1" applyFill="1" applyBorder="1" applyAlignment="1">
      <alignment vertical="center" wrapText="1"/>
    </xf>
    <xf numFmtId="0" fontId="77" fillId="2" borderId="145" xfId="0" applyFont="1" applyFill="1" applyBorder="1" applyAlignment="1">
      <alignment vertical="center" wrapText="1"/>
    </xf>
    <xf numFmtId="0" fontId="77" fillId="2" borderId="143" xfId="0" applyFont="1" applyFill="1" applyBorder="1" applyAlignment="1">
      <alignment vertical="center" wrapText="1"/>
    </xf>
    <xf numFmtId="0" fontId="99" fillId="3" borderId="135" xfId="0" applyFont="1" applyFill="1" applyBorder="1" applyAlignment="1">
      <alignment horizontal="center" vertical="center" wrapText="1"/>
    </xf>
    <xf numFmtId="0" fontId="99" fillId="3" borderId="184" xfId="0" applyFont="1" applyFill="1" applyBorder="1" applyAlignment="1">
      <alignment horizontal="center" vertical="center" wrapText="1"/>
    </xf>
    <xf numFmtId="0" fontId="77" fillId="0" borderId="146" xfId="0" applyFont="1" applyFill="1" applyBorder="1" applyAlignment="1">
      <alignment vertical="center" wrapText="1"/>
    </xf>
    <xf numFmtId="0" fontId="77" fillId="0" borderId="147" xfId="0" applyFont="1" applyFill="1" applyBorder="1" applyAlignment="1">
      <alignment vertical="center" wrapText="1"/>
    </xf>
    <xf numFmtId="0" fontId="77" fillId="0" borderId="141" xfId="0" applyFont="1" applyFill="1" applyBorder="1" applyAlignment="1">
      <alignment vertical="center" wrapText="1"/>
    </xf>
    <xf numFmtId="0" fontId="77" fillId="0" borderId="142" xfId="0" applyFont="1" applyFill="1" applyBorder="1" applyAlignment="1">
      <alignment vertical="center" wrapText="1"/>
    </xf>
    <xf numFmtId="0" fontId="64" fillId="0" borderId="119" xfId="0" applyFont="1" applyFill="1" applyBorder="1" applyAlignment="1">
      <alignment horizontal="left" vertical="center"/>
    </xf>
    <xf numFmtId="0" fontId="64" fillId="0" borderId="147" xfId="0" applyFont="1" applyFill="1" applyBorder="1" applyAlignment="1">
      <alignment horizontal="left" vertical="center"/>
    </xf>
    <xf numFmtId="0" fontId="0" fillId="0" borderId="175" xfId="0" applyFill="1" applyBorder="1" applyAlignment="1">
      <alignment horizontal="center"/>
    </xf>
    <xf numFmtId="0" fontId="0" fillId="0" borderId="139" xfId="0" applyFill="1" applyBorder="1" applyAlignment="1">
      <alignment horizontal="center"/>
    </xf>
    <xf numFmtId="0" fontId="0" fillId="0" borderId="140" xfId="0" applyFill="1" applyBorder="1" applyAlignment="1">
      <alignment horizontal="center"/>
    </xf>
    <xf numFmtId="0" fontId="66" fillId="32" borderId="167" xfId="0" applyFont="1" applyFill="1" applyBorder="1" applyAlignment="1">
      <alignment horizontal="center" vertical="center" wrapText="1"/>
    </xf>
    <xf numFmtId="0" fontId="66" fillId="32" borderId="188" xfId="0" applyFont="1" applyFill="1" applyBorder="1" applyAlignment="1">
      <alignment horizontal="center" vertical="center" wrapText="1"/>
    </xf>
    <xf numFmtId="0" fontId="66" fillId="32" borderId="169" xfId="0" applyFont="1" applyFill="1" applyBorder="1" applyAlignment="1">
      <alignment horizontal="center" vertical="center" wrapText="1"/>
    </xf>
    <xf numFmtId="0" fontId="66" fillId="32" borderId="149" xfId="0" applyFont="1" applyFill="1" applyBorder="1" applyAlignment="1">
      <alignment horizontal="center" vertical="center" wrapText="1"/>
    </xf>
    <xf numFmtId="0" fontId="66" fillId="32" borderId="0" xfId="0" applyFont="1" applyFill="1" applyBorder="1" applyAlignment="1">
      <alignment horizontal="center" vertical="center" wrapText="1"/>
    </xf>
    <xf numFmtId="0" fontId="66" fillId="32" borderId="137" xfId="0" applyFont="1" applyFill="1" applyBorder="1" applyAlignment="1">
      <alignment horizontal="center" vertical="center" wrapText="1"/>
    </xf>
    <xf numFmtId="0" fontId="66" fillId="32" borderId="155" xfId="0" applyFont="1" applyFill="1" applyBorder="1" applyAlignment="1">
      <alignment horizontal="center" vertical="center" wrapText="1"/>
    </xf>
    <xf numFmtId="0" fontId="66" fillId="32" borderId="156" xfId="0" applyFont="1" applyFill="1" applyBorder="1" applyAlignment="1">
      <alignment horizontal="center" vertical="center" wrapText="1"/>
    </xf>
    <xf numFmtId="0" fontId="66" fillId="32" borderId="157" xfId="0" applyFont="1" applyFill="1" applyBorder="1" applyAlignment="1">
      <alignment horizontal="center" vertical="center" wrapText="1"/>
    </xf>
    <xf numFmtId="0" fontId="82" fillId="31" borderId="172" xfId="0" applyFont="1" applyFill="1" applyBorder="1" applyAlignment="1">
      <alignment horizontal="left" vertical="center" indent="1"/>
    </xf>
    <xf numFmtId="0" fontId="82" fillId="31" borderId="173" xfId="0" applyFont="1" applyFill="1" applyBorder="1" applyAlignment="1">
      <alignment horizontal="left" vertical="center" indent="1"/>
    </xf>
    <xf numFmtId="0" fontId="82" fillId="31" borderId="174" xfId="0" applyFont="1" applyFill="1" applyBorder="1" applyAlignment="1">
      <alignment horizontal="left" vertical="center" indent="1"/>
    </xf>
    <xf numFmtId="0" fontId="59" fillId="0" borderId="172" xfId="0" applyFont="1" applyBorder="1" applyAlignment="1">
      <alignment horizontal="center" vertical="center"/>
    </xf>
    <xf numFmtId="0" fontId="59" fillId="0" borderId="173" xfId="0" applyFont="1" applyBorder="1" applyAlignment="1">
      <alignment horizontal="center" vertical="center"/>
    </xf>
    <xf numFmtId="0" fontId="59" fillId="0" borderId="174" xfId="0" applyFont="1" applyBorder="1" applyAlignment="1">
      <alignment horizontal="center" vertical="center"/>
    </xf>
    <xf numFmtId="0" fontId="64" fillId="0" borderId="118" xfId="0" applyFont="1" applyFill="1" applyBorder="1" applyAlignment="1">
      <alignment horizontal="left" vertical="center"/>
    </xf>
    <xf numFmtId="0" fontId="59" fillId="0" borderId="149" xfId="0" applyFont="1" applyBorder="1" applyAlignment="1">
      <alignment horizontal="center" vertical="center"/>
    </xf>
    <xf numFmtId="0" fontId="59" fillId="0" borderId="0" xfId="0" applyFont="1" applyBorder="1" applyAlignment="1">
      <alignment horizontal="center" vertical="center"/>
    </xf>
    <xf numFmtId="0" fontId="59" fillId="0" borderId="137" xfId="0" applyFont="1" applyBorder="1" applyAlignment="1">
      <alignment horizontal="center" vertical="center"/>
    </xf>
    <xf numFmtId="0" fontId="70" fillId="3" borderId="142" xfId="0" applyFont="1" applyFill="1" applyBorder="1" applyAlignment="1">
      <alignment horizontal="center" vertical="center" wrapText="1"/>
    </xf>
    <xf numFmtId="0" fontId="70" fillId="3" borderId="147" xfId="0" applyFont="1" applyFill="1" applyBorder="1" applyAlignment="1">
      <alignment horizontal="center" vertical="center" wrapText="1"/>
    </xf>
    <xf numFmtId="0" fontId="70" fillId="3" borderId="148" xfId="0" applyFont="1" applyFill="1" applyBorder="1" applyAlignment="1">
      <alignment horizontal="center" vertical="center"/>
    </xf>
    <xf numFmtId="0" fontId="70" fillId="3" borderId="146" xfId="0" applyFont="1" applyFill="1" applyBorder="1" applyAlignment="1">
      <alignment horizontal="center" vertical="center"/>
    </xf>
    <xf numFmtId="0" fontId="70" fillId="3" borderId="147" xfId="0" applyFont="1" applyFill="1" applyBorder="1" applyAlignment="1">
      <alignment horizontal="center" vertical="center"/>
    </xf>
    <xf numFmtId="0" fontId="0" fillId="0" borderId="302" xfId="0" applyBorder="1" applyAlignment="1">
      <alignment horizontal="center"/>
    </xf>
    <xf numFmtId="0" fontId="1" fillId="32" borderId="303" xfId="0" applyFont="1" applyFill="1" applyBorder="1" applyAlignment="1">
      <alignment horizontal="center" vertical="center" wrapText="1"/>
    </xf>
    <xf numFmtId="0" fontId="1" fillId="32" borderId="304" xfId="0" applyFont="1" applyFill="1" applyBorder="1" applyAlignment="1">
      <alignment horizontal="center" vertical="center" wrapText="1"/>
    </xf>
    <xf numFmtId="0" fontId="1" fillId="32" borderId="305" xfId="0" applyFont="1" applyFill="1" applyBorder="1" applyAlignment="1">
      <alignment horizontal="center" vertical="center" wrapText="1"/>
    </xf>
    <xf numFmtId="0" fontId="83" fillId="0" borderId="306" xfId="0" applyFont="1" applyBorder="1" applyAlignment="1">
      <alignment horizontal="left" vertical="center"/>
    </xf>
    <xf numFmtId="0" fontId="83" fillId="0" borderId="307" xfId="0" applyFont="1" applyBorder="1" applyAlignment="1">
      <alignment horizontal="left" vertical="center"/>
    </xf>
    <xf numFmtId="0" fontId="83" fillId="0" borderId="308" xfId="0" applyFont="1" applyBorder="1" applyAlignment="1">
      <alignment horizontal="left" vertical="center"/>
    </xf>
    <xf numFmtId="167" fontId="83" fillId="0" borderId="306" xfId="0" applyNumberFormat="1" applyFont="1" applyBorder="1" applyAlignment="1">
      <alignment horizontal="center" vertical="center"/>
    </xf>
    <xf numFmtId="167" fontId="83" fillId="0" borderId="307" xfId="0" applyNumberFormat="1" applyFont="1" applyBorder="1" applyAlignment="1">
      <alignment horizontal="center" vertical="center"/>
    </xf>
    <xf numFmtId="167" fontId="83" fillId="0" borderId="308" xfId="0" applyNumberFormat="1" applyFont="1" applyBorder="1" applyAlignment="1">
      <alignment horizontal="center" vertical="center"/>
    </xf>
    <xf numFmtId="0" fontId="26" fillId="0" borderId="149" xfId="0" applyFont="1" applyBorder="1" applyAlignment="1">
      <alignment horizontal="left" vertical="center"/>
    </xf>
    <xf numFmtId="0" fontId="26" fillId="0" borderId="0" xfId="0" applyFont="1" applyBorder="1" applyAlignment="1">
      <alignment horizontal="left" vertical="center"/>
    </xf>
    <xf numFmtId="0" fontId="26" fillId="0" borderId="137" xfId="0" applyFont="1" applyBorder="1" applyAlignment="1">
      <alignment horizontal="left" vertical="center"/>
    </xf>
    <xf numFmtId="0" fontId="86" fillId="0" borderId="312" xfId="0" applyFont="1" applyFill="1" applyBorder="1" applyAlignment="1">
      <alignment horizontal="left" vertical="center" wrapText="1" indent="1"/>
    </xf>
    <xf numFmtId="0" fontId="86" fillId="0" borderId="313" xfId="0" applyFont="1" applyFill="1" applyBorder="1" applyAlignment="1">
      <alignment horizontal="left" vertical="center" wrapText="1" indent="1"/>
    </xf>
    <xf numFmtId="0" fontId="74" fillId="0" borderId="314" xfId="0" applyFont="1" applyFill="1" applyBorder="1" applyAlignment="1">
      <alignment horizontal="center" vertical="center" wrapText="1"/>
    </xf>
    <xf numFmtId="0" fontId="74" fillId="0" borderId="304" xfId="0" applyFont="1" applyFill="1" applyBorder="1" applyAlignment="1">
      <alignment horizontal="center" vertical="center" wrapText="1"/>
    </xf>
    <xf numFmtId="0" fontId="74" fillId="0" borderId="315" xfId="0" applyFont="1" applyFill="1" applyBorder="1" applyAlignment="1">
      <alignment horizontal="center" vertical="center" wrapText="1"/>
    </xf>
    <xf numFmtId="0" fontId="74" fillId="0" borderId="187" xfId="0" applyFont="1" applyFill="1" applyBorder="1" applyAlignment="1">
      <alignment horizontal="center" vertical="center" wrapText="1"/>
    </xf>
    <xf numFmtId="0" fontId="74" fillId="0" borderId="0" xfId="0" applyFont="1" applyFill="1" applyBorder="1" applyAlignment="1">
      <alignment horizontal="center" vertical="center" wrapText="1"/>
    </xf>
    <xf numFmtId="0" fontId="74" fillId="0" borderId="265" xfId="0" applyFont="1" applyFill="1" applyBorder="1" applyAlignment="1">
      <alignment horizontal="center" vertical="center" wrapText="1"/>
    </xf>
    <xf numFmtId="0" fontId="74" fillId="0" borderId="199" xfId="0" applyFont="1" applyFill="1" applyBorder="1" applyAlignment="1">
      <alignment horizontal="center" vertical="center" wrapText="1"/>
    </xf>
    <xf numFmtId="0" fontId="74" fillId="0" borderId="202" xfId="0" applyFont="1" applyFill="1" applyBorder="1" applyAlignment="1">
      <alignment horizontal="center" vertical="center" wrapText="1"/>
    </xf>
    <xf numFmtId="0" fontId="74" fillId="0" borderId="201" xfId="0" applyFont="1" applyFill="1" applyBorder="1" applyAlignment="1">
      <alignment horizontal="center" vertical="center" wrapText="1"/>
    </xf>
    <xf numFmtId="0" fontId="74" fillId="0" borderId="305" xfId="0" applyFont="1" applyFill="1" applyBorder="1" applyAlignment="1">
      <alignment horizontal="center" vertical="center" wrapText="1"/>
    </xf>
    <xf numFmtId="0" fontId="74" fillId="0" borderId="137" xfId="0" applyFont="1" applyFill="1" applyBorder="1" applyAlignment="1">
      <alignment horizontal="center" vertical="center" wrapText="1"/>
    </xf>
    <xf numFmtId="0" fontId="74" fillId="0" borderId="263" xfId="0" applyFont="1" applyFill="1" applyBorder="1" applyAlignment="1">
      <alignment horizontal="center" vertical="center" wrapText="1"/>
    </xf>
    <xf numFmtId="0" fontId="86" fillId="0" borderId="144" xfId="0" applyFont="1" applyFill="1" applyBorder="1" applyAlignment="1">
      <alignment horizontal="left" vertical="center" wrapText="1" indent="1"/>
    </xf>
    <xf numFmtId="0" fontId="86" fillId="0" borderId="119" xfId="0" applyFont="1" applyFill="1" applyBorder="1" applyAlignment="1">
      <alignment horizontal="left" vertical="center" wrapText="1" indent="1"/>
    </xf>
    <xf numFmtId="167" fontId="84" fillId="0" borderId="156" xfId="0" applyNumberFormat="1" applyFont="1" applyBorder="1" applyAlignment="1">
      <alignment horizontal="center"/>
    </xf>
    <xf numFmtId="0" fontId="81" fillId="33" borderId="306" xfId="0" applyFont="1" applyFill="1" applyBorder="1" applyAlignment="1">
      <alignment horizontal="left" vertical="center" indent="1"/>
    </xf>
    <xf numFmtId="0" fontId="81" fillId="33" borderId="307" xfId="0" applyFont="1" applyFill="1" applyBorder="1" applyAlignment="1">
      <alignment horizontal="left" vertical="center" indent="1"/>
    </xf>
    <xf numFmtId="0" fontId="81" fillId="33" borderId="308" xfId="0" applyFont="1" applyFill="1" applyBorder="1" applyAlignment="1">
      <alignment horizontal="left" vertical="center" indent="1"/>
    </xf>
    <xf numFmtId="0" fontId="86" fillId="3" borderId="309" xfId="0" applyFont="1" applyFill="1" applyBorder="1" applyAlignment="1">
      <alignment horizontal="center" vertical="center" wrapText="1"/>
    </xf>
    <xf numFmtId="0" fontId="86" fillId="3" borderId="310" xfId="0" applyFont="1" applyFill="1" applyBorder="1" applyAlignment="1">
      <alignment horizontal="center" vertical="center" wrapText="1"/>
    </xf>
    <xf numFmtId="0" fontId="86" fillId="3" borderId="311" xfId="0" applyFont="1" applyFill="1" applyBorder="1" applyAlignment="1">
      <alignment horizontal="center" vertical="center" wrapText="1"/>
    </xf>
    <xf numFmtId="0" fontId="86" fillId="0" borderId="146" xfId="0" applyFont="1" applyFill="1" applyBorder="1" applyAlignment="1">
      <alignment horizontal="left" vertical="center" wrapText="1" indent="1"/>
    </xf>
    <xf numFmtId="0" fontId="86" fillId="0" borderId="147" xfId="0" applyFont="1" applyFill="1" applyBorder="1" applyAlignment="1">
      <alignment horizontal="left" vertical="center" wrapText="1" indent="1"/>
    </xf>
    <xf numFmtId="0" fontId="74" fillId="0" borderId="335" xfId="0" applyFont="1" applyFill="1" applyBorder="1" applyAlignment="1">
      <alignment horizontal="center" vertical="center" wrapText="1"/>
    </xf>
    <xf numFmtId="0" fontId="74" fillId="0" borderId="336" xfId="0" applyFont="1" applyFill="1" applyBorder="1" applyAlignment="1">
      <alignment horizontal="center" vertical="center" wrapText="1"/>
    </xf>
    <xf numFmtId="0" fontId="73" fillId="3" borderId="310" xfId="0" applyFont="1" applyFill="1" applyBorder="1" applyAlignment="1">
      <alignment horizontal="center" vertical="center" wrapText="1"/>
    </xf>
    <xf numFmtId="0" fontId="15" fillId="0" borderId="314" xfId="0" applyFont="1" applyFill="1" applyBorder="1" applyAlignment="1">
      <alignment horizontal="center" vertical="center" wrapText="1"/>
    </xf>
    <xf numFmtId="0" fontId="15" fillId="0" borderId="304" xfId="0" applyFont="1" applyFill="1" applyBorder="1" applyAlignment="1">
      <alignment horizontal="center" vertical="center" wrapText="1"/>
    </xf>
    <xf numFmtId="0" fontId="15" fillId="0" borderId="315" xfId="0" applyFont="1" applyFill="1" applyBorder="1" applyAlignment="1">
      <alignment horizontal="center" vertical="center" wrapText="1"/>
    </xf>
    <xf numFmtId="0" fontId="15" fillId="0" borderId="187"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265" xfId="0" applyFont="1" applyFill="1" applyBorder="1" applyAlignment="1">
      <alignment horizontal="center" vertical="center" wrapText="1"/>
    </xf>
    <xf numFmtId="0" fontId="15" fillId="0" borderId="199" xfId="0" applyFont="1" applyFill="1" applyBorder="1" applyAlignment="1">
      <alignment horizontal="center" vertical="center" wrapText="1"/>
    </xf>
    <xf numFmtId="0" fontId="15" fillId="0" borderId="202" xfId="0" applyFont="1" applyFill="1" applyBorder="1" applyAlignment="1">
      <alignment horizontal="center" vertical="center" wrapText="1"/>
    </xf>
    <xf numFmtId="0" fontId="15" fillId="0" borderId="201" xfId="0" applyFont="1" applyFill="1" applyBorder="1" applyAlignment="1">
      <alignment horizontal="center" vertical="center" wrapText="1"/>
    </xf>
    <xf numFmtId="0" fontId="15" fillId="0" borderId="305" xfId="0" applyFont="1" applyFill="1" applyBorder="1" applyAlignment="1">
      <alignment horizontal="center" vertical="center" wrapText="1"/>
    </xf>
    <xf numFmtId="0" fontId="15" fillId="0" borderId="137" xfId="0" applyFont="1" applyFill="1" applyBorder="1" applyAlignment="1">
      <alignment horizontal="center" vertical="center" wrapText="1"/>
    </xf>
    <xf numFmtId="0" fontId="15" fillId="0" borderId="263" xfId="0" applyFont="1" applyFill="1" applyBorder="1" applyAlignment="1">
      <alignment horizontal="center" vertical="center" wrapText="1"/>
    </xf>
    <xf numFmtId="0" fontId="15" fillId="0" borderId="335" xfId="0" applyFont="1" applyFill="1" applyBorder="1" applyAlignment="1">
      <alignment horizontal="center" vertical="center" wrapText="1"/>
    </xf>
    <xf numFmtId="0" fontId="15" fillId="0" borderId="336" xfId="0" applyFont="1" applyFill="1" applyBorder="1" applyAlignment="1">
      <alignment horizontal="center" vertical="center" wrapText="1"/>
    </xf>
    <xf numFmtId="0" fontId="73" fillId="3" borderId="311" xfId="0" applyFont="1" applyFill="1" applyBorder="1" applyAlignment="1">
      <alignment horizontal="center" vertical="center" wrapText="1"/>
    </xf>
    <xf numFmtId="0" fontId="86" fillId="3" borderId="338" xfId="0" applyFont="1" applyFill="1" applyBorder="1" applyAlignment="1">
      <alignment horizontal="center" vertical="center" wrapText="1"/>
    </xf>
    <xf numFmtId="0" fontId="86" fillId="3" borderId="335" xfId="0" applyFont="1" applyFill="1" applyBorder="1" applyAlignment="1">
      <alignment horizontal="center" vertical="center" wrapText="1"/>
    </xf>
    <xf numFmtId="0" fontId="80" fillId="3" borderId="344" xfId="0" applyFont="1" applyFill="1" applyBorder="1" applyAlignment="1">
      <alignment horizontal="center" vertical="center" wrapText="1"/>
    </xf>
    <xf numFmtId="0" fontId="80" fillId="3" borderId="342" xfId="0" applyFont="1" applyFill="1" applyBorder="1" applyAlignment="1">
      <alignment horizontal="center" vertical="center" wrapText="1"/>
    </xf>
    <xf numFmtId="0" fontId="80" fillId="3" borderId="343" xfId="0" applyFont="1" applyFill="1" applyBorder="1" applyAlignment="1">
      <alignment horizontal="center" vertical="center" wrapText="1"/>
    </xf>
    <xf numFmtId="0" fontId="80" fillId="3" borderId="349" xfId="0" applyFont="1" applyFill="1" applyBorder="1" applyAlignment="1">
      <alignment horizontal="center" vertical="center" wrapText="1"/>
    </xf>
    <xf numFmtId="0" fontId="63" fillId="0" borderId="306" xfId="0" applyFont="1" applyFill="1" applyBorder="1" applyAlignment="1">
      <alignment horizontal="left" vertical="center" wrapText="1"/>
    </xf>
    <xf numFmtId="0" fontId="63" fillId="0" borderId="307" xfId="0" applyFont="1" applyFill="1" applyBorder="1" applyAlignment="1">
      <alignment horizontal="left" vertical="center" wrapText="1"/>
    </xf>
    <xf numFmtId="0" fontId="63" fillId="0" borderId="308" xfId="0" applyFont="1" applyFill="1" applyBorder="1" applyAlignment="1">
      <alignment horizontal="left" vertical="center" wrapText="1"/>
    </xf>
    <xf numFmtId="0" fontId="15" fillId="0" borderId="316" xfId="0" applyFont="1" applyFill="1" applyBorder="1" applyAlignment="1">
      <alignment horizontal="center" vertical="center" wrapText="1"/>
    </xf>
    <xf numFmtId="0" fontId="15" fillId="0" borderId="317" xfId="0" applyFont="1" applyFill="1" applyBorder="1" applyAlignment="1">
      <alignment horizontal="center" vertical="center" wrapText="1"/>
    </xf>
    <xf numFmtId="0" fontId="15" fillId="0" borderId="318" xfId="0" applyFont="1" applyFill="1" applyBorder="1" applyAlignment="1">
      <alignment horizontal="center" vertical="center" wrapText="1"/>
    </xf>
    <xf numFmtId="0" fontId="15" fillId="0" borderId="319" xfId="0" applyFont="1" applyFill="1" applyBorder="1" applyAlignment="1">
      <alignment horizontal="center" vertical="center" wrapText="1"/>
    </xf>
    <xf numFmtId="0" fontId="86" fillId="0" borderId="439" xfId="0" applyFont="1" applyFill="1" applyBorder="1" applyAlignment="1">
      <alignment horizontal="left" vertical="center" wrapText="1" indent="1"/>
    </xf>
    <xf numFmtId="0" fontId="86" fillId="0" borderId="328" xfId="0" applyFont="1" applyFill="1" applyBorder="1" applyAlignment="1">
      <alignment horizontal="left" vertical="center" wrapText="1" indent="1"/>
    </xf>
    <xf numFmtId="0" fontId="74" fillId="0" borderId="119" xfId="0" applyFont="1" applyFill="1" applyBorder="1" applyAlignment="1">
      <alignment horizontal="center" vertical="center" wrapText="1"/>
    </xf>
    <xf numFmtId="0" fontId="74" fillId="0" borderId="145" xfId="0" applyFont="1" applyFill="1" applyBorder="1" applyAlignment="1">
      <alignment horizontal="center" vertical="center" wrapText="1"/>
    </xf>
    <xf numFmtId="0" fontId="86" fillId="0" borderId="144" xfId="0" applyFont="1" applyFill="1" applyBorder="1" applyAlignment="1">
      <alignment horizontal="center" vertical="center" wrapText="1"/>
    </xf>
    <xf numFmtId="0" fontId="86" fillId="0" borderId="119" xfId="0" applyFont="1" applyFill="1" applyBorder="1" applyAlignment="1">
      <alignment horizontal="center" vertical="center" wrapText="1"/>
    </xf>
    <xf numFmtId="0" fontId="74" fillId="0" borderId="119" xfId="0" applyFont="1" applyFill="1" applyBorder="1" applyAlignment="1">
      <alignment vertical="center" wrapText="1"/>
    </xf>
    <xf numFmtId="0" fontId="86" fillId="0" borderId="125" xfId="0" applyFont="1" applyFill="1" applyBorder="1" applyAlignment="1">
      <alignment horizontal="center" vertical="center" wrapText="1"/>
    </xf>
    <xf numFmtId="0" fontId="86" fillId="0" borderId="126" xfId="0" applyFont="1" applyFill="1" applyBorder="1" applyAlignment="1">
      <alignment horizontal="center" vertical="center" wrapText="1"/>
    </xf>
    <xf numFmtId="0" fontId="86" fillId="0" borderId="200" xfId="0" applyFont="1" applyFill="1" applyBorder="1" applyAlignment="1">
      <alignment horizontal="center" vertical="center" wrapText="1"/>
    </xf>
    <xf numFmtId="0" fontId="15" fillId="0" borderId="133" xfId="0" applyFont="1" applyFill="1" applyBorder="1" applyAlignment="1">
      <alignment vertical="center" wrapText="1"/>
    </xf>
    <xf numFmtId="0" fontId="15" fillId="0" borderId="346" xfId="0" applyFont="1" applyFill="1" applyBorder="1" applyAlignment="1">
      <alignment vertical="center" wrapText="1"/>
    </xf>
    <xf numFmtId="0" fontId="15" fillId="0" borderId="347" xfId="0" applyFont="1" applyFill="1" applyBorder="1" applyAlignment="1">
      <alignment vertical="center" wrapText="1"/>
    </xf>
    <xf numFmtId="0" fontId="86" fillId="3" borderId="320" xfId="0" applyFont="1" applyFill="1" applyBorder="1" applyAlignment="1">
      <alignment horizontal="center" vertical="center" wrapText="1"/>
    </xf>
    <xf numFmtId="0" fontId="74" fillId="0" borderId="313" xfId="0" applyFont="1" applyFill="1" applyBorder="1" applyAlignment="1">
      <alignment vertical="center" wrapText="1"/>
    </xf>
    <xf numFmtId="0" fontId="86" fillId="0" borderId="128" xfId="0" applyFont="1" applyFill="1" applyBorder="1" applyAlignment="1">
      <alignment horizontal="center" vertical="center" wrapText="1"/>
    </xf>
    <xf numFmtId="0" fontId="86" fillId="0" borderId="129" xfId="0" applyFont="1" applyFill="1" applyBorder="1" applyAlignment="1">
      <alignment horizontal="center" vertical="center" wrapText="1"/>
    </xf>
    <xf numFmtId="0" fontId="86" fillId="0" borderId="130" xfId="0" applyFont="1" applyFill="1" applyBorder="1" applyAlignment="1">
      <alignment horizontal="center" vertical="center" wrapText="1"/>
    </xf>
    <xf numFmtId="0" fontId="74" fillId="0" borderId="134" xfId="0" applyFont="1" applyFill="1" applyBorder="1" applyAlignment="1">
      <alignment horizontal="left" vertical="center" wrapText="1"/>
    </xf>
    <xf numFmtId="0" fontId="74" fillId="0" borderId="129" xfId="0" applyFont="1" applyFill="1" applyBorder="1" applyAlignment="1">
      <alignment horizontal="left" vertical="center" wrapText="1"/>
    </xf>
    <xf numFmtId="0" fontId="74" fillId="0" borderId="130" xfId="0" applyFont="1" applyFill="1" applyBorder="1" applyAlignment="1">
      <alignment horizontal="left" vertical="center" wrapText="1"/>
    </xf>
    <xf numFmtId="0" fontId="74" fillId="0" borderId="147" xfId="0" applyFont="1" applyFill="1" applyBorder="1" applyAlignment="1">
      <alignment horizontal="center" vertical="center" wrapText="1"/>
    </xf>
    <xf numFmtId="0" fontId="74" fillId="0" borderId="148" xfId="0" applyFont="1" applyFill="1" applyBorder="1" applyAlignment="1">
      <alignment horizontal="center" vertical="center" wrapText="1"/>
    </xf>
    <xf numFmtId="167" fontId="76" fillId="0" borderId="119" xfId="0" applyNumberFormat="1" applyFont="1" applyFill="1" applyBorder="1" applyAlignment="1">
      <alignment horizontal="center" vertical="center"/>
    </xf>
    <xf numFmtId="0" fontId="79" fillId="29" borderId="135" xfId="0" applyFont="1" applyFill="1" applyBorder="1" applyAlignment="1">
      <alignment horizontal="center" vertical="center" wrapText="1"/>
    </xf>
    <xf numFmtId="0" fontId="79" fillId="29" borderId="184" xfId="0" applyFont="1" applyFill="1" applyBorder="1" applyAlignment="1">
      <alignment horizontal="center" vertical="center" wrapText="1"/>
    </xf>
    <xf numFmtId="0" fontId="76" fillId="0" borderId="133" xfId="0" applyFont="1" applyFill="1" applyBorder="1" applyAlignment="1">
      <alignment horizontal="left" vertical="center"/>
    </xf>
    <xf numFmtId="0" fontId="76" fillId="0" borderId="126" xfId="0" applyFont="1" applyFill="1" applyBorder="1" applyAlignment="1">
      <alignment horizontal="left" vertical="center"/>
    </xf>
    <xf numFmtId="0" fontId="76" fillId="0" borderId="200" xfId="0" applyFont="1" applyFill="1" applyBorder="1" applyAlignment="1">
      <alignment horizontal="left" vertical="center"/>
    </xf>
    <xf numFmtId="164" fontId="76" fillId="0" borderId="119" xfId="0" applyNumberFormat="1" applyFont="1" applyFill="1" applyBorder="1" applyAlignment="1">
      <alignment horizontal="center" vertical="center"/>
    </xf>
    <xf numFmtId="164" fontId="76" fillId="0" borderId="147" xfId="0" applyNumberFormat="1" applyFont="1" applyFill="1" applyBorder="1" applyAlignment="1">
      <alignment horizontal="center" vertical="center"/>
    </xf>
    <xf numFmtId="0" fontId="76" fillId="0" borderId="133" xfId="0" applyFont="1" applyFill="1" applyBorder="1" applyAlignment="1">
      <alignment horizontal="center" vertical="center" wrapText="1"/>
    </xf>
    <xf numFmtId="0" fontId="76" fillId="0" borderId="127" xfId="0" applyFont="1" applyFill="1" applyBorder="1" applyAlignment="1">
      <alignment horizontal="center" vertical="center" wrapText="1"/>
    </xf>
    <xf numFmtId="0" fontId="76" fillId="0" borderId="145" xfId="0" applyFont="1" applyFill="1" applyBorder="1" applyAlignment="1">
      <alignment horizontal="center" vertical="center"/>
    </xf>
    <xf numFmtId="164" fontId="76" fillId="0" borderId="148" xfId="0" applyNumberFormat="1" applyFont="1" applyFill="1" applyBorder="1" applyAlignment="1">
      <alignment horizontal="center" vertical="center"/>
    </xf>
    <xf numFmtId="0" fontId="76" fillId="0" borderId="148" xfId="0" applyFont="1" applyFill="1" applyBorder="1" applyAlignment="1">
      <alignment horizontal="center" vertical="center"/>
    </xf>
    <xf numFmtId="0" fontId="79" fillId="29" borderId="135" xfId="0" applyFont="1" applyFill="1" applyBorder="1" applyAlignment="1">
      <alignment horizontal="center" vertical="center"/>
    </xf>
    <xf numFmtId="0" fontId="79" fillId="29" borderId="174" xfId="0" applyFont="1" applyFill="1" applyBorder="1" applyAlignment="1">
      <alignment horizontal="center" vertical="center"/>
    </xf>
    <xf numFmtId="0" fontId="75" fillId="33" borderId="172" xfId="0" applyFont="1" applyFill="1" applyBorder="1" applyAlignment="1">
      <alignment horizontal="left" vertical="center" indent="1"/>
    </xf>
    <xf numFmtId="0" fontId="75" fillId="33" borderId="173" xfId="0" applyFont="1" applyFill="1" applyBorder="1" applyAlignment="1">
      <alignment horizontal="left" vertical="center" indent="1"/>
    </xf>
    <xf numFmtId="0" fontId="75" fillId="33" borderId="174" xfId="0" applyFont="1" applyFill="1" applyBorder="1" applyAlignment="1">
      <alignment horizontal="left" vertical="center" indent="1"/>
    </xf>
    <xf numFmtId="0" fontId="79" fillId="29" borderId="184" xfId="0" applyFont="1" applyFill="1" applyBorder="1" applyAlignment="1">
      <alignment horizontal="center" vertical="center"/>
    </xf>
    <xf numFmtId="0" fontId="76" fillId="0" borderId="316" xfId="0" applyFont="1" applyFill="1" applyBorder="1" applyAlignment="1">
      <alignment horizontal="center" vertical="center" wrapText="1"/>
    </xf>
    <xf numFmtId="0" fontId="76" fillId="0" borderId="319" xfId="0" applyFont="1" applyFill="1" applyBorder="1" applyAlignment="1">
      <alignment horizontal="center" vertical="center" wrapText="1"/>
    </xf>
    <xf numFmtId="0" fontId="65" fillId="0" borderId="175" xfId="0" applyFont="1" applyBorder="1" applyAlignment="1">
      <alignment horizontal="center" vertical="center"/>
    </xf>
    <xf numFmtId="0" fontId="65" fillId="0" borderId="139" xfId="0" applyFont="1" applyBorder="1" applyAlignment="1">
      <alignment horizontal="center" vertical="center"/>
    </xf>
    <xf numFmtId="0" fontId="65" fillId="0" borderId="140" xfId="0" applyFont="1" applyBorder="1" applyAlignment="1">
      <alignment horizontal="center" vertical="center"/>
    </xf>
    <xf numFmtId="0" fontId="65" fillId="32" borderId="175" xfId="0" applyFont="1" applyFill="1" applyBorder="1" applyAlignment="1">
      <alignment horizontal="center" vertical="center" wrapText="1"/>
    </xf>
    <xf numFmtId="0" fontId="65" fillId="32" borderId="175" xfId="0" applyFont="1" applyFill="1" applyBorder="1" applyAlignment="1">
      <alignment horizontal="center" vertical="center"/>
    </xf>
    <xf numFmtId="0" fontId="65" fillId="32" borderId="139" xfId="0" applyFont="1" applyFill="1" applyBorder="1" applyAlignment="1">
      <alignment horizontal="center" vertical="center"/>
    </xf>
    <xf numFmtId="0" fontId="65" fillId="32" borderId="140" xfId="0" applyFont="1" applyFill="1" applyBorder="1" applyAlignment="1">
      <alignment horizontal="center" vertical="center"/>
    </xf>
    <xf numFmtId="0" fontId="76" fillId="0" borderId="143" xfId="0" applyFont="1" applyFill="1" applyBorder="1" applyAlignment="1">
      <alignment horizontal="center" vertical="center"/>
    </xf>
    <xf numFmtId="0" fontId="79" fillId="29" borderId="173" xfId="0" applyFont="1" applyFill="1" applyBorder="1" applyAlignment="1">
      <alignment horizontal="center" vertical="center"/>
    </xf>
    <xf numFmtId="0" fontId="63" fillId="2" borderId="125" xfId="0" applyFont="1" applyFill="1" applyBorder="1" applyAlignment="1">
      <alignment horizontal="left" vertical="center"/>
    </xf>
    <xf numFmtId="0" fontId="63" fillId="2" borderId="126" xfId="0" applyFont="1" applyFill="1" applyBorder="1" applyAlignment="1">
      <alignment horizontal="left" vertical="center"/>
    </xf>
    <xf numFmtId="43" fontId="15" fillId="0" borderId="126" xfId="52" applyFont="1" applyFill="1" applyBorder="1" applyAlignment="1">
      <alignment horizontal="center" vertical="center"/>
    </xf>
    <xf numFmtId="43" fontId="15" fillId="0" borderId="127" xfId="52" applyFont="1" applyFill="1" applyBorder="1" applyAlignment="1">
      <alignment horizontal="center" vertical="center"/>
    </xf>
    <xf numFmtId="0" fontId="87" fillId="0" borderId="272" xfId="0" applyFont="1" applyBorder="1" applyAlignment="1">
      <alignment horizontal="center"/>
    </xf>
    <xf numFmtId="0" fontId="87" fillId="0" borderId="139" xfId="0" applyFont="1" applyBorder="1" applyAlignment="1">
      <alignment horizontal="center"/>
    </xf>
    <xf numFmtId="0" fontId="87" fillId="0" borderId="140" xfId="0" applyFont="1" applyBorder="1" applyAlignment="1">
      <alignment horizontal="center"/>
    </xf>
    <xf numFmtId="0" fontId="1" fillId="32" borderId="266" xfId="0" applyFont="1" applyFill="1" applyBorder="1" applyAlignment="1">
      <alignment horizontal="center" vertical="center" wrapText="1"/>
    </xf>
    <xf numFmtId="0" fontId="1" fillId="32" borderId="267" xfId="0" applyFont="1" applyFill="1" applyBorder="1" applyAlignment="1">
      <alignment horizontal="center" vertical="center"/>
    </xf>
    <xf numFmtId="0" fontId="93" fillId="0" borderId="185" xfId="0" applyFont="1" applyBorder="1" applyAlignment="1">
      <alignment horizontal="center"/>
    </xf>
    <xf numFmtId="0" fontId="93" fillId="0" borderId="186" xfId="0" applyFont="1" applyBorder="1" applyAlignment="1">
      <alignment horizontal="center"/>
    </xf>
    <xf numFmtId="0" fontId="93" fillId="0" borderId="187" xfId="0" applyFont="1" applyBorder="1" applyAlignment="1">
      <alignment horizontal="center"/>
    </xf>
    <xf numFmtId="0" fontId="75" fillId="33" borderId="269" xfId="0" applyFont="1" applyFill="1" applyBorder="1" applyAlignment="1">
      <alignment horizontal="left" vertical="center"/>
    </xf>
    <xf numFmtId="0" fontId="75" fillId="33" borderId="270" xfId="0" applyFont="1" applyFill="1" applyBorder="1" applyAlignment="1">
      <alignment horizontal="left" vertical="center"/>
    </xf>
    <xf numFmtId="0" fontId="93" fillId="33" borderId="270" xfId="0" applyFont="1" applyFill="1" applyBorder="1" applyAlignment="1">
      <alignment horizontal="left" vertical="center"/>
    </xf>
    <xf numFmtId="0" fontId="86" fillId="0" borderId="149" xfId="0" applyFont="1" applyBorder="1" applyAlignment="1">
      <alignment horizontal="center" vertical="center"/>
    </xf>
    <xf numFmtId="0" fontId="86" fillId="0" borderId="0" xfId="0" applyFont="1" applyBorder="1" applyAlignment="1">
      <alignment horizontal="center" vertical="center"/>
    </xf>
    <xf numFmtId="0" fontId="61" fillId="3" borderId="229" xfId="0" applyFont="1" applyFill="1" applyBorder="1" applyAlignment="1">
      <alignment horizontal="center" vertical="center"/>
    </xf>
    <xf numFmtId="0" fontId="63" fillId="2" borderId="121" xfId="0" applyFont="1" applyFill="1" applyBorder="1" applyAlignment="1">
      <alignment horizontal="left" vertical="center"/>
    </xf>
    <xf numFmtId="0" fontId="63" fillId="2" borderId="122" xfId="0" applyFont="1" applyFill="1" applyBorder="1" applyAlignment="1">
      <alignment horizontal="left" vertical="center"/>
    </xf>
    <xf numFmtId="175" fontId="15" fillId="0" borderId="126" xfId="52" applyNumberFormat="1" applyFont="1" applyFill="1" applyBorder="1" applyAlignment="1">
      <alignment horizontal="center" vertical="center"/>
    </xf>
    <xf numFmtId="43" fontId="103" fillId="0" borderId="126" xfId="52" applyFont="1" applyFill="1" applyBorder="1" applyAlignment="1">
      <alignment horizontal="center" vertical="center"/>
    </xf>
    <xf numFmtId="43" fontId="103" fillId="0" borderId="127" xfId="52" applyFont="1" applyFill="1" applyBorder="1" applyAlignment="1">
      <alignment horizontal="center" vertical="center"/>
    </xf>
    <xf numFmtId="0" fontId="15" fillId="2" borderId="125" xfId="0" applyFont="1" applyFill="1" applyBorder="1" applyAlignment="1">
      <alignment horizontal="left" vertical="center" wrapText="1"/>
    </xf>
    <xf numFmtId="0" fontId="15" fillId="2" borderId="126" xfId="0" applyFont="1" applyFill="1" applyBorder="1" applyAlignment="1">
      <alignment horizontal="left" vertical="center" wrapText="1"/>
    </xf>
    <xf numFmtId="175" fontId="70" fillId="3" borderId="306" xfId="0" applyNumberFormat="1" applyFont="1" applyFill="1" applyBorder="1" applyAlignment="1">
      <alignment horizontal="center" vertical="center" wrapText="1"/>
    </xf>
    <xf numFmtId="175" fontId="70" fillId="3" borderId="307" xfId="0" applyNumberFormat="1" applyFont="1" applyFill="1" applyBorder="1" applyAlignment="1">
      <alignment horizontal="center" vertical="center" wrapText="1"/>
    </xf>
    <xf numFmtId="175" fontId="70" fillId="3" borderId="308" xfId="0" applyNumberFormat="1" applyFont="1" applyFill="1" applyBorder="1" applyAlignment="1">
      <alignment horizontal="center" vertical="center" wrapText="1"/>
    </xf>
    <xf numFmtId="175" fontId="70" fillId="3" borderId="269" xfId="0" applyNumberFormat="1" applyFont="1" applyFill="1" applyBorder="1" applyAlignment="1">
      <alignment horizontal="center" vertical="center"/>
    </xf>
    <xf numFmtId="175" fontId="70" fillId="3" borderId="270" xfId="0" applyNumberFormat="1" applyFont="1" applyFill="1" applyBorder="1" applyAlignment="1">
      <alignment horizontal="center" vertical="center"/>
    </xf>
    <xf numFmtId="175" fontId="70" fillId="3" borderId="271" xfId="0" applyNumberFormat="1" applyFont="1" applyFill="1" applyBorder="1" applyAlignment="1">
      <alignment horizontal="center" vertical="center"/>
    </xf>
    <xf numFmtId="0" fontId="15" fillId="2" borderId="270" xfId="0" applyFont="1" applyFill="1" applyBorder="1" applyAlignment="1">
      <alignment horizontal="left" vertical="center" wrapText="1"/>
    </xf>
    <xf numFmtId="43" fontId="15" fillId="0" borderId="270" xfId="52" applyFont="1" applyFill="1" applyBorder="1" applyAlignment="1">
      <alignment horizontal="center" vertical="center"/>
    </xf>
    <xf numFmtId="0" fontId="0" fillId="3" borderId="266" xfId="0" applyFill="1" applyBorder="1" applyAlignment="1">
      <alignment horizontal="center"/>
    </xf>
    <xf numFmtId="0" fontId="0" fillId="3" borderId="281" xfId="0" applyFill="1" applyBorder="1" applyAlignment="1">
      <alignment horizontal="center"/>
    </xf>
    <xf numFmtId="0" fontId="0" fillId="3" borderId="155" xfId="0" applyFill="1" applyBorder="1" applyAlignment="1">
      <alignment horizontal="center"/>
    </xf>
    <xf numFmtId="0" fontId="0" fillId="3" borderId="196" xfId="0" applyFill="1" applyBorder="1" applyAlignment="1">
      <alignment horizontal="center"/>
    </xf>
    <xf numFmtId="171" fontId="64" fillId="3" borderId="134" xfId="0" applyNumberFormat="1" applyFont="1" applyFill="1" applyBorder="1" applyAlignment="1">
      <alignment horizontal="center" vertical="center"/>
    </xf>
    <xf numFmtId="171" fontId="64" fillId="3" borderId="129" xfId="0" applyNumberFormat="1" applyFont="1" applyFill="1" applyBorder="1" applyAlignment="1">
      <alignment horizontal="center" vertical="center"/>
    </xf>
    <xf numFmtId="171" fontId="64" fillId="3" borderId="131" xfId="0" applyNumberFormat="1" applyFont="1" applyFill="1" applyBorder="1" applyAlignment="1">
      <alignment horizontal="center" vertical="center"/>
    </xf>
    <xf numFmtId="0" fontId="70" fillId="0" borderId="282" xfId="0" applyFont="1" applyFill="1" applyBorder="1" applyAlignment="1">
      <alignment horizontal="center" vertical="center"/>
    </xf>
    <xf numFmtId="0" fontId="70" fillId="0" borderId="163" xfId="0" applyFont="1" applyFill="1" applyBorder="1" applyAlignment="1">
      <alignment horizontal="center" vertical="center"/>
    </xf>
    <xf numFmtId="4" fontId="64" fillId="0" borderId="316" xfId="0" applyNumberFormat="1" applyFont="1" applyFill="1" applyBorder="1" applyAlignment="1">
      <alignment horizontal="left" vertical="center"/>
    </xf>
    <xf numFmtId="4" fontId="64" fillId="0" borderId="318" xfId="0" applyNumberFormat="1" applyFont="1" applyFill="1" applyBorder="1" applyAlignment="1">
      <alignment horizontal="left" vertical="center"/>
    </xf>
    <xf numFmtId="4" fontId="64" fillId="0" borderId="317" xfId="0" applyNumberFormat="1" applyFont="1" applyFill="1" applyBorder="1" applyAlignment="1">
      <alignment horizontal="left" vertical="center"/>
    </xf>
    <xf numFmtId="4" fontId="64" fillId="0" borderId="316" xfId="52" applyNumberFormat="1" applyFont="1" applyFill="1" applyBorder="1" applyAlignment="1">
      <alignment horizontal="right" vertical="center"/>
    </xf>
    <xf numFmtId="4" fontId="64" fillId="0" borderId="317" xfId="52" applyNumberFormat="1" applyFont="1" applyFill="1" applyBorder="1" applyAlignment="1">
      <alignment horizontal="right" vertical="center"/>
    </xf>
    <xf numFmtId="4" fontId="64" fillId="0" borderId="344" xfId="0" applyNumberFormat="1" applyFont="1" applyFill="1" applyBorder="1" applyAlignment="1">
      <alignment horizontal="left" vertical="center"/>
    </xf>
    <xf numFmtId="4" fontId="64" fillId="0" borderId="343" xfId="0" applyNumberFormat="1" applyFont="1" applyFill="1" applyBorder="1" applyAlignment="1">
      <alignment horizontal="left" vertical="center"/>
    </xf>
    <xf numFmtId="4" fontId="64" fillId="0" borderId="342" xfId="0" applyNumberFormat="1" applyFont="1" applyFill="1" applyBorder="1" applyAlignment="1">
      <alignment horizontal="left" vertical="center"/>
    </xf>
    <xf numFmtId="4" fontId="64" fillId="0" borderId="335" xfId="52" applyNumberFormat="1" applyFont="1" applyFill="1" applyBorder="1" applyAlignment="1">
      <alignment vertical="center"/>
    </xf>
    <xf numFmtId="4" fontId="64" fillId="0" borderId="336" xfId="52" applyNumberFormat="1" applyFont="1" applyFill="1" applyBorder="1" applyAlignment="1">
      <alignment vertical="center"/>
    </xf>
    <xf numFmtId="0" fontId="64" fillId="1" borderId="276" xfId="0" applyFont="1" applyFill="1" applyBorder="1" applyAlignment="1">
      <alignment horizontal="center" vertical="center"/>
    </xf>
    <xf numFmtId="0" fontId="64" fillId="1" borderId="283" xfId="0" applyFont="1" applyFill="1" applyBorder="1" applyAlignment="1">
      <alignment horizontal="center" vertical="center"/>
    </xf>
    <xf numFmtId="0" fontId="64" fillId="1" borderId="186" xfId="0" applyFont="1" applyFill="1" applyBorder="1" applyAlignment="1">
      <alignment horizontal="center" vertical="center"/>
    </xf>
    <xf numFmtId="0" fontId="64" fillId="1" borderId="192" xfId="0" applyFont="1" applyFill="1" applyBorder="1" applyAlignment="1">
      <alignment horizontal="center" vertical="center"/>
    </xf>
    <xf numFmtId="4" fontId="64" fillId="0" borderId="132" xfId="0" applyNumberFormat="1" applyFont="1" applyFill="1" applyBorder="1" applyAlignment="1">
      <alignment horizontal="left" vertical="center"/>
    </xf>
    <xf numFmtId="4" fontId="64" fillId="0" borderId="123" xfId="0" applyNumberFormat="1" applyFont="1" applyFill="1" applyBorder="1" applyAlignment="1">
      <alignment horizontal="left" vertical="center"/>
    </xf>
    <xf numFmtId="4" fontId="64" fillId="0" borderId="122" xfId="0" applyNumberFormat="1" applyFont="1" applyFill="1" applyBorder="1" applyAlignment="1">
      <alignment horizontal="left" vertical="center"/>
    </xf>
    <xf numFmtId="4" fontId="64" fillId="0" borderId="134" xfId="0" applyNumberFormat="1" applyFont="1" applyFill="1" applyBorder="1" applyAlignment="1">
      <alignment horizontal="left" vertical="center"/>
    </xf>
    <xf numFmtId="4" fontId="64" fillId="0" borderId="130" xfId="0" applyNumberFormat="1" applyFont="1" applyFill="1" applyBorder="1" applyAlignment="1">
      <alignment horizontal="left" vertical="center"/>
    </xf>
    <xf numFmtId="4" fontId="64" fillId="0" borderId="129" xfId="0" applyNumberFormat="1" applyFont="1" applyFill="1" applyBorder="1" applyAlignment="1">
      <alignment horizontal="left" vertical="center"/>
    </xf>
    <xf numFmtId="0" fontId="64" fillId="1" borderId="164" xfId="0" applyFont="1" applyFill="1" applyBorder="1" applyAlignment="1">
      <alignment horizontal="center" vertical="center"/>
    </xf>
    <xf numFmtId="0" fontId="64" fillId="1" borderId="165" xfId="0" applyFont="1" applyFill="1" applyBorder="1" applyAlignment="1">
      <alignment horizontal="center" vertical="center"/>
    </xf>
    <xf numFmtId="0" fontId="93" fillId="33" borderId="273" xfId="0" applyFont="1" applyFill="1" applyBorder="1" applyAlignment="1">
      <alignment horizontal="left" vertical="center" indent="1"/>
    </xf>
    <xf numFmtId="0" fontId="93" fillId="33" borderId="274" xfId="0" applyFont="1" applyFill="1" applyBorder="1" applyAlignment="1">
      <alignment horizontal="left" vertical="center" indent="1"/>
    </xf>
    <xf numFmtId="0" fontId="93" fillId="33" borderId="275" xfId="0" applyFont="1" applyFill="1" applyBorder="1" applyAlignment="1">
      <alignment horizontal="left" vertical="center" indent="1"/>
    </xf>
    <xf numFmtId="0" fontId="80" fillId="3" borderId="229" xfId="0" applyFont="1" applyFill="1" applyBorder="1" applyAlignment="1">
      <alignment horizontal="center" vertical="center"/>
    </xf>
    <xf numFmtId="43" fontId="15" fillId="0" borderId="118" xfId="52" applyNumberFormat="1" applyFont="1" applyFill="1" applyBorder="1" applyAlignment="1">
      <alignment horizontal="center" vertical="center"/>
    </xf>
    <xf numFmtId="43" fontId="15" fillId="0" borderId="159" xfId="52" applyNumberFormat="1" applyFont="1" applyFill="1" applyBorder="1" applyAlignment="1">
      <alignment horizontal="center" vertical="center"/>
    </xf>
    <xf numFmtId="43" fontId="15" fillId="0" borderId="133" xfId="52" applyNumberFormat="1" applyFont="1" applyFill="1" applyBorder="1" applyAlignment="1">
      <alignment horizontal="center" vertical="center"/>
    </xf>
    <xf numFmtId="43" fontId="15" fillId="0" borderId="127" xfId="52" applyNumberFormat="1" applyFont="1" applyFill="1" applyBorder="1" applyAlignment="1">
      <alignment horizontal="center" vertical="center"/>
    </xf>
    <xf numFmtId="43" fontId="15" fillId="0" borderId="147" xfId="52" applyNumberFormat="1" applyFont="1" applyFill="1" applyBorder="1" applyAlignment="1">
      <alignment horizontal="center" vertical="center"/>
    </xf>
    <xf numFmtId="43" fontId="15" fillId="0" borderId="148" xfId="52" applyNumberFormat="1" applyFont="1" applyFill="1" applyBorder="1" applyAlignment="1">
      <alignment horizontal="center" vertical="center"/>
    </xf>
    <xf numFmtId="0" fontId="70" fillId="3" borderId="229" xfId="0" applyFont="1" applyFill="1" applyBorder="1" applyAlignment="1">
      <alignment horizontal="center" vertical="center" wrapText="1"/>
    </xf>
    <xf numFmtId="4" fontId="70" fillId="3" borderId="229" xfId="0" applyNumberFormat="1" applyFont="1" applyFill="1" applyBorder="1" applyAlignment="1">
      <alignment horizontal="center" vertical="center"/>
    </xf>
    <xf numFmtId="0" fontId="70" fillId="3" borderId="229" xfId="0" applyFont="1" applyFill="1" applyBorder="1" applyAlignment="1">
      <alignment horizontal="center" vertical="center"/>
    </xf>
    <xf numFmtId="0" fontId="70" fillId="3" borderId="144" xfId="0" applyNumberFormat="1" applyFont="1" applyFill="1" applyBorder="1" applyAlignment="1">
      <alignment horizontal="center" vertical="center"/>
    </xf>
    <xf numFmtId="0" fontId="70" fillId="3" borderId="119" xfId="0" applyNumberFormat="1" applyFont="1" applyFill="1" applyBorder="1" applyAlignment="1">
      <alignment horizontal="center" vertical="center"/>
    </xf>
    <xf numFmtId="0" fontId="0" fillId="0" borderId="272" xfId="0" applyBorder="1" applyAlignment="1">
      <alignment horizontal="center"/>
    </xf>
    <xf numFmtId="0" fontId="89" fillId="32" borderId="266" xfId="0" applyFont="1" applyFill="1" applyBorder="1" applyAlignment="1">
      <alignment horizontal="center" vertical="center" wrapText="1"/>
    </xf>
    <xf numFmtId="0" fontId="89" fillId="32" borderId="267" xfId="0" applyFont="1" applyFill="1" applyBorder="1" applyAlignment="1">
      <alignment horizontal="center" vertical="center"/>
    </xf>
    <xf numFmtId="0" fontId="89" fillId="32" borderId="304" xfId="0" applyFont="1" applyFill="1" applyBorder="1" applyAlignment="1">
      <alignment horizontal="center" vertical="center"/>
    </xf>
    <xf numFmtId="0" fontId="89" fillId="32" borderId="268" xfId="0" applyFont="1" applyFill="1" applyBorder="1" applyAlignment="1">
      <alignment horizontal="center" vertical="center"/>
    </xf>
    <xf numFmtId="0" fontId="89" fillId="32" borderId="149" xfId="0" applyFont="1" applyFill="1" applyBorder="1" applyAlignment="1">
      <alignment horizontal="center" vertical="center"/>
    </xf>
    <xf numFmtId="0" fontId="89" fillId="32" borderId="0" xfId="0" applyFont="1" applyFill="1" applyBorder="1" applyAlignment="1">
      <alignment horizontal="center" vertical="center"/>
    </xf>
    <xf numFmtId="0" fontId="89" fillId="32" borderId="137" xfId="0" applyFont="1" applyFill="1" applyBorder="1" applyAlignment="1">
      <alignment horizontal="center" vertical="center"/>
    </xf>
    <xf numFmtId="0" fontId="89" fillId="32" borderId="155" xfId="0" applyFont="1" applyFill="1" applyBorder="1" applyAlignment="1">
      <alignment horizontal="center" vertical="center"/>
    </xf>
    <xf numFmtId="0" fontId="89" fillId="32" borderId="156" xfId="0" applyFont="1" applyFill="1" applyBorder="1" applyAlignment="1">
      <alignment horizontal="center" vertical="center"/>
    </xf>
    <xf numFmtId="0" fontId="89" fillId="32" borderId="157" xfId="0" applyFont="1" applyFill="1" applyBorder="1" applyAlignment="1">
      <alignment horizontal="center" vertical="center"/>
    </xf>
    <xf numFmtId="0" fontId="0" fillId="0" borderId="269" xfId="0" applyBorder="1" applyAlignment="1">
      <alignment horizontal="center"/>
    </xf>
    <xf numFmtId="0" fontId="0" fillId="0" borderId="270" xfId="0" applyBorder="1" applyAlignment="1">
      <alignment horizontal="center"/>
    </xf>
    <xf numFmtId="0" fontId="0" fillId="0" borderId="307" xfId="0" applyBorder="1" applyAlignment="1">
      <alignment horizontal="center"/>
    </xf>
    <xf numFmtId="0" fontId="0" fillId="0" borderId="271" xfId="0" applyBorder="1" applyAlignment="1">
      <alignment horizontal="center"/>
    </xf>
    <xf numFmtId="0" fontId="92" fillId="33" borderId="229" xfId="0" applyFont="1" applyFill="1" applyBorder="1" applyAlignment="1">
      <alignment horizontal="left" vertical="center" indent="1"/>
    </xf>
    <xf numFmtId="0" fontId="92" fillId="33" borderId="320" xfId="0" applyFont="1" applyFill="1" applyBorder="1" applyAlignment="1">
      <alignment horizontal="left" vertical="center" indent="1"/>
    </xf>
    <xf numFmtId="0" fontId="70" fillId="3" borderId="269" xfId="0" applyFont="1" applyFill="1" applyBorder="1" applyAlignment="1">
      <alignment horizontal="center" vertical="center"/>
    </xf>
    <xf numFmtId="0" fontId="70" fillId="3" borderId="307" xfId="0" applyFont="1" applyFill="1" applyBorder="1" applyAlignment="1">
      <alignment horizontal="center" vertical="center"/>
    </xf>
    <xf numFmtId="0" fontId="70" fillId="3" borderId="270" xfId="0" applyFont="1" applyFill="1" applyBorder="1" applyAlignment="1">
      <alignment horizontal="center" vertical="center"/>
    </xf>
    <xf numFmtId="0" fontId="70" fillId="3" borderId="271" xfId="0" applyFont="1" applyFill="1" applyBorder="1" applyAlignment="1">
      <alignment horizontal="center" vertical="center"/>
    </xf>
    <xf numFmtId="0" fontId="80" fillId="0" borderId="306" xfId="0" applyFont="1" applyFill="1" applyBorder="1" applyAlignment="1">
      <alignment horizontal="left" vertical="center" indent="1"/>
    </xf>
    <xf numFmtId="0" fontId="80" fillId="0" borderId="307" xfId="0" applyFont="1" applyFill="1" applyBorder="1" applyAlignment="1">
      <alignment horizontal="left" vertical="center" indent="1"/>
    </xf>
    <xf numFmtId="0" fontId="80" fillId="0" borderId="184" xfId="0" applyFont="1" applyFill="1" applyBorder="1" applyAlignment="1">
      <alignment horizontal="left" vertical="center" indent="1"/>
    </xf>
    <xf numFmtId="0" fontId="77" fillId="0" borderId="339" xfId="0" applyFont="1" applyFill="1" applyBorder="1" applyAlignment="1">
      <alignment horizontal="center" vertical="center"/>
    </xf>
    <xf numFmtId="0" fontId="77" fillId="0" borderId="307" xfId="0" applyFont="1" applyFill="1" applyBorder="1" applyAlignment="1">
      <alignment horizontal="center" vertical="center"/>
    </xf>
    <xf numFmtId="0" fontId="77" fillId="0" borderId="308" xfId="0" applyFont="1" applyFill="1" applyBorder="1" applyAlignment="1">
      <alignment horizontal="center" vertical="center"/>
    </xf>
    <xf numFmtId="0" fontId="76" fillId="0" borderId="306" xfId="0" applyFont="1" applyBorder="1" applyAlignment="1">
      <alignment horizontal="center"/>
    </xf>
    <xf numFmtId="0" fontId="76" fillId="0" borderId="307" xfId="0" applyFont="1" applyBorder="1" applyAlignment="1">
      <alignment horizontal="center"/>
    </xf>
    <xf numFmtId="0" fontId="76" fillId="0" borderId="308" xfId="0" applyFont="1" applyBorder="1" applyAlignment="1">
      <alignment horizontal="center"/>
    </xf>
    <xf numFmtId="10" fontId="77" fillId="0" borderId="133" xfId="0" applyNumberFormat="1" applyFont="1" applyFill="1" applyBorder="1" applyAlignment="1">
      <alignment horizontal="center" vertical="center"/>
    </xf>
    <xf numFmtId="10" fontId="77" fillId="0" borderId="346" xfId="0" applyNumberFormat="1" applyFont="1" applyFill="1" applyBorder="1" applyAlignment="1">
      <alignment horizontal="center" vertical="center"/>
    </xf>
    <xf numFmtId="10" fontId="77" fillId="0" borderId="347" xfId="0" applyNumberFormat="1" applyFont="1" applyFill="1" applyBorder="1" applyAlignment="1">
      <alignment horizontal="center" vertical="center"/>
    </xf>
    <xf numFmtId="10" fontId="77" fillId="0" borderId="348" xfId="0" applyNumberFormat="1" applyFont="1" applyFill="1" applyBorder="1" applyAlignment="1">
      <alignment horizontal="center" vertical="center"/>
    </xf>
    <xf numFmtId="0" fontId="80" fillId="0" borderId="341" xfId="0" applyFont="1" applyFill="1" applyBorder="1" applyAlignment="1">
      <alignment horizontal="left" vertical="center" indent="1"/>
    </xf>
    <xf numFmtId="0" fontId="80" fillId="0" borderId="342" xfId="0" applyFont="1" applyFill="1" applyBorder="1" applyAlignment="1">
      <alignment horizontal="left" vertical="center" indent="1"/>
    </xf>
    <xf numFmtId="0" fontId="80" fillId="0" borderId="343" xfId="0" applyFont="1" applyFill="1" applyBorder="1" applyAlignment="1">
      <alignment horizontal="left" vertical="center" indent="1"/>
    </xf>
    <xf numFmtId="0" fontId="77" fillId="0" borderId="344" xfId="0" applyNumberFormat="1" applyFont="1" applyFill="1" applyBorder="1" applyAlignment="1">
      <alignment horizontal="center" vertical="center"/>
    </xf>
    <xf numFmtId="0" fontId="77" fillId="0" borderId="342" xfId="0" applyNumberFormat="1" applyFont="1" applyFill="1" applyBorder="1" applyAlignment="1">
      <alignment horizontal="center" vertical="center"/>
    </xf>
    <xf numFmtId="0" fontId="77" fillId="0" borderId="343" xfId="0" applyNumberFormat="1" applyFont="1" applyFill="1" applyBorder="1" applyAlignment="1">
      <alignment horizontal="center" vertical="center"/>
    </xf>
    <xf numFmtId="10" fontId="77" fillId="0" borderId="344" xfId="0" applyNumberFormat="1" applyFont="1" applyFill="1" applyBorder="1" applyAlignment="1">
      <alignment horizontal="center" vertical="center"/>
    </xf>
    <xf numFmtId="10" fontId="77" fillId="0" borderId="342" xfId="0" applyNumberFormat="1" applyFont="1" applyFill="1" applyBorder="1" applyAlignment="1">
      <alignment horizontal="center" vertical="center"/>
    </xf>
    <xf numFmtId="10" fontId="77" fillId="0" borderId="343" xfId="0" applyNumberFormat="1" applyFont="1" applyFill="1" applyBorder="1" applyAlignment="1">
      <alignment horizontal="center" vertical="center"/>
    </xf>
    <xf numFmtId="0" fontId="77" fillId="0" borderId="344" xfId="0" applyFont="1" applyFill="1" applyBorder="1" applyAlignment="1">
      <alignment horizontal="center" vertical="center"/>
    </xf>
    <xf numFmtId="0" fontId="77" fillId="0" borderId="342" xfId="0" applyFont="1" applyFill="1" applyBorder="1" applyAlignment="1">
      <alignment horizontal="center" vertical="center"/>
    </xf>
    <xf numFmtId="0" fontId="77" fillId="0" borderId="349" xfId="0" applyFont="1" applyFill="1" applyBorder="1" applyAlignment="1">
      <alignment horizontal="center" vertical="center"/>
    </xf>
    <xf numFmtId="0" fontId="80" fillId="0" borderId="345" xfId="0" applyFont="1" applyFill="1" applyBorder="1" applyAlignment="1">
      <alignment horizontal="left" vertical="center" indent="1"/>
    </xf>
    <xf numFmtId="0" fontId="80" fillId="0" borderId="346" xfId="0" applyFont="1" applyFill="1" applyBorder="1" applyAlignment="1">
      <alignment horizontal="left" vertical="center" indent="1"/>
    </xf>
    <xf numFmtId="0" fontId="80" fillId="0" borderId="347" xfId="0" applyFont="1" applyFill="1" applyBorder="1" applyAlignment="1">
      <alignment horizontal="left" vertical="center" indent="1"/>
    </xf>
    <xf numFmtId="0" fontId="77" fillId="0" borderId="133" xfId="0" applyNumberFormat="1" applyFont="1" applyFill="1" applyBorder="1" applyAlignment="1">
      <alignment horizontal="center" vertical="center"/>
    </xf>
    <xf numFmtId="0" fontId="77" fillId="0" borderId="346" xfId="0" applyNumberFormat="1" applyFont="1" applyFill="1" applyBorder="1" applyAlignment="1">
      <alignment horizontal="center" vertical="center"/>
    </xf>
    <xf numFmtId="0" fontId="77" fillId="0" borderId="347" xfId="0" applyNumberFormat="1" applyFont="1" applyFill="1" applyBorder="1" applyAlignment="1">
      <alignment horizontal="center" vertical="center"/>
    </xf>
    <xf numFmtId="0" fontId="80" fillId="0" borderId="316" xfId="0" applyFont="1" applyFill="1" applyBorder="1" applyAlignment="1">
      <alignment horizontal="center" vertical="center"/>
    </xf>
    <xf numFmtId="0" fontId="80" fillId="0" borderId="317" xfId="0" applyFont="1" applyFill="1" applyBorder="1" applyAlignment="1">
      <alignment horizontal="center" vertical="center"/>
    </xf>
    <xf numFmtId="0" fontId="80" fillId="0" borderId="318" xfId="0" applyFont="1" applyFill="1" applyBorder="1" applyAlignment="1">
      <alignment horizontal="center" vertical="center"/>
    </xf>
    <xf numFmtId="0" fontId="80" fillId="0" borderId="319" xfId="0" applyFont="1" applyFill="1" applyBorder="1" applyAlignment="1">
      <alignment horizontal="center" vertical="center"/>
    </xf>
    <xf numFmtId="0" fontId="80" fillId="0" borderId="340" xfId="0" applyFont="1" applyFill="1" applyBorder="1" applyAlignment="1">
      <alignment horizontal="center" vertical="center"/>
    </xf>
    <xf numFmtId="0" fontId="80" fillId="0" borderId="316" xfId="0" applyFont="1" applyFill="1" applyBorder="1" applyAlignment="1">
      <alignment horizontal="center" vertical="center" wrapText="1"/>
    </xf>
    <xf numFmtId="0" fontId="80" fillId="0" borderId="317" xfId="0" applyFont="1" applyFill="1" applyBorder="1" applyAlignment="1">
      <alignment horizontal="center" vertical="center" wrapText="1"/>
    </xf>
    <xf numFmtId="0" fontId="80" fillId="0" borderId="318" xfId="0" applyFont="1" applyFill="1" applyBorder="1" applyAlignment="1">
      <alignment horizontal="center" vertical="center" wrapText="1"/>
    </xf>
    <xf numFmtId="43" fontId="80" fillId="0" borderId="321" xfId="52" applyFont="1" applyFill="1" applyBorder="1" applyAlignment="1">
      <alignment horizontal="center" vertical="center"/>
    </xf>
    <xf numFmtId="43" fontId="80" fillId="0" borderId="119" xfId="52" applyFont="1" applyFill="1" applyBorder="1" applyAlignment="1">
      <alignment horizontal="center" vertical="center"/>
    </xf>
    <xf numFmtId="43" fontId="80" fillId="0" borderId="344" xfId="52" applyFont="1" applyFill="1" applyBorder="1" applyAlignment="1">
      <alignment horizontal="center" vertical="center"/>
    </xf>
    <xf numFmtId="43" fontId="80" fillId="0" borderId="342" xfId="52" applyFont="1" applyFill="1" applyBorder="1" applyAlignment="1">
      <alignment horizontal="center" vertical="center"/>
    </xf>
    <xf numFmtId="43" fontId="80" fillId="0" borderId="343" xfId="52" applyFont="1" applyFill="1" applyBorder="1" applyAlignment="1">
      <alignment horizontal="center" vertical="center"/>
    </xf>
    <xf numFmtId="0" fontId="80" fillId="0" borderId="163" xfId="0" applyFont="1" applyFill="1" applyBorder="1" applyAlignment="1">
      <alignment horizontal="left" vertical="center" indent="1"/>
    </xf>
    <xf numFmtId="0" fontId="80" fillId="0" borderId="164" xfId="0" applyFont="1" applyFill="1" applyBorder="1" applyAlignment="1">
      <alignment horizontal="left" vertical="center" indent="1"/>
    </xf>
    <xf numFmtId="0" fontId="77" fillId="0" borderId="164" xfId="0" applyFont="1" applyFill="1" applyBorder="1" applyAlignment="1">
      <alignment horizontal="center" vertical="center"/>
    </xf>
    <xf numFmtId="0" fontId="77" fillId="0" borderId="165" xfId="0" applyFont="1" applyFill="1" applyBorder="1" applyAlignment="1">
      <alignment horizontal="center" vertical="center"/>
    </xf>
    <xf numFmtId="0" fontId="80" fillId="3" borderId="306" xfId="0" applyFont="1" applyFill="1" applyBorder="1" applyAlignment="1">
      <alignment horizontal="center" vertical="center"/>
    </xf>
    <xf numFmtId="0" fontId="80" fillId="3" borderId="307" xfId="0" applyFont="1" applyFill="1" applyBorder="1" applyAlignment="1">
      <alignment horizontal="center" vertical="center"/>
    </xf>
    <xf numFmtId="0" fontId="80" fillId="3" borderId="308" xfId="0" applyFont="1" applyFill="1" applyBorder="1" applyAlignment="1">
      <alignment horizontal="center" vertical="center"/>
    </xf>
    <xf numFmtId="43" fontId="80" fillId="3" borderId="306" xfId="52" applyFont="1" applyFill="1" applyBorder="1" applyAlignment="1">
      <alignment horizontal="center" vertical="center"/>
    </xf>
    <xf numFmtId="43" fontId="80" fillId="3" borderId="307" xfId="52" applyFont="1" applyFill="1" applyBorder="1" applyAlignment="1">
      <alignment horizontal="center" vertical="center"/>
    </xf>
    <xf numFmtId="43" fontId="80" fillId="3" borderId="308" xfId="52" applyFont="1" applyFill="1" applyBorder="1" applyAlignment="1">
      <alignment horizontal="center" vertical="center"/>
    </xf>
    <xf numFmtId="10" fontId="77" fillId="0" borderId="119" xfId="0" applyNumberFormat="1" applyFont="1" applyFill="1" applyBorder="1" applyAlignment="1">
      <alignment horizontal="center" vertical="center"/>
    </xf>
    <xf numFmtId="10" fontId="77" fillId="0" borderId="145" xfId="0" applyNumberFormat="1" applyFont="1" applyFill="1" applyBorder="1" applyAlignment="1">
      <alignment horizontal="center" vertical="center"/>
    </xf>
    <xf numFmtId="0" fontId="80" fillId="0" borderId="338" xfId="0" applyFont="1" applyFill="1" applyBorder="1" applyAlignment="1">
      <alignment horizontal="left" vertical="center" indent="1"/>
    </xf>
    <xf numFmtId="0" fontId="80" fillId="0" borderId="335" xfId="0" applyFont="1" applyFill="1" applyBorder="1" applyAlignment="1">
      <alignment horizontal="left" vertical="center" indent="1"/>
    </xf>
    <xf numFmtId="0" fontId="77" fillId="0" borderId="335" xfId="0" applyNumberFormat="1" applyFont="1" applyFill="1" applyBorder="1" applyAlignment="1">
      <alignment horizontal="center" vertical="center"/>
    </xf>
    <xf numFmtId="10" fontId="77" fillId="0" borderId="335" xfId="0" applyNumberFormat="1" applyFont="1" applyFill="1" applyBorder="1" applyAlignment="1">
      <alignment horizontal="center" vertical="center"/>
    </xf>
    <xf numFmtId="0" fontId="77" fillId="0" borderId="335" xfId="0" applyFont="1" applyFill="1" applyBorder="1" applyAlignment="1">
      <alignment horizontal="center" vertical="center"/>
    </xf>
    <xf numFmtId="0" fontId="77" fillId="0" borderId="336" xfId="0" applyFont="1" applyFill="1" applyBorder="1" applyAlignment="1">
      <alignment horizontal="center" vertical="center"/>
    </xf>
    <xf numFmtId="0" fontId="80" fillId="0" borderId="321" xfId="0" applyFont="1" applyFill="1" applyBorder="1" applyAlignment="1">
      <alignment horizontal="left" vertical="center" indent="1"/>
    </xf>
    <xf numFmtId="0" fontId="80" fillId="0" borderId="119" xfId="0" applyFont="1" applyFill="1" applyBorder="1" applyAlignment="1">
      <alignment horizontal="left" vertical="center" indent="1"/>
    </xf>
    <xf numFmtId="0" fontId="77" fillId="0" borderId="119" xfId="0" applyNumberFormat="1" applyFont="1" applyFill="1" applyBorder="1" applyAlignment="1">
      <alignment horizontal="center" vertical="center"/>
    </xf>
    <xf numFmtId="0" fontId="80" fillId="0" borderId="313" xfId="0" applyFont="1" applyFill="1" applyBorder="1" applyAlignment="1">
      <alignment horizontal="center" vertical="center"/>
    </xf>
    <xf numFmtId="0" fontId="80" fillId="0" borderId="337" xfId="0" applyFont="1" applyFill="1" applyBorder="1" applyAlignment="1">
      <alignment horizontal="center" vertical="center"/>
    </xf>
    <xf numFmtId="0" fontId="80" fillId="0" borderId="312" xfId="0" applyFont="1" applyFill="1" applyBorder="1" applyAlignment="1">
      <alignment horizontal="center" vertical="center"/>
    </xf>
    <xf numFmtId="0" fontId="80" fillId="0" borderId="313" xfId="0" applyFont="1" applyFill="1" applyBorder="1" applyAlignment="1">
      <alignment horizontal="center" vertical="center" wrapText="1"/>
    </xf>
    <xf numFmtId="0" fontId="80" fillId="3" borderId="320" xfId="0" applyFont="1" applyFill="1" applyBorder="1" applyAlignment="1">
      <alignment horizontal="center" vertical="center"/>
    </xf>
    <xf numFmtId="43" fontId="80" fillId="3" borderId="320" xfId="52" applyFont="1" applyFill="1" applyBorder="1" applyAlignment="1">
      <alignment horizontal="center" vertical="center"/>
    </xf>
    <xf numFmtId="43" fontId="80" fillId="3" borderId="306" xfId="52" applyFont="1" applyFill="1" applyBorder="1" applyAlignment="1">
      <alignment horizontal="left" vertical="center"/>
    </xf>
    <xf numFmtId="43" fontId="80" fillId="3" borderId="307" xfId="52" applyFont="1" applyFill="1" applyBorder="1" applyAlignment="1">
      <alignment horizontal="left" vertical="center"/>
    </xf>
    <xf numFmtId="43" fontId="80" fillId="3" borderId="308" xfId="52" applyFont="1" applyFill="1" applyBorder="1" applyAlignment="1">
      <alignment horizontal="left" vertical="center"/>
    </xf>
    <xf numFmtId="43" fontId="80" fillId="0" borderId="341" xfId="52" applyFont="1" applyFill="1" applyBorder="1" applyAlignment="1">
      <alignment horizontal="center" vertical="center"/>
    </xf>
    <xf numFmtId="0" fontId="76" fillId="0" borderId="155" xfId="0" applyFont="1" applyBorder="1" applyAlignment="1">
      <alignment horizontal="center"/>
    </xf>
    <xf numFmtId="0" fontId="76" fillId="0" borderId="156" xfId="0" applyFont="1" applyBorder="1" applyAlignment="1">
      <alignment horizontal="center"/>
    </xf>
    <xf numFmtId="0" fontId="76" fillId="0" borderId="157" xfId="0" applyFont="1" applyBorder="1" applyAlignment="1">
      <alignment horizontal="center"/>
    </xf>
    <xf numFmtId="0" fontId="80" fillId="0" borderId="146" xfId="0" applyFont="1" applyFill="1" applyBorder="1" applyAlignment="1">
      <alignment horizontal="left" vertical="center" indent="1"/>
    </xf>
    <xf numFmtId="0" fontId="80" fillId="0" borderId="147" xfId="0" applyFont="1" applyFill="1" applyBorder="1" applyAlignment="1">
      <alignment horizontal="left" vertical="center" indent="1"/>
    </xf>
    <xf numFmtId="0" fontId="77" fillId="0" borderId="147" xfId="0" applyNumberFormat="1" applyFont="1" applyFill="1" applyBorder="1" applyAlignment="1">
      <alignment horizontal="center" vertical="center"/>
    </xf>
    <xf numFmtId="10" fontId="77" fillId="0" borderId="147" xfId="0" applyNumberFormat="1" applyFont="1" applyFill="1" applyBorder="1" applyAlignment="1">
      <alignment horizontal="center" vertical="center"/>
    </xf>
    <xf numFmtId="0" fontId="77" fillId="0" borderId="147" xfId="0" applyFont="1" applyFill="1" applyBorder="1" applyAlignment="1">
      <alignment horizontal="center" vertical="center"/>
    </xf>
    <xf numFmtId="0" fontId="77" fillId="0" borderId="148" xfId="0" applyFont="1" applyFill="1" applyBorder="1" applyAlignment="1">
      <alignment horizontal="center" vertical="center"/>
    </xf>
    <xf numFmtId="0" fontId="80" fillId="0" borderId="144" xfId="0" applyFont="1" applyFill="1" applyBorder="1" applyAlignment="1">
      <alignment horizontal="left" vertical="center" indent="1"/>
    </xf>
    <xf numFmtId="0" fontId="80" fillId="0" borderId="142" xfId="0" applyFont="1" applyFill="1" applyBorder="1" applyAlignment="1">
      <alignment horizontal="center" vertical="center"/>
    </xf>
    <xf numFmtId="0" fontId="79" fillId="0" borderId="149" xfId="0" applyFont="1" applyBorder="1" applyAlignment="1">
      <alignment horizontal="center" vertical="center"/>
    </xf>
    <xf numFmtId="0" fontId="79" fillId="0" borderId="0" xfId="0" applyFont="1" applyBorder="1" applyAlignment="1">
      <alignment horizontal="center" vertical="center"/>
    </xf>
    <xf numFmtId="0" fontId="79" fillId="0" borderId="137" xfId="0" applyFont="1" applyBorder="1" applyAlignment="1">
      <alignment horizontal="center" vertical="center"/>
    </xf>
    <xf numFmtId="0" fontId="76" fillId="0" borderId="320" xfId="0" applyFont="1" applyBorder="1" applyAlignment="1">
      <alignment horizontal="center"/>
    </xf>
    <xf numFmtId="0" fontId="61" fillId="32" borderId="303" xfId="0" applyFont="1" applyFill="1" applyBorder="1" applyAlignment="1">
      <alignment horizontal="center" vertical="center" wrapText="1"/>
    </xf>
    <xf numFmtId="0" fontId="61" fillId="32" borderId="304" xfId="0" applyFont="1" applyFill="1" applyBorder="1" applyAlignment="1">
      <alignment horizontal="center" vertical="center" wrapText="1"/>
    </xf>
    <xf numFmtId="0" fontId="61" fillId="32" borderId="305" xfId="0" applyFont="1" applyFill="1" applyBorder="1" applyAlignment="1">
      <alignment horizontal="center" vertical="center" wrapText="1"/>
    </xf>
    <xf numFmtId="0" fontId="61" fillId="32" borderId="149" xfId="0" applyFont="1" applyFill="1" applyBorder="1" applyAlignment="1">
      <alignment horizontal="center" vertical="center" wrapText="1"/>
    </xf>
    <xf numFmtId="0" fontId="61" fillId="32" borderId="0" xfId="0" applyFont="1" applyFill="1" applyBorder="1" applyAlignment="1">
      <alignment horizontal="center" vertical="center" wrapText="1"/>
    </xf>
    <xf numFmtId="0" fontId="61" fillId="32" borderId="137" xfId="0" applyFont="1" applyFill="1" applyBorder="1" applyAlignment="1">
      <alignment horizontal="center" vertical="center" wrapText="1"/>
    </xf>
    <xf numFmtId="0" fontId="61" fillId="32" borderId="155" xfId="0" applyFont="1" applyFill="1" applyBorder="1" applyAlignment="1">
      <alignment horizontal="center" vertical="center" wrapText="1"/>
    </xf>
    <xf numFmtId="0" fontId="61" fillId="32" borderId="156" xfId="0" applyFont="1" applyFill="1" applyBorder="1" applyAlignment="1">
      <alignment horizontal="center" vertical="center" wrapText="1"/>
    </xf>
    <xf numFmtId="0" fontId="61" fillId="32" borderId="157" xfId="0" applyFont="1" applyFill="1" applyBorder="1" applyAlignment="1">
      <alignment horizontal="center" vertical="center" wrapText="1"/>
    </xf>
    <xf numFmtId="0" fontId="77" fillId="0" borderId="306" xfId="0" applyFont="1" applyBorder="1" applyAlignment="1">
      <alignment horizontal="left" vertical="center"/>
    </xf>
    <xf numFmtId="0" fontId="77" fillId="0" borderId="307" xfId="0" applyFont="1" applyBorder="1" applyAlignment="1">
      <alignment horizontal="left" vertical="center"/>
    </xf>
    <xf numFmtId="0" fontId="77" fillId="0" borderId="308" xfId="0" applyFont="1" applyBorder="1" applyAlignment="1">
      <alignment horizontal="left" vertical="center"/>
    </xf>
    <xf numFmtId="0" fontId="77" fillId="0" borderId="320" xfId="0" applyFont="1" applyBorder="1" applyAlignment="1">
      <alignment horizontal="left" indent="1"/>
    </xf>
    <xf numFmtId="167" fontId="77" fillId="0" borderId="306" xfId="0" applyNumberFormat="1" applyFont="1" applyBorder="1" applyAlignment="1">
      <alignment horizontal="center"/>
    </xf>
    <xf numFmtId="167" fontId="77" fillId="0" borderId="307" xfId="0" applyNumberFormat="1" applyFont="1" applyBorder="1" applyAlignment="1">
      <alignment horizontal="center"/>
    </xf>
    <xf numFmtId="167" fontId="77" fillId="0" borderId="308" xfId="0" applyNumberFormat="1" applyFont="1" applyBorder="1" applyAlignment="1">
      <alignment horizontal="center"/>
    </xf>
    <xf numFmtId="0" fontId="80" fillId="3" borderId="269" xfId="0" applyFont="1" applyFill="1" applyBorder="1" applyAlignment="1">
      <alignment horizontal="center" vertical="center"/>
    </xf>
    <xf numFmtId="0" fontId="80" fillId="3" borderId="270" xfId="0" applyFont="1" applyFill="1" applyBorder="1" applyAlignment="1">
      <alignment horizontal="center" vertical="center"/>
    </xf>
    <xf numFmtId="0" fontId="80" fillId="3" borderId="271" xfId="0" applyFont="1" applyFill="1" applyBorder="1" applyAlignment="1">
      <alignment horizontal="center" vertical="center"/>
    </xf>
    <xf numFmtId="0" fontId="80" fillId="3" borderId="266" xfId="0" applyFont="1" applyFill="1" applyBorder="1" applyAlignment="1">
      <alignment horizontal="center" vertical="center" wrapText="1"/>
    </xf>
    <xf numFmtId="0" fontId="80" fillId="3" borderId="155" xfId="0" applyFont="1" applyFill="1" applyBorder="1" applyAlignment="1">
      <alignment horizontal="center" vertical="center" wrapText="1"/>
    </xf>
    <xf numFmtId="0" fontId="80" fillId="3" borderId="229" xfId="0" applyFont="1" applyFill="1" applyBorder="1" applyAlignment="1">
      <alignment horizontal="center" vertical="center" wrapText="1"/>
    </xf>
    <xf numFmtId="0" fontId="80" fillId="3" borderId="268" xfId="0" applyFont="1" applyFill="1" applyBorder="1" applyAlignment="1">
      <alignment horizontal="center" vertical="center" wrapText="1"/>
    </xf>
    <xf numFmtId="0" fontId="80" fillId="3" borderId="157" xfId="0" applyFont="1" applyFill="1" applyBorder="1" applyAlignment="1">
      <alignment horizontal="center" vertical="center" wrapText="1"/>
    </xf>
    <xf numFmtId="0" fontId="93" fillId="33" borderId="269" xfId="0" applyFont="1" applyFill="1" applyBorder="1" applyAlignment="1">
      <alignment horizontal="left" vertical="center"/>
    </xf>
    <xf numFmtId="43" fontId="15" fillId="0" borderId="119" xfId="52" applyNumberFormat="1" applyFont="1" applyFill="1" applyBorder="1" applyAlignment="1">
      <alignment horizontal="center" vertical="center"/>
    </xf>
    <xf numFmtId="43" fontId="15" fillId="0" borderId="145" xfId="52" applyNumberFormat="1" applyFont="1" applyFill="1" applyBorder="1" applyAlignment="1">
      <alignment horizontal="center" vertical="center"/>
    </xf>
    <xf numFmtId="0" fontId="79" fillId="3" borderId="190" xfId="0" applyFont="1" applyFill="1" applyBorder="1" applyAlignment="1">
      <alignment horizontal="center" vertical="center"/>
    </xf>
    <xf numFmtId="0" fontId="79" fillId="3" borderId="164" xfId="0" applyFont="1" applyFill="1" applyBorder="1" applyAlignment="1">
      <alignment horizontal="center" vertical="center"/>
    </xf>
    <xf numFmtId="0" fontId="79" fillId="3" borderId="191" xfId="0" applyFont="1" applyFill="1" applyBorder="1" applyAlignment="1">
      <alignment horizontal="center" vertical="center"/>
    </xf>
    <xf numFmtId="0" fontId="79" fillId="3" borderId="165" xfId="0" applyFont="1" applyFill="1" applyBorder="1" applyAlignment="1">
      <alignment horizontal="center" vertical="center"/>
    </xf>
    <xf numFmtId="0" fontId="76" fillId="3" borderId="189" xfId="0" applyFont="1" applyFill="1" applyBorder="1" applyAlignment="1">
      <alignment horizontal="center"/>
    </xf>
    <xf numFmtId="0" fontId="76" fillId="3" borderId="190" xfId="0" applyFont="1" applyFill="1" applyBorder="1" applyAlignment="1">
      <alignment horizontal="center"/>
    </xf>
    <xf numFmtId="0" fontId="76" fillId="3" borderId="163" xfId="0" applyFont="1" applyFill="1" applyBorder="1" applyAlignment="1">
      <alignment horizontal="center"/>
    </xf>
    <xf numFmtId="0" fontId="76" fillId="3" borderId="164" xfId="0" applyFont="1" applyFill="1" applyBorder="1" applyAlignment="1">
      <alignment horizontal="center"/>
    </xf>
    <xf numFmtId="0" fontId="79" fillId="3" borderId="193" xfId="0" applyFont="1" applyFill="1" applyBorder="1" applyAlignment="1">
      <alignment horizontal="center" vertical="center" wrapText="1"/>
    </xf>
    <xf numFmtId="0" fontId="79" fillId="3" borderId="188" xfId="0" applyFont="1" applyFill="1" applyBorder="1" applyAlignment="1">
      <alignment horizontal="center" vertical="center" wrapText="1"/>
    </xf>
    <xf numFmtId="0" fontId="79" fillId="3" borderId="194" xfId="0" applyFont="1" applyFill="1" applyBorder="1" applyAlignment="1">
      <alignment horizontal="center" vertical="center" wrapText="1"/>
    </xf>
    <xf numFmtId="0" fontId="79" fillId="3" borderId="195" xfId="0" applyFont="1" applyFill="1" applyBorder="1" applyAlignment="1">
      <alignment horizontal="center" vertical="center" wrapText="1"/>
    </xf>
    <xf numFmtId="0" fontId="79" fillId="3" borderId="156" xfId="0" applyFont="1" applyFill="1" applyBorder="1" applyAlignment="1">
      <alignment horizontal="center" vertical="center" wrapText="1"/>
    </xf>
    <xf numFmtId="0" fontId="79" fillId="3" borderId="196" xfId="0" applyFont="1" applyFill="1" applyBorder="1" applyAlignment="1">
      <alignment horizontal="center" vertical="center" wrapText="1"/>
    </xf>
    <xf numFmtId="0" fontId="79" fillId="0" borderId="144" xfId="0" applyFont="1" applyFill="1" applyBorder="1" applyAlignment="1">
      <alignment horizontal="center" vertical="center"/>
    </xf>
    <xf numFmtId="0" fontId="79" fillId="0" borderId="119" xfId="0" applyFont="1" applyFill="1" applyBorder="1" applyAlignment="1">
      <alignment horizontal="center" vertical="center"/>
    </xf>
    <xf numFmtId="0" fontId="79" fillId="0" borderId="145" xfId="0" applyFont="1" applyFill="1" applyBorder="1" applyAlignment="1">
      <alignment horizontal="center" vertical="center"/>
    </xf>
    <xf numFmtId="0" fontId="79" fillId="0" borderId="146" xfId="0" applyFont="1" applyFill="1" applyBorder="1" applyAlignment="1">
      <alignment horizontal="center" vertical="center"/>
    </xf>
    <xf numFmtId="0" fontId="79" fillId="0" borderId="147" xfId="0" applyFont="1" applyFill="1" applyBorder="1" applyAlignment="1">
      <alignment horizontal="center" vertical="center"/>
    </xf>
    <xf numFmtId="0" fontId="79" fillId="0" borderId="148" xfId="0" applyFont="1" applyFill="1" applyBorder="1" applyAlignment="1">
      <alignment horizontal="center" vertical="center"/>
    </xf>
    <xf numFmtId="0" fontId="79" fillId="0" borderId="142" xfId="0" applyFont="1" applyFill="1" applyBorder="1" applyAlignment="1">
      <alignment horizontal="center" vertical="center"/>
    </xf>
    <xf numFmtId="0" fontId="79" fillId="0" borderId="143" xfId="0" applyFont="1" applyFill="1" applyBorder="1" applyAlignment="1">
      <alignment horizontal="center" vertical="center"/>
    </xf>
    <xf numFmtId="0" fontId="79" fillId="0" borderId="141" xfId="0" applyFont="1" applyFill="1" applyBorder="1" applyAlignment="1">
      <alignment horizontal="left" vertical="center"/>
    </xf>
    <xf numFmtId="0" fontId="79" fillId="0" borderId="142" xfId="0" applyFont="1" applyFill="1" applyBorder="1" applyAlignment="1">
      <alignment horizontal="left" vertical="center"/>
    </xf>
    <xf numFmtId="0" fontId="79" fillId="0" borderId="144" xfId="0" applyFont="1" applyFill="1" applyBorder="1" applyAlignment="1">
      <alignment horizontal="left" vertical="center"/>
    </xf>
    <xf numFmtId="0" fontId="79" fillId="0" borderId="119" xfId="0" applyFont="1" applyFill="1" applyBorder="1" applyAlignment="1">
      <alignment horizontal="left" vertical="center"/>
    </xf>
    <xf numFmtId="0" fontId="79" fillId="0" borderId="146" xfId="0" applyFont="1" applyFill="1" applyBorder="1" applyAlignment="1">
      <alignment horizontal="left" vertical="center"/>
    </xf>
    <xf numFmtId="0" fontId="79" fillId="0" borderId="147" xfId="0" applyFont="1" applyFill="1" applyBorder="1" applyAlignment="1">
      <alignment horizontal="left" vertical="center"/>
    </xf>
    <xf numFmtId="0" fontId="79" fillId="0" borderId="158" xfId="0" applyFont="1" applyFill="1" applyBorder="1" applyAlignment="1">
      <alignment horizontal="left" vertical="center"/>
    </xf>
    <xf numFmtId="0" fontId="79" fillId="0" borderId="118" xfId="0" applyFont="1" applyFill="1" applyBorder="1" applyAlignment="1">
      <alignment horizontal="left" vertical="center"/>
    </xf>
    <xf numFmtId="168" fontId="79" fillId="0" borderId="118" xfId="52" applyNumberFormat="1" applyFont="1" applyFill="1" applyBorder="1" applyAlignment="1">
      <alignment horizontal="center" vertical="center"/>
    </xf>
    <xf numFmtId="168" fontId="79" fillId="0" borderId="159" xfId="52" applyNumberFormat="1" applyFont="1" applyFill="1" applyBorder="1" applyAlignment="1">
      <alignment horizontal="center" vertical="center"/>
    </xf>
    <xf numFmtId="0" fontId="64" fillId="0" borderId="155" xfId="0" applyFont="1" applyBorder="1" applyAlignment="1">
      <alignment horizontal="center"/>
    </xf>
    <xf numFmtId="0" fontId="64" fillId="0" borderId="156" xfId="0" applyFont="1" applyBorder="1" applyAlignment="1">
      <alignment horizontal="center"/>
    </xf>
    <xf numFmtId="0" fontId="64" fillId="0" borderId="157" xfId="0" applyFont="1" applyBorder="1" applyAlignment="1">
      <alignment horizontal="center"/>
    </xf>
    <xf numFmtId="0" fontId="79" fillId="0" borderId="144" xfId="0" applyFont="1" applyFill="1" applyBorder="1" applyAlignment="1">
      <alignment horizontal="left" vertical="center" indent="1"/>
    </xf>
    <xf numFmtId="0" fontId="79" fillId="0" borderId="119" xfId="0" applyFont="1" applyFill="1" applyBorder="1" applyAlignment="1">
      <alignment horizontal="left" vertical="center" indent="1"/>
    </xf>
    <xf numFmtId="0" fontId="76" fillId="0" borderId="126" xfId="0" applyFont="1" applyFill="1" applyBorder="1" applyAlignment="1">
      <alignment horizontal="center" vertical="center" wrapText="1"/>
    </xf>
    <xf numFmtId="0" fontId="79" fillId="3" borderId="144" xfId="0" applyFont="1" applyFill="1" applyBorder="1" applyAlignment="1">
      <alignment horizontal="left" vertical="center" indent="1"/>
    </xf>
    <xf numFmtId="0" fontId="79" fillId="3" borderId="119" xfId="0" applyFont="1" applyFill="1" applyBorder="1" applyAlignment="1">
      <alignment horizontal="left" vertical="center" indent="1"/>
    </xf>
    <xf numFmtId="0" fontId="79" fillId="3" borderId="119" xfId="0" applyFont="1" applyFill="1" applyBorder="1" applyAlignment="1">
      <alignment horizontal="center" vertical="center"/>
    </xf>
    <xf numFmtId="0" fontId="79" fillId="3" borderId="145" xfId="0" applyFont="1" applyFill="1" applyBorder="1" applyAlignment="1">
      <alignment horizontal="center" vertical="center"/>
    </xf>
    <xf numFmtId="0" fontId="79" fillId="0" borderId="146" xfId="0" applyFont="1" applyFill="1" applyBorder="1" applyAlignment="1">
      <alignment horizontal="left" vertical="center" indent="1"/>
    </xf>
    <xf numFmtId="0" fontId="79" fillId="0" borderId="147" xfId="0" applyFont="1" applyFill="1" applyBorder="1" applyAlignment="1">
      <alignment horizontal="left" vertical="center" indent="1"/>
    </xf>
    <xf numFmtId="0" fontId="85" fillId="0" borderId="116" xfId="0" applyFont="1" applyBorder="1" applyAlignment="1">
      <alignment horizontal="left" vertical="center" indent="1"/>
    </xf>
    <xf numFmtId="167" fontId="85" fillId="0" borderId="306" xfId="0" applyNumberFormat="1" applyFont="1" applyBorder="1" applyAlignment="1">
      <alignment horizontal="center" vertical="center"/>
    </xf>
    <xf numFmtId="167" fontId="85" fillId="0" borderId="307" xfId="0" applyNumberFormat="1" applyFont="1" applyBorder="1" applyAlignment="1">
      <alignment horizontal="center" vertical="center"/>
    </xf>
    <xf numFmtId="167" fontId="85" fillId="0" borderId="308" xfId="0" applyNumberFormat="1" applyFont="1" applyBorder="1" applyAlignment="1">
      <alignment horizontal="center" vertical="center"/>
    </xf>
    <xf numFmtId="0" fontId="87" fillId="0" borderId="116" xfId="0" applyFont="1" applyBorder="1" applyAlignment="1">
      <alignment horizontal="left" vertical="center"/>
    </xf>
    <xf numFmtId="168" fontId="15" fillId="0" borderId="119" xfId="52" applyNumberFormat="1" applyFont="1" applyFill="1" applyBorder="1" applyAlignment="1">
      <alignment horizontal="center" vertical="center"/>
    </xf>
    <xf numFmtId="168" fontId="15" fillId="0" borderId="145" xfId="52" applyNumberFormat="1" applyFont="1" applyFill="1" applyBorder="1" applyAlignment="1">
      <alignment horizontal="center" vertical="center"/>
    </xf>
    <xf numFmtId="0" fontId="89" fillId="0" borderId="149" xfId="0" applyFont="1" applyBorder="1" applyAlignment="1">
      <alignment horizontal="left" vertical="center"/>
    </xf>
    <xf numFmtId="0" fontId="89" fillId="0" borderId="0" xfId="0" applyFont="1" applyBorder="1" applyAlignment="1">
      <alignment horizontal="left" vertical="center"/>
    </xf>
    <xf numFmtId="0" fontId="89" fillId="0" borderId="137" xfId="0" applyFont="1" applyBorder="1" applyAlignment="1">
      <alignment horizontal="left" vertical="center"/>
    </xf>
    <xf numFmtId="0" fontId="65" fillId="32" borderId="167" xfId="0" applyFont="1" applyFill="1" applyBorder="1" applyAlignment="1">
      <alignment horizontal="center" vertical="center" wrapText="1"/>
    </xf>
    <xf numFmtId="0" fontId="65" fillId="32" borderId="168" xfId="0" applyFont="1" applyFill="1" applyBorder="1" applyAlignment="1">
      <alignment horizontal="center" vertical="center"/>
    </xf>
    <xf numFmtId="0" fontId="65" fillId="32" borderId="169" xfId="0" applyFont="1" applyFill="1" applyBorder="1" applyAlignment="1">
      <alignment horizontal="center" vertical="center"/>
    </xf>
    <xf numFmtId="0" fontId="65" fillId="32" borderId="149" xfId="0" applyFont="1" applyFill="1" applyBorder="1" applyAlignment="1">
      <alignment horizontal="center" vertical="center"/>
    </xf>
    <xf numFmtId="0" fontId="65" fillId="32" borderId="0" xfId="0" applyFont="1" applyFill="1" applyBorder="1" applyAlignment="1">
      <alignment horizontal="center" vertical="center"/>
    </xf>
    <xf numFmtId="0" fontId="65" fillId="32" borderId="137" xfId="0" applyFont="1" applyFill="1" applyBorder="1" applyAlignment="1">
      <alignment horizontal="center" vertical="center"/>
    </xf>
    <xf numFmtId="0" fontId="65" fillId="32" borderId="155" xfId="0" applyFont="1" applyFill="1" applyBorder="1" applyAlignment="1">
      <alignment horizontal="center" vertical="center"/>
    </xf>
    <xf numFmtId="0" fontId="65" fillId="32" borderId="156" xfId="0" applyFont="1" applyFill="1" applyBorder="1" applyAlignment="1">
      <alignment horizontal="center" vertical="center"/>
    </xf>
    <xf numFmtId="0" fontId="65" fillId="32" borderId="157" xfId="0" applyFont="1" applyFill="1" applyBorder="1" applyAlignment="1">
      <alignment horizontal="center" vertical="center"/>
    </xf>
    <xf numFmtId="0" fontId="76" fillId="3" borderId="181" xfId="0" applyFont="1" applyFill="1" applyBorder="1" applyAlignment="1">
      <alignment horizontal="center"/>
    </xf>
    <xf numFmtId="0" fontId="76" fillId="3" borderId="182" xfId="0" applyFont="1" applyFill="1" applyBorder="1" applyAlignment="1">
      <alignment horizontal="center"/>
    </xf>
    <xf numFmtId="0" fontId="79" fillId="3" borderId="182" xfId="0" applyFont="1" applyFill="1" applyBorder="1" applyAlignment="1">
      <alignment horizontal="center" vertical="center"/>
    </xf>
    <xf numFmtId="0" fontId="79" fillId="3" borderId="183" xfId="0" applyFont="1" applyFill="1" applyBorder="1" applyAlignment="1">
      <alignment horizontal="center" vertical="center"/>
    </xf>
    <xf numFmtId="0" fontId="79" fillId="0" borderId="158" xfId="0" applyFont="1" applyFill="1" applyBorder="1" applyAlignment="1">
      <alignment horizontal="left" vertical="center" wrapText="1" indent="1"/>
    </xf>
    <xf numFmtId="0" fontId="79" fillId="0" borderId="118" xfId="0" applyFont="1" applyFill="1" applyBorder="1" applyAlignment="1">
      <alignment horizontal="left" vertical="center" indent="1"/>
    </xf>
    <xf numFmtId="168" fontId="15" fillId="0" borderId="132" xfId="52" applyNumberFormat="1" applyFont="1" applyFill="1" applyBorder="1" applyAlignment="1">
      <alignment horizontal="center" vertical="center"/>
    </xf>
    <xf numFmtId="168" fontId="15" fillId="0" borderId="122" xfId="52" applyNumberFormat="1" applyFont="1" applyFill="1" applyBorder="1" applyAlignment="1">
      <alignment horizontal="center" vertical="center"/>
    </xf>
    <xf numFmtId="168" fontId="15" fillId="0" borderId="123" xfId="52" applyNumberFormat="1" applyFont="1" applyFill="1" applyBorder="1" applyAlignment="1">
      <alignment horizontal="center" vertical="center"/>
    </xf>
    <xf numFmtId="168" fontId="15" fillId="0" borderId="118" xfId="52" applyNumberFormat="1" applyFont="1" applyFill="1" applyBorder="1" applyAlignment="1">
      <alignment horizontal="center" vertical="center"/>
    </xf>
    <xf numFmtId="168" fontId="15" fillId="0" borderId="159" xfId="52" applyNumberFormat="1" applyFont="1" applyFill="1" applyBorder="1" applyAlignment="1">
      <alignment horizontal="center" vertical="center"/>
    </xf>
    <xf numFmtId="0" fontId="79" fillId="3" borderId="181" xfId="0" applyFont="1" applyFill="1" applyBorder="1" applyAlignment="1">
      <alignment horizontal="left" vertical="center" indent="1"/>
    </xf>
    <xf numFmtId="0" fontId="79" fillId="3" borderId="182" xfId="0" applyFont="1" applyFill="1" applyBorder="1" applyAlignment="1">
      <alignment horizontal="left" vertical="center" indent="1"/>
    </xf>
    <xf numFmtId="0" fontId="79" fillId="0" borderId="158" xfId="0" applyFont="1" applyFill="1" applyBorder="1" applyAlignment="1">
      <alignment horizontal="left" vertical="center" indent="1"/>
    </xf>
    <xf numFmtId="0" fontId="76" fillId="0" borderId="118" xfId="0" applyFont="1" applyFill="1" applyBorder="1" applyAlignment="1">
      <alignment horizontal="center" vertical="center"/>
    </xf>
    <xf numFmtId="0" fontId="76" fillId="0" borderId="159" xfId="0" applyFont="1" applyFill="1" applyBorder="1" applyAlignment="1">
      <alignment horizontal="center" vertical="center"/>
    </xf>
    <xf numFmtId="43" fontId="0" fillId="0" borderId="0" xfId="52" applyFont="1" applyFill="1" applyAlignment="1">
      <alignment horizontal="center" vertical="center"/>
    </xf>
    <xf numFmtId="43" fontId="0" fillId="0" borderId="0" xfId="0" applyNumberFormat="1" applyFill="1" applyAlignment="1">
      <alignment horizontal="center" vertical="center"/>
    </xf>
    <xf numFmtId="40" fontId="15" fillId="0" borderId="286" xfId="52" applyNumberFormat="1" applyFont="1" applyFill="1" applyBorder="1" applyAlignment="1">
      <alignment horizontal="center" vertical="center"/>
    </xf>
    <xf numFmtId="40" fontId="15" fillId="0" borderId="287" xfId="52" applyNumberFormat="1" applyFont="1" applyFill="1" applyBorder="1" applyAlignment="1">
      <alignment horizontal="center" vertical="center"/>
    </xf>
    <xf numFmtId="43" fontId="15" fillId="0" borderId="288" xfId="52" applyFont="1" applyFill="1" applyBorder="1" applyAlignment="1">
      <alignment horizontal="center" vertical="center"/>
    </xf>
    <xf numFmtId="43" fontId="15" fillId="0" borderId="186" xfId="52" applyFont="1" applyFill="1" applyBorder="1" applyAlignment="1">
      <alignment horizontal="center" vertical="center"/>
    </xf>
    <xf numFmtId="43" fontId="15" fillId="0" borderId="118" xfId="52" applyFont="1" applyFill="1" applyBorder="1" applyAlignment="1">
      <alignment horizontal="center" vertical="center"/>
    </xf>
    <xf numFmtId="43" fontId="15" fillId="0" borderId="164" xfId="52" applyFont="1" applyFill="1" applyBorder="1" applyAlignment="1">
      <alignment horizontal="center" vertical="center"/>
    </xf>
    <xf numFmtId="43" fontId="15" fillId="0" borderId="289" xfId="52" applyFont="1" applyFill="1" applyBorder="1" applyAlignment="1">
      <alignment horizontal="center" vertical="center"/>
    </xf>
    <xf numFmtId="43" fontId="15" fillId="0" borderId="290" xfId="52" applyFont="1" applyFill="1" applyBorder="1" applyAlignment="1">
      <alignment horizontal="center" vertical="center"/>
    </xf>
    <xf numFmtId="43" fontId="15" fillId="0" borderId="187" xfId="52" applyFont="1" applyFill="1" applyBorder="1" applyAlignment="1">
      <alignment horizontal="center" vertical="center"/>
    </xf>
    <xf numFmtId="43" fontId="15" fillId="0" borderId="265" xfId="52" applyFont="1" applyFill="1" applyBorder="1" applyAlignment="1">
      <alignment horizontal="center" vertical="center"/>
    </xf>
    <xf numFmtId="43" fontId="15" fillId="0" borderId="195" xfId="52" applyFont="1" applyFill="1" applyBorder="1" applyAlignment="1">
      <alignment horizontal="center" vertical="center"/>
    </xf>
    <xf numFmtId="43" fontId="15" fillId="0" borderId="196" xfId="52" applyFont="1" applyFill="1" applyBorder="1" applyAlignment="1">
      <alignment horizontal="center" vertical="center"/>
    </xf>
    <xf numFmtId="43" fontId="99" fillId="0" borderId="232" xfId="52" applyFont="1" applyFill="1" applyBorder="1" applyAlignment="1">
      <alignment horizontal="center" vertical="center"/>
    </xf>
    <xf numFmtId="43" fontId="99" fillId="0" borderId="233" xfId="52" applyFont="1" applyFill="1" applyBorder="1" applyAlignment="1">
      <alignment horizontal="center" vertical="center"/>
    </xf>
    <xf numFmtId="43" fontId="21" fillId="0" borderId="331" xfId="0" applyNumberFormat="1" applyFont="1" applyBorder="1" applyAlignment="1">
      <alignment horizontal="center" vertical="center"/>
    </xf>
    <xf numFmtId="43" fontId="21" fillId="0" borderId="332" xfId="0" applyNumberFormat="1" applyFont="1" applyBorder="1" applyAlignment="1">
      <alignment horizontal="center" vertical="center"/>
    </xf>
    <xf numFmtId="0" fontId="77" fillId="0" borderId="323" xfId="0" applyFont="1" applyFill="1" applyBorder="1" applyAlignment="1">
      <alignment horizontal="center" vertical="center" wrapText="1"/>
    </xf>
    <xf numFmtId="0" fontId="77" fillId="0" borderId="206" xfId="0" applyFont="1" applyFill="1" applyBorder="1" applyAlignment="1">
      <alignment horizontal="center" vertical="center" wrapText="1"/>
    </xf>
    <xf numFmtId="0" fontId="77" fillId="0" borderId="325" xfId="0" applyFont="1" applyFill="1" applyBorder="1" applyAlignment="1">
      <alignment horizontal="center" vertical="center" wrapText="1"/>
    </xf>
    <xf numFmtId="43" fontId="99" fillId="0" borderId="330" xfId="52" applyFont="1" applyFill="1" applyBorder="1" applyAlignment="1">
      <alignment horizontal="center" vertical="center"/>
    </xf>
    <xf numFmtId="43" fontId="15" fillId="0" borderId="328" xfId="52" applyFont="1" applyFill="1" applyBorder="1" applyAlignment="1">
      <alignment horizontal="center" vertical="center"/>
    </xf>
    <xf numFmtId="43" fontId="15" fillId="0" borderId="234" xfId="52" applyFont="1" applyFill="1" applyBorder="1" applyAlignment="1">
      <alignment horizontal="center" vertical="center"/>
    </xf>
    <xf numFmtId="0" fontId="77" fillId="0" borderId="247" xfId="0" applyFont="1" applyFill="1" applyBorder="1" applyAlignment="1">
      <alignment horizontal="center" vertical="center" wrapText="1"/>
    </xf>
    <xf numFmtId="0" fontId="77" fillId="0" borderId="249" xfId="0" applyFont="1" applyFill="1" applyBorder="1" applyAlignment="1">
      <alignment horizontal="center" vertical="center" wrapText="1"/>
    </xf>
    <xf numFmtId="0" fontId="77" fillId="0" borderId="250" xfId="0" applyFont="1" applyFill="1" applyBorder="1" applyAlignment="1">
      <alignment horizontal="center" vertical="center" wrapText="1"/>
    </xf>
    <xf numFmtId="0" fontId="61" fillId="35" borderId="217" xfId="0" applyFont="1" applyFill="1" applyBorder="1" applyAlignment="1">
      <alignment horizontal="center" vertical="center" wrapText="1"/>
    </xf>
    <xf numFmtId="0" fontId="61" fillId="35" borderId="251" xfId="0" applyFont="1" applyFill="1" applyBorder="1" applyAlignment="1">
      <alignment horizontal="center" vertical="center" wrapText="1"/>
    </xf>
    <xf numFmtId="43" fontId="61" fillId="35" borderId="324" xfId="52" applyFont="1" applyFill="1" applyBorder="1" applyAlignment="1">
      <alignment horizontal="center" vertical="center"/>
    </xf>
    <xf numFmtId="43" fontId="61" fillId="35" borderId="251" xfId="52" applyFont="1" applyFill="1" applyBorder="1" applyAlignment="1">
      <alignment horizontal="center" vertical="center"/>
    </xf>
    <xf numFmtId="0" fontId="40" fillId="36" borderId="225" xfId="0" applyFont="1" applyFill="1" applyBorder="1" applyAlignment="1">
      <alignment horizontal="center" vertical="center" wrapText="1"/>
    </xf>
    <xf numFmtId="0" fontId="40" fillId="36" borderId="333" xfId="0" applyFont="1" applyFill="1" applyBorder="1" applyAlignment="1">
      <alignment horizontal="center" vertical="center" wrapText="1"/>
    </xf>
    <xf numFmtId="0" fontId="40" fillId="36" borderId="226" xfId="0" applyFont="1" applyFill="1" applyBorder="1" applyAlignment="1">
      <alignment horizontal="center" vertical="center"/>
    </xf>
    <xf numFmtId="0" fontId="40" fillId="36" borderId="291" xfId="0" applyFont="1" applyFill="1" applyBorder="1" applyAlignment="1">
      <alignment horizontal="center" vertical="center"/>
    </xf>
    <xf numFmtId="0" fontId="40" fillId="36" borderId="320" xfId="0" applyFont="1" applyFill="1" applyBorder="1" applyAlignment="1">
      <alignment horizontal="center" vertical="center"/>
    </xf>
    <xf numFmtId="0" fontId="40" fillId="36" borderId="292" xfId="0" applyFont="1" applyFill="1" applyBorder="1" applyAlignment="1">
      <alignment horizontal="center" vertical="center"/>
    </xf>
    <xf numFmtId="0" fontId="87" fillId="0" borderId="175" xfId="0" applyFont="1" applyBorder="1" applyAlignment="1">
      <alignment horizontal="center"/>
    </xf>
    <xf numFmtId="0" fontId="93" fillId="0" borderId="192" xfId="0" applyFont="1" applyBorder="1" applyAlignment="1">
      <alignment horizontal="center"/>
    </xf>
    <xf numFmtId="0" fontId="93" fillId="33" borderId="181" xfId="0" applyFont="1" applyFill="1" applyBorder="1" applyAlignment="1">
      <alignment horizontal="left" vertical="center" indent="1"/>
    </xf>
    <xf numFmtId="0" fontId="93" fillId="33" borderId="182" xfId="0" applyFont="1" applyFill="1" applyBorder="1" applyAlignment="1">
      <alignment horizontal="left" vertical="center" indent="1"/>
    </xf>
    <xf numFmtId="0" fontId="93" fillId="33" borderId="183" xfId="0" applyFont="1" applyFill="1" applyBorder="1" applyAlignment="1">
      <alignment horizontal="left" vertical="center" indent="1"/>
    </xf>
    <xf numFmtId="0" fontId="86" fillId="0" borderId="137" xfId="0" applyFont="1" applyBorder="1" applyAlignment="1">
      <alignment horizontal="center" vertical="center"/>
    </xf>
    <xf numFmtId="0" fontId="40" fillId="0" borderId="306" xfId="0" applyFont="1" applyBorder="1" applyAlignment="1">
      <alignment horizontal="center"/>
    </xf>
    <xf numFmtId="0" fontId="40" fillId="0" borderId="307" xfId="0" applyFont="1" applyBorder="1" applyAlignment="1">
      <alignment horizontal="center"/>
    </xf>
    <xf numFmtId="0" fontId="40" fillId="0" borderId="308" xfId="0" applyFont="1" applyBorder="1" applyAlignment="1">
      <alignment horizontal="center"/>
    </xf>
    <xf numFmtId="0" fontId="0" fillId="0" borderId="306" xfId="0" applyBorder="1" applyAlignment="1">
      <alignment horizontal="left"/>
    </xf>
    <xf numFmtId="0" fontId="0" fillId="0" borderId="307" xfId="0" applyBorder="1" applyAlignment="1">
      <alignment horizontal="left"/>
    </xf>
    <xf numFmtId="0" fontId="0" fillId="0" borderId="308" xfId="0" applyBorder="1" applyAlignment="1">
      <alignment horizontal="left"/>
    </xf>
    <xf numFmtId="0" fontId="80" fillId="3" borderId="235" xfId="0" applyFont="1" applyFill="1" applyBorder="1" applyAlignment="1">
      <alignment horizontal="center" vertical="center"/>
    </xf>
    <xf numFmtId="0" fontId="80" fillId="3" borderId="236" xfId="0" applyFont="1" applyFill="1" applyBorder="1" applyAlignment="1">
      <alignment horizontal="center" vertical="center"/>
    </xf>
    <xf numFmtId="0" fontId="80" fillId="3" borderId="237" xfId="0" applyFont="1" applyFill="1" applyBorder="1" applyAlignment="1">
      <alignment horizontal="center" vertical="center" wrapText="1"/>
    </xf>
    <xf numFmtId="0" fontId="80" fillId="3" borderId="238" xfId="0" applyFont="1" applyFill="1" applyBorder="1" applyAlignment="1">
      <alignment horizontal="center" vertical="center" wrapText="1"/>
    </xf>
    <xf numFmtId="0" fontId="77" fillId="0" borderId="240" xfId="0" applyFont="1" applyFill="1" applyBorder="1" applyAlignment="1">
      <alignment horizontal="left" vertical="center" wrapText="1"/>
    </xf>
    <xf numFmtId="0" fontId="77" fillId="0" borderId="242" xfId="0" applyFont="1" applyFill="1" applyBorder="1" applyAlignment="1">
      <alignment horizontal="left" vertical="center" wrapText="1"/>
    </xf>
    <xf numFmtId="0" fontId="77" fillId="0" borderId="244" xfId="0" applyFont="1" applyFill="1" applyBorder="1" applyAlignment="1">
      <alignment horizontal="left" vertical="center" wrapText="1"/>
    </xf>
    <xf numFmtId="43" fontId="15" fillId="0" borderId="132" xfId="52" applyFont="1" applyFill="1" applyBorder="1" applyAlignment="1">
      <alignment horizontal="center" vertical="center"/>
    </xf>
    <xf numFmtId="43" fontId="15" fillId="0" borderId="123" xfId="52" applyFont="1" applyFill="1" applyBorder="1" applyAlignment="1">
      <alignment horizontal="center" vertical="center"/>
    </xf>
    <xf numFmtId="43" fontId="15" fillId="0" borderId="133" xfId="52" applyFont="1" applyFill="1" applyBorder="1" applyAlignment="1">
      <alignment horizontal="center" vertical="center"/>
    </xf>
    <xf numFmtId="43" fontId="15" fillId="0" borderId="200" xfId="52" applyFont="1" applyFill="1" applyBorder="1" applyAlignment="1">
      <alignment horizontal="center" vertical="center"/>
    </xf>
    <xf numFmtId="43" fontId="15" fillId="0" borderId="134" xfId="52" applyFont="1" applyFill="1" applyBorder="1" applyAlignment="1">
      <alignment horizontal="center" vertical="center"/>
    </xf>
    <xf numFmtId="43" fontId="15" fillId="0" borderId="130" xfId="52" applyFont="1" applyFill="1" applyBorder="1" applyAlignment="1">
      <alignment horizontal="center" vertical="center"/>
    </xf>
    <xf numFmtId="43" fontId="99" fillId="0" borderId="254" xfId="52" applyFont="1" applyFill="1" applyBorder="1" applyAlignment="1">
      <alignment horizontal="center" vertical="center"/>
    </xf>
    <xf numFmtId="43" fontId="99" fillId="0" borderId="255" xfId="52" applyFont="1" applyFill="1" applyBorder="1" applyAlignment="1">
      <alignment horizontal="center" vertical="center"/>
    </xf>
    <xf numFmtId="43" fontId="15" fillId="0" borderId="120" xfId="52" applyFont="1" applyFill="1" applyBorder="1" applyAlignment="1">
      <alignment horizontal="center" vertical="center"/>
    </xf>
    <xf numFmtId="43" fontId="15" fillId="0" borderId="284" xfId="52" applyFont="1" applyFill="1" applyBorder="1" applyAlignment="1">
      <alignment horizontal="center" vertical="center"/>
    </xf>
    <xf numFmtId="43" fontId="15" fillId="0" borderId="285" xfId="52" applyFont="1" applyFill="1" applyBorder="1" applyAlignment="1">
      <alignment horizontal="center" vertical="center"/>
    </xf>
    <xf numFmtId="43" fontId="15" fillId="0" borderId="199" xfId="52" applyFont="1" applyFill="1" applyBorder="1" applyAlignment="1">
      <alignment horizontal="center" vertical="center"/>
    </xf>
    <xf numFmtId="43" fontId="15" fillId="0" borderId="201" xfId="52" applyFont="1" applyFill="1" applyBorder="1" applyAlignment="1">
      <alignment horizontal="center" vertical="center"/>
    </xf>
    <xf numFmtId="0" fontId="79" fillId="0" borderId="121" xfId="0" applyFont="1" applyFill="1" applyBorder="1" applyAlignment="1">
      <alignment horizontal="center" vertical="center"/>
    </xf>
    <xf numFmtId="0" fontId="79" fillId="0" borderId="122" xfId="0" applyFont="1" applyFill="1" applyBorder="1" applyAlignment="1">
      <alignment horizontal="center" vertical="center"/>
    </xf>
    <xf numFmtId="0" fontId="79" fillId="0" borderId="123" xfId="0" applyFont="1" applyFill="1" applyBorder="1" applyAlignment="1">
      <alignment horizontal="center" vertical="center"/>
    </xf>
    <xf numFmtId="0" fontId="79" fillId="3" borderId="172" xfId="0" applyFont="1" applyFill="1" applyBorder="1" applyAlignment="1">
      <alignment horizontal="center" vertical="center" wrapText="1"/>
    </xf>
    <xf numFmtId="0" fontId="79" fillId="3" borderId="173" xfId="0" applyFont="1" applyFill="1" applyBorder="1" applyAlignment="1">
      <alignment horizontal="center" vertical="center" wrapText="1"/>
    </xf>
    <xf numFmtId="0" fontId="79" fillId="3" borderId="174" xfId="0" applyFont="1" applyFill="1" applyBorder="1" applyAlignment="1">
      <alignment horizontal="center" vertical="center" wrapText="1"/>
    </xf>
    <xf numFmtId="0" fontId="79" fillId="0" borderId="128" xfId="0" applyFont="1" applyFill="1" applyBorder="1" applyAlignment="1">
      <alignment horizontal="center" vertical="center"/>
    </xf>
    <xf numFmtId="0" fontId="79" fillId="0" borderId="129" xfId="0" applyFont="1" applyFill="1" applyBorder="1" applyAlignment="1">
      <alignment horizontal="center" vertical="center"/>
    </xf>
    <xf numFmtId="0" fontId="79" fillId="0" borderId="130" xfId="0" applyFont="1" applyFill="1" applyBorder="1" applyAlignment="1">
      <alignment horizontal="center" vertical="center"/>
    </xf>
    <xf numFmtId="168" fontId="76" fillId="0" borderId="147" xfId="52" applyNumberFormat="1" applyFont="1" applyFill="1" applyBorder="1" applyAlignment="1">
      <alignment horizontal="center" vertical="center"/>
    </xf>
    <xf numFmtId="168" fontId="76" fillId="0" borderId="148" xfId="52" applyNumberFormat="1" applyFont="1" applyFill="1" applyBorder="1" applyAlignment="1">
      <alignment horizontal="center" vertical="center"/>
    </xf>
    <xf numFmtId="0" fontId="76" fillId="0" borderId="158" xfId="0" applyFont="1" applyFill="1" applyBorder="1" applyAlignment="1">
      <alignment horizontal="center" vertical="center"/>
    </xf>
    <xf numFmtId="0" fontId="76" fillId="0" borderId="146" xfId="0" applyFont="1" applyFill="1" applyBorder="1" applyAlignment="1">
      <alignment horizontal="center" vertical="center"/>
    </xf>
    <xf numFmtId="0" fontId="79" fillId="3" borderId="166" xfId="0" applyFont="1" applyFill="1" applyBorder="1" applyAlignment="1">
      <alignment horizontal="center" vertical="center" wrapText="1"/>
    </xf>
    <xf numFmtId="0" fontId="79" fillId="0" borderId="141" xfId="0" applyFont="1" applyFill="1" applyBorder="1" applyAlignment="1">
      <alignment horizontal="center" vertical="center"/>
    </xf>
    <xf numFmtId="168" fontId="76" fillId="0" borderId="119" xfId="52" applyNumberFormat="1" applyFont="1" applyFill="1" applyBorder="1" applyAlignment="1">
      <alignment horizontal="center" vertical="center"/>
    </xf>
    <xf numFmtId="0" fontId="76" fillId="3" borderId="166" xfId="0" applyFont="1" applyFill="1" applyBorder="1" applyAlignment="1">
      <alignment horizontal="center"/>
    </xf>
    <xf numFmtId="0" fontId="79" fillId="3" borderId="166" xfId="0" applyFont="1" applyFill="1" applyBorder="1" applyAlignment="1">
      <alignment horizontal="center" vertical="center"/>
    </xf>
    <xf numFmtId="0" fontId="65" fillId="32" borderId="188" xfId="0" applyFont="1" applyFill="1" applyBorder="1" applyAlignment="1">
      <alignment horizontal="center" vertical="center"/>
    </xf>
    <xf numFmtId="0" fontId="87" fillId="0" borderId="166" xfId="0" applyFont="1" applyBorder="1" applyAlignment="1">
      <alignment horizontal="left" vertical="center"/>
    </xf>
    <xf numFmtId="0" fontId="87" fillId="0" borderId="166" xfId="0" applyFont="1" applyBorder="1" applyAlignment="1">
      <alignment horizontal="left" vertical="center" indent="1"/>
    </xf>
    <xf numFmtId="167" fontId="87" fillId="0" borderId="306" xfId="0" applyNumberFormat="1" applyFont="1" applyBorder="1" applyAlignment="1">
      <alignment horizontal="center" vertical="center"/>
    </xf>
    <xf numFmtId="167" fontId="87" fillId="0" borderId="307" xfId="0" applyNumberFormat="1" applyFont="1" applyBorder="1" applyAlignment="1">
      <alignment horizontal="center" vertical="center"/>
    </xf>
    <xf numFmtId="167" fontId="87" fillId="0" borderId="308" xfId="0" applyNumberFormat="1" applyFont="1" applyBorder="1" applyAlignment="1">
      <alignment horizontal="center" vertical="center"/>
    </xf>
    <xf numFmtId="168" fontId="76" fillId="0" borderId="142" xfId="52" applyNumberFormat="1" applyFont="1" applyFill="1" applyBorder="1" applyAlignment="1">
      <alignment horizontal="center" vertical="center"/>
    </xf>
    <xf numFmtId="168" fontId="76" fillId="0" borderId="142" xfId="0" applyNumberFormat="1" applyFont="1" applyFill="1" applyBorder="1" applyAlignment="1">
      <alignment horizontal="center" vertical="center"/>
    </xf>
    <xf numFmtId="168" fontId="76" fillId="0" borderId="119" xfId="0" applyNumberFormat="1" applyFont="1" applyFill="1" applyBorder="1" applyAlignment="1">
      <alignment horizontal="center" vertical="center"/>
    </xf>
    <xf numFmtId="0" fontId="79" fillId="0" borderId="172" xfId="0" applyFont="1" applyFill="1" applyBorder="1" applyAlignment="1">
      <alignment horizontal="center" vertical="center"/>
    </xf>
    <xf numFmtId="0" fontId="79" fillId="0" borderId="173" xfId="0" applyFont="1" applyFill="1" applyBorder="1" applyAlignment="1">
      <alignment horizontal="center" vertical="center"/>
    </xf>
    <xf numFmtId="0" fontId="79" fillId="0" borderId="174" xfId="0" applyFont="1" applyFill="1" applyBorder="1" applyAlignment="1">
      <alignment horizontal="center" vertical="center"/>
    </xf>
    <xf numFmtId="1" fontId="76" fillId="0" borderId="314" xfId="0" applyNumberFormat="1" applyFont="1" applyFill="1" applyBorder="1" applyAlignment="1">
      <alignment horizontal="center" vertical="center"/>
    </xf>
    <xf numFmtId="1" fontId="76" fillId="0" borderId="304" xfId="0" applyNumberFormat="1" applyFont="1" applyFill="1" applyBorder="1" applyAlignment="1">
      <alignment horizontal="center" vertical="center"/>
    </xf>
    <xf numFmtId="1" fontId="76" fillId="0" borderId="315" xfId="0" applyNumberFormat="1" applyFont="1" applyFill="1" applyBorder="1" applyAlignment="1">
      <alignment horizontal="center" vertical="center"/>
    </xf>
    <xf numFmtId="0" fontId="76" fillId="0" borderId="316" xfId="0" applyNumberFormat="1" applyFont="1" applyFill="1" applyBorder="1" applyAlignment="1">
      <alignment horizontal="center" vertical="center"/>
    </xf>
    <xf numFmtId="0" fontId="76" fillId="0" borderId="317" xfId="0" applyNumberFormat="1" applyFont="1" applyFill="1" applyBorder="1" applyAlignment="1">
      <alignment horizontal="center" vertical="center"/>
    </xf>
    <xf numFmtId="0" fontId="76" fillId="0" borderId="318" xfId="0" applyNumberFormat="1" applyFont="1" applyFill="1" applyBorder="1" applyAlignment="1">
      <alignment horizontal="center" vertical="center"/>
    </xf>
    <xf numFmtId="1" fontId="76" fillId="0" borderId="187" xfId="0" applyNumberFormat="1" applyFont="1" applyFill="1" applyBorder="1" applyAlignment="1">
      <alignment horizontal="center" vertical="center"/>
    </xf>
    <xf numFmtId="1" fontId="76" fillId="0" borderId="0" xfId="0" applyNumberFormat="1" applyFont="1" applyFill="1" applyBorder="1" applyAlignment="1">
      <alignment horizontal="center" vertical="center"/>
    </xf>
    <xf numFmtId="1" fontId="76" fillId="0" borderId="265" xfId="0" applyNumberFormat="1" applyFont="1" applyFill="1" applyBorder="1" applyAlignment="1">
      <alignment horizontal="center" vertical="center"/>
    </xf>
    <xf numFmtId="1" fontId="76" fillId="0" borderId="199" xfId="0" applyNumberFormat="1" applyFont="1" applyFill="1" applyBorder="1" applyAlignment="1">
      <alignment horizontal="center" vertical="center"/>
    </xf>
    <xf numFmtId="1" fontId="76" fillId="0" borderId="202" xfId="0" applyNumberFormat="1" applyFont="1" applyFill="1" applyBorder="1" applyAlignment="1">
      <alignment horizontal="center" vertical="center"/>
    </xf>
    <xf numFmtId="1" fontId="76" fillId="0" borderId="201" xfId="0" applyNumberFormat="1" applyFont="1" applyFill="1" applyBorder="1" applyAlignment="1">
      <alignment horizontal="center" vertical="center"/>
    </xf>
    <xf numFmtId="0" fontId="76" fillId="0" borderId="440" xfId="0" applyNumberFormat="1" applyFont="1" applyFill="1" applyBorder="1" applyAlignment="1">
      <alignment horizontal="center" vertical="center"/>
    </xf>
    <xf numFmtId="0" fontId="76" fillId="0" borderId="441" xfId="0" applyNumberFormat="1" applyFont="1" applyFill="1" applyBorder="1" applyAlignment="1">
      <alignment horizontal="center" vertical="center"/>
    </xf>
    <xf numFmtId="0" fontId="76" fillId="0" borderId="442" xfId="0" applyNumberFormat="1" applyFont="1" applyFill="1" applyBorder="1" applyAlignment="1">
      <alignment horizontal="center" vertical="center"/>
    </xf>
    <xf numFmtId="0" fontId="76" fillId="0" borderId="187" xfId="0" applyNumberFormat="1" applyFont="1" applyFill="1" applyBorder="1" applyAlignment="1">
      <alignment horizontal="center" vertical="center"/>
    </xf>
    <xf numFmtId="0" fontId="76" fillId="0" borderId="0" xfId="0" applyNumberFormat="1" applyFont="1" applyFill="1" applyBorder="1" applyAlignment="1">
      <alignment horizontal="center" vertical="center"/>
    </xf>
    <xf numFmtId="0" fontId="76" fillId="0" borderId="265" xfId="0" applyNumberFormat="1" applyFont="1" applyFill="1" applyBorder="1" applyAlignment="1">
      <alignment horizontal="center" vertical="center"/>
    </xf>
    <xf numFmtId="0" fontId="76" fillId="0" borderId="199" xfId="0" applyNumberFormat="1" applyFont="1" applyFill="1" applyBorder="1" applyAlignment="1">
      <alignment horizontal="center" vertical="center"/>
    </xf>
    <xf numFmtId="0" fontId="76" fillId="0" borderId="202" xfId="0" applyNumberFormat="1" applyFont="1" applyFill="1" applyBorder="1" applyAlignment="1">
      <alignment horizontal="center" vertical="center"/>
    </xf>
    <xf numFmtId="0" fontId="76" fillId="0" borderId="201" xfId="0" applyNumberFormat="1" applyFont="1" applyFill="1" applyBorder="1" applyAlignment="1">
      <alignment horizontal="center" vertical="center"/>
    </xf>
    <xf numFmtId="0" fontId="79" fillId="3" borderId="172" xfId="0" applyFont="1" applyFill="1" applyBorder="1" applyAlignment="1">
      <alignment horizontal="center" vertical="center"/>
    </xf>
    <xf numFmtId="0" fontId="79" fillId="3" borderId="173" xfId="0" applyFont="1" applyFill="1" applyBorder="1" applyAlignment="1">
      <alignment horizontal="center" vertical="center"/>
    </xf>
    <xf numFmtId="0" fontId="79" fillId="3" borderId="174" xfId="0" applyFont="1" applyFill="1" applyBorder="1" applyAlignment="1">
      <alignment horizontal="center" vertical="center"/>
    </xf>
    <xf numFmtId="0" fontId="79" fillId="0" borderId="158" xfId="0" applyFont="1" applyFill="1" applyBorder="1" applyAlignment="1">
      <alignment horizontal="center" vertical="center"/>
    </xf>
    <xf numFmtId="0" fontId="79" fillId="0" borderId="118" xfId="0" applyFont="1" applyFill="1" applyBorder="1" applyAlignment="1">
      <alignment horizontal="center" vertical="center"/>
    </xf>
    <xf numFmtId="0" fontId="79" fillId="0" borderId="159" xfId="0" applyFont="1" applyFill="1" applyBorder="1" applyAlignment="1">
      <alignment horizontal="center" vertical="center"/>
    </xf>
    <xf numFmtId="43" fontId="79" fillId="0" borderId="146" xfId="52" applyFont="1" applyFill="1" applyBorder="1" applyAlignment="1">
      <alignment horizontal="center" vertical="center"/>
    </xf>
    <xf numFmtId="43" fontId="79" fillId="0" borderId="147" xfId="52" applyFont="1" applyFill="1" applyBorder="1" applyAlignment="1">
      <alignment horizontal="center" vertical="center"/>
    </xf>
    <xf numFmtId="43" fontId="79" fillId="0" borderId="148" xfId="52" applyFont="1" applyFill="1" applyBorder="1" applyAlignment="1">
      <alignment horizontal="center" vertical="center"/>
    </xf>
    <xf numFmtId="43" fontId="79" fillId="0" borderId="141" xfId="52" applyFont="1" applyFill="1" applyBorder="1" applyAlignment="1">
      <alignment horizontal="center" vertical="center"/>
    </xf>
    <xf numFmtId="43" fontId="79" fillId="0" borderId="142" xfId="52" applyFont="1" applyFill="1" applyBorder="1" applyAlignment="1">
      <alignment horizontal="center" vertical="center"/>
    </xf>
    <xf numFmtId="43" fontId="79" fillId="0" borderId="132" xfId="52" applyFont="1" applyFill="1" applyBorder="1" applyAlignment="1">
      <alignment horizontal="left" vertical="center"/>
    </xf>
    <xf numFmtId="43" fontId="79" fillId="0" borderId="122" xfId="52" applyFont="1" applyFill="1" applyBorder="1" applyAlignment="1">
      <alignment horizontal="left" vertical="center"/>
    </xf>
    <xf numFmtId="43" fontId="79" fillId="0" borderId="124" xfId="52" applyFont="1" applyFill="1" applyBorder="1" applyAlignment="1">
      <alignment horizontal="left" vertical="center"/>
    </xf>
    <xf numFmtId="0" fontId="87" fillId="0" borderId="116" xfId="0" applyFont="1" applyBorder="1" applyAlignment="1">
      <alignment horizontal="left" vertical="center" indent="1"/>
    </xf>
    <xf numFmtId="43" fontId="76" fillId="0" borderId="172" xfId="52" applyFont="1" applyFill="1" applyBorder="1" applyAlignment="1">
      <alignment horizontal="center" vertical="center"/>
    </xf>
    <xf numFmtId="43" fontId="76" fillId="0" borderId="173" xfId="52" applyFont="1" applyFill="1" applyBorder="1" applyAlignment="1">
      <alignment horizontal="center" vertical="center"/>
    </xf>
    <xf numFmtId="43" fontId="76" fillId="0" borderId="174" xfId="52" applyFont="1" applyFill="1" applyBorder="1" applyAlignment="1">
      <alignment horizontal="center" vertical="center"/>
    </xf>
    <xf numFmtId="43" fontId="64" fillId="0" borderId="172" xfId="52" applyFont="1" applyFill="1" applyBorder="1" applyAlignment="1">
      <alignment horizontal="center" vertical="center"/>
    </xf>
    <xf numFmtId="43" fontId="64" fillId="0" borderId="173" xfId="52" applyFont="1" applyFill="1" applyBorder="1" applyAlignment="1">
      <alignment horizontal="center" vertical="center"/>
    </xf>
    <xf numFmtId="43" fontId="64" fillId="0" borderId="174" xfId="52" applyFont="1" applyFill="1" applyBorder="1" applyAlignment="1">
      <alignment horizontal="center" vertical="center"/>
    </xf>
    <xf numFmtId="43" fontId="79" fillId="0" borderId="172" xfId="52" applyFont="1" applyFill="1" applyBorder="1" applyAlignment="1">
      <alignment horizontal="center" vertical="center"/>
    </xf>
    <xf numFmtId="43" fontId="79" fillId="0" borderId="173" xfId="52" applyFont="1" applyFill="1" applyBorder="1" applyAlignment="1">
      <alignment horizontal="center" vertical="center"/>
    </xf>
    <xf numFmtId="43" fontId="79" fillId="0" borderId="174" xfId="52" applyFont="1" applyFill="1" applyBorder="1" applyAlignment="1">
      <alignment horizontal="center" vertical="center"/>
    </xf>
    <xf numFmtId="43" fontId="15" fillId="0" borderId="172" xfId="52" applyFont="1" applyFill="1" applyBorder="1" applyAlignment="1">
      <alignment horizontal="left" vertical="center" indent="1"/>
    </xf>
    <xf numFmtId="43" fontId="15" fillId="0" borderId="173" xfId="52" applyFont="1" applyFill="1" applyBorder="1" applyAlignment="1">
      <alignment horizontal="left" vertical="center" indent="1"/>
    </xf>
    <xf numFmtId="43" fontId="15" fillId="0" borderId="174" xfId="52" applyFont="1" applyFill="1" applyBorder="1" applyAlignment="1">
      <alignment horizontal="left" vertical="center" indent="1"/>
    </xf>
    <xf numFmtId="43" fontId="15" fillId="0" borderId="172" xfId="52" applyFont="1" applyFill="1" applyBorder="1" applyAlignment="1">
      <alignment horizontal="center" vertical="center"/>
    </xf>
    <xf numFmtId="43" fontId="15" fillId="0" borderId="173" xfId="52" applyFont="1" applyFill="1" applyBorder="1" applyAlignment="1">
      <alignment horizontal="center" vertical="center"/>
    </xf>
    <xf numFmtId="43" fontId="15" fillId="0" borderId="174" xfId="52" applyFont="1" applyFill="1" applyBorder="1" applyAlignment="1">
      <alignment horizontal="center" vertical="center"/>
    </xf>
    <xf numFmtId="43" fontId="15" fillId="0" borderId="306" xfId="52" applyFont="1" applyFill="1" applyBorder="1" applyAlignment="1">
      <alignment horizontal="center" vertical="center"/>
    </xf>
    <xf numFmtId="43" fontId="15" fillId="0" borderId="307" xfId="52" applyFont="1" applyFill="1" applyBorder="1" applyAlignment="1">
      <alignment horizontal="center" vertical="center"/>
    </xf>
    <xf numFmtId="43" fontId="15" fillId="0" borderId="308" xfId="52" applyFont="1" applyFill="1" applyBorder="1" applyAlignment="1">
      <alignment horizontal="center" vertical="center"/>
    </xf>
    <xf numFmtId="43" fontId="15" fillId="0" borderId="269" xfId="52" applyFont="1" applyFill="1" applyBorder="1" applyAlignment="1">
      <alignment horizontal="center" vertical="center"/>
    </xf>
    <xf numFmtId="43" fontId="15" fillId="0" borderId="271" xfId="52" applyFont="1" applyFill="1" applyBorder="1" applyAlignment="1">
      <alignment horizontal="center" vertical="center"/>
    </xf>
    <xf numFmtId="43" fontId="15" fillId="0" borderId="306" xfId="52" applyNumberFormat="1" applyFont="1" applyFill="1" applyBorder="1" applyAlignment="1">
      <alignment horizontal="center" vertical="center"/>
    </xf>
    <xf numFmtId="43" fontId="15" fillId="0" borderId="307" xfId="52" applyNumberFormat="1" applyFont="1" applyFill="1" applyBorder="1" applyAlignment="1">
      <alignment horizontal="center" vertical="center"/>
    </xf>
    <xf numFmtId="43" fontId="15" fillId="0" borderId="308" xfId="52" applyNumberFormat="1" applyFont="1" applyFill="1" applyBorder="1" applyAlignment="1">
      <alignment horizontal="center" vertical="center"/>
    </xf>
    <xf numFmtId="43" fontId="15" fillId="0" borderId="269" xfId="71" applyNumberFormat="1" applyFont="1" applyFill="1" applyBorder="1" applyAlignment="1">
      <alignment horizontal="center" vertical="center"/>
    </xf>
    <xf numFmtId="43" fontId="15" fillId="0" borderId="270" xfId="71" applyNumberFormat="1" applyFont="1" applyFill="1" applyBorder="1" applyAlignment="1">
      <alignment horizontal="center" vertical="center"/>
    </xf>
    <xf numFmtId="43" fontId="15" fillId="0" borderId="271" xfId="71" applyNumberFormat="1" applyFont="1" applyFill="1" applyBorder="1" applyAlignment="1">
      <alignment horizontal="center" vertical="center"/>
    </xf>
    <xf numFmtId="43" fontId="15" fillId="0" borderId="303" xfId="52" applyFont="1" applyFill="1" applyBorder="1" applyAlignment="1">
      <alignment horizontal="center" vertical="center"/>
    </xf>
    <xf numFmtId="43" fontId="15" fillId="0" borderId="267" xfId="52" applyFont="1" applyFill="1" applyBorder="1" applyAlignment="1">
      <alignment horizontal="center" vertical="center"/>
    </xf>
    <xf numFmtId="43" fontId="15" fillId="0" borderId="305" xfId="52" applyFont="1" applyFill="1" applyBorder="1" applyAlignment="1">
      <alignment horizontal="center" vertical="center"/>
    </xf>
    <xf numFmtId="43" fontId="15" fillId="0" borderId="155" xfId="52" applyFont="1" applyFill="1" applyBorder="1" applyAlignment="1">
      <alignment horizontal="center" vertical="center"/>
    </xf>
    <xf numFmtId="43" fontId="15" fillId="0" borderId="156" xfId="52" applyFont="1" applyFill="1" applyBorder="1" applyAlignment="1">
      <alignment horizontal="center" vertical="center"/>
    </xf>
    <xf numFmtId="43" fontId="15" fillId="0" borderId="157" xfId="52" applyFont="1" applyFill="1" applyBorder="1" applyAlignment="1">
      <alignment horizontal="center" vertical="center"/>
    </xf>
    <xf numFmtId="43" fontId="15" fillId="0" borderId="266" xfId="52" applyFont="1" applyFill="1" applyBorder="1" applyAlignment="1">
      <alignment horizontal="center" vertical="center"/>
    </xf>
    <xf numFmtId="43" fontId="15" fillId="0" borderId="268" xfId="52" applyFont="1" applyFill="1" applyBorder="1" applyAlignment="1">
      <alignment horizontal="center" vertical="center"/>
    </xf>
    <xf numFmtId="0" fontId="79" fillId="3" borderId="167" xfId="0" applyFont="1" applyFill="1" applyBorder="1" applyAlignment="1">
      <alignment horizontal="center" vertical="center"/>
    </xf>
    <xf numFmtId="0" fontId="79" fillId="3" borderId="188" xfId="0" applyFont="1" applyFill="1" applyBorder="1" applyAlignment="1">
      <alignment horizontal="center" vertical="center"/>
    </xf>
    <xf numFmtId="0" fontId="79" fillId="3" borderId="169" xfId="0" applyFont="1" applyFill="1" applyBorder="1" applyAlignment="1">
      <alignment horizontal="center" vertical="center"/>
    </xf>
    <xf numFmtId="0" fontId="79" fillId="3" borderId="155" xfId="0" applyFont="1" applyFill="1" applyBorder="1" applyAlignment="1">
      <alignment horizontal="center" vertical="center"/>
    </xf>
    <xf numFmtId="0" fontId="79" fillId="3" borderId="156" xfId="0" applyFont="1" applyFill="1" applyBorder="1" applyAlignment="1">
      <alignment horizontal="center" vertical="center"/>
    </xf>
    <xf numFmtId="0" fontId="79" fillId="3" borderId="157" xfId="0" applyFont="1" applyFill="1" applyBorder="1" applyAlignment="1">
      <alignment horizontal="center" vertical="center"/>
    </xf>
    <xf numFmtId="43" fontId="79" fillId="3" borderId="166" xfId="52" applyFont="1" applyFill="1" applyBorder="1" applyAlignment="1">
      <alignment horizontal="center" vertical="center" wrapText="1"/>
    </xf>
    <xf numFmtId="0" fontId="65" fillId="32" borderId="166" xfId="0" applyFont="1" applyFill="1" applyBorder="1" applyAlignment="1">
      <alignment horizontal="center" vertical="center" wrapText="1"/>
    </xf>
    <xf numFmtId="0" fontId="87" fillId="0" borderId="166" xfId="0" applyFont="1" applyBorder="1" applyAlignment="1">
      <alignment horizontal="center" vertical="center"/>
    </xf>
    <xf numFmtId="43" fontId="15" fillId="0" borderId="133" xfId="52" applyFont="1" applyFill="1" applyBorder="1" applyAlignment="1">
      <alignment horizontal="left" vertical="center"/>
    </xf>
    <xf numFmtId="43" fontId="15" fillId="0" borderId="200" xfId="52" applyFont="1" applyFill="1" applyBorder="1" applyAlignment="1">
      <alignment horizontal="left" vertical="center"/>
    </xf>
    <xf numFmtId="43" fontId="70" fillId="0" borderId="146" xfId="52" applyFont="1" applyFill="1" applyBorder="1" applyAlignment="1">
      <alignment horizontal="center" vertical="center"/>
    </xf>
    <xf numFmtId="43" fontId="70" fillId="0" borderId="147" xfId="52" applyFont="1" applyFill="1" applyBorder="1" applyAlignment="1">
      <alignment horizontal="center" vertical="center"/>
    </xf>
    <xf numFmtId="43" fontId="15" fillId="0" borderId="347" xfId="52" applyFont="1" applyFill="1" applyBorder="1" applyAlignment="1">
      <alignment horizontal="left" vertical="center"/>
    </xf>
    <xf numFmtId="43" fontId="15" fillId="0" borderId="347" xfId="52" applyFont="1" applyFill="1" applyBorder="1" applyAlignment="1">
      <alignment horizontal="center" vertical="center"/>
    </xf>
    <xf numFmtId="43" fontId="15" fillId="0" borderId="133" xfId="52" applyFont="1" applyFill="1" applyBorder="1" applyAlignment="1">
      <alignment horizontal="left" vertical="center" wrapText="1"/>
    </xf>
    <xf numFmtId="43" fontId="15" fillId="0" borderId="347" xfId="52" applyFont="1" applyFill="1" applyBorder="1" applyAlignment="1">
      <alignment horizontal="left" vertical="center" wrapText="1"/>
    </xf>
    <xf numFmtId="172" fontId="102" fillId="3" borderId="175" xfId="0" applyNumberFormat="1" applyFont="1" applyFill="1" applyBorder="1" applyAlignment="1">
      <alignment horizontal="center" vertical="center"/>
    </xf>
    <xf numFmtId="172" fontId="102" fillId="3" borderId="139" xfId="0" applyNumberFormat="1" applyFont="1" applyFill="1" applyBorder="1" applyAlignment="1">
      <alignment horizontal="center" vertical="center"/>
    </xf>
    <xf numFmtId="0" fontId="102" fillId="3" borderId="175" xfId="0" applyFont="1" applyFill="1" applyBorder="1" applyAlignment="1">
      <alignment horizontal="center" vertical="center"/>
    </xf>
    <xf numFmtId="0" fontId="102" fillId="3" borderId="139" xfId="0" applyFont="1" applyFill="1" applyBorder="1" applyAlignment="1">
      <alignment horizontal="center" vertical="center"/>
    </xf>
    <xf numFmtId="167" fontId="102" fillId="3" borderId="172" xfId="0" applyNumberFormat="1" applyFont="1" applyFill="1" applyBorder="1" applyAlignment="1">
      <alignment horizontal="center" vertical="center"/>
    </xf>
    <xf numFmtId="167" fontId="102" fillId="3" borderId="173" xfId="0" applyNumberFormat="1" applyFont="1" applyFill="1" applyBorder="1" applyAlignment="1">
      <alignment horizontal="center" vertical="center"/>
    </xf>
    <xf numFmtId="167" fontId="102" fillId="3" borderId="174" xfId="0" applyNumberFormat="1" applyFont="1" applyFill="1" applyBorder="1" applyAlignment="1">
      <alignment horizontal="center" vertical="center"/>
    </xf>
    <xf numFmtId="0" fontId="102" fillId="3" borderId="167" xfId="0" applyFont="1" applyFill="1" applyBorder="1" applyAlignment="1">
      <alignment horizontal="center" vertical="center"/>
    </xf>
    <xf numFmtId="0" fontId="102" fillId="3" borderId="188" xfId="0" applyFont="1" applyFill="1" applyBorder="1" applyAlignment="1">
      <alignment horizontal="center" vertical="center"/>
    </xf>
    <xf numFmtId="0" fontId="102" fillId="3" borderId="169" xfId="0" applyFont="1" applyFill="1" applyBorder="1" applyAlignment="1">
      <alignment horizontal="center" vertical="center"/>
    </xf>
    <xf numFmtId="0" fontId="80" fillId="0" borderId="144" xfId="0" applyFont="1" applyFill="1" applyBorder="1" applyAlignment="1">
      <alignment horizontal="center" vertical="center" textRotation="90" wrapText="1"/>
    </xf>
    <xf numFmtId="0" fontId="77" fillId="0" borderId="119" xfId="0" applyFont="1" applyFill="1" applyBorder="1" applyAlignment="1">
      <alignment horizontal="center" vertical="center"/>
    </xf>
    <xf numFmtId="0" fontId="80" fillId="0" borderId="146" xfId="0" applyFont="1" applyFill="1" applyBorder="1" applyAlignment="1">
      <alignment horizontal="center" vertical="center" textRotation="90" wrapText="1"/>
    </xf>
    <xf numFmtId="0" fontId="80" fillId="0" borderId="149" xfId="0" applyFont="1" applyBorder="1" applyAlignment="1">
      <alignment horizontal="center"/>
    </xf>
    <xf numFmtId="0" fontId="80" fillId="0" borderId="0" xfId="0" applyFont="1" applyBorder="1" applyAlignment="1">
      <alignment horizontal="center"/>
    </xf>
    <xf numFmtId="0" fontId="80" fillId="0" borderId="137" xfId="0" applyFont="1" applyBorder="1" applyAlignment="1">
      <alignment horizontal="center"/>
    </xf>
    <xf numFmtId="0" fontId="80" fillId="29" borderId="166" xfId="0" applyFont="1" applyFill="1" applyBorder="1" applyAlignment="1">
      <alignment horizontal="center" vertical="center"/>
    </xf>
    <xf numFmtId="0" fontId="80" fillId="29" borderId="172" xfId="0" applyFont="1" applyFill="1" applyBorder="1" applyAlignment="1">
      <alignment horizontal="center" vertical="center"/>
    </xf>
    <xf numFmtId="0" fontId="80" fillId="29" borderId="174" xfId="0" applyFont="1" applyFill="1" applyBorder="1" applyAlignment="1">
      <alignment horizontal="center" vertical="center"/>
    </xf>
    <xf numFmtId="0" fontId="77" fillId="0" borderId="175" xfId="0" applyFont="1" applyBorder="1" applyAlignment="1">
      <alignment horizontal="center"/>
    </xf>
    <xf numFmtId="0" fontId="77" fillId="0" borderId="139" xfId="0" applyFont="1" applyBorder="1" applyAlignment="1">
      <alignment horizontal="center"/>
    </xf>
    <xf numFmtId="0" fontId="77" fillId="0" borderId="140" xfId="0" applyFont="1" applyBorder="1" applyAlignment="1">
      <alignment horizontal="center"/>
    </xf>
    <xf numFmtId="0" fontId="78" fillId="0" borderId="172" xfId="0" applyFont="1" applyBorder="1" applyAlignment="1">
      <alignment horizontal="left" vertical="center" indent="1"/>
    </xf>
    <xf numFmtId="0" fontId="78" fillId="0" borderId="174" xfId="0" applyFont="1" applyBorder="1" applyAlignment="1">
      <alignment horizontal="left" vertical="center" indent="1"/>
    </xf>
    <xf numFmtId="167" fontId="78" fillId="0" borderId="306" xfId="0" applyNumberFormat="1" applyFont="1" applyBorder="1" applyAlignment="1">
      <alignment horizontal="center" vertical="center"/>
    </xf>
    <xf numFmtId="167" fontId="78" fillId="0" borderId="308" xfId="0" applyNumberFormat="1" applyFont="1" applyBorder="1" applyAlignment="1">
      <alignment horizontal="center" vertical="center"/>
    </xf>
    <xf numFmtId="0" fontId="61" fillId="32" borderId="175" xfId="0" applyFont="1" applyFill="1" applyBorder="1" applyAlignment="1">
      <alignment horizontal="center" vertical="center" wrapText="1"/>
    </xf>
    <xf numFmtId="0" fontId="61" fillId="32" borderId="175" xfId="0" applyFont="1" applyFill="1" applyBorder="1" applyAlignment="1">
      <alignment horizontal="center" vertical="center"/>
    </xf>
    <xf numFmtId="0" fontId="61" fillId="32" borderId="139" xfId="0" applyFont="1" applyFill="1" applyBorder="1" applyAlignment="1">
      <alignment horizontal="center" vertical="center"/>
    </xf>
    <xf numFmtId="0" fontId="61" fillId="32" borderId="140" xfId="0" applyFont="1" applyFill="1" applyBorder="1" applyAlignment="1">
      <alignment horizontal="center" vertical="center"/>
    </xf>
    <xf numFmtId="0" fontId="77" fillId="0" borderId="119" xfId="0" applyFont="1" applyFill="1" applyBorder="1" applyAlignment="1">
      <alignment horizontal="center"/>
    </xf>
    <xf numFmtId="167" fontId="77" fillId="0" borderId="133" xfId="0" applyNumberFormat="1" applyFont="1" applyFill="1" applyBorder="1" applyAlignment="1">
      <alignment horizontal="center"/>
    </xf>
    <xf numFmtId="167" fontId="77" fillId="0" borderId="200" xfId="0" applyNumberFormat="1" applyFont="1" applyFill="1" applyBorder="1" applyAlignment="1">
      <alignment horizontal="center"/>
    </xf>
    <xf numFmtId="0" fontId="80" fillId="0" borderId="141" xfId="0" applyFont="1" applyFill="1" applyBorder="1" applyAlignment="1">
      <alignment horizontal="center" vertical="center" textRotation="90" wrapText="1"/>
    </xf>
    <xf numFmtId="0" fontId="77" fillId="0" borderId="132" xfId="0" applyFont="1" applyFill="1" applyBorder="1" applyAlignment="1">
      <alignment horizontal="center" vertical="center"/>
    </xf>
    <xf numFmtId="0" fontId="77" fillId="0" borderId="122" xfId="0" applyFont="1" applyFill="1" applyBorder="1" applyAlignment="1">
      <alignment horizontal="center" vertical="center"/>
    </xf>
    <xf numFmtId="0" fontId="77" fillId="0" borderId="123" xfId="0" applyFont="1" applyFill="1" applyBorder="1" applyAlignment="1">
      <alignment horizontal="center" vertical="center"/>
    </xf>
    <xf numFmtId="0" fontId="77" fillId="0" borderId="133" xfId="0" applyFont="1" applyFill="1" applyBorder="1" applyAlignment="1">
      <alignment horizontal="center" vertical="center"/>
    </xf>
    <xf numFmtId="0" fontId="77" fillId="0" borderId="126" xfId="0" applyFont="1" applyFill="1" applyBorder="1" applyAlignment="1">
      <alignment horizontal="center" vertical="center"/>
    </xf>
    <xf numFmtId="0" fontId="77" fillId="0" borderId="200" xfId="0" applyFont="1" applyFill="1" applyBorder="1" applyAlignment="1">
      <alignment horizontal="center" vertical="center"/>
    </xf>
    <xf numFmtId="0" fontId="77" fillId="0" borderId="133" xfId="0" applyFont="1" applyFill="1" applyBorder="1" applyAlignment="1">
      <alignment horizontal="center"/>
    </xf>
    <xf numFmtId="0" fontId="77" fillId="0" borderId="346" xfId="0" applyFont="1" applyFill="1" applyBorder="1" applyAlignment="1">
      <alignment horizontal="center"/>
    </xf>
    <xf numFmtId="0" fontId="77" fillId="0" borderId="347" xfId="0" applyFont="1" applyFill="1" applyBorder="1" applyAlignment="1">
      <alignment horizontal="center"/>
    </xf>
    <xf numFmtId="0" fontId="35" fillId="28" borderId="58" xfId="0" applyFont="1" applyFill="1" applyBorder="1" applyAlignment="1">
      <alignment horizontal="left" vertical="center" indent="2"/>
    </xf>
    <xf numFmtId="0" fontId="35" fillId="28" borderId="59" xfId="0" applyFont="1" applyFill="1" applyBorder="1" applyAlignment="1">
      <alignment horizontal="left" vertical="center" indent="2"/>
    </xf>
    <xf numFmtId="0" fontId="35" fillId="28" borderId="65" xfId="0" applyFont="1" applyFill="1" applyBorder="1" applyAlignment="1">
      <alignment horizontal="left" vertical="center" indent="2"/>
    </xf>
    <xf numFmtId="0" fontId="35" fillId="28" borderId="23" xfId="0" applyFont="1" applyFill="1" applyBorder="1" applyAlignment="1">
      <alignment horizontal="center" vertical="center"/>
    </xf>
    <xf numFmtId="0" fontId="35" fillId="28" borderId="69" xfId="0" applyFont="1" applyFill="1" applyBorder="1" applyAlignment="1">
      <alignment horizontal="center" vertical="center"/>
    </xf>
    <xf numFmtId="0" fontId="35" fillId="4" borderId="56" xfId="0" applyFont="1" applyFill="1" applyBorder="1" applyAlignment="1">
      <alignment horizontal="left" vertical="center" wrapText="1" indent="1"/>
    </xf>
    <xf numFmtId="0" fontId="35" fillId="4" borderId="32" xfId="0" applyFont="1" applyFill="1" applyBorder="1" applyAlignment="1">
      <alignment horizontal="left" vertical="center" wrapText="1" indent="1"/>
    </xf>
    <xf numFmtId="0" fontId="35" fillId="4" borderId="33" xfId="0" applyFont="1" applyFill="1" applyBorder="1" applyAlignment="1">
      <alignment horizontal="left" vertical="center" wrapText="1" indent="1"/>
    </xf>
    <xf numFmtId="0" fontId="35" fillId="4" borderId="23" xfId="0" applyFont="1" applyFill="1" applyBorder="1" applyAlignment="1">
      <alignment horizontal="center" vertical="center"/>
    </xf>
    <xf numFmtId="0" fontId="35" fillId="4" borderId="69" xfId="0" applyFont="1" applyFill="1" applyBorder="1" applyAlignment="1">
      <alignment horizontal="center" vertical="center"/>
    </xf>
    <xf numFmtId="0" fontId="35" fillId="28" borderId="68" xfId="0" applyFont="1" applyFill="1" applyBorder="1" applyAlignment="1">
      <alignment horizontal="left" vertical="center" indent="1"/>
    </xf>
    <xf numFmtId="0" fontId="35" fillId="28" borderId="23" xfId="0" applyFont="1" applyFill="1" applyBorder="1" applyAlignment="1">
      <alignment horizontal="left" vertical="center" indent="1"/>
    </xf>
    <xf numFmtId="0" fontId="35" fillId="4" borderId="68" xfId="0" applyFont="1" applyFill="1" applyBorder="1" applyAlignment="1">
      <alignment horizontal="left" vertical="center" indent="1"/>
    </xf>
    <xf numFmtId="0" fontId="35" fillId="4" borderId="23" xfId="0" applyFont="1" applyFill="1" applyBorder="1" applyAlignment="1">
      <alignment horizontal="left" vertical="center" indent="1"/>
    </xf>
    <xf numFmtId="0" fontId="31" fillId="3" borderId="23" xfId="0" applyFont="1" applyFill="1" applyBorder="1" applyAlignment="1">
      <alignment horizontal="center" vertical="center"/>
    </xf>
    <xf numFmtId="0" fontId="31" fillId="3" borderId="69" xfId="0" applyFont="1" applyFill="1" applyBorder="1" applyAlignment="1">
      <alignment horizontal="center" vertical="center"/>
    </xf>
    <xf numFmtId="0" fontId="25" fillId="3" borderId="67" xfId="0" applyFont="1" applyFill="1" applyBorder="1" applyAlignment="1">
      <alignment horizontal="center" vertical="center"/>
    </xf>
    <xf numFmtId="0" fontId="25" fillId="3" borderId="76" xfId="0" applyFont="1" applyFill="1" applyBorder="1" applyAlignment="1">
      <alignment horizontal="center" vertical="center"/>
    </xf>
    <xf numFmtId="0" fontId="25" fillId="3" borderId="68" xfId="0" applyFont="1" applyFill="1" applyBorder="1" applyAlignment="1">
      <alignment horizontal="center" vertical="center"/>
    </xf>
    <xf numFmtId="0" fontId="25" fillId="3" borderId="23" xfId="0" applyFont="1" applyFill="1" applyBorder="1" applyAlignment="1">
      <alignment horizontal="center" vertical="center"/>
    </xf>
    <xf numFmtId="0" fontId="25" fillId="3" borderId="73" xfId="0" applyFont="1" applyFill="1" applyBorder="1" applyAlignment="1">
      <alignment horizontal="center" vertical="center"/>
    </xf>
    <xf numFmtId="0" fontId="25" fillId="3" borderId="48" xfId="0" applyFont="1" applyFill="1" applyBorder="1" applyAlignment="1">
      <alignment horizontal="center" vertical="center"/>
    </xf>
    <xf numFmtId="0" fontId="25" fillId="3" borderId="49" xfId="0" applyFont="1" applyFill="1" applyBorder="1" applyAlignment="1">
      <alignment horizontal="center" vertical="center"/>
    </xf>
    <xf numFmtId="0" fontId="25" fillId="3" borderId="77" xfId="0" applyFont="1" applyFill="1" applyBorder="1" applyAlignment="1">
      <alignment horizontal="center" vertical="center"/>
    </xf>
    <xf numFmtId="165" fontId="0" fillId="28" borderId="70" xfId="0" applyNumberFormat="1" applyFill="1" applyBorder="1" applyAlignment="1">
      <alignment horizontal="center" vertical="center"/>
    </xf>
    <xf numFmtId="165" fontId="0" fillId="28" borderId="71" xfId="0" applyNumberFormat="1" applyFill="1" applyBorder="1" applyAlignment="1">
      <alignment horizontal="center" vertical="center"/>
    </xf>
    <xf numFmtId="165" fontId="25" fillId="28" borderId="71" xfId="0" applyNumberFormat="1" applyFont="1" applyFill="1" applyBorder="1" applyAlignment="1">
      <alignment horizontal="center" vertical="center"/>
    </xf>
    <xf numFmtId="165" fontId="0" fillId="28" borderId="72" xfId="0" applyNumberFormat="1" applyFill="1" applyBorder="1" applyAlignment="1">
      <alignment horizontal="center" vertical="center"/>
    </xf>
    <xf numFmtId="165" fontId="0" fillId="4" borderId="68" xfId="0" applyNumberFormat="1" applyFill="1" applyBorder="1" applyAlignment="1">
      <alignment horizontal="center" vertical="center"/>
    </xf>
    <xf numFmtId="165" fontId="0" fillId="4" borderId="23" xfId="0" applyNumberFormat="1" applyFill="1" applyBorder="1" applyAlignment="1">
      <alignment horizontal="center" vertical="center"/>
    </xf>
    <xf numFmtId="165" fontId="25" fillId="4" borderId="23" xfId="0" applyNumberFormat="1" applyFont="1" applyFill="1" applyBorder="1" applyAlignment="1">
      <alignment horizontal="center" vertical="center"/>
    </xf>
    <xf numFmtId="165" fontId="0" fillId="4" borderId="69" xfId="0" applyNumberFormat="1" applyFill="1" applyBorder="1" applyAlignment="1">
      <alignment horizontal="center" vertical="center"/>
    </xf>
    <xf numFmtId="165" fontId="0" fillId="28" borderId="68" xfId="0" applyNumberFormat="1" applyFill="1" applyBorder="1" applyAlignment="1">
      <alignment horizontal="center" vertical="center"/>
    </xf>
    <xf numFmtId="165" fontId="0" fillId="28" borderId="23" xfId="0" applyNumberFormat="1" applyFill="1" applyBorder="1" applyAlignment="1">
      <alignment horizontal="center" vertical="center"/>
    </xf>
    <xf numFmtId="165" fontId="25" fillId="28" borderId="23" xfId="0" applyNumberFormat="1" applyFont="1" applyFill="1" applyBorder="1" applyAlignment="1">
      <alignment horizontal="center" vertical="center"/>
    </xf>
    <xf numFmtId="165" fontId="0" fillId="28" borderId="69" xfId="0" applyNumberFormat="1" applyFill="1" applyBorder="1" applyAlignment="1">
      <alignment horizontal="center" vertical="center"/>
    </xf>
    <xf numFmtId="0" fontId="29" fillId="4" borderId="22" xfId="0" applyFont="1" applyFill="1" applyBorder="1" applyAlignment="1">
      <alignment horizontal="left" vertical="center" indent="1"/>
    </xf>
    <xf numFmtId="0" fontId="29" fillId="4" borderId="23" xfId="0" applyFont="1" applyFill="1" applyBorder="1" applyAlignment="1">
      <alignment horizontal="left" vertical="center" indent="1"/>
    </xf>
    <xf numFmtId="0" fontId="29" fillId="4" borderId="24" xfId="0" applyFont="1" applyFill="1" applyBorder="1" applyAlignment="1">
      <alignment horizontal="left" vertical="center" indent="1"/>
    </xf>
    <xf numFmtId="0" fontId="29" fillId="28" borderId="25" xfId="0" applyFont="1" applyFill="1" applyBorder="1" applyAlignment="1">
      <alignment horizontal="left" vertical="center" indent="1"/>
    </xf>
    <xf numFmtId="0" fontId="29" fillId="28" borderId="26" xfId="0" applyFont="1" applyFill="1" applyBorder="1" applyAlignment="1">
      <alignment horizontal="left" vertical="center" indent="1"/>
    </xf>
    <xf numFmtId="0" fontId="29" fillId="28" borderId="27" xfId="0" applyFont="1" applyFill="1" applyBorder="1" applyAlignment="1">
      <alignment horizontal="left" vertical="center" indent="1"/>
    </xf>
    <xf numFmtId="0" fontId="29" fillId="28" borderId="22" xfId="0" applyFont="1" applyFill="1" applyBorder="1" applyAlignment="1">
      <alignment horizontal="left" vertical="center" indent="1"/>
    </xf>
    <xf numFmtId="0" fontId="29" fillId="28" borderId="23" xfId="0" applyFont="1" applyFill="1" applyBorder="1" applyAlignment="1">
      <alignment horizontal="left" vertical="center" indent="1"/>
    </xf>
    <xf numFmtId="0" fontId="29" fillId="28" borderId="24" xfId="0" applyFont="1" applyFill="1" applyBorder="1" applyAlignment="1">
      <alignment horizontal="left" vertical="center" indent="1"/>
    </xf>
    <xf numFmtId="0" fontId="29" fillId="4" borderId="28" xfId="0" applyFont="1" applyFill="1" applyBorder="1" applyAlignment="1">
      <alignment horizontal="left" vertical="center" indent="1"/>
    </xf>
    <xf numFmtId="0" fontId="29" fillId="4" borderId="29" xfId="0" applyFont="1" applyFill="1" applyBorder="1" applyAlignment="1">
      <alignment horizontal="left" vertical="center" indent="1"/>
    </xf>
    <xf numFmtId="0" fontId="29" fillId="4" borderId="30" xfId="0" applyFont="1" applyFill="1" applyBorder="1" applyAlignment="1">
      <alignment horizontal="left" vertical="center" indent="1"/>
    </xf>
    <xf numFmtId="0" fontId="56" fillId="28" borderId="71" xfId="0" applyNumberFormat="1" applyFont="1" applyFill="1" applyBorder="1" applyAlignment="1">
      <alignment horizontal="center" vertical="center"/>
    </xf>
    <xf numFmtId="0" fontId="56" fillId="28" borderId="71" xfId="0" applyNumberFormat="1" applyFont="1" applyFill="1" applyBorder="1" applyAlignment="1">
      <alignment horizontal="center" vertical="center" wrapText="1"/>
    </xf>
    <xf numFmtId="0" fontId="56" fillId="28" borderId="72" xfId="0" applyNumberFormat="1" applyFont="1" applyFill="1" applyBorder="1" applyAlignment="1">
      <alignment horizontal="center" vertical="center" wrapText="1"/>
    </xf>
    <xf numFmtId="0" fontId="51" fillId="3" borderId="19" xfId="0" applyFont="1" applyFill="1" applyBorder="1" applyAlignment="1">
      <alignment horizontal="center" vertical="center"/>
    </xf>
    <xf numFmtId="0" fontId="51" fillId="3" borderId="20" xfId="0" applyFont="1" applyFill="1" applyBorder="1" applyAlignment="1">
      <alignment horizontal="center" vertical="center"/>
    </xf>
    <xf numFmtId="0" fontId="51" fillId="3" borderId="21" xfId="0" applyFont="1" applyFill="1" applyBorder="1" applyAlignment="1">
      <alignment horizontal="center" vertical="center"/>
    </xf>
    <xf numFmtId="0" fontId="56" fillId="4" borderId="23" xfId="0" applyNumberFormat="1" applyFont="1" applyFill="1" applyBorder="1" applyAlignment="1">
      <alignment horizontal="center" vertical="center"/>
    </xf>
    <xf numFmtId="0" fontId="56" fillId="4" borderId="69" xfId="0" applyNumberFormat="1" applyFont="1" applyFill="1" applyBorder="1" applyAlignment="1">
      <alignment horizontal="center" vertical="center"/>
    </xf>
    <xf numFmtId="0" fontId="56" fillId="28" borderId="70" xfId="0" applyNumberFormat="1" applyFont="1" applyFill="1" applyBorder="1" applyAlignment="1">
      <alignment horizontal="center" vertical="center"/>
    </xf>
    <xf numFmtId="0" fontId="56" fillId="28" borderId="71" xfId="0" applyNumberFormat="1" applyFont="1" applyFill="1" applyBorder="1" applyAlignment="1">
      <alignment horizontal="left" vertical="center"/>
    </xf>
    <xf numFmtId="0" fontId="57" fillId="28" borderId="71" xfId="0" applyNumberFormat="1" applyFont="1" applyFill="1" applyBorder="1" applyAlignment="1">
      <alignment vertical="center"/>
    </xf>
    <xf numFmtId="0" fontId="56" fillId="28" borderId="23" xfId="0" applyNumberFormat="1" applyFont="1" applyFill="1" applyBorder="1" applyAlignment="1">
      <alignment horizontal="center" vertical="center" wrapText="1"/>
    </xf>
    <xf numFmtId="0" fontId="56" fillId="28" borderId="69" xfId="0" applyNumberFormat="1" applyFont="1" applyFill="1" applyBorder="1" applyAlignment="1">
      <alignment horizontal="center" vertical="center" wrapText="1"/>
    </xf>
    <xf numFmtId="0" fontId="56" fillId="4" borderId="68" xfId="0" applyNumberFormat="1" applyFont="1" applyFill="1" applyBorder="1" applyAlignment="1">
      <alignment horizontal="center" vertical="center"/>
    </xf>
    <xf numFmtId="0" fontId="56" fillId="4" borderId="23" xfId="0" applyNumberFormat="1" applyFont="1" applyFill="1" applyBorder="1" applyAlignment="1">
      <alignment horizontal="left" vertical="center"/>
    </xf>
    <xf numFmtId="0" fontId="57" fillId="4" borderId="23" xfId="0" applyNumberFormat="1" applyFont="1" applyFill="1" applyBorder="1" applyAlignment="1">
      <alignment vertical="center"/>
    </xf>
    <xf numFmtId="0" fontId="56" fillId="28" borderId="23" xfId="0" applyNumberFormat="1" applyFont="1" applyFill="1" applyBorder="1" applyAlignment="1">
      <alignment horizontal="center" vertical="center"/>
    </xf>
    <xf numFmtId="0" fontId="56" fillId="28" borderId="68" xfId="0" applyNumberFormat="1" applyFont="1" applyFill="1" applyBorder="1" applyAlignment="1">
      <alignment horizontal="center" vertical="center"/>
    </xf>
    <xf numFmtId="0" fontId="56" fillId="28" borderId="23" xfId="0" applyNumberFormat="1" applyFont="1" applyFill="1" applyBorder="1" applyAlignment="1">
      <alignment horizontal="left" vertical="center"/>
    </xf>
    <xf numFmtId="0" fontId="57" fillId="28" borderId="23" xfId="0" applyNumberFormat="1" applyFont="1" applyFill="1" applyBorder="1" applyAlignment="1">
      <alignment vertical="center"/>
    </xf>
    <xf numFmtId="0" fontId="56" fillId="4" borderId="29" xfId="0" applyNumberFormat="1" applyFont="1" applyFill="1" applyBorder="1" applyAlignment="1">
      <alignment horizontal="center" vertical="center"/>
    </xf>
    <xf numFmtId="0" fontId="56" fillId="4" borderId="80" xfId="0" applyNumberFormat="1" applyFont="1" applyFill="1" applyBorder="1" applyAlignment="1">
      <alignment horizontal="center" vertical="center"/>
    </xf>
    <xf numFmtId="0" fontId="55" fillId="3" borderId="23" xfId="0" applyFont="1" applyFill="1" applyBorder="1" applyAlignment="1">
      <alignment horizontal="center" vertical="center"/>
    </xf>
    <xf numFmtId="0" fontId="55" fillId="3" borderId="23" xfId="0" applyFont="1" applyFill="1" applyBorder="1" applyAlignment="1">
      <alignment horizontal="center" vertical="center" wrapText="1"/>
    </xf>
    <xf numFmtId="0" fontId="56" fillId="4" borderId="79" xfId="0" applyNumberFormat="1" applyFont="1" applyFill="1" applyBorder="1" applyAlignment="1">
      <alignment horizontal="center" vertical="center"/>
    </xf>
    <xf numFmtId="0" fontId="56" fillId="4" borderId="29" xfId="0" applyNumberFormat="1" applyFont="1" applyFill="1" applyBorder="1" applyAlignment="1">
      <alignment horizontal="left" vertical="center"/>
    </xf>
    <xf numFmtId="0" fontId="57" fillId="4" borderId="29" xfId="0" applyNumberFormat="1" applyFont="1" applyFill="1" applyBorder="1" applyAlignment="1">
      <alignment vertical="center"/>
    </xf>
    <xf numFmtId="0" fontId="55" fillId="3" borderId="66" xfId="0" applyFont="1" applyFill="1" applyBorder="1" applyAlignment="1">
      <alignment horizontal="center" vertical="center" wrapText="1"/>
    </xf>
    <xf numFmtId="0" fontId="55" fillId="3" borderId="51" xfId="0" applyFont="1" applyFill="1" applyBorder="1" applyAlignment="1">
      <alignment horizontal="center" vertical="center" wrapText="1"/>
    </xf>
    <xf numFmtId="0" fontId="55" fillId="3" borderId="52" xfId="0" applyFont="1" applyFill="1" applyBorder="1" applyAlignment="1">
      <alignment horizontal="center" vertical="center" wrapText="1"/>
    </xf>
    <xf numFmtId="0" fontId="55" fillId="3" borderId="54" xfId="0" applyFont="1" applyFill="1" applyBorder="1" applyAlignment="1">
      <alignment horizontal="center" vertical="center" wrapText="1"/>
    </xf>
    <xf numFmtId="0" fontId="55" fillId="3" borderId="37" xfId="0" applyFont="1" applyFill="1" applyBorder="1" applyAlignment="1">
      <alignment horizontal="center" vertical="center" wrapText="1"/>
    </xf>
    <xf numFmtId="0" fontId="55" fillId="3" borderId="38" xfId="0" applyFont="1" applyFill="1" applyBorder="1" applyAlignment="1">
      <alignment horizontal="center" vertical="center" wrapText="1"/>
    </xf>
    <xf numFmtId="0" fontId="55" fillId="3" borderId="50" xfId="0" applyFont="1" applyFill="1" applyBorder="1" applyAlignment="1">
      <alignment horizontal="center" vertical="center"/>
    </xf>
    <xf numFmtId="0" fontId="55" fillId="3" borderId="51" xfId="0" applyFont="1" applyFill="1" applyBorder="1" applyAlignment="1">
      <alignment horizontal="center" vertical="center"/>
    </xf>
    <xf numFmtId="0" fontId="55" fillId="3" borderId="52" xfId="0" applyFont="1" applyFill="1" applyBorder="1" applyAlignment="1">
      <alignment horizontal="center" vertical="center"/>
    </xf>
    <xf numFmtId="0" fontId="55" fillId="3" borderId="46" xfId="0" applyFont="1" applyFill="1" applyBorder="1" applyAlignment="1">
      <alignment horizontal="center" vertical="center"/>
    </xf>
    <xf numFmtId="0" fontId="55" fillId="3" borderId="37" xfId="0" applyFont="1" applyFill="1" applyBorder="1" applyAlignment="1">
      <alignment horizontal="center" vertical="center"/>
    </xf>
    <xf numFmtId="0" fontId="55" fillId="3" borderId="38" xfId="0" applyFont="1" applyFill="1" applyBorder="1" applyAlignment="1">
      <alignment horizontal="center" vertical="center"/>
    </xf>
    <xf numFmtId="0" fontId="55" fillId="3" borderId="76" xfId="0" applyFont="1" applyFill="1" applyBorder="1" applyAlignment="1">
      <alignment horizontal="center" vertical="center"/>
    </xf>
    <xf numFmtId="0" fontId="55" fillId="3" borderId="76" xfId="0" applyFont="1" applyFill="1" applyBorder="1" applyAlignment="1">
      <alignment horizontal="center" vertical="center" wrapText="1"/>
    </xf>
    <xf numFmtId="0" fontId="55" fillId="3" borderId="77" xfId="0" applyFont="1" applyFill="1" applyBorder="1" applyAlignment="1">
      <alignment horizontal="center" vertical="center"/>
    </xf>
    <xf numFmtId="0" fontId="55" fillId="3" borderId="69" xfId="0" applyFont="1" applyFill="1" applyBorder="1" applyAlignment="1">
      <alignment horizontal="center" vertical="center"/>
    </xf>
    <xf numFmtId="165" fontId="53" fillId="4" borderId="34" xfId="0" applyNumberFormat="1" applyFont="1" applyFill="1" applyBorder="1" applyAlignment="1">
      <alignment horizontal="center" vertical="center"/>
    </xf>
    <xf numFmtId="165" fontId="53" fillId="4" borderId="32" xfId="0" applyNumberFormat="1" applyFont="1" applyFill="1" applyBorder="1" applyAlignment="1">
      <alignment horizontal="center" vertical="center"/>
    </xf>
    <xf numFmtId="165" fontId="53" fillId="4" borderId="57" xfId="0" applyNumberFormat="1" applyFont="1" applyFill="1" applyBorder="1" applyAlignment="1">
      <alignment horizontal="center" vertical="center"/>
    </xf>
    <xf numFmtId="165" fontId="53" fillId="28" borderId="58" xfId="0" applyNumberFormat="1" applyFont="1" applyFill="1" applyBorder="1" applyAlignment="1">
      <alignment horizontal="left" vertical="center" indent="1"/>
    </xf>
    <xf numFmtId="165" fontId="53" fillId="28" borderId="59" xfId="0" applyNumberFormat="1" applyFont="1" applyFill="1" applyBorder="1" applyAlignment="1">
      <alignment horizontal="left" vertical="center" indent="1"/>
    </xf>
    <xf numFmtId="165" fontId="54" fillId="28" borderId="75" xfId="0" applyNumberFormat="1" applyFont="1" applyFill="1" applyBorder="1" applyAlignment="1">
      <alignment horizontal="center" vertical="center"/>
    </xf>
    <xf numFmtId="165" fontId="54" fillId="28" borderId="62" xfId="0" applyNumberFormat="1" applyFont="1" applyFill="1" applyBorder="1" applyAlignment="1">
      <alignment horizontal="center" vertical="center"/>
    </xf>
    <xf numFmtId="165" fontId="54" fillId="28" borderId="63" xfId="0" applyNumberFormat="1" applyFont="1" applyFill="1" applyBorder="1" applyAlignment="1">
      <alignment horizontal="center" vertical="center"/>
    </xf>
    <xf numFmtId="165" fontId="54" fillId="28" borderId="61" xfId="0" applyNumberFormat="1" applyFont="1" applyFill="1" applyBorder="1" applyAlignment="1">
      <alignment horizontal="center" vertical="center"/>
    </xf>
    <xf numFmtId="165" fontId="53" fillId="28" borderId="64" xfId="0" applyNumberFormat="1" applyFont="1" applyFill="1" applyBorder="1" applyAlignment="1">
      <alignment horizontal="center" vertical="center"/>
    </xf>
    <xf numFmtId="165" fontId="53" fillId="28" borderId="59" xfId="0" applyNumberFormat="1" applyFont="1" applyFill="1" applyBorder="1" applyAlignment="1">
      <alignment horizontal="center" vertical="center"/>
    </xf>
    <xf numFmtId="165" fontId="53" fillId="28" borderId="65" xfId="0" applyNumberFormat="1" applyFont="1" applyFill="1" applyBorder="1" applyAlignment="1">
      <alignment horizontal="center" vertical="center"/>
    </xf>
    <xf numFmtId="165" fontId="53" fillId="28" borderId="58" xfId="0" applyNumberFormat="1" applyFont="1" applyFill="1" applyBorder="1" applyAlignment="1">
      <alignment horizontal="center" vertical="center"/>
    </xf>
    <xf numFmtId="165" fontId="53" fillId="28" borderId="60" xfId="0" applyNumberFormat="1" applyFont="1" applyFill="1" applyBorder="1" applyAlignment="1">
      <alignment horizontal="center" vertical="center"/>
    </xf>
    <xf numFmtId="165" fontId="53" fillId="4" borderId="56" xfId="0" applyNumberFormat="1" applyFont="1" applyFill="1" applyBorder="1" applyAlignment="1">
      <alignment horizontal="left" vertical="center" indent="1"/>
    </xf>
    <xf numFmtId="165" fontId="53" fillId="4" borderId="32" xfId="0" applyNumberFormat="1" applyFont="1" applyFill="1" applyBorder="1" applyAlignment="1">
      <alignment horizontal="left" vertical="center" indent="1"/>
    </xf>
    <xf numFmtId="165" fontId="54" fillId="4" borderId="54" xfId="0" applyNumberFormat="1" applyFont="1" applyFill="1" applyBorder="1" applyAlignment="1">
      <alignment horizontal="center" vertical="center"/>
    </xf>
    <xf numFmtId="165" fontId="54" fillId="4" borderId="37" xfId="0" applyNumberFormat="1" applyFont="1" applyFill="1" applyBorder="1" applyAlignment="1">
      <alignment horizontal="center" vertical="center"/>
    </xf>
    <xf numFmtId="165" fontId="54" fillId="4" borderId="38" xfId="0" applyNumberFormat="1" applyFont="1" applyFill="1" applyBorder="1" applyAlignment="1">
      <alignment horizontal="center" vertical="center"/>
    </xf>
    <xf numFmtId="165" fontId="54" fillId="4" borderId="46" xfId="0" applyNumberFormat="1" applyFont="1" applyFill="1" applyBorder="1" applyAlignment="1">
      <alignment horizontal="center" vertical="center"/>
    </xf>
    <xf numFmtId="165" fontId="53" fillId="4" borderId="56" xfId="0" applyNumberFormat="1" applyFont="1" applyFill="1" applyBorder="1" applyAlignment="1">
      <alignment horizontal="center" vertical="center"/>
    </xf>
    <xf numFmtId="165" fontId="53" fillId="4" borderId="33" xfId="0" applyNumberFormat="1" applyFont="1" applyFill="1" applyBorder="1" applyAlignment="1">
      <alignment horizontal="center" vertical="center"/>
    </xf>
    <xf numFmtId="165" fontId="0" fillId="28" borderId="64" xfId="0" applyNumberFormat="1" applyFill="1" applyBorder="1" applyAlignment="1">
      <alignment horizontal="center" vertical="center"/>
    </xf>
    <xf numFmtId="165" fontId="0" fillId="28" borderId="59" xfId="0" applyNumberFormat="1" applyFill="1" applyBorder="1" applyAlignment="1">
      <alignment horizontal="center" vertical="center"/>
    </xf>
    <xf numFmtId="165" fontId="0" fillId="28" borderId="60" xfId="0" applyNumberFormat="1" applyFill="1" applyBorder="1" applyAlignment="1">
      <alignment horizontal="center" vertical="center"/>
    </xf>
    <xf numFmtId="165" fontId="0" fillId="28" borderId="65" xfId="0" applyNumberFormat="1" applyFill="1" applyBorder="1" applyAlignment="1">
      <alignment horizontal="center" vertical="center"/>
    </xf>
    <xf numFmtId="165" fontId="0" fillId="4" borderId="56" xfId="0" applyNumberFormat="1" applyFill="1" applyBorder="1" applyAlignment="1">
      <alignment horizontal="center" vertical="center"/>
    </xf>
    <xf numFmtId="165" fontId="0" fillId="4" borderId="32" xfId="0" applyNumberFormat="1" applyFill="1" applyBorder="1" applyAlignment="1">
      <alignment horizontal="center" vertical="center"/>
    </xf>
    <xf numFmtId="165" fontId="0" fillId="4" borderId="33" xfId="0" applyNumberFormat="1" applyFill="1" applyBorder="1" applyAlignment="1">
      <alignment horizontal="center" vertical="center"/>
    </xf>
    <xf numFmtId="165" fontId="25" fillId="4" borderId="46" xfId="0" applyNumberFormat="1" applyFont="1" applyFill="1" applyBorder="1" applyAlignment="1">
      <alignment horizontal="center" vertical="center"/>
    </xf>
    <xf numFmtId="165" fontId="25" fillId="4" borderId="37" xfId="0" applyNumberFormat="1" applyFont="1" applyFill="1" applyBorder="1" applyAlignment="1">
      <alignment horizontal="center" vertical="center"/>
    </xf>
    <xf numFmtId="165" fontId="25" fillId="4" borderId="38" xfId="0" applyNumberFormat="1" applyFont="1" applyFill="1" applyBorder="1" applyAlignment="1">
      <alignment horizontal="center" vertical="center"/>
    </xf>
    <xf numFmtId="165" fontId="0" fillId="4" borderId="34" xfId="0" applyNumberFormat="1" applyFill="1" applyBorder="1" applyAlignment="1">
      <alignment horizontal="center" vertical="center"/>
    </xf>
    <xf numFmtId="0" fontId="54" fillId="28" borderId="56" xfId="0" applyFont="1" applyFill="1" applyBorder="1" applyAlignment="1">
      <alignment horizontal="left" vertical="center" indent="1"/>
    </xf>
    <xf numFmtId="0" fontId="54" fillId="28" borderId="32" xfId="0" applyFont="1" applyFill="1" applyBorder="1" applyAlignment="1">
      <alignment horizontal="left" vertical="center" indent="1"/>
    </xf>
    <xf numFmtId="0" fontId="54" fillId="28" borderId="56" xfId="0" applyFont="1" applyFill="1" applyBorder="1" applyAlignment="1">
      <alignment horizontal="center" vertical="center"/>
    </xf>
    <xf numFmtId="0" fontId="54" fillId="28" borderId="32" xfId="0" applyFont="1" applyFill="1" applyBorder="1" applyAlignment="1">
      <alignment horizontal="center" vertical="center"/>
    </xf>
    <xf numFmtId="0" fontId="54" fillId="28" borderId="33" xfId="0" applyFont="1" applyFill="1" applyBorder="1" applyAlignment="1">
      <alignment horizontal="center" vertical="center"/>
    </xf>
    <xf numFmtId="0" fontId="54" fillId="28" borderId="34" xfId="0" applyFont="1" applyFill="1" applyBorder="1" applyAlignment="1">
      <alignment horizontal="center" vertical="center"/>
    </xf>
    <xf numFmtId="0" fontId="54" fillId="28" borderId="34" xfId="0" applyFont="1" applyFill="1" applyBorder="1" applyAlignment="1">
      <alignment horizontal="center" vertical="center" wrapText="1"/>
    </xf>
    <xf numFmtId="0" fontId="54" fillId="28" borderId="32" xfId="0" applyFont="1" applyFill="1" applyBorder="1" applyAlignment="1">
      <alignment horizontal="center" vertical="center" wrapText="1"/>
    </xf>
    <xf numFmtId="0" fontId="54" fillId="28" borderId="57" xfId="0" applyFont="1" applyFill="1" applyBorder="1" applyAlignment="1">
      <alignment horizontal="center" vertical="center" wrapText="1"/>
    </xf>
    <xf numFmtId="0" fontId="54" fillId="28" borderId="56" xfId="0" applyFont="1" applyFill="1" applyBorder="1" applyAlignment="1">
      <alignment horizontal="center" vertical="center" wrapText="1"/>
    </xf>
    <xf numFmtId="0" fontId="54" fillId="28" borderId="33" xfId="0" applyFont="1" applyFill="1" applyBorder="1" applyAlignment="1">
      <alignment horizontal="center" vertical="center" wrapText="1"/>
    </xf>
    <xf numFmtId="0" fontId="25" fillId="3" borderId="66" xfId="0" applyFont="1" applyFill="1" applyBorder="1" applyAlignment="1">
      <alignment horizontal="center" vertical="center"/>
    </xf>
    <xf numFmtId="0" fontId="25" fillId="3" borderId="51" xfId="0" applyFont="1" applyFill="1" applyBorder="1" applyAlignment="1">
      <alignment horizontal="center" vertical="center"/>
    </xf>
    <xf numFmtId="0" fontId="25" fillId="3" borderId="54" xfId="0" applyFont="1" applyFill="1" applyBorder="1" applyAlignment="1">
      <alignment horizontal="center" vertical="center"/>
    </xf>
    <xf numFmtId="0" fontId="25" fillId="3" borderId="37" xfId="0" applyFont="1" applyFill="1" applyBorder="1" applyAlignment="1">
      <alignment horizontal="center" vertical="center"/>
    </xf>
    <xf numFmtId="0" fontId="25" fillId="3" borderId="47" xfId="0" applyFont="1" applyFill="1" applyBorder="1" applyAlignment="1">
      <alignment horizontal="center" vertical="center"/>
    </xf>
    <xf numFmtId="0" fontId="25" fillId="3" borderId="74" xfId="0" applyFont="1" applyFill="1" applyBorder="1" applyAlignment="1">
      <alignment horizontal="center" vertical="center"/>
    </xf>
    <xf numFmtId="0" fontId="25" fillId="3" borderId="47" xfId="0" applyFont="1" applyFill="1" applyBorder="1" applyAlignment="1">
      <alignment horizontal="center" vertical="center" wrapText="1"/>
    </xf>
    <xf numFmtId="0" fontId="25" fillId="3" borderId="48" xfId="0" applyFont="1" applyFill="1" applyBorder="1" applyAlignment="1">
      <alignment horizontal="center" vertical="center" wrapText="1"/>
    </xf>
    <xf numFmtId="0" fontId="25" fillId="3" borderId="74" xfId="0" applyFont="1" applyFill="1" applyBorder="1" applyAlignment="1">
      <alignment horizontal="center" vertical="center" wrapText="1"/>
    </xf>
    <xf numFmtId="0" fontId="25" fillId="3" borderId="38" xfId="0" applyFont="1" applyFill="1" applyBorder="1" applyAlignment="1">
      <alignment horizontal="center" vertical="center"/>
    </xf>
    <xf numFmtId="0" fontId="25" fillId="3" borderId="46" xfId="0" applyFont="1" applyFill="1" applyBorder="1" applyAlignment="1">
      <alignment horizontal="center" vertical="center"/>
    </xf>
    <xf numFmtId="0" fontId="25" fillId="3" borderId="34" xfId="0" applyFont="1" applyFill="1" applyBorder="1" applyAlignment="1">
      <alignment horizontal="center" vertical="center" wrapText="1"/>
    </xf>
    <xf numFmtId="0" fontId="25" fillId="3" borderId="32" xfId="0" applyFont="1" applyFill="1" applyBorder="1" applyAlignment="1">
      <alignment horizontal="center" vertical="center" wrapText="1"/>
    </xf>
    <xf numFmtId="0" fontId="25" fillId="3" borderId="57" xfId="0" applyFont="1" applyFill="1" applyBorder="1" applyAlignment="1">
      <alignment horizontal="center" vertical="center" wrapText="1"/>
    </xf>
    <xf numFmtId="0" fontId="25" fillId="3" borderId="56" xfId="0" applyFont="1" applyFill="1" applyBorder="1" applyAlignment="1">
      <alignment horizontal="center" vertical="center" wrapText="1"/>
    </xf>
    <xf numFmtId="0" fontId="25" fillId="3" borderId="33" xfId="0" applyFont="1" applyFill="1" applyBorder="1" applyAlignment="1">
      <alignment horizontal="center" vertical="center" wrapText="1"/>
    </xf>
    <xf numFmtId="165" fontId="27" fillId="28" borderId="23" xfId="0" applyNumberFormat="1" applyFont="1" applyFill="1" applyBorder="1" applyAlignment="1">
      <alignment horizontal="center" vertical="center"/>
    </xf>
    <xf numFmtId="165" fontId="27" fillId="28" borderId="69" xfId="0" applyNumberFormat="1" applyFont="1" applyFill="1" applyBorder="1" applyAlignment="1">
      <alignment horizontal="center" vertical="center"/>
    </xf>
    <xf numFmtId="0" fontId="35" fillId="28" borderId="94" xfId="0" applyFont="1" applyFill="1" applyBorder="1" applyAlignment="1">
      <alignment horizontal="left" vertical="center" indent="1"/>
    </xf>
    <xf numFmtId="0" fontId="35" fillId="28" borderId="35" xfId="0" applyFont="1" applyFill="1" applyBorder="1" applyAlignment="1">
      <alignment horizontal="left" vertical="center" indent="1"/>
    </xf>
    <xf numFmtId="0" fontId="35" fillId="28" borderId="84" xfId="0" applyFont="1" applyFill="1" applyBorder="1" applyAlignment="1">
      <alignment horizontal="left" vertical="center" indent="1"/>
    </xf>
    <xf numFmtId="0" fontId="35" fillId="28" borderId="16" xfId="0" applyFont="1" applyFill="1" applyBorder="1" applyAlignment="1">
      <alignment horizontal="left" vertical="center" indent="1"/>
    </xf>
    <xf numFmtId="0" fontId="35" fillId="28" borderId="95" xfId="0" applyFont="1" applyFill="1" applyBorder="1" applyAlignment="1">
      <alignment horizontal="left" vertical="center" indent="1"/>
    </xf>
    <xf numFmtId="0" fontId="35" fillId="28" borderId="96" xfId="0" applyFont="1" applyFill="1" applyBorder="1" applyAlignment="1">
      <alignment horizontal="left" vertical="center" indent="1"/>
    </xf>
    <xf numFmtId="0" fontId="35" fillId="27" borderId="35" xfId="0" applyFont="1" applyFill="1" applyBorder="1" applyAlignment="1">
      <alignment horizontal="left" vertical="center"/>
    </xf>
    <xf numFmtId="165" fontId="36" fillId="27" borderId="36" xfId="0" applyNumberFormat="1" applyFont="1" applyFill="1" applyBorder="1" applyAlignment="1">
      <alignment horizontal="center" vertical="center"/>
    </xf>
    <xf numFmtId="165" fontId="36" fillId="27" borderId="37" xfId="0" applyNumberFormat="1" applyFont="1" applyFill="1" applyBorder="1" applyAlignment="1">
      <alignment horizontal="center" vertical="center"/>
    </xf>
    <xf numFmtId="165" fontId="27" fillId="28" borderId="43" xfId="0" applyNumberFormat="1" applyFont="1" applyFill="1" applyBorder="1" applyAlignment="1">
      <alignment horizontal="center" vertical="center"/>
    </xf>
    <xf numFmtId="165" fontId="27" fillId="28" borderId="29" xfId="0" applyNumberFormat="1" applyFont="1" applyFill="1" applyBorder="1" applyAlignment="1">
      <alignment horizontal="center" vertical="center"/>
    </xf>
    <xf numFmtId="165" fontId="27" fillId="28" borderId="80" xfId="0" applyNumberFormat="1" applyFont="1" applyFill="1" applyBorder="1" applyAlignment="1">
      <alignment horizontal="center" vertical="center"/>
    </xf>
    <xf numFmtId="0" fontId="35" fillId="27" borderId="16" xfId="0" applyFont="1" applyFill="1" applyBorder="1" applyAlignment="1">
      <alignment horizontal="left" vertical="center"/>
    </xf>
    <xf numFmtId="0" fontId="25" fillId="3" borderId="50" xfId="0" applyFont="1" applyFill="1" applyBorder="1" applyAlignment="1">
      <alignment horizontal="center" vertical="center" wrapText="1"/>
    </xf>
    <xf numFmtId="0" fontId="25" fillId="3" borderId="53" xfId="0" applyFont="1" applyFill="1" applyBorder="1" applyAlignment="1">
      <alignment horizontal="center" vertical="center"/>
    </xf>
    <xf numFmtId="0" fontId="25" fillId="3" borderId="55" xfId="0" applyFont="1" applyFill="1" applyBorder="1" applyAlignment="1">
      <alignment horizontal="center" vertical="center"/>
    </xf>
    <xf numFmtId="166" fontId="25" fillId="3" borderId="68" xfId="0" applyNumberFormat="1" applyFont="1" applyFill="1" applyBorder="1" applyAlignment="1">
      <alignment horizontal="center" vertical="center"/>
    </xf>
    <xf numFmtId="166" fontId="25" fillId="3" borderId="23" xfId="0" applyNumberFormat="1" applyFont="1" applyFill="1" applyBorder="1" applyAlignment="1">
      <alignment horizontal="center" vertical="center"/>
    </xf>
    <xf numFmtId="165" fontId="0" fillId="4" borderId="57" xfId="0" applyNumberFormat="1" applyFill="1" applyBorder="1" applyAlignment="1">
      <alignment horizontal="center" vertical="center"/>
    </xf>
    <xf numFmtId="165" fontId="0" fillId="28" borderId="58" xfId="0" applyNumberFormat="1" applyFill="1" applyBorder="1" applyAlignment="1">
      <alignment horizontal="center" vertical="center"/>
    </xf>
    <xf numFmtId="165" fontId="25" fillId="28" borderId="61" xfId="0" applyNumberFormat="1" applyFont="1" applyFill="1" applyBorder="1" applyAlignment="1">
      <alignment horizontal="center" vertical="center"/>
    </xf>
    <xf numFmtId="165" fontId="25" fillId="28" borderId="62" xfId="0" applyNumberFormat="1" applyFont="1" applyFill="1" applyBorder="1" applyAlignment="1">
      <alignment horizontal="center" vertical="center"/>
    </xf>
    <xf numFmtId="165" fontId="25" fillId="28" borderId="63" xfId="0" applyNumberFormat="1" applyFont="1" applyFill="1" applyBorder="1" applyAlignment="1">
      <alignment horizontal="center" vertical="center"/>
    </xf>
    <xf numFmtId="165" fontId="27" fillId="28" borderId="42" xfId="0" applyNumberFormat="1" applyFont="1" applyFill="1" applyBorder="1" applyAlignment="1">
      <alignment horizontal="center" vertical="center"/>
    </xf>
    <xf numFmtId="165" fontId="27" fillId="28" borderId="93" xfId="0" applyNumberFormat="1" applyFont="1" applyFill="1" applyBorder="1" applyAlignment="1">
      <alignment horizontal="center" vertical="center"/>
    </xf>
    <xf numFmtId="165" fontId="27" fillId="28" borderId="71" xfId="0" applyNumberFormat="1" applyFont="1" applyFill="1" applyBorder="1" applyAlignment="1">
      <alignment horizontal="center" vertical="center"/>
    </xf>
    <xf numFmtId="165" fontId="27" fillId="28" borderId="72" xfId="0" applyNumberFormat="1" applyFont="1" applyFill="1" applyBorder="1" applyAlignment="1">
      <alignment horizontal="center" vertical="center"/>
    </xf>
    <xf numFmtId="0" fontId="35" fillId="28" borderId="94" xfId="0" applyFont="1" applyFill="1" applyBorder="1" applyAlignment="1">
      <alignment horizontal="left" vertical="center" wrapText="1" indent="1"/>
    </xf>
    <xf numFmtId="0" fontId="35" fillId="28" borderId="92" xfId="0" applyFont="1" applyFill="1" applyBorder="1" applyAlignment="1">
      <alignment horizontal="left" vertical="center" indent="1"/>
    </xf>
    <xf numFmtId="0" fontId="35" fillId="28" borderId="39" xfId="0" applyFont="1" applyFill="1" applyBorder="1" applyAlignment="1">
      <alignment horizontal="left" vertical="center" indent="1"/>
    </xf>
    <xf numFmtId="0" fontId="25" fillId="3" borderId="51" xfId="0" applyFont="1" applyFill="1" applyBorder="1" applyAlignment="1">
      <alignment horizontal="center" vertical="center" wrapText="1"/>
    </xf>
    <xf numFmtId="0" fontId="25" fillId="3" borderId="52" xfId="0" applyFont="1" applyFill="1" applyBorder="1" applyAlignment="1">
      <alignment horizontal="center" vertical="center" wrapText="1"/>
    </xf>
    <xf numFmtId="0" fontId="25" fillId="3" borderId="46" xfId="0" applyFont="1" applyFill="1" applyBorder="1" applyAlignment="1">
      <alignment horizontal="center" vertical="center" wrapText="1"/>
    </xf>
    <xf numFmtId="0" fontId="25" fillId="3" borderId="37" xfId="0" applyFont="1" applyFill="1" applyBorder="1" applyAlignment="1">
      <alignment horizontal="center" vertical="center" wrapText="1"/>
    </xf>
    <xf numFmtId="0" fontId="25" fillId="3" borderId="38" xfId="0" applyFont="1" applyFill="1" applyBorder="1" applyAlignment="1">
      <alignment horizontal="center" vertical="center" wrapText="1"/>
    </xf>
    <xf numFmtId="0" fontId="25" fillId="3" borderId="53" xfId="0" applyFont="1" applyFill="1" applyBorder="1" applyAlignment="1">
      <alignment horizontal="center" vertical="center" wrapText="1"/>
    </xf>
    <xf numFmtId="0" fontId="25" fillId="3" borderId="55" xfId="0" applyFont="1" applyFill="1" applyBorder="1" applyAlignment="1">
      <alignment horizontal="center" vertical="center" wrapText="1"/>
    </xf>
    <xf numFmtId="0" fontId="35" fillId="27" borderId="96" xfId="0" applyFont="1" applyFill="1" applyBorder="1" applyAlignment="1">
      <alignment horizontal="left" vertical="center"/>
    </xf>
    <xf numFmtId="165" fontId="36" fillId="27" borderId="97" xfId="0" applyNumberFormat="1" applyFont="1" applyFill="1" applyBorder="1" applyAlignment="1">
      <alignment horizontal="center" vertical="center"/>
    </xf>
    <xf numFmtId="165" fontId="36" fillId="27" borderId="59" xfId="0" applyNumberFormat="1" applyFont="1" applyFill="1" applyBorder="1" applyAlignment="1">
      <alignment horizontal="center" vertical="center"/>
    </xf>
    <xf numFmtId="165" fontId="27" fillId="28" borderId="98" xfId="0" applyNumberFormat="1" applyFont="1" applyFill="1" applyBorder="1" applyAlignment="1">
      <alignment horizontal="center" vertical="center"/>
    </xf>
    <xf numFmtId="165" fontId="36" fillId="27" borderId="31" xfId="0" applyNumberFormat="1" applyFont="1" applyFill="1" applyBorder="1" applyAlignment="1">
      <alignment horizontal="center" vertical="center"/>
    </xf>
    <xf numFmtId="165" fontId="36" fillId="27" borderId="32" xfId="0" applyNumberFormat="1" applyFont="1" applyFill="1" applyBorder="1" applyAlignment="1">
      <alignment horizontal="center" vertical="center"/>
    </xf>
    <xf numFmtId="165" fontId="27" fillId="28" borderId="44" xfId="0" applyNumberFormat="1" applyFont="1" applyFill="1" applyBorder="1" applyAlignment="1">
      <alignment horizontal="center" vertical="center"/>
    </xf>
    <xf numFmtId="0" fontId="35" fillId="27" borderId="39" xfId="0" applyFont="1" applyFill="1" applyBorder="1" applyAlignment="1">
      <alignment horizontal="left" vertical="center"/>
    </xf>
    <xf numFmtId="165" fontId="36" fillId="27" borderId="40" xfId="0" applyNumberFormat="1" applyFont="1" applyFill="1" applyBorder="1" applyAlignment="1">
      <alignment horizontal="center" vertical="center"/>
    </xf>
    <xf numFmtId="165" fontId="36" fillId="27" borderId="41" xfId="0" applyNumberFormat="1" applyFont="1" applyFill="1" applyBorder="1" applyAlignment="1">
      <alignment horizontal="center" vertical="center"/>
    </xf>
    <xf numFmtId="165" fontId="27" fillId="28" borderId="45" xfId="0" applyNumberFormat="1" applyFont="1" applyFill="1" applyBorder="1" applyAlignment="1">
      <alignment horizontal="center" vertical="center"/>
    </xf>
    <xf numFmtId="165" fontId="36" fillId="4" borderId="36" xfId="0" applyNumberFormat="1" applyFont="1" applyFill="1" applyBorder="1" applyAlignment="1">
      <alignment horizontal="center" vertical="center"/>
    </xf>
    <xf numFmtId="165" fontId="36" fillId="4" borderId="37" xfId="0" applyNumberFormat="1" applyFont="1" applyFill="1" applyBorder="1" applyAlignment="1">
      <alignment horizontal="center" vertical="center"/>
    </xf>
    <xf numFmtId="3" fontId="42" fillId="4" borderId="71" xfId="0" applyNumberFormat="1" applyFont="1" applyFill="1" applyBorder="1" applyAlignment="1">
      <alignment horizontal="center" vertical="center"/>
    </xf>
    <xf numFmtId="3" fontId="42" fillId="4" borderId="71" xfId="0" applyNumberFormat="1" applyFont="1" applyFill="1" applyBorder="1" applyAlignment="1">
      <alignment horizontal="center" vertical="center" wrapText="1"/>
    </xf>
    <xf numFmtId="3" fontId="42" fillId="4" borderId="72" xfId="0" applyNumberFormat="1" applyFont="1" applyFill="1" applyBorder="1" applyAlignment="1">
      <alignment horizontal="center" vertical="center" wrapText="1"/>
    </xf>
    <xf numFmtId="0" fontId="25" fillId="2" borderId="100" xfId="0" applyFont="1" applyFill="1" applyBorder="1" applyAlignment="1">
      <alignment horizontal="center" vertical="center"/>
    </xf>
    <xf numFmtId="0" fontId="25" fillId="2" borderId="101" xfId="0" applyFont="1" applyFill="1" applyBorder="1" applyAlignment="1">
      <alignment horizontal="center" vertical="center"/>
    </xf>
    <xf numFmtId="0" fontId="35" fillId="4" borderId="102" xfId="0" applyFont="1" applyFill="1" applyBorder="1" applyAlignment="1">
      <alignment horizontal="center" vertical="center"/>
    </xf>
    <xf numFmtId="0" fontId="35" fillId="4" borderId="76" xfId="0" applyFont="1" applyFill="1" applyBorder="1" applyAlignment="1">
      <alignment horizontal="center" vertical="center"/>
    </xf>
    <xf numFmtId="0" fontId="35" fillId="4" borderId="73" xfId="0" applyFont="1" applyFill="1" applyBorder="1" applyAlignment="1">
      <alignment horizontal="center" vertical="center"/>
    </xf>
    <xf numFmtId="0" fontId="25" fillId="3" borderId="103" xfId="0" applyFont="1" applyFill="1" applyBorder="1" applyAlignment="1">
      <alignment horizontal="center" vertical="center"/>
    </xf>
    <xf numFmtId="3" fontId="42" fillId="4" borderId="70" xfId="0" applyNumberFormat="1" applyFont="1" applyFill="1" applyBorder="1" applyAlignment="1">
      <alignment horizontal="center" vertical="center" wrapText="1"/>
    </xf>
    <xf numFmtId="3" fontId="42" fillId="4" borderId="29" xfId="0" applyNumberFormat="1" applyFont="1" applyFill="1" applyBorder="1" applyAlignment="1">
      <alignment horizontal="center" vertical="center"/>
    </xf>
    <xf numFmtId="3" fontId="42" fillId="4" borderId="29" xfId="0" applyNumberFormat="1" applyFont="1" applyFill="1" applyBorder="1" applyAlignment="1">
      <alignment horizontal="center" vertical="center" wrapText="1"/>
    </xf>
    <xf numFmtId="3" fontId="42" fillId="4" borderId="80" xfId="0" applyNumberFormat="1" applyFont="1" applyFill="1" applyBorder="1" applyAlignment="1">
      <alignment horizontal="center" vertical="center" wrapText="1"/>
    </xf>
    <xf numFmtId="3" fontId="42" fillId="28" borderId="68" xfId="0" applyNumberFormat="1" applyFont="1" applyFill="1" applyBorder="1" applyAlignment="1">
      <alignment horizontal="center" vertical="center" wrapText="1"/>
    </xf>
    <xf numFmtId="3" fontId="42" fillId="28" borderId="23" xfId="0" applyNumberFormat="1" applyFont="1" applyFill="1" applyBorder="1" applyAlignment="1">
      <alignment horizontal="center" vertical="center" wrapText="1"/>
    </xf>
    <xf numFmtId="3" fontId="42" fillId="28" borderId="23" xfId="0" applyNumberFormat="1" applyFont="1" applyFill="1" applyBorder="1" applyAlignment="1">
      <alignment horizontal="center" vertical="center"/>
    </xf>
    <xf numFmtId="3" fontId="42" fillId="28" borderId="69" xfId="0" applyNumberFormat="1" applyFont="1" applyFill="1" applyBorder="1" applyAlignment="1">
      <alignment horizontal="center" vertical="center" wrapText="1"/>
    </xf>
    <xf numFmtId="0" fontId="35" fillId="3" borderId="81" xfId="0" applyFont="1" applyFill="1" applyBorder="1" applyAlignment="1">
      <alignment horizontal="center" vertical="center" wrapText="1"/>
    </xf>
    <xf numFmtId="0" fontId="35" fillId="3" borderId="82" xfId="0" applyFont="1" applyFill="1" applyBorder="1" applyAlignment="1">
      <alignment horizontal="center" vertical="center" wrapText="1"/>
    </xf>
    <xf numFmtId="0" fontId="35" fillId="3" borderId="99" xfId="0" applyFont="1" applyFill="1" applyBorder="1" applyAlignment="1">
      <alignment horizontal="center" vertical="center" wrapText="1"/>
    </xf>
    <xf numFmtId="0" fontId="35" fillId="3" borderId="106" xfId="0" applyFont="1" applyFill="1" applyBorder="1" applyAlignment="1">
      <alignment horizontal="center" vertical="center" wrapText="1"/>
    </xf>
    <xf numFmtId="0" fontId="35" fillId="3" borderId="99" xfId="0" applyFont="1" applyFill="1" applyBorder="1" applyAlignment="1">
      <alignment horizontal="center" vertical="center"/>
    </xf>
    <xf numFmtId="3" fontId="42" fillId="4" borderId="79" xfId="0" applyNumberFormat="1" applyFont="1" applyFill="1" applyBorder="1" applyAlignment="1">
      <alignment horizontal="center" vertical="center" wrapText="1"/>
    </xf>
    <xf numFmtId="0" fontId="35" fillId="28" borderId="87" xfId="0" applyFont="1" applyFill="1" applyBorder="1" applyAlignment="1">
      <alignment horizontal="left" vertical="center" indent="1"/>
    </xf>
    <xf numFmtId="0" fontId="35" fillId="28" borderId="88" xfId="0" applyFont="1" applyFill="1" applyBorder="1" applyAlignment="1">
      <alignment horizontal="left" vertical="center" indent="1"/>
    </xf>
    <xf numFmtId="0" fontId="35" fillId="28" borderId="88" xfId="0" applyFont="1" applyFill="1" applyBorder="1" applyAlignment="1">
      <alignment horizontal="center" vertical="center"/>
    </xf>
    <xf numFmtId="0" fontId="35" fillId="28" borderId="89" xfId="0" applyFont="1" applyFill="1" applyBorder="1" applyAlignment="1">
      <alignment horizontal="center" vertical="center"/>
    </xf>
    <xf numFmtId="0" fontId="35" fillId="3" borderId="83" xfId="0" applyFont="1" applyFill="1" applyBorder="1" applyAlignment="1">
      <alignment horizontal="center" vertical="center" wrapText="1"/>
    </xf>
    <xf numFmtId="0" fontId="35" fillId="3" borderId="104" xfId="0" applyFont="1" applyFill="1" applyBorder="1" applyAlignment="1">
      <alignment horizontal="center" vertical="center" wrapText="1"/>
    </xf>
    <xf numFmtId="0" fontId="35" fillId="3" borderId="90" xfId="0" applyFont="1" applyFill="1" applyBorder="1" applyAlignment="1">
      <alignment horizontal="center" vertical="center" wrapText="1"/>
    </xf>
    <xf numFmtId="0" fontId="35" fillId="3" borderId="51" xfId="0" applyFont="1" applyFill="1" applyBorder="1" applyAlignment="1">
      <alignment horizontal="center" vertical="center" wrapText="1"/>
    </xf>
    <xf numFmtId="0" fontId="35" fillId="3" borderId="91" xfId="0" applyFont="1" applyFill="1" applyBorder="1" applyAlignment="1">
      <alignment horizontal="center" vertical="center" wrapText="1"/>
    </xf>
    <xf numFmtId="0" fontId="35" fillId="3" borderId="36" xfId="0" applyFont="1" applyFill="1" applyBorder="1" applyAlignment="1">
      <alignment horizontal="center" vertical="center" wrapText="1"/>
    </xf>
    <xf numFmtId="0" fontId="35" fillId="3" borderId="37" xfId="0" applyFont="1" applyFill="1" applyBorder="1" applyAlignment="1">
      <alignment horizontal="center" vertical="center" wrapText="1"/>
    </xf>
    <xf numFmtId="0" fontId="35" fillId="3" borderId="105" xfId="0" applyFont="1" applyFill="1" applyBorder="1" applyAlignment="1">
      <alignment horizontal="center" vertical="center" wrapText="1"/>
    </xf>
    <xf numFmtId="0" fontId="35" fillId="3" borderId="81" xfId="0" applyFont="1" applyFill="1" applyBorder="1" applyAlignment="1">
      <alignment horizontal="center" vertical="center"/>
    </xf>
    <xf numFmtId="0" fontId="35" fillId="3" borderId="85" xfId="0" applyFont="1" applyFill="1" applyBorder="1" applyAlignment="1">
      <alignment horizontal="left" vertical="center" indent="1"/>
    </xf>
    <xf numFmtId="0" fontId="35" fillId="3" borderId="17" xfId="0" applyFont="1" applyFill="1" applyBorder="1" applyAlignment="1">
      <alignment horizontal="left" vertical="center" indent="1"/>
    </xf>
    <xf numFmtId="0" fontId="35" fillId="3" borderId="17" xfId="0" applyFont="1" applyFill="1" applyBorder="1" applyAlignment="1">
      <alignment horizontal="center" vertical="center"/>
    </xf>
    <xf numFmtId="0" fontId="35" fillId="3" borderId="86" xfId="0" applyFont="1" applyFill="1" applyBorder="1" applyAlignment="1">
      <alignment horizontal="center" vertical="center"/>
    </xf>
    <xf numFmtId="0" fontId="35" fillId="4" borderId="85" xfId="0" applyFont="1" applyFill="1" applyBorder="1" applyAlignment="1">
      <alignment horizontal="left" vertical="center" indent="1"/>
    </xf>
    <xf numFmtId="0" fontId="35" fillId="4" borderId="17" xfId="0" applyFont="1" applyFill="1" applyBorder="1" applyAlignment="1">
      <alignment horizontal="left" vertical="center" indent="1"/>
    </xf>
    <xf numFmtId="0" fontId="35" fillId="4" borderId="17" xfId="0" applyFont="1" applyFill="1" applyBorder="1" applyAlignment="1">
      <alignment horizontal="center" vertical="center"/>
    </xf>
    <xf numFmtId="0" fontId="35" fillId="4" borderId="86" xfId="0" applyFont="1" applyFill="1" applyBorder="1" applyAlignment="1">
      <alignment horizontal="center" vertical="center"/>
    </xf>
    <xf numFmtId="0" fontId="35" fillId="28" borderId="85" xfId="0" applyFont="1" applyFill="1" applyBorder="1" applyAlignment="1">
      <alignment horizontal="left" vertical="center" indent="1"/>
    </xf>
    <xf numFmtId="0" fontId="35" fillId="28" borderId="17" xfId="0" applyFont="1" applyFill="1" applyBorder="1" applyAlignment="1">
      <alignment horizontal="left" vertical="center" indent="1"/>
    </xf>
    <xf numFmtId="0" fontId="35" fillId="28" borderId="17" xfId="0" applyFont="1" applyFill="1" applyBorder="1" applyAlignment="1">
      <alignment horizontal="center" vertical="center"/>
    </xf>
    <xf numFmtId="0" fontId="35" fillId="28" borderId="86" xfId="0" applyFont="1" applyFill="1" applyBorder="1" applyAlignment="1">
      <alignment horizontal="center" vertical="center"/>
    </xf>
    <xf numFmtId="0" fontId="35" fillId="3" borderId="78" xfId="0" applyFont="1" applyFill="1" applyBorder="1" applyAlignment="1">
      <alignment horizontal="left" vertical="center" indent="1"/>
    </xf>
    <xf numFmtId="0" fontId="35" fillId="3" borderId="0" xfId="0" applyFont="1" applyFill="1" applyBorder="1" applyAlignment="1">
      <alignment horizontal="left" vertical="center" indent="1"/>
    </xf>
    <xf numFmtId="0" fontId="35" fillId="3" borderId="18" xfId="0" applyFont="1" applyFill="1" applyBorder="1" applyAlignment="1">
      <alignment horizontal="left" vertical="center" indent="1"/>
    </xf>
    <xf numFmtId="0" fontId="0" fillId="3" borderId="107" xfId="0" applyFill="1" applyBorder="1" applyAlignment="1">
      <alignment horizontal="center"/>
    </xf>
    <xf numFmtId="0" fontId="0" fillId="3" borderId="108" xfId="0" applyFill="1" applyBorder="1" applyAlignment="1">
      <alignment horizontal="center"/>
    </xf>
    <xf numFmtId="0" fontId="35" fillId="3" borderId="108" xfId="0" applyFont="1" applyFill="1" applyBorder="1" applyAlignment="1">
      <alignment horizontal="center" vertical="center"/>
    </xf>
    <xf numFmtId="0" fontId="35" fillId="3" borderId="109" xfId="0" applyFont="1" applyFill="1" applyBorder="1" applyAlignment="1">
      <alignment horizontal="center" vertical="center"/>
    </xf>
    <xf numFmtId="0" fontId="58" fillId="4" borderId="23" xfId="0" applyFont="1" applyFill="1" applyBorder="1" applyAlignment="1">
      <alignment horizontal="center" vertical="center"/>
    </xf>
    <xf numFmtId="0" fontId="58" fillId="4" borderId="69" xfId="0" applyFont="1" applyFill="1" applyBorder="1" applyAlignment="1">
      <alignment horizontal="center" vertical="center"/>
    </xf>
    <xf numFmtId="0" fontId="51" fillId="28" borderId="70" xfId="0" applyFont="1" applyFill="1" applyBorder="1" applyAlignment="1">
      <alignment horizontal="left" vertical="center" indent="2"/>
    </xf>
    <xf numFmtId="0" fontId="51" fillId="28" borderId="71" xfId="0" applyFont="1" applyFill="1" applyBorder="1" applyAlignment="1">
      <alignment horizontal="left" vertical="center" indent="2"/>
    </xf>
    <xf numFmtId="0" fontId="58" fillId="28" borderId="71" xfId="0" applyFont="1" applyFill="1" applyBorder="1" applyAlignment="1">
      <alignment horizontal="center" vertical="center"/>
    </xf>
    <xf numFmtId="0" fontId="58" fillId="28" borderId="72" xfId="0" applyFont="1" applyFill="1" applyBorder="1" applyAlignment="1">
      <alignment horizontal="center" vertical="center"/>
    </xf>
    <xf numFmtId="0" fontId="51" fillId="28" borderId="23" xfId="0" applyFont="1" applyFill="1" applyBorder="1" applyAlignment="1">
      <alignment horizontal="center" vertical="center"/>
    </xf>
    <xf numFmtId="0" fontId="51" fillId="28" borderId="69" xfId="0" applyFont="1" applyFill="1" applyBorder="1" applyAlignment="1">
      <alignment horizontal="center" vertical="center"/>
    </xf>
    <xf numFmtId="0" fontId="51" fillId="4" borderId="68" xfId="0" applyFont="1" applyFill="1" applyBorder="1" applyAlignment="1">
      <alignment horizontal="left" vertical="center" indent="2"/>
    </xf>
    <xf numFmtId="0" fontId="51" fillId="4" borderId="23" xfId="0" applyFont="1" applyFill="1" applyBorder="1" applyAlignment="1">
      <alignment horizontal="left" vertical="center" indent="2"/>
    </xf>
    <xf numFmtId="0" fontId="35" fillId="4" borderId="68" xfId="0" applyFont="1" applyFill="1" applyBorder="1" applyAlignment="1">
      <alignment horizontal="center" vertical="center"/>
    </xf>
    <xf numFmtId="0" fontId="51" fillId="28" borderId="68" xfId="0" applyFont="1" applyFill="1" applyBorder="1" applyAlignment="1">
      <alignment horizontal="center"/>
    </xf>
    <xf numFmtId="0" fontId="51" fillId="28" borderId="23" xfId="0" applyFont="1" applyFill="1" applyBorder="1" applyAlignment="1">
      <alignment horizontal="center"/>
    </xf>
    <xf numFmtId="0" fontId="25" fillId="3" borderId="110" xfId="0" applyFont="1" applyFill="1" applyBorder="1" applyAlignment="1">
      <alignment horizontal="center" vertical="center"/>
    </xf>
    <xf numFmtId="0" fontId="25" fillId="3" borderId="111" xfId="0" applyFont="1" applyFill="1" applyBorder="1" applyAlignment="1">
      <alignment horizontal="center" vertical="center"/>
    </xf>
    <xf numFmtId="0" fontId="25" fillId="3" borderId="112" xfId="0" applyFont="1" applyFill="1" applyBorder="1" applyAlignment="1">
      <alignment horizontal="center" vertical="center"/>
    </xf>
    <xf numFmtId="0" fontId="25" fillId="3" borderId="113" xfId="0" applyFont="1" applyFill="1" applyBorder="1" applyAlignment="1">
      <alignment horizontal="center" vertical="center"/>
    </xf>
    <xf numFmtId="0" fontId="25" fillId="3" borderId="114" xfId="0" applyFont="1" applyFill="1" applyBorder="1" applyAlignment="1">
      <alignment horizontal="center" vertical="center"/>
    </xf>
    <xf numFmtId="0" fontId="35" fillId="28" borderId="79" xfId="0" applyFont="1" applyFill="1" applyBorder="1" applyAlignment="1">
      <alignment horizontal="center" vertical="center"/>
    </xf>
    <xf numFmtId="0" fontId="35" fillId="28" borderId="29" xfId="0" applyFont="1" applyFill="1" applyBorder="1" applyAlignment="1">
      <alignment horizontal="center" vertical="center"/>
    </xf>
    <xf numFmtId="0" fontId="35" fillId="28" borderId="80" xfId="0" applyFont="1" applyFill="1" applyBorder="1" applyAlignment="1">
      <alignment horizontal="center" vertical="center"/>
    </xf>
    <xf numFmtId="0" fontId="25" fillId="3" borderId="100" xfId="0" applyFont="1" applyFill="1" applyBorder="1" applyAlignment="1">
      <alignment horizontal="center" vertical="center"/>
    </xf>
    <xf numFmtId="0" fontId="25" fillId="3" borderId="101" xfId="0" applyFont="1" applyFill="1" applyBorder="1" applyAlignment="1">
      <alignment horizontal="center" vertical="center"/>
    </xf>
    <xf numFmtId="0" fontId="25" fillId="3" borderId="115" xfId="0" applyFont="1" applyFill="1" applyBorder="1" applyAlignment="1">
      <alignment horizontal="center" vertical="center"/>
    </xf>
    <xf numFmtId="0" fontId="28" fillId="4" borderId="23" xfId="0" applyFont="1" applyFill="1" applyBorder="1" applyAlignment="1">
      <alignment horizontal="center" vertical="center"/>
    </xf>
    <xf numFmtId="0" fontId="28" fillId="4" borderId="69" xfId="0" applyFont="1" applyFill="1" applyBorder="1" applyAlignment="1">
      <alignment horizontal="center" vertical="center"/>
    </xf>
    <xf numFmtId="0" fontId="28" fillId="28" borderId="70" xfId="0" applyFont="1" applyFill="1" applyBorder="1" applyAlignment="1">
      <alignment horizontal="center" vertical="center"/>
    </xf>
    <xf numFmtId="0" fontId="28" fillId="28" borderId="71" xfId="0" applyFont="1" applyFill="1" applyBorder="1" applyAlignment="1">
      <alignment horizontal="center" vertical="center"/>
    </xf>
    <xf numFmtId="0" fontId="28" fillId="28" borderId="72" xfId="0" applyFont="1" applyFill="1" applyBorder="1" applyAlignment="1">
      <alignment horizontal="center" vertical="center"/>
    </xf>
    <xf numFmtId="0" fontId="28" fillId="4" borderId="68" xfId="0" applyFont="1" applyFill="1" applyBorder="1" applyAlignment="1">
      <alignment horizontal="center" vertical="center"/>
    </xf>
    <xf numFmtId="0" fontId="28" fillId="28" borderId="68" xfId="0" applyFont="1" applyFill="1" applyBorder="1" applyAlignment="1">
      <alignment horizontal="center" vertical="center"/>
    </xf>
    <xf numFmtId="0" fontId="28" fillId="28" borderId="23" xfId="0" applyFont="1" applyFill="1" applyBorder="1" applyAlignment="1">
      <alignment horizontal="center" vertical="center"/>
    </xf>
    <xf numFmtId="0" fontId="28" fillId="28" borderId="69" xfId="0" applyFont="1" applyFill="1" applyBorder="1" applyAlignment="1">
      <alignment horizontal="center" vertical="center"/>
    </xf>
    <xf numFmtId="0" fontId="28" fillId="4" borderId="29" xfId="0" applyFont="1" applyFill="1" applyBorder="1" applyAlignment="1">
      <alignment horizontal="center" vertical="center"/>
    </xf>
    <xf numFmtId="0" fontId="28" fillId="4" borderId="80" xfId="0" applyFont="1" applyFill="1" applyBorder="1" applyAlignment="1">
      <alignment horizontal="center" vertical="center"/>
    </xf>
    <xf numFmtId="0" fontId="28" fillId="4" borderId="79" xfId="0" applyFont="1" applyFill="1" applyBorder="1" applyAlignment="1">
      <alignment horizontal="center" vertical="center"/>
    </xf>
    <xf numFmtId="0" fontId="52" fillId="3" borderId="67" xfId="0" applyFont="1" applyFill="1" applyBorder="1" applyAlignment="1">
      <alignment horizontal="center" vertical="center"/>
    </xf>
    <xf numFmtId="0" fontId="52" fillId="3" borderId="76" xfId="0" applyFont="1" applyFill="1" applyBorder="1" applyAlignment="1">
      <alignment horizontal="center" vertical="center"/>
    </xf>
    <xf numFmtId="0" fontId="52" fillId="3" borderId="77" xfId="0" applyFont="1" applyFill="1" applyBorder="1" applyAlignment="1">
      <alignment horizontal="center" vertical="center"/>
    </xf>
    <xf numFmtId="0" fontId="51" fillId="3" borderId="68" xfId="0" applyFont="1" applyFill="1" applyBorder="1" applyAlignment="1">
      <alignment horizontal="center" vertical="center"/>
    </xf>
    <xf numFmtId="0" fontId="51" fillId="3" borderId="23" xfId="0" applyFont="1" applyFill="1" applyBorder="1" applyAlignment="1">
      <alignment horizontal="center" vertical="center"/>
    </xf>
    <xf numFmtId="0" fontId="51" fillId="3" borderId="69" xfId="0" applyFont="1" applyFill="1" applyBorder="1" applyAlignment="1">
      <alignment horizontal="center" vertical="center"/>
    </xf>
    <xf numFmtId="0" fontId="41" fillId="28" borderId="71" xfId="0" applyFont="1" applyFill="1" applyBorder="1" applyAlignment="1">
      <alignment horizontal="center" vertical="center"/>
    </xf>
    <xf numFmtId="0" fontId="0" fillId="28" borderId="71" xfId="0" applyFill="1" applyBorder="1" applyAlignment="1">
      <alignment horizontal="center" vertical="center" wrapText="1"/>
    </xf>
    <xf numFmtId="0" fontId="34" fillId="28" borderId="71" xfId="0" applyFont="1" applyFill="1" applyBorder="1" applyAlignment="1">
      <alignment horizontal="center" vertical="center"/>
    </xf>
    <xf numFmtId="0" fontId="34" fillId="28" borderId="72" xfId="0" applyFont="1" applyFill="1" applyBorder="1" applyAlignment="1">
      <alignment horizontal="center" vertical="center"/>
    </xf>
    <xf numFmtId="0" fontId="34" fillId="28" borderId="70" xfId="0" applyFont="1" applyFill="1" applyBorder="1" applyAlignment="1">
      <alignment horizontal="center" vertical="center"/>
    </xf>
    <xf numFmtId="0" fontId="34" fillId="28" borderId="71" xfId="0" applyFont="1" applyFill="1" applyBorder="1" applyAlignment="1">
      <alignment horizontal="center" vertical="center" wrapText="1"/>
    </xf>
    <xf numFmtId="0" fontId="41" fillId="4" borderId="23" xfId="0" applyFont="1" applyFill="1" applyBorder="1" applyAlignment="1">
      <alignment horizontal="center" vertical="center"/>
    </xf>
    <xf numFmtId="0" fontId="0" fillId="4" borderId="23" xfId="0" applyFill="1" applyBorder="1" applyAlignment="1">
      <alignment horizontal="center" vertical="center" wrapText="1"/>
    </xf>
    <xf numFmtId="0" fontId="34" fillId="4" borderId="23" xfId="0" applyFont="1" applyFill="1" applyBorder="1" applyAlignment="1">
      <alignment horizontal="center" vertical="center"/>
    </xf>
    <xf numFmtId="0" fontId="34" fillId="4" borderId="69" xfId="0" applyFont="1" applyFill="1" applyBorder="1" applyAlignment="1">
      <alignment horizontal="center" vertical="center"/>
    </xf>
    <xf numFmtId="0" fontId="34" fillId="4" borderId="68" xfId="0" applyFont="1" applyFill="1" applyBorder="1" applyAlignment="1">
      <alignment horizontal="center" vertical="center"/>
    </xf>
    <xf numFmtId="0" fontId="34" fillId="4" borderId="23" xfId="0" applyFont="1" applyFill="1" applyBorder="1" applyAlignment="1">
      <alignment horizontal="center" vertical="center" wrapText="1"/>
    </xf>
    <xf numFmtId="0" fontId="41" fillId="28" borderId="23" xfId="0" applyFont="1" applyFill="1" applyBorder="1" applyAlignment="1">
      <alignment horizontal="center" vertical="center"/>
    </xf>
    <xf numFmtId="0" fontId="0" fillId="28" borderId="23" xfId="0" applyFill="1" applyBorder="1" applyAlignment="1">
      <alignment horizontal="center" vertical="center" wrapText="1"/>
    </xf>
    <xf numFmtId="0" fontId="34" fillId="28" borderId="23" xfId="0" applyFont="1" applyFill="1" applyBorder="1" applyAlignment="1">
      <alignment horizontal="center" vertical="center"/>
    </xf>
    <xf numFmtId="0" fontId="34" fillId="28" borderId="69" xfId="0" applyFont="1" applyFill="1" applyBorder="1" applyAlignment="1">
      <alignment horizontal="center" vertical="center"/>
    </xf>
    <xf numFmtId="0" fontId="34" fillId="28" borderId="68" xfId="0" applyFont="1" applyFill="1" applyBorder="1" applyAlignment="1">
      <alignment horizontal="center" vertical="center"/>
    </xf>
    <xf numFmtId="0" fontId="34" fillId="28" borderId="23" xfId="0" applyFont="1" applyFill="1" applyBorder="1" applyAlignment="1">
      <alignment horizontal="center" vertical="center" wrapText="1"/>
    </xf>
    <xf numFmtId="0" fontId="34" fillId="3" borderId="76" xfId="0" applyFont="1" applyFill="1" applyBorder="1" applyAlignment="1">
      <alignment horizontal="center" vertical="center"/>
    </xf>
    <xf numFmtId="0" fontId="34" fillId="3" borderId="76" xfId="0" applyFont="1" applyFill="1" applyBorder="1" applyAlignment="1">
      <alignment horizontal="center" vertical="center" wrapText="1"/>
    </xf>
    <xf numFmtId="0" fontId="0" fillId="3" borderId="23" xfId="0" applyFill="1" applyBorder="1" applyAlignment="1">
      <alignment horizontal="center" vertical="center" wrapText="1"/>
    </xf>
    <xf numFmtId="0" fontId="34" fillId="3" borderId="77" xfId="0" applyFont="1" applyFill="1" applyBorder="1" applyAlignment="1">
      <alignment horizontal="center" vertical="center"/>
    </xf>
    <xf numFmtId="0" fontId="34" fillId="3" borderId="23" xfId="0" applyFont="1" applyFill="1" applyBorder="1" applyAlignment="1">
      <alignment horizontal="center" vertical="center"/>
    </xf>
    <xf numFmtId="0" fontId="34" fillId="3" borderId="69" xfId="0" applyFont="1" applyFill="1" applyBorder="1" applyAlignment="1">
      <alignment horizontal="center" vertical="center"/>
    </xf>
    <xf numFmtId="0" fontId="41" fillId="3" borderId="23" xfId="0" applyFont="1" applyFill="1" applyBorder="1" applyAlignment="1">
      <alignment horizontal="center" vertical="center"/>
    </xf>
    <xf numFmtId="0" fontId="34" fillId="3" borderId="67" xfId="0" applyFont="1" applyFill="1" applyBorder="1" applyAlignment="1">
      <alignment horizontal="center" vertical="center"/>
    </xf>
    <xf numFmtId="0" fontId="34" fillId="3" borderId="68" xfId="0" applyFont="1" applyFill="1" applyBorder="1" applyAlignment="1">
      <alignment horizontal="center" vertical="center"/>
    </xf>
    <xf numFmtId="0" fontId="34" fillId="3" borderId="23" xfId="0" applyFont="1" applyFill="1" applyBorder="1" applyAlignment="1">
      <alignment horizontal="center" vertical="center" wrapText="1"/>
    </xf>
    <xf numFmtId="0" fontId="34" fillId="28" borderId="23" xfId="0" applyFont="1" applyFill="1" applyBorder="1" applyAlignment="1">
      <alignment horizontal="left" vertical="center" indent="1"/>
    </xf>
    <xf numFmtId="164" fontId="34" fillId="28" borderId="23" xfId="0" applyNumberFormat="1" applyFont="1" applyFill="1" applyBorder="1" applyAlignment="1">
      <alignment horizontal="center" vertical="center"/>
    </xf>
    <xf numFmtId="0" fontId="34" fillId="4" borderId="70" xfId="0" applyFont="1" applyFill="1" applyBorder="1" applyAlignment="1">
      <alignment horizontal="center" vertical="center"/>
    </xf>
    <xf numFmtId="0" fontId="34" fillId="4" borderId="71" xfId="0" applyFont="1" applyFill="1" applyBorder="1" applyAlignment="1">
      <alignment horizontal="center" vertical="center"/>
    </xf>
    <xf numFmtId="0" fontId="34" fillId="4" borderId="71" xfId="0" applyFont="1" applyFill="1" applyBorder="1" applyAlignment="1">
      <alignment horizontal="left" vertical="center" indent="1"/>
    </xf>
    <xf numFmtId="164" fontId="34" fillId="4" borderId="71" xfId="0" applyNumberFormat="1" applyFont="1" applyFill="1" applyBorder="1" applyAlignment="1">
      <alignment horizontal="center" vertical="center"/>
    </xf>
    <xf numFmtId="0" fontId="34" fillId="4" borderId="72" xfId="0" applyFont="1" applyFill="1" applyBorder="1" applyAlignment="1">
      <alignment horizontal="center" vertical="center"/>
    </xf>
    <xf numFmtId="0" fontId="34" fillId="4" borderId="23" xfId="0" applyFont="1" applyFill="1" applyBorder="1" applyAlignment="1">
      <alignment horizontal="left" vertical="center" indent="1"/>
    </xf>
    <xf numFmtId="164" fontId="34" fillId="4" borderId="23" xfId="0" applyNumberFormat="1" applyFont="1" applyFill="1" applyBorder="1" applyAlignment="1">
      <alignment horizontal="center" vertical="center"/>
    </xf>
    <xf numFmtId="0" fontId="27" fillId="4" borderId="71" xfId="0" applyFont="1" applyFill="1" applyBorder="1" applyAlignment="1">
      <alignment horizontal="center" vertical="center"/>
    </xf>
    <xf numFmtId="0" fontId="27" fillId="4" borderId="72" xfId="0" applyFont="1" applyFill="1" applyBorder="1" applyAlignment="1">
      <alignment horizontal="center" vertical="center"/>
    </xf>
    <xf numFmtId="0" fontId="34" fillId="29" borderId="67" xfId="0" applyFont="1" applyFill="1" applyBorder="1" applyAlignment="1">
      <alignment horizontal="center" vertical="center"/>
    </xf>
    <xf numFmtId="0" fontId="34" fillId="29" borderId="76" xfId="0" applyFont="1" applyFill="1" applyBorder="1" applyAlignment="1">
      <alignment horizontal="center" vertical="center"/>
    </xf>
    <xf numFmtId="0" fontId="34" fillId="29" borderId="77" xfId="0" applyFont="1" applyFill="1" applyBorder="1" applyAlignment="1">
      <alignment horizontal="center" vertical="center"/>
    </xf>
    <xf numFmtId="0" fontId="27" fillId="28" borderId="23" xfId="0" applyFont="1" applyFill="1" applyBorder="1" applyAlignment="1">
      <alignment horizontal="center" vertical="center"/>
    </xf>
    <xf numFmtId="0" fontId="27" fillId="28" borderId="69" xfId="0" applyFont="1" applyFill="1" applyBorder="1" applyAlignment="1">
      <alignment horizontal="center" vertical="center"/>
    </xf>
    <xf numFmtId="0" fontId="25" fillId="4" borderId="70" xfId="0" applyFont="1" applyFill="1" applyBorder="1" applyAlignment="1">
      <alignment horizontal="left" vertical="center" indent="1"/>
    </xf>
    <xf numFmtId="0" fontId="25" fillId="4" borderId="71" xfId="0" applyFont="1" applyFill="1" applyBorder="1" applyAlignment="1">
      <alignment horizontal="left" vertical="center" indent="1"/>
    </xf>
    <xf numFmtId="0" fontId="27" fillId="4" borderId="71" xfId="0" applyFont="1" applyFill="1" applyBorder="1" applyAlignment="1">
      <alignment horizontal="left" vertical="center" indent="1"/>
    </xf>
    <xf numFmtId="0" fontId="0" fillId="4" borderId="71" xfId="0" applyFill="1" applyBorder="1" applyAlignment="1">
      <alignment horizontal="center"/>
    </xf>
    <xf numFmtId="0" fontId="27" fillId="4" borderId="23" xfId="0" applyFont="1" applyFill="1" applyBorder="1" applyAlignment="1">
      <alignment horizontal="center" vertical="center"/>
    </xf>
    <xf numFmtId="0" fontId="27" fillId="4" borderId="69" xfId="0" applyFont="1" applyFill="1" applyBorder="1" applyAlignment="1">
      <alignment horizontal="center" vertical="center"/>
    </xf>
    <xf numFmtId="0" fontId="25" fillId="28" borderId="68" xfId="0" applyFont="1" applyFill="1" applyBorder="1" applyAlignment="1">
      <alignment horizontal="left" vertical="center" indent="1"/>
    </xf>
    <xf numFmtId="0" fontId="25" fillId="28" borderId="23" xfId="0" applyFont="1" applyFill="1" applyBorder="1" applyAlignment="1">
      <alignment horizontal="left" vertical="center" indent="1"/>
    </xf>
    <xf numFmtId="0" fontId="27" fillId="28" borderId="23" xfId="0" applyFont="1" applyFill="1" applyBorder="1" applyAlignment="1">
      <alignment horizontal="left" vertical="center" indent="1"/>
    </xf>
    <xf numFmtId="0" fontId="0" fillId="28" borderId="23" xfId="0" applyFill="1" applyBorder="1" applyAlignment="1">
      <alignment horizontal="center"/>
    </xf>
    <xf numFmtId="0" fontId="25" fillId="4" borderId="68" xfId="0" applyFont="1" applyFill="1" applyBorder="1" applyAlignment="1">
      <alignment horizontal="left" vertical="center" indent="1"/>
    </xf>
    <xf numFmtId="0" fontId="25" fillId="4" borderId="23" xfId="0" applyFont="1" applyFill="1" applyBorder="1" applyAlignment="1">
      <alignment horizontal="left" vertical="center" indent="1"/>
    </xf>
    <xf numFmtId="0" fontId="27" fillId="4" borderId="23" xfId="0" applyFont="1" applyFill="1" applyBorder="1" applyAlignment="1">
      <alignment horizontal="left" vertical="center" indent="1"/>
    </xf>
    <xf numFmtId="0" fontId="0" fillId="4" borderId="23" xfId="0" applyFill="1" applyBorder="1" applyAlignment="1">
      <alignment horizontal="center"/>
    </xf>
    <xf numFmtId="0" fontId="22" fillId="28" borderId="70" xfId="0" applyFont="1" applyFill="1" applyBorder="1" applyAlignment="1">
      <alignment horizontal="left" vertical="center" indent="2"/>
    </xf>
    <xf numFmtId="0" fontId="22" fillId="28" borderId="71" xfId="0" applyFont="1" applyFill="1" applyBorder="1" applyAlignment="1">
      <alignment horizontal="left" vertical="center" indent="2"/>
    </xf>
    <xf numFmtId="0" fontId="22" fillId="28" borderId="72" xfId="0" applyFont="1" applyFill="1" applyBorder="1" applyAlignment="1">
      <alignment horizontal="left" vertical="center" indent="2"/>
    </xf>
    <xf numFmtId="0" fontId="25" fillId="3" borderId="69" xfId="0" applyFont="1" applyFill="1" applyBorder="1" applyAlignment="1">
      <alignment horizontal="center" vertical="center"/>
    </xf>
    <xf numFmtId="0" fontId="25" fillId="4" borderId="68" xfId="0" applyFont="1" applyFill="1" applyBorder="1" applyAlignment="1">
      <alignment vertical="center"/>
    </xf>
    <xf numFmtId="0" fontId="25" fillId="4" borderId="23" xfId="0" applyFont="1" applyFill="1" applyBorder="1" applyAlignment="1">
      <alignment vertical="center"/>
    </xf>
    <xf numFmtId="0" fontId="27" fillId="4" borderId="23" xfId="0" applyFont="1" applyFill="1" applyBorder="1" applyAlignment="1">
      <alignment vertical="center"/>
    </xf>
    <xf numFmtId="164" fontId="27" fillId="4" borderId="23" xfId="0" applyNumberFormat="1" applyFont="1" applyFill="1" applyBorder="1" applyAlignment="1">
      <alignment horizontal="center" vertical="center"/>
    </xf>
    <xf numFmtId="164" fontId="27" fillId="4" borderId="69" xfId="0" applyNumberFormat="1" applyFont="1" applyFill="1" applyBorder="1" applyAlignment="1">
      <alignment horizontal="center" vertical="center"/>
    </xf>
    <xf numFmtId="0" fontId="25" fillId="28" borderId="68" xfId="0" applyFont="1" applyFill="1" applyBorder="1" applyAlignment="1">
      <alignment vertical="center"/>
    </xf>
    <xf numFmtId="0" fontId="25" fillId="28" borderId="23" xfId="0" applyFont="1" applyFill="1" applyBorder="1" applyAlignment="1">
      <alignment vertical="center"/>
    </xf>
    <xf numFmtId="0" fontId="27" fillId="28" borderId="23" xfId="0" applyFont="1" applyFill="1" applyBorder="1" applyAlignment="1">
      <alignment vertical="center"/>
    </xf>
    <xf numFmtId="164" fontId="27" fillId="28" borderId="23" xfId="0" applyNumberFormat="1" applyFont="1" applyFill="1" applyBorder="1" applyAlignment="1">
      <alignment horizontal="center" vertical="center"/>
    </xf>
    <xf numFmtId="164" fontId="27" fillId="28" borderId="69" xfId="0" applyNumberFormat="1" applyFont="1" applyFill="1" applyBorder="1" applyAlignment="1">
      <alignment horizontal="center" vertical="center"/>
    </xf>
    <xf numFmtId="0" fontId="21" fillId="28" borderId="68" xfId="0" applyFont="1" applyFill="1" applyBorder="1" applyAlignment="1">
      <alignment horizontal="left" vertical="center" indent="3"/>
    </xf>
    <xf numFmtId="0" fontId="21" fillId="28" borderId="23" xfId="0" applyFont="1" applyFill="1" applyBorder="1" applyAlignment="1">
      <alignment horizontal="left" vertical="center" indent="3"/>
    </xf>
    <xf numFmtId="0" fontId="21" fillId="28" borderId="70" xfId="0" applyFont="1" applyFill="1" applyBorder="1" applyAlignment="1">
      <alignment horizontal="left" vertical="center" indent="3"/>
    </xf>
    <xf numFmtId="0" fontId="21" fillId="28" borderId="71" xfId="0" applyFont="1" applyFill="1" applyBorder="1" applyAlignment="1">
      <alignment horizontal="left" vertical="center" indent="3"/>
    </xf>
    <xf numFmtId="0" fontId="40" fillId="28" borderId="23" xfId="0" applyFont="1" applyFill="1" applyBorder="1" applyAlignment="1">
      <alignment horizontal="center"/>
    </xf>
    <xf numFmtId="0" fontId="24" fillId="28" borderId="23" xfId="0" applyFont="1" applyFill="1" applyBorder="1" applyAlignment="1">
      <alignment horizontal="left" indent="2"/>
    </xf>
    <xf numFmtId="0" fontId="24" fillId="28" borderId="69" xfId="0" applyFont="1" applyFill="1" applyBorder="1" applyAlignment="1">
      <alignment horizontal="left" indent="2"/>
    </xf>
    <xf numFmtId="0" fontId="40" fillId="28" borderId="71" xfId="0" applyFont="1" applyFill="1" applyBorder="1" applyAlignment="1">
      <alignment horizontal="center"/>
    </xf>
    <xf numFmtId="0" fontId="24" fillId="28" borderId="71" xfId="0" applyFont="1" applyFill="1" applyBorder="1" applyAlignment="1">
      <alignment horizontal="left" indent="2"/>
    </xf>
    <xf numFmtId="0" fontId="24" fillId="28" borderId="72" xfId="0" applyFont="1" applyFill="1" applyBorder="1" applyAlignment="1">
      <alignment horizontal="left" indent="2"/>
    </xf>
    <xf numFmtId="0" fontId="21" fillId="4" borderId="68" xfId="0" applyFont="1" applyFill="1" applyBorder="1" applyAlignment="1">
      <alignment horizontal="left" vertical="center" indent="3"/>
    </xf>
    <xf numFmtId="0" fontId="21" fillId="4" borderId="23" xfId="0" applyFont="1" applyFill="1" applyBorder="1" applyAlignment="1">
      <alignment horizontal="left" vertical="center" indent="3"/>
    </xf>
    <xf numFmtId="0" fontId="21" fillId="4" borderId="23" xfId="0" applyFont="1" applyFill="1" applyBorder="1" applyAlignment="1">
      <alignment horizontal="left" vertical="center" indent="2"/>
    </xf>
    <xf numFmtId="0" fontId="21" fillId="4" borderId="69" xfId="0" applyFont="1" applyFill="1" applyBorder="1" applyAlignment="1">
      <alignment horizontal="left" vertical="center" indent="2"/>
    </xf>
    <xf numFmtId="0" fontId="21" fillId="28" borderId="23" xfId="0" applyFont="1" applyFill="1" applyBorder="1" applyAlignment="1">
      <alignment horizontal="left" vertical="center" indent="2"/>
    </xf>
    <xf numFmtId="0" fontId="21" fillId="28" borderId="69" xfId="0" applyFont="1" applyFill="1" applyBorder="1" applyAlignment="1">
      <alignment horizontal="left" vertical="center" indent="2"/>
    </xf>
    <xf numFmtId="0" fontId="43" fillId="0" borderId="0" xfId="0" applyFont="1" applyAlignment="1">
      <alignment vertical="center"/>
    </xf>
    <xf numFmtId="0" fontId="44" fillId="0" borderId="0" xfId="0" applyFont="1" applyAlignment="1">
      <alignment horizontal="left" vertical="top"/>
    </xf>
    <xf numFmtId="0" fontId="46" fillId="0" borderId="0" xfId="0" applyFont="1" applyAlignment="1">
      <alignment horizontal="center" vertical="center"/>
    </xf>
    <xf numFmtId="0" fontId="23" fillId="3" borderId="10" xfId="0" applyFont="1" applyFill="1" applyBorder="1" applyAlignment="1">
      <alignment horizontal="center" vertical="center"/>
    </xf>
    <xf numFmtId="0" fontId="23" fillId="3" borderId="11" xfId="0" applyFont="1" applyFill="1" applyBorder="1" applyAlignment="1">
      <alignment horizontal="center" vertical="center"/>
    </xf>
    <xf numFmtId="0" fontId="23" fillId="3" borderId="12" xfId="0" applyFont="1" applyFill="1" applyBorder="1" applyAlignment="1">
      <alignment horizontal="center" vertical="center"/>
    </xf>
    <xf numFmtId="0" fontId="23" fillId="3" borderId="13" xfId="0" applyFont="1" applyFill="1" applyBorder="1" applyAlignment="1">
      <alignment horizontal="center" vertical="center"/>
    </xf>
    <xf numFmtId="0" fontId="23" fillId="3" borderId="14" xfId="0" applyFont="1" applyFill="1" applyBorder="1" applyAlignment="1">
      <alignment horizontal="center" vertical="center"/>
    </xf>
    <xf numFmtId="0" fontId="23" fillId="3" borderId="15" xfId="0" applyFont="1" applyFill="1" applyBorder="1" applyAlignment="1">
      <alignment horizontal="center" vertical="center"/>
    </xf>
    <xf numFmtId="0" fontId="50" fillId="0" borderId="0" xfId="0" applyFont="1" applyFill="1" applyBorder="1" applyAlignment="1">
      <alignment horizontal="left" vertical="center"/>
    </xf>
    <xf numFmtId="0" fontId="21" fillId="4" borderId="67" xfId="0" applyFont="1" applyFill="1" applyBorder="1" applyAlignment="1">
      <alignment horizontal="left" vertical="center" indent="3"/>
    </xf>
    <xf numFmtId="0" fontId="21" fillId="4" borderId="76" xfId="0" applyFont="1" applyFill="1" applyBorder="1" applyAlignment="1">
      <alignment horizontal="left" vertical="center" indent="3"/>
    </xf>
    <xf numFmtId="0" fontId="21" fillId="4" borderId="76" xfId="0" applyFont="1" applyFill="1" applyBorder="1" applyAlignment="1">
      <alignment horizontal="left" vertical="center" indent="2"/>
    </xf>
    <xf numFmtId="0" fontId="21" fillId="4" borderId="77" xfId="0" applyFont="1" applyFill="1" applyBorder="1" applyAlignment="1">
      <alignment horizontal="left" vertical="center" indent="2"/>
    </xf>
  </cellXfs>
  <cellStyles count="2509">
    <cellStyle name="20% - Accent1 2" xfId="1"/>
    <cellStyle name="20% - Accent1 2 2" xfId="73"/>
    <cellStyle name="20% - Accent1 3" xfId="74"/>
    <cellStyle name="20% - Accent2 2" xfId="2"/>
    <cellStyle name="20% - Accent2 2 2" xfId="75"/>
    <cellStyle name="20% - Accent2 3" xfId="76"/>
    <cellStyle name="20% - Accent3 2" xfId="3"/>
    <cellStyle name="20% - Accent3 2 2" xfId="77"/>
    <cellStyle name="20% - Accent3 3" xfId="78"/>
    <cellStyle name="20% - Accent4 2" xfId="4"/>
    <cellStyle name="20% - Accent4 2 2" xfId="79"/>
    <cellStyle name="20% - Accent4 3" xfId="80"/>
    <cellStyle name="20% - Accent5 2" xfId="5"/>
    <cellStyle name="20% - Accent5 3" xfId="81"/>
    <cellStyle name="20% - Accent6 2" xfId="6"/>
    <cellStyle name="20% - Accent6 2 2" xfId="82"/>
    <cellStyle name="20% - Accent6 3" xfId="83"/>
    <cellStyle name="40% - Accent1 2" xfId="7"/>
    <cellStyle name="40% - Accent1 2 2" xfId="84"/>
    <cellStyle name="40% - Accent1 3" xfId="85"/>
    <cellStyle name="40% - Accent2 2" xfId="8"/>
    <cellStyle name="40% - Accent2 3" xfId="86"/>
    <cellStyle name="40% - Accent3 2" xfId="9"/>
    <cellStyle name="40% - Accent3 2 2" xfId="87"/>
    <cellStyle name="40% - Accent3 3" xfId="88"/>
    <cellStyle name="40% - Accent4 2" xfId="10"/>
    <cellStyle name="40% - Accent4 2 2" xfId="89"/>
    <cellStyle name="40% - Accent4 3" xfId="90"/>
    <cellStyle name="40% - Accent5 2" xfId="11"/>
    <cellStyle name="40% - Accent5 2 2" xfId="91"/>
    <cellStyle name="40% - Accent5 3" xfId="92"/>
    <cellStyle name="40% - Accent6 2" xfId="12"/>
    <cellStyle name="40% - Accent6 2 2" xfId="93"/>
    <cellStyle name="40% - Accent6 3" xfId="94"/>
    <cellStyle name="60% - Accent1 2" xfId="13"/>
    <cellStyle name="60% - Accent1 2 2" xfId="95"/>
    <cellStyle name="60% - Accent1 3" xfId="96"/>
    <cellStyle name="60% - Accent2 2" xfId="14"/>
    <cellStyle name="60% - Accent2 2 2" xfId="97"/>
    <cellStyle name="60% - Accent2 3" xfId="98"/>
    <cellStyle name="60% - Accent3 2" xfId="15"/>
    <cellStyle name="60% - Accent3 2 2" xfId="99"/>
    <cellStyle name="60% - Accent3 3" xfId="100"/>
    <cellStyle name="60% - Accent4 2" xfId="16"/>
    <cellStyle name="60% - Accent4 2 2" xfId="101"/>
    <cellStyle name="60% - Accent4 3" xfId="102"/>
    <cellStyle name="60% - Accent5 2" xfId="17"/>
    <cellStyle name="60% - Accent5 2 2" xfId="103"/>
    <cellStyle name="60% - Accent5 3" xfId="104"/>
    <cellStyle name="60% - Accent6 2" xfId="18"/>
    <cellStyle name="60% - Accent6 2 2" xfId="105"/>
    <cellStyle name="60% - Accent6 3" xfId="106"/>
    <cellStyle name="Accent1 2" xfId="19"/>
    <cellStyle name="Accent1 2 2" xfId="107"/>
    <cellStyle name="Accent1 3" xfId="108"/>
    <cellStyle name="Accent2 2" xfId="20"/>
    <cellStyle name="Accent2 2 2" xfId="109"/>
    <cellStyle name="Accent2 3" xfId="110"/>
    <cellStyle name="Accent3 2" xfId="21"/>
    <cellStyle name="Accent3 2 2" xfId="111"/>
    <cellStyle name="Accent3 3" xfId="112"/>
    <cellStyle name="Accent4 2" xfId="22"/>
    <cellStyle name="Accent4 2 2" xfId="113"/>
    <cellStyle name="Accent4 3" xfId="114"/>
    <cellStyle name="Accent5 2" xfId="23"/>
    <cellStyle name="Accent5 3" xfId="115"/>
    <cellStyle name="Accent6 2" xfId="24"/>
    <cellStyle name="Accent6 2 2" xfId="116"/>
    <cellStyle name="Accent6 3" xfId="117"/>
    <cellStyle name="area" xfId="118"/>
    <cellStyle name="args.style" xfId="119"/>
    <cellStyle name="Bad 2" xfId="25"/>
    <cellStyle name="Bad 2 2" xfId="120"/>
    <cellStyle name="Bad 3" xfId="121"/>
    <cellStyle name="BurtHill Normal Text" xfId="122"/>
    <cellStyle name="Calc Currency (0)" xfId="123"/>
    <cellStyle name="Calc Currency (0) 2" xfId="124"/>
    <cellStyle name="Calculation 2" xfId="26"/>
    <cellStyle name="Calculation 2 2" xfId="55"/>
    <cellStyle name="Calculation 2 3" xfId="56"/>
    <cellStyle name="Calculation 2 4" xfId="125"/>
    <cellStyle name="Calculation 3" xfId="126"/>
    <cellStyle name="Check Cell 2" xfId="27"/>
    <cellStyle name="Check Cell 2 2" xfId="57"/>
    <cellStyle name="Check Cell 3" xfId="127"/>
    <cellStyle name="Column_Head" xfId="128"/>
    <cellStyle name="Comma" xfId="52" builtinId="3"/>
    <cellStyle name="Comma 10" xfId="129"/>
    <cellStyle name="Comma 10 2" xfId="130"/>
    <cellStyle name="Comma 10 2 2" xfId="131"/>
    <cellStyle name="Comma 10 2 3" xfId="132"/>
    <cellStyle name="Comma 10 3" xfId="133"/>
    <cellStyle name="Comma 10 3 2" xfId="134"/>
    <cellStyle name="Comma 10 4" xfId="135"/>
    <cellStyle name="Comma 10 5" xfId="136"/>
    <cellStyle name="Comma 11" xfId="137"/>
    <cellStyle name="Comma 11 10" xfId="138"/>
    <cellStyle name="Comma 11 11" xfId="139"/>
    <cellStyle name="Comma 11 12" xfId="140"/>
    <cellStyle name="Comma 11 13" xfId="141"/>
    <cellStyle name="Comma 11 14" xfId="142"/>
    <cellStyle name="Comma 11 15" xfId="143"/>
    <cellStyle name="Comma 11 16" xfId="144"/>
    <cellStyle name="Comma 11 17" xfId="145"/>
    <cellStyle name="Comma 11 18" xfId="146"/>
    <cellStyle name="Comma 11 19" xfId="147"/>
    <cellStyle name="Comma 11 2" xfId="148"/>
    <cellStyle name="Comma 11 2 10" xfId="149"/>
    <cellStyle name="Comma 11 2 11" xfId="150"/>
    <cellStyle name="Comma 11 2 12" xfId="151"/>
    <cellStyle name="Comma 11 2 13" xfId="152"/>
    <cellStyle name="Comma 11 2 14" xfId="153"/>
    <cellStyle name="Comma 11 2 15" xfId="154"/>
    <cellStyle name="Comma 11 2 16" xfId="155"/>
    <cellStyle name="Comma 11 2 17" xfId="156"/>
    <cellStyle name="Comma 11 2 2" xfId="157"/>
    <cellStyle name="Comma 11 2 2 10" xfId="158"/>
    <cellStyle name="Comma 11 2 2 11" xfId="159"/>
    <cellStyle name="Comma 11 2 2 12" xfId="160"/>
    <cellStyle name="Comma 11 2 2 13" xfId="161"/>
    <cellStyle name="Comma 11 2 2 14" xfId="162"/>
    <cellStyle name="Comma 11 2 2 15" xfId="163"/>
    <cellStyle name="Comma 11 2 2 16" xfId="164"/>
    <cellStyle name="Comma 11 2 2 17" xfId="165"/>
    <cellStyle name="Comma 11 2 2 2" xfId="166"/>
    <cellStyle name="Comma 11 2 2 2 10" xfId="167"/>
    <cellStyle name="Comma 11 2 2 2 11" xfId="168"/>
    <cellStyle name="Comma 11 2 2 2 12" xfId="169"/>
    <cellStyle name="Comma 11 2 2 2 13" xfId="170"/>
    <cellStyle name="Comma 11 2 2 2 14" xfId="171"/>
    <cellStyle name="Comma 11 2 2 2 15" xfId="172"/>
    <cellStyle name="Comma 11 2 2 2 16" xfId="173"/>
    <cellStyle name="Comma 11 2 2 2 2" xfId="174"/>
    <cellStyle name="Comma 11 2 2 2 2 2" xfId="175"/>
    <cellStyle name="Comma 11 2 2 2 2 3" xfId="176"/>
    <cellStyle name="Comma 11 2 2 2 3" xfId="177"/>
    <cellStyle name="Comma 11 2 2 2 3 2" xfId="178"/>
    <cellStyle name="Comma 11 2 2 2 4" xfId="179"/>
    <cellStyle name="Comma 11 2 2 2 5" xfId="180"/>
    <cellStyle name="Comma 11 2 2 2 6" xfId="181"/>
    <cellStyle name="Comma 11 2 2 2 7" xfId="182"/>
    <cellStyle name="Comma 11 2 2 2 8" xfId="183"/>
    <cellStyle name="Comma 11 2 2 2 9" xfId="184"/>
    <cellStyle name="Comma 11 2 2 3" xfId="185"/>
    <cellStyle name="Comma 11 2 2 3 2" xfId="186"/>
    <cellStyle name="Comma 11 2 2 3 3" xfId="187"/>
    <cellStyle name="Comma 11 2 2 4" xfId="188"/>
    <cellStyle name="Comma 11 2 2 4 2" xfId="189"/>
    <cellStyle name="Comma 11 2 2 5" xfId="190"/>
    <cellStyle name="Comma 11 2 2 6" xfId="191"/>
    <cellStyle name="Comma 11 2 2 7" xfId="192"/>
    <cellStyle name="Comma 11 2 2 8" xfId="193"/>
    <cellStyle name="Comma 11 2 2 9" xfId="194"/>
    <cellStyle name="Comma 11 2 3" xfId="195"/>
    <cellStyle name="Comma 11 2 4" xfId="196"/>
    <cellStyle name="Comma 11 2 5" xfId="197"/>
    <cellStyle name="Comma 11 2 6" xfId="198"/>
    <cellStyle name="Comma 11 2 7" xfId="199"/>
    <cellStyle name="Comma 11 2 8" xfId="200"/>
    <cellStyle name="Comma 11 2 9" xfId="201"/>
    <cellStyle name="Comma 11 20" xfId="202"/>
    <cellStyle name="Comma 11 3" xfId="203"/>
    <cellStyle name="Comma 11 3 10" xfId="204"/>
    <cellStyle name="Comma 11 3 11" xfId="205"/>
    <cellStyle name="Comma 11 3 12" xfId="206"/>
    <cellStyle name="Comma 11 3 13" xfId="207"/>
    <cellStyle name="Comma 11 3 14" xfId="208"/>
    <cellStyle name="Comma 11 3 15" xfId="209"/>
    <cellStyle name="Comma 11 3 16" xfId="210"/>
    <cellStyle name="Comma 11 3 17" xfId="211"/>
    <cellStyle name="Comma 11 3 2" xfId="212"/>
    <cellStyle name="Comma 11 3 2 10" xfId="213"/>
    <cellStyle name="Comma 11 3 2 11" xfId="214"/>
    <cellStyle name="Comma 11 3 2 12" xfId="215"/>
    <cellStyle name="Comma 11 3 2 13" xfId="216"/>
    <cellStyle name="Comma 11 3 2 14" xfId="217"/>
    <cellStyle name="Comma 11 3 2 15" xfId="218"/>
    <cellStyle name="Comma 11 3 2 16" xfId="219"/>
    <cellStyle name="Comma 11 3 2 2" xfId="220"/>
    <cellStyle name="Comma 11 3 2 3" xfId="221"/>
    <cellStyle name="Comma 11 3 2 4" xfId="222"/>
    <cellStyle name="Comma 11 3 2 5" xfId="223"/>
    <cellStyle name="Comma 11 3 2 6" xfId="224"/>
    <cellStyle name="Comma 11 3 2 7" xfId="225"/>
    <cellStyle name="Comma 11 3 2 8" xfId="226"/>
    <cellStyle name="Comma 11 3 2 9" xfId="227"/>
    <cellStyle name="Comma 11 3 3" xfId="228"/>
    <cellStyle name="Comma 11 3 4" xfId="229"/>
    <cellStyle name="Comma 11 3 5" xfId="230"/>
    <cellStyle name="Comma 11 3 6" xfId="231"/>
    <cellStyle name="Comma 11 3 7" xfId="232"/>
    <cellStyle name="Comma 11 3 8" xfId="233"/>
    <cellStyle name="Comma 11 3 9" xfId="234"/>
    <cellStyle name="Comma 11 4" xfId="235"/>
    <cellStyle name="Comma 11 4 10" xfId="236"/>
    <cellStyle name="Comma 11 4 11" xfId="237"/>
    <cellStyle name="Comma 11 4 12" xfId="238"/>
    <cellStyle name="Comma 11 4 13" xfId="239"/>
    <cellStyle name="Comma 11 4 14" xfId="240"/>
    <cellStyle name="Comma 11 4 15" xfId="241"/>
    <cellStyle name="Comma 11 4 16" xfId="242"/>
    <cellStyle name="Comma 11 4 2" xfId="243"/>
    <cellStyle name="Comma 11 4 2 10" xfId="244"/>
    <cellStyle name="Comma 11 4 2 11" xfId="245"/>
    <cellStyle name="Comma 11 4 2 12" xfId="246"/>
    <cellStyle name="Comma 11 4 2 13" xfId="247"/>
    <cellStyle name="Comma 11 4 2 14" xfId="248"/>
    <cellStyle name="Comma 11 4 2 15" xfId="249"/>
    <cellStyle name="Comma 11 4 2 2" xfId="250"/>
    <cellStyle name="Comma 11 4 2 3" xfId="251"/>
    <cellStyle name="Comma 11 4 2 4" xfId="252"/>
    <cellStyle name="Comma 11 4 2 5" xfId="253"/>
    <cellStyle name="Comma 11 4 2 6" xfId="254"/>
    <cellStyle name="Comma 11 4 2 7" xfId="255"/>
    <cellStyle name="Comma 11 4 2 8" xfId="256"/>
    <cellStyle name="Comma 11 4 2 9" xfId="257"/>
    <cellStyle name="Comma 11 4 3" xfId="258"/>
    <cellStyle name="Comma 11 4 4" xfId="259"/>
    <cellStyle name="Comma 11 4 5" xfId="260"/>
    <cellStyle name="Comma 11 4 6" xfId="261"/>
    <cellStyle name="Comma 11 4 7" xfId="262"/>
    <cellStyle name="Comma 11 4 8" xfId="263"/>
    <cellStyle name="Comma 11 4 9" xfId="264"/>
    <cellStyle name="Comma 11 5" xfId="265"/>
    <cellStyle name="Comma 11 5 10" xfId="266"/>
    <cellStyle name="Comma 11 5 11" xfId="267"/>
    <cellStyle name="Comma 11 5 12" xfId="268"/>
    <cellStyle name="Comma 11 5 13" xfId="269"/>
    <cellStyle name="Comma 11 5 14" xfId="270"/>
    <cellStyle name="Comma 11 5 15" xfId="271"/>
    <cellStyle name="Comma 11 5 2" xfId="272"/>
    <cellStyle name="Comma 11 5 3" xfId="273"/>
    <cellStyle name="Comma 11 5 4" xfId="274"/>
    <cellStyle name="Comma 11 5 5" xfId="275"/>
    <cellStyle name="Comma 11 5 6" xfId="276"/>
    <cellStyle name="Comma 11 5 7" xfId="277"/>
    <cellStyle name="Comma 11 5 8" xfId="278"/>
    <cellStyle name="Comma 11 5 9" xfId="279"/>
    <cellStyle name="Comma 11 6" xfId="280"/>
    <cellStyle name="Comma 11 7" xfId="281"/>
    <cellStyle name="Comma 11 8" xfId="282"/>
    <cellStyle name="Comma 11 9" xfId="283"/>
    <cellStyle name="Comma 12" xfId="284"/>
    <cellStyle name="Comma 12 10" xfId="285"/>
    <cellStyle name="Comma 12 11" xfId="286"/>
    <cellStyle name="Comma 12 12" xfId="287"/>
    <cellStyle name="Comma 12 13" xfId="288"/>
    <cellStyle name="Comma 12 14" xfId="289"/>
    <cellStyle name="Comma 12 15" xfId="290"/>
    <cellStyle name="Comma 12 16" xfId="291"/>
    <cellStyle name="Comma 12 17" xfId="292"/>
    <cellStyle name="Comma 12 2" xfId="293"/>
    <cellStyle name="Comma 12 2 10" xfId="294"/>
    <cellStyle name="Comma 12 2 11" xfId="295"/>
    <cellStyle name="Comma 12 2 12" xfId="296"/>
    <cellStyle name="Comma 12 2 13" xfId="297"/>
    <cellStyle name="Comma 12 2 14" xfId="298"/>
    <cellStyle name="Comma 12 2 15" xfId="299"/>
    <cellStyle name="Comma 12 2 16" xfId="300"/>
    <cellStyle name="Comma 12 2 17" xfId="301"/>
    <cellStyle name="Comma 12 2 2" xfId="302"/>
    <cellStyle name="Comma 12 2 3" xfId="303"/>
    <cellStyle name="Comma 12 2 4" xfId="304"/>
    <cellStyle name="Comma 12 2 5" xfId="305"/>
    <cellStyle name="Comma 12 2 6" xfId="306"/>
    <cellStyle name="Comma 12 2 7" xfId="307"/>
    <cellStyle name="Comma 12 2 8" xfId="308"/>
    <cellStyle name="Comma 12 2 9" xfId="309"/>
    <cellStyle name="Comma 12 3" xfId="310"/>
    <cellStyle name="Comma 12 3 2" xfId="311"/>
    <cellStyle name="Comma 12 4" xfId="312"/>
    <cellStyle name="Comma 12 5" xfId="313"/>
    <cellStyle name="Comma 12 6" xfId="314"/>
    <cellStyle name="Comma 12 7" xfId="315"/>
    <cellStyle name="Comma 12 8" xfId="316"/>
    <cellStyle name="Comma 12 9" xfId="317"/>
    <cellStyle name="Comma 13" xfId="318"/>
    <cellStyle name="Comma 13 10" xfId="319"/>
    <cellStyle name="Comma 13 11" xfId="320"/>
    <cellStyle name="Comma 13 12" xfId="321"/>
    <cellStyle name="Comma 13 13" xfId="322"/>
    <cellStyle name="Comma 13 14" xfId="323"/>
    <cellStyle name="Comma 13 15" xfId="324"/>
    <cellStyle name="Comma 13 16" xfId="325"/>
    <cellStyle name="Comma 13 17" xfId="326"/>
    <cellStyle name="Comma 13 18" xfId="327"/>
    <cellStyle name="Comma 13 2" xfId="328"/>
    <cellStyle name="Comma 13 2 10" xfId="329"/>
    <cellStyle name="Comma 13 2 11" xfId="330"/>
    <cellStyle name="Comma 13 2 12" xfId="331"/>
    <cellStyle name="Comma 13 2 13" xfId="332"/>
    <cellStyle name="Comma 13 2 14" xfId="333"/>
    <cellStyle name="Comma 13 2 15" xfId="334"/>
    <cellStyle name="Comma 13 2 16" xfId="335"/>
    <cellStyle name="Comma 13 2 17" xfId="336"/>
    <cellStyle name="Comma 13 2 2" xfId="337"/>
    <cellStyle name="Comma 13 2 2 10" xfId="338"/>
    <cellStyle name="Comma 13 2 2 11" xfId="339"/>
    <cellStyle name="Comma 13 2 2 12" xfId="340"/>
    <cellStyle name="Comma 13 2 2 13" xfId="341"/>
    <cellStyle name="Comma 13 2 2 14" xfId="342"/>
    <cellStyle name="Comma 13 2 2 15" xfId="343"/>
    <cellStyle name="Comma 13 2 2 16" xfId="344"/>
    <cellStyle name="Comma 13 2 2 17" xfId="345"/>
    <cellStyle name="Comma 13 2 2 2" xfId="346"/>
    <cellStyle name="Comma 13 2 2 2 10" xfId="347"/>
    <cellStyle name="Comma 13 2 2 2 11" xfId="348"/>
    <cellStyle name="Comma 13 2 2 2 12" xfId="349"/>
    <cellStyle name="Comma 13 2 2 2 13" xfId="350"/>
    <cellStyle name="Comma 13 2 2 2 14" xfId="351"/>
    <cellStyle name="Comma 13 2 2 2 15" xfId="352"/>
    <cellStyle name="Comma 13 2 2 2 16" xfId="353"/>
    <cellStyle name="Comma 13 2 2 2 2" xfId="354"/>
    <cellStyle name="Comma 13 2 2 2 2 2" xfId="355"/>
    <cellStyle name="Comma 13 2 2 2 2 3" xfId="356"/>
    <cellStyle name="Comma 13 2 2 2 3" xfId="357"/>
    <cellStyle name="Comma 13 2 2 2 3 2" xfId="358"/>
    <cellStyle name="Comma 13 2 2 2 4" xfId="359"/>
    <cellStyle name="Comma 13 2 2 2 5" xfId="360"/>
    <cellStyle name="Comma 13 2 2 2 6" xfId="361"/>
    <cellStyle name="Comma 13 2 2 2 7" xfId="362"/>
    <cellStyle name="Comma 13 2 2 2 8" xfId="363"/>
    <cellStyle name="Comma 13 2 2 2 9" xfId="364"/>
    <cellStyle name="Comma 13 2 2 3" xfId="365"/>
    <cellStyle name="Comma 13 2 2 3 2" xfId="366"/>
    <cellStyle name="Comma 13 2 2 3 3" xfId="367"/>
    <cellStyle name="Comma 13 2 2 4" xfId="368"/>
    <cellStyle name="Comma 13 2 2 4 2" xfId="369"/>
    <cellStyle name="Comma 13 2 2 5" xfId="370"/>
    <cellStyle name="Comma 13 2 2 6" xfId="371"/>
    <cellStyle name="Comma 13 2 2 7" xfId="372"/>
    <cellStyle name="Comma 13 2 2 8" xfId="373"/>
    <cellStyle name="Comma 13 2 2 9" xfId="374"/>
    <cellStyle name="Comma 13 2 3" xfId="375"/>
    <cellStyle name="Comma 13 2 4" xfId="376"/>
    <cellStyle name="Comma 13 2 5" xfId="377"/>
    <cellStyle name="Comma 13 2 6" xfId="378"/>
    <cellStyle name="Comma 13 2 7" xfId="379"/>
    <cellStyle name="Comma 13 2 8" xfId="380"/>
    <cellStyle name="Comma 13 2 9" xfId="381"/>
    <cellStyle name="Comma 13 3" xfId="382"/>
    <cellStyle name="Comma 13 3 10" xfId="383"/>
    <cellStyle name="Comma 13 3 11" xfId="384"/>
    <cellStyle name="Comma 13 3 12" xfId="385"/>
    <cellStyle name="Comma 13 3 13" xfId="386"/>
    <cellStyle name="Comma 13 3 14" xfId="387"/>
    <cellStyle name="Comma 13 3 15" xfId="388"/>
    <cellStyle name="Comma 13 3 16" xfId="389"/>
    <cellStyle name="Comma 13 3 17" xfId="390"/>
    <cellStyle name="Comma 13 3 2" xfId="391"/>
    <cellStyle name="Comma 13 3 2 10" xfId="392"/>
    <cellStyle name="Comma 13 3 2 11" xfId="393"/>
    <cellStyle name="Comma 13 3 2 12" xfId="394"/>
    <cellStyle name="Comma 13 3 2 13" xfId="395"/>
    <cellStyle name="Comma 13 3 2 14" xfId="396"/>
    <cellStyle name="Comma 13 3 2 15" xfId="397"/>
    <cellStyle name="Comma 13 3 2 16" xfId="398"/>
    <cellStyle name="Comma 13 3 2 2" xfId="399"/>
    <cellStyle name="Comma 13 3 2 2 2" xfId="400"/>
    <cellStyle name="Comma 13 3 2 3" xfId="401"/>
    <cellStyle name="Comma 13 3 2 4" xfId="402"/>
    <cellStyle name="Comma 13 3 2 5" xfId="403"/>
    <cellStyle name="Comma 13 3 2 6" xfId="404"/>
    <cellStyle name="Comma 13 3 2 7" xfId="405"/>
    <cellStyle name="Comma 13 3 2 8" xfId="406"/>
    <cellStyle name="Comma 13 3 2 9" xfId="407"/>
    <cellStyle name="Comma 13 3 3" xfId="408"/>
    <cellStyle name="Comma 13 3 3 2" xfId="409"/>
    <cellStyle name="Comma 13 3 4" xfId="410"/>
    <cellStyle name="Comma 13 3 5" xfId="411"/>
    <cellStyle name="Comma 13 3 6" xfId="412"/>
    <cellStyle name="Comma 13 3 7" xfId="413"/>
    <cellStyle name="Comma 13 3 8" xfId="414"/>
    <cellStyle name="Comma 13 3 9" xfId="415"/>
    <cellStyle name="Comma 13 4" xfId="416"/>
    <cellStyle name="Comma 13 4 2" xfId="417"/>
    <cellStyle name="Comma 13 4 3" xfId="418"/>
    <cellStyle name="Comma 13 5" xfId="419"/>
    <cellStyle name="Comma 13 5 2" xfId="420"/>
    <cellStyle name="Comma 13 6" xfId="421"/>
    <cellStyle name="Comma 13 7" xfId="422"/>
    <cellStyle name="Comma 13 8" xfId="423"/>
    <cellStyle name="Comma 13 9" xfId="424"/>
    <cellStyle name="Comma 14" xfId="425"/>
    <cellStyle name="Comma 14 10" xfId="426"/>
    <cellStyle name="Comma 14 11" xfId="427"/>
    <cellStyle name="Comma 14 12" xfId="428"/>
    <cellStyle name="Comma 14 13" xfId="429"/>
    <cellStyle name="Comma 14 14" xfId="430"/>
    <cellStyle name="Comma 14 15" xfId="431"/>
    <cellStyle name="Comma 14 16" xfId="432"/>
    <cellStyle name="Comma 14 2" xfId="433"/>
    <cellStyle name="Comma 14 2 2" xfId="434"/>
    <cellStyle name="Comma 14 3" xfId="435"/>
    <cellStyle name="Comma 14 4" xfId="436"/>
    <cellStyle name="Comma 14 5" xfId="437"/>
    <cellStyle name="Comma 14 6" xfId="438"/>
    <cellStyle name="Comma 14 7" xfId="439"/>
    <cellStyle name="Comma 14 8" xfId="440"/>
    <cellStyle name="Comma 14 9" xfId="441"/>
    <cellStyle name="Comma 15" xfId="442"/>
    <cellStyle name="Comma 15 10" xfId="443"/>
    <cellStyle name="Comma 15 11" xfId="444"/>
    <cellStyle name="Comma 15 12" xfId="445"/>
    <cellStyle name="Comma 15 13" xfId="446"/>
    <cellStyle name="Comma 15 14" xfId="447"/>
    <cellStyle name="Comma 15 15" xfId="448"/>
    <cellStyle name="Comma 15 16" xfId="449"/>
    <cellStyle name="Comma 15 17" xfId="450"/>
    <cellStyle name="Comma 15 2" xfId="451"/>
    <cellStyle name="Comma 15 2 10" xfId="452"/>
    <cellStyle name="Comma 15 2 11" xfId="453"/>
    <cellStyle name="Comma 15 2 12" xfId="454"/>
    <cellStyle name="Comma 15 2 13" xfId="455"/>
    <cellStyle name="Comma 15 2 14" xfId="456"/>
    <cellStyle name="Comma 15 2 15" xfId="457"/>
    <cellStyle name="Comma 15 2 16" xfId="458"/>
    <cellStyle name="Comma 15 2 2" xfId="459"/>
    <cellStyle name="Comma 15 2 3" xfId="460"/>
    <cellStyle name="Comma 15 2 4" xfId="461"/>
    <cellStyle name="Comma 15 2 5" xfId="462"/>
    <cellStyle name="Comma 15 2 6" xfId="463"/>
    <cellStyle name="Comma 15 2 7" xfId="464"/>
    <cellStyle name="Comma 15 2 8" xfId="465"/>
    <cellStyle name="Comma 15 2 9" xfId="466"/>
    <cellStyle name="Comma 15 3" xfId="467"/>
    <cellStyle name="Comma 15 4" xfId="468"/>
    <cellStyle name="Comma 15 5" xfId="469"/>
    <cellStyle name="Comma 15 6" xfId="470"/>
    <cellStyle name="Comma 15 7" xfId="471"/>
    <cellStyle name="Comma 15 8" xfId="472"/>
    <cellStyle name="Comma 15 9" xfId="473"/>
    <cellStyle name="Comma 16" xfId="474"/>
    <cellStyle name="Comma 16 2" xfId="475"/>
    <cellStyle name="Comma 16 3" xfId="476"/>
    <cellStyle name="Comma 17" xfId="477"/>
    <cellStyle name="Comma 17 2" xfId="478"/>
    <cellStyle name="Comma 17 3" xfId="479"/>
    <cellStyle name="Comma 18" xfId="480"/>
    <cellStyle name="Comma 18 2" xfId="481"/>
    <cellStyle name="Comma 18 2 2" xfId="482"/>
    <cellStyle name="Comma 18 3" xfId="483"/>
    <cellStyle name="Comma 18 4" xfId="484"/>
    <cellStyle name="Comma 19" xfId="485"/>
    <cellStyle name="Comma 19 2" xfId="486"/>
    <cellStyle name="Comma 2" xfId="58"/>
    <cellStyle name="Comma 2 10" xfId="487"/>
    <cellStyle name="Comma 2 10 2" xfId="488"/>
    <cellStyle name="Comma 2 11" xfId="489"/>
    <cellStyle name="Comma 2 11 2" xfId="490"/>
    <cellStyle name="Comma 2 12" xfId="491"/>
    <cellStyle name="Comma 2 12 2" xfId="492"/>
    <cellStyle name="Comma 2 13" xfId="493"/>
    <cellStyle name="Comma 2 13 2" xfId="494"/>
    <cellStyle name="Comma 2 14" xfId="495"/>
    <cellStyle name="Comma 2 14 2" xfId="496"/>
    <cellStyle name="Comma 2 15" xfId="497"/>
    <cellStyle name="Comma 2 15 2" xfId="498"/>
    <cellStyle name="Comma 2 16" xfId="499"/>
    <cellStyle name="Comma 2 17" xfId="500"/>
    <cellStyle name="Comma 2 18" xfId="501"/>
    <cellStyle name="Comma 2 19" xfId="502"/>
    <cellStyle name="Comma 2 2" xfId="503"/>
    <cellStyle name="Comma 2 2 10" xfId="504"/>
    <cellStyle name="Comma 2 2 2" xfId="505"/>
    <cellStyle name="Comma 2 2 2 2" xfId="506"/>
    <cellStyle name="Comma 2 2 2 2 2" xfId="507"/>
    <cellStyle name="Comma 2 2 2 3" xfId="508"/>
    <cellStyle name="Comma 2 2 2 4" xfId="509"/>
    <cellStyle name="Comma 2 2 2 5" xfId="510"/>
    <cellStyle name="Comma 2 2 2 6" xfId="511"/>
    <cellStyle name="Comma 2 2 3" xfId="512"/>
    <cellStyle name="Comma 2 2 3 2" xfId="513"/>
    <cellStyle name="Comma 2 2 3 2 2" xfId="514"/>
    <cellStyle name="Comma 2 2 3 3" xfId="515"/>
    <cellStyle name="Comma 2 2 3 4" xfId="516"/>
    <cellStyle name="Comma 2 2 4" xfId="517"/>
    <cellStyle name="Comma 2 2 5" xfId="518"/>
    <cellStyle name="Comma 2 2 6" xfId="519"/>
    <cellStyle name="Comma 2 2 7" xfId="520"/>
    <cellStyle name="Comma 2 2 8" xfId="521"/>
    <cellStyle name="Comma 2 2 9" xfId="522"/>
    <cellStyle name="Comma 2 20" xfId="523"/>
    <cellStyle name="Comma 2 21" xfId="524"/>
    <cellStyle name="Comma 2 22" xfId="525"/>
    <cellStyle name="Comma 2 23" xfId="526"/>
    <cellStyle name="Comma 2 24" xfId="527"/>
    <cellStyle name="Comma 2 25" xfId="528"/>
    <cellStyle name="Comma 2 26" xfId="529"/>
    <cellStyle name="Comma 2 27" xfId="530"/>
    <cellStyle name="Comma 2 28" xfId="531"/>
    <cellStyle name="Comma 2 29" xfId="532"/>
    <cellStyle name="Comma 2 3" xfId="533"/>
    <cellStyle name="Comma 2 3 2" xfId="534"/>
    <cellStyle name="Comma 2 30" xfId="535"/>
    <cellStyle name="Comma 2 31" xfId="536"/>
    <cellStyle name="Comma 2 32" xfId="537"/>
    <cellStyle name="Comma 2 33" xfId="538"/>
    <cellStyle name="Comma 2 34" xfId="539"/>
    <cellStyle name="Comma 2 35" xfId="540"/>
    <cellStyle name="Comma 2 36" xfId="541"/>
    <cellStyle name="Comma 2 37" xfId="542"/>
    <cellStyle name="Comma 2 38" xfId="543"/>
    <cellStyle name="Comma 2 39" xfId="544"/>
    <cellStyle name="Comma 2 4" xfId="545"/>
    <cellStyle name="Comma 2 4 2" xfId="546"/>
    <cellStyle name="Comma 2 4 3" xfId="547"/>
    <cellStyle name="Comma 2 5" xfId="548"/>
    <cellStyle name="Comma 2 5 2" xfId="549"/>
    <cellStyle name="Comma 2 6" xfId="550"/>
    <cellStyle name="Comma 2 6 2" xfId="551"/>
    <cellStyle name="Comma 2 7" xfId="552"/>
    <cellStyle name="Comma 2 7 10" xfId="553"/>
    <cellStyle name="Comma 2 7 11" xfId="554"/>
    <cellStyle name="Comma 2 7 12" xfId="555"/>
    <cellStyle name="Comma 2 7 13" xfId="556"/>
    <cellStyle name="Comma 2 7 14" xfId="557"/>
    <cellStyle name="Comma 2 7 15" xfId="558"/>
    <cellStyle name="Comma 2 7 16" xfId="559"/>
    <cellStyle name="Comma 2 7 2" xfId="560"/>
    <cellStyle name="Comma 2 7 2 10" xfId="561"/>
    <cellStyle name="Comma 2 7 2 11" xfId="562"/>
    <cellStyle name="Comma 2 7 2 12" xfId="563"/>
    <cellStyle name="Comma 2 7 2 13" xfId="564"/>
    <cellStyle name="Comma 2 7 2 14" xfId="565"/>
    <cellStyle name="Comma 2 7 2 15" xfId="566"/>
    <cellStyle name="Comma 2 7 2 2" xfId="567"/>
    <cellStyle name="Comma 2 7 2 2 2" xfId="568"/>
    <cellStyle name="Comma 2 7 2 3" xfId="569"/>
    <cellStyle name="Comma 2 7 2 4" xfId="570"/>
    <cellStyle name="Comma 2 7 2 5" xfId="571"/>
    <cellStyle name="Comma 2 7 2 6" xfId="572"/>
    <cellStyle name="Comma 2 7 2 7" xfId="573"/>
    <cellStyle name="Comma 2 7 2 8" xfId="574"/>
    <cellStyle name="Comma 2 7 2 9" xfId="575"/>
    <cellStyle name="Comma 2 7 3" xfId="576"/>
    <cellStyle name="Comma 2 7 3 2" xfId="577"/>
    <cellStyle name="Comma 2 7 4" xfId="578"/>
    <cellStyle name="Comma 2 7 5" xfId="579"/>
    <cellStyle name="Comma 2 7 6" xfId="580"/>
    <cellStyle name="Comma 2 7 7" xfId="581"/>
    <cellStyle name="Comma 2 7 8" xfId="582"/>
    <cellStyle name="Comma 2 7 9" xfId="583"/>
    <cellStyle name="Comma 2 8" xfId="584"/>
    <cellStyle name="Comma 2 8 2" xfId="585"/>
    <cellStyle name="Comma 2 9" xfId="586"/>
    <cellStyle name="Comma 2 9 2" xfId="587"/>
    <cellStyle name="Comma 20" xfId="588"/>
    <cellStyle name="Comma 21" xfId="589"/>
    <cellStyle name="Comma 21 2" xfId="590"/>
    <cellStyle name="Comma 22" xfId="591"/>
    <cellStyle name="Comma 23" xfId="592"/>
    <cellStyle name="Comma 23 2" xfId="593"/>
    <cellStyle name="Comma 23 3" xfId="594"/>
    <cellStyle name="Comma 24" xfId="595"/>
    <cellStyle name="Comma 25" xfId="596"/>
    <cellStyle name="Comma 26" xfId="597"/>
    <cellStyle name="Comma 3" xfId="598"/>
    <cellStyle name="Comma 3 2" xfId="59"/>
    <cellStyle name="Comma 3 2 2" xfId="599"/>
    <cellStyle name="Comma 3 2 2 10" xfId="600"/>
    <cellStyle name="Comma 3 2 2 11" xfId="601"/>
    <cellStyle name="Comma 3 2 2 12" xfId="602"/>
    <cellStyle name="Comma 3 2 2 13" xfId="603"/>
    <cellStyle name="Comma 3 2 2 14" xfId="604"/>
    <cellStyle name="Comma 3 2 2 15" xfId="605"/>
    <cellStyle name="Comma 3 2 2 16" xfId="606"/>
    <cellStyle name="Comma 3 2 2 17" xfId="607"/>
    <cellStyle name="Comma 3 2 2 18" xfId="608"/>
    <cellStyle name="Comma 3 2 2 2" xfId="609"/>
    <cellStyle name="Comma 3 2 2 2 10" xfId="610"/>
    <cellStyle name="Comma 3 2 2 2 11" xfId="611"/>
    <cellStyle name="Comma 3 2 2 2 12" xfId="612"/>
    <cellStyle name="Comma 3 2 2 2 13" xfId="613"/>
    <cellStyle name="Comma 3 2 2 2 14" xfId="614"/>
    <cellStyle name="Comma 3 2 2 2 15" xfId="615"/>
    <cellStyle name="Comma 3 2 2 2 16" xfId="616"/>
    <cellStyle name="Comma 3 2 2 2 2" xfId="617"/>
    <cellStyle name="Comma 3 2 2 2 2 10" xfId="618"/>
    <cellStyle name="Comma 3 2 2 2 2 11" xfId="619"/>
    <cellStyle name="Comma 3 2 2 2 2 12" xfId="620"/>
    <cellStyle name="Comma 3 2 2 2 2 13" xfId="621"/>
    <cellStyle name="Comma 3 2 2 2 2 14" xfId="622"/>
    <cellStyle name="Comma 3 2 2 2 2 15" xfId="623"/>
    <cellStyle name="Comma 3 2 2 2 2 2" xfId="624"/>
    <cellStyle name="Comma 3 2 2 2 2 3" xfId="625"/>
    <cellStyle name="Comma 3 2 2 2 2 4" xfId="626"/>
    <cellStyle name="Comma 3 2 2 2 2 5" xfId="627"/>
    <cellStyle name="Comma 3 2 2 2 2 6" xfId="628"/>
    <cellStyle name="Comma 3 2 2 2 2 7" xfId="629"/>
    <cellStyle name="Comma 3 2 2 2 2 8" xfId="630"/>
    <cellStyle name="Comma 3 2 2 2 2 9" xfId="631"/>
    <cellStyle name="Comma 3 2 2 2 3" xfId="632"/>
    <cellStyle name="Comma 3 2 2 2 4" xfId="633"/>
    <cellStyle name="Comma 3 2 2 2 5" xfId="634"/>
    <cellStyle name="Comma 3 2 2 2 6" xfId="635"/>
    <cellStyle name="Comma 3 2 2 2 7" xfId="636"/>
    <cellStyle name="Comma 3 2 2 2 8" xfId="637"/>
    <cellStyle name="Comma 3 2 2 2 9" xfId="638"/>
    <cellStyle name="Comma 3 2 2 3" xfId="639"/>
    <cellStyle name="Comma 3 2 2 3 10" xfId="640"/>
    <cellStyle name="Comma 3 2 2 3 11" xfId="641"/>
    <cellStyle name="Comma 3 2 2 3 12" xfId="642"/>
    <cellStyle name="Comma 3 2 2 3 13" xfId="643"/>
    <cellStyle name="Comma 3 2 2 3 14" xfId="644"/>
    <cellStyle name="Comma 3 2 2 3 15" xfId="645"/>
    <cellStyle name="Comma 3 2 2 3 16" xfId="646"/>
    <cellStyle name="Comma 3 2 2 3 2" xfId="647"/>
    <cellStyle name="Comma 3 2 2 3 2 10" xfId="648"/>
    <cellStyle name="Comma 3 2 2 3 2 11" xfId="649"/>
    <cellStyle name="Comma 3 2 2 3 2 12" xfId="650"/>
    <cellStyle name="Comma 3 2 2 3 2 13" xfId="651"/>
    <cellStyle name="Comma 3 2 2 3 2 14" xfId="652"/>
    <cellStyle name="Comma 3 2 2 3 2 15" xfId="653"/>
    <cellStyle name="Comma 3 2 2 3 2 2" xfId="654"/>
    <cellStyle name="Comma 3 2 2 3 2 3" xfId="655"/>
    <cellStyle name="Comma 3 2 2 3 2 4" xfId="656"/>
    <cellStyle name="Comma 3 2 2 3 2 5" xfId="657"/>
    <cellStyle name="Comma 3 2 2 3 2 6" xfId="658"/>
    <cellStyle name="Comma 3 2 2 3 2 7" xfId="659"/>
    <cellStyle name="Comma 3 2 2 3 2 8" xfId="660"/>
    <cellStyle name="Comma 3 2 2 3 2 9" xfId="661"/>
    <cellStyle name="Comma 3 2 2 3 3" xfId="662"/>
    <cellStyle name="Comma 3 2 2 3 4" xfId="663"/>
    <cellStyle name="Comma 3 2 2 3 5" xfId="664"/>
    <cellStyle name="Comma 3 2 2 3 6" xfId="665"/>
    <cellStyle name="Comma 3 2 2 3 7" xfId="666"/>
    <cellStyle name="Comma 3 2 2 3 8" xfId="667"/>
    <cellStyle name="Comma 3 2 2 3 9" xfId="668"/>
    <cellStyle name="Comma 3 2 2 4" xfId="669"/>
    <cellStyle name="Comma 3 2 2 5" xfId="670"/>
    <cellStyle name="Comma 3 2 2 6" xfId="671"/>
    <cellStyle name="Comma 3 2 2 7" xfId="672"/>
    <cellStyle name="Comma 3 2 2 8" xfId="673"/>
    <cellStyle name="Comma 3 2 2 9" xfId="674"/>
    <cellStyle name="Comma 3 2 3" xfId="675"/>
    <cellStyle name="Comma 3 2 4" xfId="676"/>
    <cellStyle name="Comma 3 3" xfId="677"/>
    <cellStyle name="Comma 3 3 2" xfId="678"/>
    <cellStyle name="Comma 3 4" xfId="679"/>
    <cellStyle name="Comma 3 4 10" xfId="680"/>
    <cellStyle name="Comma 3 4 11" xfId="681"/>
    <cellStyle name="Comma 3 4 12" xfId="682"/>
    <cellStyle name="Comma 3 4 13" xfId="683"/>
    <cellStyle name="Comma 3 4 14" xfId="684"/>
    <cellStyle name="Comma 3 4 15" xfId="685"/>
    <cellStyle name="Comma 3 4 16" xfId="686"/>
    <cellStyle name="Comma 3 4 2" xfId="687"/>
    <cellStyle name="Comma 3 4 3" xfId="688"/>
    <cellStyle name="Comma 3 4 4" xfId="689"/>
    <cellStyle name="Comma 3 4 5" xfId="690"/>
    <cellStyle name="Comma 3 4 6" xfId="691"/>
    <cellStyle name="Comma 3 4 7" xfId="692"/>
    <cellStyle name="Comma 3 4 8" xfId="693"/>
    <cellStyle name="Comma 3 4 9" xfId="694"/>
    <cellStyle name="Comma 3 5" xfId="695"/>
    <cellStyle name="Comma 3 5 10" xfId="696"/>
    <cellStyle name="Comma 3 5 11" xfId="697"/>
    <cellStyle name="Comma 3 5 12" xfId="698"/>
    <cellStyle name="Comma 3 5 13" xfId="699"/>
    <cellStyle name="Comma 3 5 14" xfId="700"/>
    <cellStyle name="Comma 3 5 15" xfId="701"/>
    <cellStyle name="Comma 3 5 16" xfId="702"/>
    <cellStyle name="Comma 3 5 17" xfId="703"/>
    <cellStyle name="Comma 3 5 2" xfId="704"/>
    <cellStyle name="Comma 3 5 2 10" xfId="705"/>
    <cellStyle name="Comma 3 5 2 11" xfId="706"/>
    <cellStyle name="Comma 3 5 2 12" xfId="707"/>
    <cellStyle name="Comma 3 5 2 13" xfId="708"/>
    <cellStyle name="Comma 3 5 2 14" xfId="709"/>
    <cellStyle name="Comma 3 5 2 15" xfId="710"/>
    <cellStyle name="Comma 3 5 2 2" xfId="711"/>
    <cellStyle name="Comma 3 5 2 3" xfId="712"/>
    <cellStyle name="Comma 3 5 2 4" xfId="713"/>
    <cellStyle name="Comma 3 5 2 5" xfId="714"/>
    <cellStyle name="Comma 3 5 2 6" xfId="715"/>
    <cellStyle name="Comma 3 5 2 7" xfId="716"/>
    <cellStyle name="Comma 3 5 2 8" xfId="717"/>
    <cellStyle name="Comma 3 5 2 9" xfId="718"/>
    <cellStyle name="Comma 3 5 3" xfId="719"/>
    <cellStyle name="Comma 3 5 4" xfId="720"/>
    <cellStyle name="Comma 3 5 5" xfId="721"/>
    <cellStyle name="Comma 3 5 6" xfId="722"/>
    <cellStyle name="Comma 3 5 7" xfId="723"/>
    <cellStyle name="Comma 3 5 8" xfId="724"/>
    <cellStyle name="Comma 3 5 9" xfId="725"/>
    <cellStyle name="Comma 3 6" xfId="726"/>
    <cellStyle name="Comma 3 6 10" xfId="727"/>
    <cellStyle name="Comma 3 6 11" xfId="728"/>
    <cellStyle name="Comma 3 6 12" xfId="729"/>
    <cellStyle name="Comma 3 6 13" xfId="730"/>
    <cellStyle name="Comma 3 6 14" xfId="731"/>
    <cellStyle name="Comma 3 6 15" xfId="732"/>
    <cellStyle name="Comma 3 6 2" xfId="733"/>
    <cellStyle name="Comma 3 6 3" xfId="734"/>
    <cellStyle name="Comma 3 6 4" xfId="735"/>
    <cellStyle name="Comma 3 6 5" xfId="736"/>
    <cellStyle name="Comma 3 6 6" xfId="737"/>
    <cellStyle name="Comma 3 6 7" xfId="738"/>
    <cellStyle name="Comma 3 6 8" xfId="739"/>
    <cellStyle name="Comma 3 6 9" xfId="740"/>
    <cellStyle name="Comma 3 7" xfId="741"/>
    <cellStyle name="Comma 3 8" xfId="742"/>
    <cellStyle name="Comma 3 9" xfId="743"/>
    <cellStyle name="Comma 38" xfId="744"/>
    <cellStyle name="Comma 4" xfId="745"/>
    <cellStyle name="Comma 4 10" xfId="746"/>
    <cellStyle name="Comma 4 11" xfId="747"/>
    <cellStyle name="Comma 4 12" xfId="748"/>
    <cellStyle name="Comma 4 13" xfId="749"/>
    <cellStyle name="Comma 4 14" xfId="750"/>
    <cellStyle name="Comma 4 15" xfId="751"/>
    <cellStyle name="Comma 4 16" xfId="752"/>
    <cellStyle name="Comma 4 17" xfId="753"/>
    <cellStyle name="Comma 4 18" xfId="754"/>
    <cellStyle name="Comma 4 19" xfId="755"/>
    <cellStyle name="Comma 4 2" xfId="756"/>
    <cellStyle name="Comma 4 2 2" xfId="757"/>
    <cellStyle name="Comma 4 2 2 2" xfId="758"/>
    <cellStyle name="Comma 4 2 3" xfId="759"/>
    <cellStyle name="Comma 4 2_Tiger Woods Golf World - APPI Commented Indicative Budget (140307)" xfId="760"/>
    <cellStyle name="Comma 4 20" xfId="761"/>
    <cellStyle name="Comma 4 21" xfId="762"/>
    <cellStyle name="Comma 4 22" xfId="763"/>
    <cellStyle name="Comma 4 23" xfId="764"/>
    <cellStyle name="Comma 4 24" xfId="765"/>
    <cellStyle name="Comma 4 25" xfId="766"/>
    <cellStyle name="Comma 4 26" xfId="767"/>
    <cellStyle name="Comma 4 27" xfId="768"/>
    <cellStyle name="Comma 4 28" xfId="769"/>
    <cellStyle name="Comma 4 29" xfId="770"/>
    <cellStyle name="Comma 4 3" xfId="771"/>
    <cellStyle name="Comma 4 3 2" xfId="772"/>
    <cellStyle name="Comma 4 30" xfId="773"/>
    <cellStyle name="Comma 4 31" xfId="774"/>
    <cellStyle name="Comma 4 4" xfId="775"/>
    <cellStyle name="Comma 4 4 2" xfId="776"/>
    <cellStyle name="Comma 4 4 3" xfId="777"/>
    <cellStyle name="Comma 4 5" xfId="778"/>
    <cellStyle name="Comma 4 5 2" xfId="779"/>
    <cellStyle name="Comma 4 6" xfId="780"/>
    <cellStyle name="Comma 4 6 2" xfId="781"/>
    <cellStyle name="Comma 4 7" xfId="782"/>
    <cellStyle name="Comma 4 8" xfId="783"/>
    <cellStyle name="Comma 4 9" xfId="784"/>
    <cellStyle name="Comma 4_Tiger Woods Golf World - APPI Commented Indicative Budget (140307)" xfId="785"/>
    <cellStyle name="Comma 5" xfId="54"/>
    <cellStyle name="Comma 5 10" xfId="786"/>
    <cellStyle name="Comma 5 11" xfId="787"/>
    <cellStyle name="Comma 5 12" xfId="788"/>
    <cellStyle name="Comma 5 13" xfId="789"/>
    <cellStyle name="Comma 5 14" xfId="790"/>
    <cellStyle name="Comma 5 15" xfId="791"/>
    <cellStyle name="Comma 5 16" xfId="792"/>
    <cellStyle name="Comma 5 17" xfId="793"/>
    <cellStyle name="Comma 5 18" xfId="794"/>
    <cellStyle name="Comma 5 19" xfId="795"/>
    <cellStyle name="Comma 5 2" xfId="796"/>
    <cellStyle name="Comma 5 2 2" xfId="797"/>
    <cellStyle name="Comma 5 20" xfId="798"/>
    <cellStyle name="Comma 5 21" xfId="799"/>
    <cellStyle name="Comma 5 3" xfId="800"/>
    <cellStyle name="Comma 5 3 10" xfId="801"/>
    <cellStyle name="Comma 5 3 11" xfId="802"/>
    <cellStyle name="Comma 5 3 12" xfId="803"/>
    <cellStyle name="Comma 5 3 13" xfId="804"/>
    <cellStyle name="Comma 5 3 14" xfId="805"/>
    <cellStyle name="Comma 5 3 15" xfId="806"/>
    <cellStyle name="Comma 5 3 16" xfId="807"/>
    <cellStyle name="Comma 5 3 17" xfId="808"/>
    <cellStyle name="Comma 5 3 18" xfId="809"/>
    <cellStyle name="Comma 5 3 19" xfId="810"/>
    <cellStyle name="Comma 5 3 2" xfId="811"/>
    <cellStyle name="Comma 5 3 2 10" xfId="812"/>
    <cellStyle name="Comma 5 3 2 11" xfId="813"/>
    <cellStyle name="Comma 5 3 2 12" xfId="814"/>
    <cellStyle name="Comma 5 3 2 13" xfId="815"/>
    <cellStyle name="Comma 5 3 2 14" xfId="816"/>
    <cellStyle name="Comma 5 3 2 15" xfId="817"/>
    <cellStyle name="Comma 5 3 2 16" xfId="818"/>
    <cellStyle name="Comma 5 3 2 2" xfId="819"/>
    <cellStyle name="Comma 5 3 2 2 10" xfId="820"/>
    <cellStyle name="Comma 5 3 2 2 11" xfId="821"/>
    <cellStyle name="Comma 5 3 2 2 12" xfId="822"/>
    <cellStyle name="Comma 5 3 2 2 13" xfId="823"/>
    <cellStyle name="Comma 5 3 2 2 14" xfId="824"/>
    <cellStyle name="Comma 5 3 2 2 15" xfId="825"/>
    <cellStyle name="Comma 5 3 2 2 16" xfId="826"/>
    <cellStyle name="Comma 5 3 2 2 2" xfId="827"/>
    <cellStyle name="Comma 5 3 2 2 2 10" xfId="828"/>
    <cellStyle name="Comma 5 3 2 2 2 11" xfId="829"/>
    <cellStyle name="Comma 5 3 2 2 2 12" xfId="830"/>
    <cellStyle name="Comma 5 3 2 2 2 13" xfId="831"/>
    <cellStyle name="Comma 5 3 2 2 2 14" xfId="832"/>
    <cellStyle name="Comma 5 3 2 2 2 15" xfId="833"/>
    <cellStyle name="Comma 5 3 2 2 2 16" xfId="834"/>
    <cellStyle name="Comma 5 3 2 2 2 2" xfId="835"/>
    <cellStyle name="Comma 5 3 2 2 2 2 10" xfId="836"/>
    <cellStyle name="Comma 5 3 2 2 2 2 11" xfId="837"/>
    <cellStyle name="Comma 5 3 2 2 2 2 12" xfId="838"/>
    <cellStyle name="Comma 5 3 2 2 2 2 13" xfId="839"/>
    <cellStyle name="Comma 5 3 2 2 2 2 14" xfId="840"/>
    <cellStyle name="Comma 5 3 2 2 2 2 15" xfId="841"/>
    <cellStyle name="Comma 5 3 2 2 2 2 16" xfId="842"/>
    <cellStyle name="Comma 5 3 2 2 2 2 16 2" xfId="843"/>
    <cellStyle name="Comma 5 3 2 2 2 2 2" xfId="844"/>
    <cellStyle name="Comma 5 3 2 2 2 2 3" xfId="845"/>
    <cellStyle name="Comma 5 3 2 2 2 2 4" xfId="846"/>
    <cellStyle name="Comma 5 3 2 2 2 2 5" xfId="847"/>
    <cellStyle name="Comma 5 3 2 2 2 2 6" xfId="848"/>
    <cellStyle name="Comma 5 3 2 2 2 2 7" xfId="849"/>
    <cellStyle name="Comma 5 3 2 2 2 2 8" xfId="850"/>
    <cellStyle name="Comma 5 3 2 2 2 2 9" xfId="851"/>
    <cellStyle name="Comma 5 3 2 2 2 3" xfId="852"/>
    <cellStyle name="Comma 5 3 2 2 2 4" xfId="853"/>
    <cellStyle name="Comma 5 3 2 2 2 5" xfId="854"/>
    <cellStyle name="Comma 5 3 2 2 2 6" xfId="855"/>
    <cellStyle name="Comma 5 3 2 2 2 7" xfId="856"/>
    <cellStyle name="Comma 5 3 2 2 2 8" xfId="857"/>
    <cellStyle name="Comma 5 3 2 2 2 9" xfId="858"/>
    <cellStyle name="Comma 5 3 2 2 3" xfId="859"/>
    <cellStyle name="Comma 5 3 2 2 4" xfId="860"/>
    <cellStyle name="Comma 5 3 2 2 5" xfId="861"/>
    <cellStyle name="Comma 5 3 2 2 6" xfId="862"/>
    <cellStyle name="Comma 5 3 2 2 7" xfId="863"/>
    <cellStyle name="Comma 5 3 2 2 8" xfId="864"/>
    <cellStyle name="Comma 5 3 2 2 9" xfId="865"/>
    <cellStyle name="Comma 5 3 2 3" xfId="866"/>
    <cellStyle name="Comma 5 3 2 4" xfId="867"/>
    <cellStyle name="Comma 5 3 2 5" xfId="868"/>
    <cellStyle name="Comma 5 3 2 6" xfId="869"/>
    <cellStyle name="Comma 5 3 2 7" xfId="870"/>
    <cellStyle name="Comma 5 3 2 8" xfId="871"/>
    <cellStyle name="Comma 5 3 2 9" xfId="872"/>
    <cellStyle name="Comma 5 3 20" xfId="873"/>
    <cellStyle name="Comma 5 3 3" xfId="874"/>
    <cellStyle name="Comma 5 3 3 10" xfId="875"/>
    <cellStyle name="Comma 5 3 3 11" xfId="876"/>
    <cellStyle name="Comma 5 3 3 12" xfId="877"/>
    <cellStyle name="Comma 5 3 3 13" xfId="878"/>
    <cellStyle name="Comma 5 3 3 14" xfId="879"/>
    <cellStyle name="Comma 5 3 3 15" xfId="880"/>
    <cellStyle name="Comma 5 3 3 2" xfId="881"/>
    <cellStyle name="Comma 5 3 3 2 2" xfId="882"/>
    <cellStyle name="Comma 5 3 3 2 2 2" xfId="883"/>
    <cellStyle name="Comma 5 3 3 2 2 2 2" xfId="884"/>
    <cellStyle name="Comma 5 3 3 2 2 3" xfId="885"/>
    <cellStyle name="Comma 5 3 3 2 2 3 2" xfId="886"/>
    <cellStyle name="Comma 5 3 3 2 3" xfId="887"/>
    <cellStyle name="Comma 5 3 3 2 4" xfId="888"/>
    <cellStyle name="Comma 5 3 3 3" xfId="889"/>
    <cellStyle name="Comma 5 3 3 4" xfId="890"/>
    <cellStyle name="Comma 5 3 3 5" xfId="891"/>
    <cellStyle name="Comma 5 3 3 6" xfId="892"/>
    <cellStyle name="Comma 5 3 3 7" xfId="893"/>
    <cellStyle name="Comma 5 3 3 8" xfId="894"/>
    <cellStyle name="Comma 5 3 3 9" xfId="895"/>
    <cellStyle name="Comma 5 3 4" xfId="896"/>
    <cellStyle name="Comma 5 3 4 10" xfId="897"/>
    <cellStyle name="Comma 5 3 4 11" xfId="898"/>
    <cellStyle name="Comma 5 3 4 12" xfId="899"/>
    <cellStyle name="Comma 5 3 4 13" xfId="900"/>
    <cellStyle name="Comma 5 3 4 14" xfId="901"/>
    <cellStyle name="Comma 5 3 4 15" xfId="902"/>
    <cellStyle name="Comma 5 3 4 2" xfId="903"/>
    <cellStyle name="Comma 5 3 4 2 2" xfId="904"/>
    <cellStyle name="Comma 5 3 4 2 2 2" xfId="905"/>
    <cellStyle name="Comma 5 3 4 2 3" xfId="906"/>
    <cellStyle name="Comma 5 3 4 3" xfId="907"/>
    <cellStyle name="Comma 5 3 4 4" xfId="908"/>
    <cellStyle name="Comma 5 3 4 5" xfId="909"/>
    <cellStyle name="Comma 5 3 4 6" xfId="910"/>
    <cellStyle name="Comma 5 3 4 7" xfId="911"/>
    <cellStyle name="Comma 5 3 4 8" xfId="912"/>
    <cellStyle name="Comma 5 3 4 9" xfId="913"/>
    <cellStyle name="Comma 5 3 5" xfId="914"/>
    <cellStyle name="Comma 5 3 5 10" xfId="915"/>
    <cellStyle name="Comma 5 3 5 11" xfId="916"/>
    <cellStyle name="Comma 5 3 5 12" xfId="917"/>
    <cellStyle name="Comma 5 3 5 13" xfId="918"/>
    <cellStyle name="Comma 5 3 5 14" xfId="919"/>
    <cellStyle name="Comma 5 3 5 15" xfId="920"/>
    <cellStyle name="Comma 5 3 5 2" xfId="921"/>
    <cellStyle name="Comma 5 3 5 3" xfId="922"/>
    <cellStyle name="Comma 5 3 5 4" xfId="923"/>
    <cellStyle name="Comma 5 3 5 5" xfId="924"/>
    <cellStyle name="Comma 5 3 5 6" xfId="925"/>
    <cellStyle name="Comma 5 3 5 7" xfId="926"/>
    <cellStyle name="Comma 5 3 5 8" xfId="927"/>
    <cellStyle name="Comma 5 3 5 9" xfId="928"/>
    <cellStyle name="Comma 5 3 6" xfId="929"/>
    <cellStyle name="Comma 5 3 7" xfId="930"/>
    <cellStyle name="Comma 5 3 8" xfId="931"/>
    <cellStyle name="Comma 5 3 9" xfId="932"/>
    <cellStyle name="Comma 5 31" xfId="933"/>
    <cellStyle name="Comma 5 31 2" xfId="934"/>
    <cellStyle name="Comma 5 4" xfId="935"/>
    <cellStyle name="Comma 5 4 10" xfId="936"/>
    <cellStyle name="Comma 5 4 11" xfId="937"/>
    <cellStyle name="Comma 5 4 12" xfId="938"/>
    <cellStyle name="Comma 5 4 13" xfId="939"/>
    <cellStyle name="Comma 5 4 14" xfId="940"/>
    <cellStyle name="Comma 5 4 15" xfId="941"/>
    <cellStyle name="Comma 5 4 16" xfId="942"/>
    <cellStyle name="Comma 5 4 17" xfId="943"/>
    <cellStyle name="Comma 5 4 2" xfId="944"/>
    <cellStyle name="Comma 5 4 2 2" xfId="945"/>
    <cellStyle name="Comma 5 4 3" xfId="946"/>
    <cellStyle name="Comma 5 4 4" xfId="947"/>
    <cellStyle name="Comma 5 4 5" xfId="948"/>
    <cellStyle name="Comma 5 4 6" xfId="949"/>
    <cellStyle name="Comma 5 4 7" xfId="950"/>
    <cellStyle name="Comma 5 4 8" xfId="951"/>
    <cellStyle name="Comma 5 4 9" xfId="952"/>
    <cellStyle name="Comma 5 5" xfId="953"/>
    <cellStyle name="Comma 5 5 2" xfId="954"/>
    <cellStyle name="Comma 5 6" xfId="955"/>
    <cellStyle name="Comma 5 7" xfId="956"/>
    <cellStyle name="Comma 5 8" xfId="957"/>
    <cellStyle name="Comma 5 9" xfId="958"/>
    <cellStyle name="Comma 6" xfId="959"/>
    <cellStyle name="Comma 6 2" xfId="960"/>
    <cellStyle name="Comma 6 2 2" xfId="961"/>
    <cellStyle name="Comma 6 3" xfId="962"/>
    <cellStyle name="Comma 6 4" xfId="963"/>
    <cellStyle name="Comma 6 5" xfId="964"/>
    <cellStyle name="Comma 7" xfId="965"/>
    <cellStyle name="Comma 7 2" xfId="966"/>
    <cellStyle name="Comma 7 2 2" xfId="967"/>
    <cellStyle name="Comma 7 2 3" xfId="968"/>
    <cellStyle name="Comma 7 3" xfId="969"/>
    <cellStyle name="Comma 7 3 2" xfId="970"/>
    <cellStyle name="Comma 7 4" xfId="971"/>
    <cellStyle name="Comma 8" xfId="972"/>
    <cellStyle name="Comma 8 2" xfId="973"/>
    <cellStyle name="Comma 8 2 2" xfId="974"/>
    <cellStyle name="Comma 8 2 3" xfId="975"/>
    <cellStyle name="Comma 8 3" xfId="976"/>
    <cellStyle name="Comma 8 3 2" xfId="977"/>
    <cellStyle name="Comma 8 4" xfId="978"/>
    <cellStyle name="Comma 9" xfId="979"/>
    <cellStyle name="Comma 9 10" xfId="980"/>
    <cellStyle name="Comma 9 11" xfId="981"/>
    <cellStyle name="Comma 9 12" xfId="982"/>
    <cellStyle name="Comma 9 13" xfId="983"/>
    <cellStyle name="Comma 9 2" xfId="984"/>
    <cellStyle name="Comma 9 3" xfId="985"/>
    <cellStyle name="Comma 9 4" xfId="986"/>
    <cellStyle name="Comma 9 5" xfId="987"/>
    <cellStyle name="Comma 9 6" xfId="988"/>
    <cellStyle name="Comma 9 7" xfId="989"/>
    <cellStyle name="Comma 9 8" xfId="990"/>
    <cellStyle name="Comma 9 9" xfId="991"/>
    <cellStyle name="Comma0" xfId="992"/>
    <cellStyle name="Copied" xfId="993"/>
    <cellStyle name="COST1" xfId="994"/>
    <cellStyle name="Currency" xfId="71" builtinId="4"/>
    <cellStyle name="Currency [k]" xfId="995"/>
    <cellStyle name="Currency [m]" xfId="996"/>
    <cellStyle name="Currency 2" xfId="997"/>
    <cellStyle name="Currency 2 2" xfId="998"/>
    <cellStyle name="Currency 3" xfId="999"/>
    <cellStyle name="Entered" xfId="1000"/>
    <cellStyle name="Explanatory Text 2" xfId="28"/>
    <cellStyle name="Explanatory Text 3" xfId="1001"/>
    <cellStyle name="Good 2" xfId="29"/>
    <cellStyle name="Good 2 2" xfId="1002"/>
    <cellStyle name="Good 3" xfId="1003"/>
    <cellStyle name="Grey" xfId="1004"/>
    <cellStyle name="Header1" xfId="1005"/>
    <cellStyle name="Header2" xfId="1006"/>
    <cellStyle name="heading" xfId="1007"/>
    <cellStyle name="Heading 1 2" xfId="30"/>
    <cellStyle name="Heading 1 2 2" xfId="1008"/>
    <cellStyle name="Heading 1 3" xfId="1009"/>
    <cellStyle name="Heading 2 2" xfId="31"/>
    <cellStyle name="Heading 2 2 2" xfId="1010"/>
    <cellStyle name="Heading 2 3" xfId="1011"/>
    <cellStyle name="Heading 3 2" xfId="32"/>
    <cellStyle name="Heading 3 2 2" xfId="1012"/>
    <cellStyle name="Heading 3 3" xfId="1013"/>
    <cellStyle name="Heading 4 2" xfId="33"/>
    <cellStyle name="Heading 4 2 2" xfId="1014"/>
    <cellStyle name="Heading 4 3" xfId="1015"/>
    <cellStyle name="hidden" xfId="1016"/>
    <cellStyle name="Hideable" xfId="1017"/>
    <cellStyle name="Hyperlink 2" xfId="1018"/>
    <cellStyle name="Hyperlink 2 2" xfId="1019"/>
    <cellStyle name="Input [yellow]" xfId="1020"/>
    <cellStyle name="Input 2" xfId="34"/>
    <cellStyle name="Input 2 2" xfId="60"/>
    <cellStyle name="Input 2 3" xfId="61"/>
    <cellStyle name="Input 2 4" xfId="1021"/>
    <cellStyle name="Input 3" xfId="1022"/>
    <cellStyle name="Input Cells" xfId="1023"/>
    <cellStyle name="Input Cells 2" xfId="1024"/>
    <cellStyle name="Jihad" xfId="1025"/>
    <cellStyle name="Linked Cell 2" xfId="35"/>
    <cellStyle name="Linked Cell 2 2" xfId="1026"/>
    <cellStyle name="Linked Cell 3" xfId="1027"/>
    <cellStyle name="Linked Cells" xfId="1028"/>
    <cellStyle name="Linked Cells 2" xfId="1029"/>
    <cellStyle name="Microsoft Excel found an error in the formula you entered. Do you want to accept the correction proposed below?_x000a__x000a_|_x000a__x000a_• To accept the correction, click Yes._x000a_• To close this message and correct the formula yourself, click No." xfId="1030"/>
    <cellStyle name="Microsoft Excel found an error in the formula you entered. Do you want to accept the correction proposed below?_x000a__x000a_|_x000a__x000a_• To accept the correction, click Yes._x000a_• To close this message and correct the formula yourself, click No. 10" xfId="1031"/>
    <cellStyle name="Microsoft Excel found an error in the formula you entered. Do you want to accept the correction proposed below?_x000a__x000a_|_x000a__x000a_• To accept the correction, click Yes._x000a_• To close this message and correct the formula yourself, click No. 11" xfId="1032"/>
    <cellStyle name="Microsoft Excel found an error in the formula you entered. Do you want to accept the correction proposed below?_x000a__x000a_|_x000a__x000a_• To accept the correction, click Yes._x000a_• To close this message and correct the formula yourself, click No. 12" xfId="1033"/>
    <cellStyle name="Microsoft Excel found an error in the formula you entered. Do you want to accept the correction proposed below?_x000a__x000a_|_x000a__x000a_• To accept the correction, click Yes._x000a_• To close this message and correct the formula yourself, click No. 13" xfId="1034"/>
    <cellStyle name="Microsoft Excel found an error in the formula you entered. Do you want to accept the correction proposed below?_x000a__x000a_|_x000a__x000a_• To accept the correction, click Yes._x000a_• To close this message and correct the formula yourself, click No. 14" xfId="1035"/>
    <cellStyle name="Microsoft Excel found an error in the formula you entered. Do you want to accept the correction proposed below?_x000a__x000a_|_x000a__x000a_• To accept the correction, click Yes._x000a_• To close this message and correct the formula yourself, click No. 15" xfId="1036"/>
    <cellStyle name="Microsoft Excel found an error in the formula you entered. Do you want to accept the correction proposed below?_x000a__x000a_|_x000a__x000a_• To accept the correction, click Yes._x000a_• To close this message and correct the formula yourself, click No. 16" xfId="1037"/>
    <cellStyle name="Microsoft Excel found an error in the formula you entered. Do you want to accept the correction proposed below?_x000a__x000a_|_x000a__x000a_• To accept the correction, click Yes._x000a_• To close this message and correct the formula yourself, click No. 17" xfId="1038"/>
    <cellStyle name="Microsoft Excel found an error in the formula you entered. Do you want to accept the correction proposed below?_x000a__x000a_|_x000a__x000a_• To accept the correction, click Yes._x000a_• To close this message and correct the formula yourself, click No. 18" xfId="1039"/>
    <cellStyle name="Microsoft Excel found an error in the formula you entered. Do you want to accept the correction proposed below?_x000a__x000a_|_x000a__x000a_• To accept the correction, click Yes._x000a_• To close this message and correct the formula yourself, click No. 19" xfId="1040"/>
    <cellStyle name="Microsoft Excel found an error in the formula you entered. Do you want to accept the correction proposed below?_x000a__x000a_|_x000a__x000a_• To accept the correction, click Yes._x000a_• To close this message and correct the formula yourself, click No. 2" xfId="1041"/>
    <cellStyle name="Microsoft Excel found an error in the formula you entered. Do you want to accept the correction proposed below?_x000a__x000a_|_x000a__x000a_• To accept the correction, click Yes._x000a_• To close this message and correct the formula yourself, click No. 20" xfId="1042"/>
    <cellStyle name="Microsoft Excel found an error in the formula you entered. Do you want to accept the correction proposed below?_x000a__x000a_|_x000a__x000a_• To accept the correction, click Yes._x000a_• To close this message and correct the formula yourself, click No. 21" xfId="1043"/>
    <cellStyle name="Microsoft Excel found an error in the formula you entered. Do you want to accept the correction proposed below?_x000a__x000a_|_x000a__x000a_• To accept the correction, click Yes._x000a_• To close this message and correct the formula yourself, click No. 3" xfId="1044"/>
    <cellStyle name="Microsoft Excel found an error in the formula you entered. Do you want to accept the correction proposed below?_x000a__x000a_|_x000a__x000a_• To accept the correction, click Yes._x000a_• To close this message and correct the formula yourself, click No. 4" xfId="1045"/>
    <cellStyle name="Microsoft Excel found an error in the formula you entered. Do you want to accept the correction proposed below?_x000a__x000a_|_x000a__x000a_• To accept the correction, click Yes._x000a_• To close this message and correct the formula yourself, click No. 5" xfId="1046"/>
    <cellStyle name="Microsoft Excel found an error in the formula you entered. Do you want to accept the correction proposed below?_x000a__x000a_|_x000a__x000a_• To accept the correction, click Yes._x000a_• To close this message and correct the formula yourself, click No. 6" xfId="1047"/>
    <cellStyle name="Microsoft Excel found an error in the formula you entered. Do you want to accept the correction proposed below?_x000a__x000a_|_x000a__x000a_• To accept the correction, click Yes._x000a_• To close this message and correct the formula yourself, click No. 7" xfId="1048"/>
    <cellStyle name="Microsoft Excel found an error in the formula you entered. Do you want to accept the correction proposed below?_x000a__x000a_|_x000a__x000a_• To accept the correction, click Yes._x000a_• To close this message and correct the formula yourself, click No. 8" xfId="1049"/>
    <cellStyle name="Microsoft Excel found an error in the formula you entered. Do you want to accept the correction proposed below?_x000a__x000a_|_x000a__x000a_• To accept the correction, click Yes._x000a_• To close this message and correct the formula yourself, click No. 9" xfId="1050"/>
    <cellStyle name="Milliers [0]_!!!GO" xfId="1051"/>
    <cellStyle name="Milliers_!!!GO" xfId="1052"/>
    <cellStyle name="Monétaire [0]_!!!GO" xfId="1053"/>
    <cellStyle name="Monétaire_!!!GO" xfId="1054"/>
    <cellStyle name="MS_Arabic" xfId="1055"/>
    <cellStyle name="Neutral 2" xfId="36"/>
    <cellStyle name="Neutral 2 2" xfId="1056"/>
    <cellStyle name="Neutral 3" xfId="1057"/>
    <cellStyle name="Normal" xfId="0" builtinId="0"/>
    <cellStyle name="Normal - Style1" xfId="1058"/>
    <cellStyle name="Normal - Style1 2" xfId="1059"/>
    <cellStyle name="Normal - Style1 2 2" xfId="1060"/>
    <cellStyle name="Normal - Style1 3" xfId="1061"/>
    <cellStyle name="Normal 10" xfId="51"/>
    <cellStyle name="Normal 10 10" xfId="1062"/>
    <cellStyle name="Normal 10 11" xfId="1063"/>
    <cellStyle name="Normal 10 12" xfId="1064"/>
    <cellStyle name="Normal 10 13" xfId="1065"/>
    <cellStyle name="Normal 10 14" xfId="1066"/>
    <cellStyle name="Normal 10 15" xfId="1067"/>
    <cellStyle name="Normal 10 16" xfId="1068"/>
    <cellStyle name="Normal 10 17" xfId="1069"/>
    <cellStyle name="Normal 10 18" xfId="1070"/>
    <cellStyle name="Normal 10 19" xfId="1071"/>
    <cellStyle name="Normal 10 2" xfId="1072"/>
    <cellStyle name="Normal 10 2 10" xfId="1073"/>
    <cellStyle name="Normal 10 2 11" xfId="1074"/>
    <cellStyle name="Normal 10 2 12" xfId="1075"/>
    <cellStyle name="Normal 10 2 13" xfId="1076"/>
    <cellStyle name="Normal 10 2 14" xfId="1077"/>
    <cellStyle name="Normal 10 2 15" xfId="1078"/>
    <cellStyle name="Normal 10 2 16" xfId="1079"/>
    <cellStyle name="Normal 10 2 17" xfId="1080"/>
    <cellStyle name="Normal 10 2 18" xfId="1081"/>
    <cellStyle name="Normal 10 2 2" xfId="1082"/>
    <cellStyle name="Normal 10 2 2 2" xfId="1083"/>
    <cellStyle name="Normal 10 2 2 2 10" xfId="1084"/>
    <cellStyle name="Normal 10 2 2 2 11" xfId="1085"/>
    <cellStyle name="Normal 10 2 2 2 12" xfId="1086"/>
    <cellStyle name="Normal 10 2 2 2 13" xfId="1087"/>
    <cellStyle name="Normal 10 2 2 2 14" xfId="1088"/>
    <cellStyle name="Normal 10 2 2 2 15" xfId="1089"/>
    <cellStyle name="Normal 10 2 2 2 16" xfId="1090"/>
    <cellStyle name="Normal 10 2 2 2 2" xfId="1091"/>
    <cellStyle name="Normal 10 2 2 2 2 10" xfId="1092"/>
    <cellStyle name="Normal 10 2 2 2 2 11" xfId="1093"/>
    <cellStyle name="Normal 10 2 2 2 2 12" xfId="1094"/>
    <cellStyle name="Normal 10 2 2 2 2 13" xfId="1095"/>
    <cellStyle name="Normal 10 2 2 2 2 14" xfId="1096"/>
    <cellStyle name="Normal 10 2 2 2 2 15" xfId="1097"/>
    <cellStyle name="Normal 10 2 2 2 2 2" xfId="1098"/>
    <cellStyle name="Normal 10 2 2 2 2 3" xfId="1099"/>
    <cellStyle name="Normal 10 2 2 2 2 4" xfId="1100"/>
    <cellStyle name="Normal 10 2 2 2 2 5" xfId="1101"/>
    <cellStyle name="Normal 10 2 2 2 2 6" xfId="1102"/>
    <cellStyle name="Normal 10 2 2 2 2 7" xfId="1103"/>
    <cellStyle name="Normal 10 2 2 2 2 8" xfId="1104"/>
    <cellStyle name="Normal 10 2 2 2 2 9" xfId="1105"/>
    <cellStyle name="Normal 10 2 2 2 3" xfId="1106"/>
    <cellStyle name="Normal 10 2 2 2 4" xfId="1107"/>
    <cellStyle name="Normal 10 2 2 2 5" xfId="1108"/>
    <cellStyle name="Normal 10 2 2 2 6" xfId="1109"/>
    <cellStyle name="Normal 10 2 2 2 7" xfId="1110"/>
    <cellStyle name="Normal 10 2 2 2 8" xfId="1111"/>
    <cellStyle name="Normal 10 2 2 2 9" xfId="1112"/>
    <cellStyle name="Normal 10 2 3" xfId="1113"/>
    <cellStyle name="Normal 10 2 3 10" xfId="1114"/>
    <cellStyle name="Normal 10 2 3 11" xfId="1115"/>
    <cellStyle name="Normal 10 2 3 12" xfId="1116"/>
    <cellStyle name="Normal 10 2 3 13" xfId="1117"/>
    <cellStyle name="Normal 10 2 3 14" xfId="1118"/>
    <cellStyle name="Normal 10 2 3 15" xfId="1119"/>
    <cellStyle name="Normal 10 2 3 16" xfId="1120"/>
    <cellStyle name="Normal 10 2 3 2" xfId="1121"/>
    <cellStyle name="Normal 10 2 3 2 10" xfId="1122"/>
    <cellStyle name="Normal 10 2 3 2 11" xfId="1123"/>
    <cellStyle name="Normal 10 2 3 2 12" xfId="1124"/>
    <cellStyle name="Normal 10 2 3 2 13" xfId="1125"/>
    <cellStyle name="Normal 10 2 3 2 14" xfId="1126"/>
    <cellStyle name="Normal 10 2 3 2 15" xfId="1127"/>
    <cellStyle name="Normal 10 2 3 2 2" xfId="1128"/>
    <cellStyle name="Normal 10 2 3 2 3" xfId="1129"/>
    <cellStyle name="Normal 10 2 3 2 4" xfId="1130"/>
    <cellStyle name="Normal 10 2 3 2 5" xfId="1131"/>
    <cellStyle name="Normal 10 2 3 2 6" xfId="1132"/>
    <cellStyle name="Normal 10 2 3 2 7" xfId="1133"/>
    <cellStyle name="Normal 10 2 3 2 8" xfId="1134"/>
    <cellStyle name="Normal 10 2 3 2 9" xfId="1135"/>
    <cellStyle name="Normal 10 2 3 3" xfId="1136"/>
    <cellStyle name="Normal 10 2 3 4" xfId="1137"/>
    <cellStyle name="Normal 10 2 3 5" xfId="1138"/>
    <cellStyle name="Normal 10 2 3 6" xfId="1139"/>
    <cellStyle name="Normal 10 2 3 7" xfId="1140"/>
    <cellStyle name="Normal 10 2 3 8" xfId="1141"/>
    <cellStyle name="Normal 10 2 3 9" xfId="1142"/>
    <cellStyle name="Normal 10 2 4" xfId="1143"/>
    <cellStyle name="Normal 10 2 5" xfId="1144"/>
    <cellStyle name="Normal 10 2 6" xfId="1145"/>
    <cellStyle name="Normal 10 2 7" xfId="1146"/>
    <cellStyle name="Normal 10 2 8" xfId="1147"/>
    <cellStyle name="Normal 10 2 9" xfId="1148"/>
    <cellStyle name="Normal 10 20" xfId="1149"/>
    <cellStyle name="Normal 10 3" xfId="1150"/>
    <cellStyle name="Normal 10 3 10" xfId="1151"/>
    <cellStyle name="Normal 10 3 11" xfId="1152"/>
    <cellStyle name="Normal 10 3 12" xfId="1153"/>
    <cellStyle name="Normal 10 3 13" xfId="1154"/>
    <cellStyle name="Normal 10 3 14" xfId="1155"/>
    <cellStyle name="Normal 10 3 15" xfId="1156"/>
    <cellStyle name="Normal 10 3 16" xfId="1157"/>
    <cellStyle name="Normal 10 3 2" xfId="1158"/>
    <cellStyle name="Normal 10 3 2 10" xfId="1159"/>
    <cellStyle name="Normal 10 3 2 11" xfId="1160"/>
    <cellStyle name="Normal 10 3 2 12" xfId="1161"/>
    <cellStyle name="Normal 10 3 2 13" xfId="1162"/>
    <cellStyle name="Normal 10 3 2 14" xfId="1163"/>
    <cellStyle name="Normal 10 3 2 15" xfId="1164"/>
    <cellStyle name="Normal 10 3 2 2" xfId="1165"/>
    <cellStyle name="Normal 10 3 2 3" xfId="1166"/>
    <cellStyle name="Normal 10 3 2 4" xfId="1167"/>
    <cellStyle name="Normal 10 3 2 5" xfId="1168"/>
    <cellStyle name="Normal 10 3 2 6" xfId="1169"/>
    <cellStyle name="Normal 10 3 2 7" xfId="1170"/>
    <cellStyle name="Normal 10 3 2 8" xfId="1171"/>
    <cellStyle name="Normal 10 3 2 9" xfId="1172"/>
    <cellStyle name="Normal 10 3 3" xfId="1173"/>
    <cellStyle name="Normal 10 3 4" xfId="1174"/>
    <cellStyle name="Normal 10 3 5" xfId="1175"/>
    <cellStyle name="Normal 10 3 6" xfId="1176"/>
    <cellStyle name="Normal 10 3 7" xfId="1177"/>
    <cellStyle name="Normal 10 3 8" xfId="1178"/>
    <cellStyle name="Normal 10 3 9" xfId="1179"/>
    <cellStyle name="Normal 10 4" xfId="1180"/>
    <cellStyle name="Normal 10 4 10" xfId="1181"/>
    <cellStyle name="Normal 10 4 11" xfId="1182"/>
    <cellStyle name="Normal 10 4 12" xfId="1183"/>
    <cellStyle name="Normal 10 4 13" xfId="1184"/>
    <cellStyle name="Normal 10 4 14" xfId="1185"/>
    <cellStyle name="Normal 10 4 15" xfId="1186"/>
    <cellStyle name="Normal 10 4 16" xfId="1187"/>
    <cellStyle name="Normal 10 4 2" xfId="1188"/>
    <cellStyle name="Normal 10 4 3" xfId="1189"/>
    <cellStyle name="Normal 10 4 4" xfId="1190"/>
    <cellStyle name="Normal 10 4 5" xfId="1191"/>
    <cellStyle name="Normal 10 4 6" xfId="1192"/>
    <cellStyle name="Normal 10 4 7" xfId="1193"/>
    <cellStyle name="Normal 10 4 8" xfId="1194"/>
    <cellStyle name="Normal 10 4 9" xfId="1195"/>
    <cellStyle name="Normal 10 5" xfId="1196"/>
    <cellStyle name="Normal 10 6" xfId="1197"/>
    <cellStyle name="Normal 10 7" xfId="1198"/>
    <cellStyle name="Normal 10 8" xfId="1199"/>
    <cellStyle name="Normal 10 9" xfId="1200"/>
    <cellStyle name="Normal 100" xfId="1201"/>
    <cellStyle name="Normal 100 2" xfId="1202"/>
    <cellStyle name="Normal 101" xfId="1203"/>
    <cellStyle name="Normal 101 2" xfId="1204"/>
    <cellStyle name="Normal 102" xfId="1205"/>
    <cellStyle name="Normal 102 2" xfId="1206"/>
    <cellStyle name="Normal 103" xfId="1207"/>
    <cellStyle name="Normal 103 2" xfId="1208"/>
    <cellStyle name="Normal 104" xfId="1209"/>
    <cellStyle name="Normal 104 2" xfId="1210"/>
    <cellStyle name="Normal 105" xfId="1211"/>
    <cellStyle name="Normal 105 2" xfId="1212"/>
    <cellStyle name="Normal 106" xfId="1213"/>
    <cellStyle name="Normal 106 2" xfId="1214"/>
    <cellStyle name="Normal 107" xfId="1215"/>
    <cellStyle name="Normal 107 2" xfId="1216"/>
    <cellStyle name="Normal 108" xfId="1217"/>
    <cellStyle name="Normal 108 2" xfId="1218"/>
    <cellStyle name="Normal 109" xfId="1219"/>
    <cellStyle name="Normal 109 2" xfId="1220"/>
    <cellStyle name="Normal 11" xfId="1221"/>
    <cellStyle name="Normal 11 10" xfId="1222"/>
    <cellStyle name="Normal 11 11" xfId="1223"/>
    <cellStyle name="Normal 11 12" xfId="1224"/>
    <cellStyle name="Normal 11 13" xfId="1225"/>
    <cellStyle name="Normal 11 14" xfId="1226"/>
    <cellStyle name="Normal 11 15" xfId="1227"/>
    <cellStyle name="Normal 11 16" xfId="1228"/>
    <cellStyle name="Normal 11 17" xfId="1229"/>
    <cellStyle name="Normal 11 2" xfId="1230"/>
    <cellStyle name="Normal 11 2 10" xfId="1231"/>
    <cellStyle name="Normal 11 2 11" xfId="1232"/>
    <cellStyle name="Normal 11 2 12" xfId="1233"/>
    <cellStyle name="Normal 11 2 13" xfId="1234"/>
    <cellStyle name="Normal 11 2 14" xfId="1235"/>
    <cellStyle name="Normal 11 2 15" xfId="1236"/>
    <cellStyle name="Normal 11 2 2" xfId="1237"/>
    <cellStyle name="Normal 11 2 3" xfId="1238"/>
    <cellStyle name="Normal 11 2 4" xfId="1239"/>
    <cellStyle name="Normal 11 2 5" xfId="1240"/>
    <cellStyle name="Normal 11 2 6" xfId="1241"/>
    <cellStyle name="Normal 11 2 7" xfId="1242"/>
    <cellStyle name="Normal 11 2 8" xfId="1243"/>
    <cellStyle name="Normal 11 2 9" xfId="1244"/>
    <cellStyle name="Normal 11 3" xfId="1245"/>
    <cellStyle name="Normal 11 4" xfId="1246"/>
    <cellStyle name="Normal 11 5" xfId="1247"/>
    <cellStyle name="Normal 11 6" xfId="1248"/>
    <cellStyle name="Normal 11 7" xfId="1249"/>
    <cellStyle name="Normal 11 8" xfId="1250"/>
    <cellStyle name="Normal 11 9" xfId="1251"/>
    <cellStyle name="Normal 110" xfId="1252"/>
    <cellStyle name="Normal 110 2" xfId="1253"/>
    <cellStyle name="Normal 111" xfId="1254"/>
    <cellStyle name="Normal 111 2" xfId="1255"/>
    <cellStyle name="Normal 112" xfId="1256"/>
    <cellStyle name="Normal 112 2" xfId="1257"/>
    <cellStyle name="Normal 113" xfId="1258"/>
    <cellStyle name="Normal 113 2" xfId="1259"/>
    <cellStyle name="Normal 114" xfId="1260"/>
    <cellStyle name="Normal 114 2" xfId="1261"/>
    <cellStyle name="Normal 115" xfId="1262"/>
    <cellStyle name="Normal 115 2" xfId="1263"/>
    <cellStyle name="Normal 116" xfId="1264"/>
    <cellStyle name="Normal 116 2" xfId="1265"/>
    <cellStyle name="Normal 117" xfId="1266"/>
    <cellStyle name="Normal 117 2" xfId="1267"/>
    <cellStyle name="Normal 118" xfId="1268"/>
    <cellStyle name="Normal 118 2" xfId="1269"/>
    <cellStyle name="Normal 119" xfId="1270"/>
    <cellStyle name="Normal 119 2" xfId="1271"/>
    <cellStyle name="Normal 12" xfId="1272"/>
    <cellStyle name="Normal 12 2" xfId="1273"/>
    <cellStyle name="Normal 12 3" xfId="1274"/>
    <cellStyle name="Normal 120" xfId="1275"/>
    <cellStyle name="Normal 120 2" xfId="1276"/>
    <cellStyle name="Normal 121" xfId="1277"/>
    <cellStyle name="Normal 121 2" xfId="1278"/>
    <cellStyle name="Normal 122" xfId="1279"/>
    <cellStyle name="Normal 122 2" xfId="1280"/>
    <cellStyle name="Normal 123" xfId="1281"/>
    <cellStyle name="Normal 123 2" xfId="1282"/>
    <cellStyle name="Normal 124" xfId="1283"/>
    <cellStyle name="Normal 124 2" xfId="1284"/>
    <cellStyle name="Normal 125" xfId="1285"/>
    <cellStyle name="Normal 125 2" xfId="1286"/>
    <cellStyle name="Normal 126" xfId="1287"/>
    <cellStyle name="Normal 126 2" xfId="1288"/>
    <cellStyle name="Normal 127" xfId="1289"/>
    <cellStyle name="Normal 127 2" xfId="1290"/>
    <cellStyle name="Normal 128" xfId="1291"/>
    <cellStyle name="Normal 128 2" xfId="1292"/>
    <cellStyle name="Normal 129" xfId="1293"/>
    <cellStyle name="Normal 129 2" xfId="1294"/>
    <cellStyle name="Normal 13" xfId="1295"/>
    <cellStyle name="Normal 13 10" xfId="1296"/>
    <cellStyle name="Normal 13 11" xfId="1297"/>
    <cellStyle name="Normal 13 12" xfId="1298"/>
    <cellStyle name="Normal 13 13" xfId="1299"/>
    <cellStyle name="Normal 13 14" xfId="1300"/>
    <cellStyle name="Normal 13 15" xfId="1301"/>
    <cellStyle name="Normal 13 16" xfId="1302"/>
    <cellStyle name="Normal 13 17" xfId="1303"/>
    <cellStyle name="Normal 13 18" xfId="1304"/>
    <cellStyle name="Normal 13 19" xfId="1305"/>
    <cellStyle name="Normal 13 2" xfId="1306"/>
    <cellStyle name="Normal 13 2 10" xfId="1307"/>
    <cellStyle name="Normal 13 2 11" xfId="1308"/>
    <cellStyle name="Normal 13 2 12" xfId="1309"/>
    <cellStyle name="Normal 13 2 13" xfId="1310"/>
    <cellStyle name="Normal 13 2 14" xfId="1311"/>
    <cellStyle name="Normal 13 2 15" xfId="1312"/>
    <cellStyle name="Normal 13 2 16" xfId="1313"/>
    <cellStyle name="Normal 13 2 17" xfId="1314"/>
    <cellStyle name="Normal 13 2 2" xfId="1315"/>
    <cellStyle name="Normal 13 2 2 10" xfId="1316"/>
    <cellStyle name="Normal 13 2 2 11" xfId="1317"/>
    <cellStyle name="Normal 13 2 2 12" xfId="1318"/>
    <cellStyle name="Normal 13 2 2 13" xfId="1319"/>
    <cellStyle name="Normal 13 2 2 14" xfId="1320"/>
    <cellStyle name="Normal 13 2 2 15" xfId="1321"/>
    <cellStyle name="Normal 13 2 2 16" xfId="1322"/>
    <cellStyle name="Normal 13 2 2 2" xfId="1323"/>
    <cellStyle name="Normal 13 2 2 2 10" xfId="1324"/>
    <cellStyle name="Normal 13 2 2 2 11" xfId="1325"/>
    <cellStyle name="Normal 13 2 2 2 12" xfId="1326"/>
    <cellStyle name="Normal 13 2 2 2 13" xfId="1327"/>
    <cellStyle name="Normal 13 2 2 2 14" xfId="1328"/>
    <cellStyle name="Normal 13 2 2 2 15" xfId="1329"/>
    <cellStyle name="Normal 13 2 2 2 2" xfId="1330"/>
    <cellStyle name="Normal 13 2 2 2 3" xfId="1331"/>
    <cellStyle name="Normal 13 2 2 2 4" xfId="1332"/>
    <cellStyle name="Normal 13 2 2 2 5" xfId="1333"/>
    <cellStyle name="Normal 13 2 2 2 6" xfId="1334"/>
    <cellStyle name="Normal 13 2 2 2 7" xfId="1335"/>
    <cellStyle name="Normal 13 2 2 2 8" xfId="1336"/>
    <cellStyle name="Normal 13 2 2 2 9" xfId="1337"/>
    <cellStyle name="Normal 13 2 2 3" xfId="1338"/>
    <cellStyle name="Normal 13 2 2 4" xfId="1339"/>
    <cellStyle name="Normal 13 2 2 5" xfId="1340"/>
    <cellStyle name="Normal 13 2 2 6" xfId="1341"/>
    <cellStyle name="Normal 13 2 2 7" xfId="1342"/>
    <cellStyle name="Normal 13 2 2 8" xfId="1343"/>
    <cellStyle name="Normal 13 2 2 9" xfId="1344"/>
    <cellStyle name="Normal 13 2 3" xfId="1345"/>
    <cellStyle name="Normal 13 2 4" xfId="1346"/>
    <cellStyle name="Normal 13 2 5" xfId="1347"/>
    <cellStyle name="Normal 13 2 6" xfId="1348"/>
    <cellStyle name="Normal 13 2 7" xfId="1349"/>
    <cellStyle name="Normal 13 2 8" xfId="1350"/>
    <cellStyle name="Normal 13 2 9" xfId="1351"/>
    <cellStyle name="Normal 13 3" xfId="1352"/>
    <cellStyle name="Normal 13 3 10" xfId="1353"/>
    <cellStyle name="Normal 13 3 11" xfId="1354"/>
    <cellStyle name="Normal 13 3 12" xfId="1355"/>
    <cellStyle name="Normal 13 3 13" xfId="1356"/>
    <cellStyle name="Normal 13 3 14" xfId="1357"/>
    <cellStyle name="Normal 13 3 15" xfId="1358"/>
    <cellStyle name="Normal 13 3 16" xfId="1359"/>
    <cellStyle name="Normal 13 3 2" xfId="1360"/>
    <cellStyle name="Normal 13 3 2 10" xfId="1361"/>
    <cellStyle name="Normal 13 3 2 11" xfId="1362"/>
    <cellStyle name="Normal 13 3 2 12" xfId="1363"/>
    <cellStyle name="Normal 13 3 2 13" xfId="1364"/>
    <cellStyle name="Normal 13 3 2 14" xfId="1365"/>
    <cellStyle name="Normal 13 3 2 15" xfId="1366"/>
    <cellStyle name="Normal 13 3 2 2" xfId="1367"/>
    <cellStyle name="Normal 13 3 2 3" xfId="1368"/>
    <cellStyle name="Normal 13 3 2 4" xfId="1369"/>
    <cellStyle name="Normal 13 3 2 5" xfId="1370"/>
    <cellStyle name="Normal 13 3 2 6" xfId="1371"/>
    <cellStyle name="Normal 13 3 2 7" xfId="1372"/>
    <cellStyle name="Normal 13 3 2 8" xfId="1373"/>
    <cellStyle name="Normal 13 3 2 9" xfId="1374"/>
    <cellStyle name="Normal 13 3 3" xfId="1375"/>
    <cellStyle name="Normal 13 3 4" xfId="1376"/>
    <cellStyle name="Normal 13 3 5" xfId="1377"/>
    <cellStyle name="Normal 13 3 6" xfId="1378"/>
    <cellStyle name="Normal 13 3 7" xfId="1379"/>
    <cellStyle name="Normal 13 3 8" xfId="1380"/>
    <cellStyle name="Normal 13 3 9" xfId="1381"/>
    <cellStyle name="Normal 13 4" xfId="1382"/>
    <cellStyle name="Normal 13 4 10" xfId="1383"/>
    <cellStyle name="Normal 13 4 11" xfId="1384"/>
    <cellStyle name="Normal 13 4 12" xfId="1385"/>
    <cellStyle name="Normal 13 4 13" xfId="1386"/>
    <cellStyle name="Normal 13 4 14" xfId="1387"/>
    <cellStyle name="Normal 13 4 15" xfId="1388"/>
    <cellStyle name="Normal 13 4 16" xfId="1389"/>
    <cellStyle name="Normal 13 4 2" xfId="1390"/>
    <cellStyle name="Normal 13 4 2 10" xfId="1391"/>
    <cellStyle name="Normal 13 4 2 11" xfId="1392"/>
    <cellStyle name="Normal 13 4 2 12" xfId="1393"/>
    <cellStyle name="Normal 13 4 2 13" xfId="1394"/>
    <cellStyle name="Normal 13 4 2 14" xfId="1395"/>
    <cellStyle name="Normal 13 4 2 15" xfId="1396"/>
    <cellStyle name="Normal 13 4 2 2" xfId="1397"/>
    <cellStyle name="Normal 13 4 2 3" xfId="1398"/>
    <cellStyle name="Normal 13 4 2 4" xfId="1399"/>
    <cellStyle name="Normal 13 4 2 5" xfId="1400"/>
    <cellStyle name="Normal 13 4 2 6" xfId="1401"/>
    <cellStyle name="Normal 13 4 2 7" xfId="1402"/>
    <cellStyle name="Normal 13 4 2 8" xfId="1403"/>
    <cellStyle name="Normal 13 4 2 9" xfId="1404"/>
    <cellStyle name="Normal 13 4 3" xfId="1405"/>
    <cellStyle name="Normal 13 4 4" xfId="1406"/>
    <cellStyle name="Normal 13 4 5" xfId="1407"/>
    <cellStyle name="Normal 13 4 6" xfId="1408"/>
    <cellStyle name="Normal 13 4 7" xfId="1409"/>
    <cellStyle name="Normal 13 4 8" xfId="1410"/>
    <cellStyle name="Normal 13 4 9" xfId="1411"/>
    <cellStyle name="Normal 13 5" xfId="1412"/>
    <cellStyle name="Normal 13 6" xfId="1413"/>
    <cellStyle name="Normal 13 7" xfId="1414"/>
    <cellStyle name="Normal 13 8" xfId="1415"/>
    <cellStyle name="Normal 13 9" xfId="1416"/>
    <cellStyle name="Normal 130" xfId="1417"/>
    <cellStyle name="Normal 130 2" xfId="1418"/>
    <cellStyle name="Normal 131" xfId="1419"/>
    <cellStyle name="Normal 131 2" xfId="1420"/>
    <cellStyle name="Normal 132" xfId="1421"/>
    <cellStyle name="Normal 132 2" xfId="1422"/>
    <cellStyle name="Normal 133" xfId="1423"/>
    <cellStyle name="Normal 133 2" xfId="1424"/>
    <cellStyle name="Normal 134" xfId="1425"/>
    <cellStyle name="Normal 134 2" xfId="1426"/>
    <cellStyle name="Normal 135" xfId="1427"/>
    <cellStyle name="Normal 135 2" xfId="1428"/>
    <cellStyle name="Normal 136" xfId="1429"/>
    <cellStyle name="Normal 136 2" xfId="1430"/>
    <cellStyle name="Normal 137" xfId="1431"/>
    <cellStyle name="Normal 137 2" xfId="1432"/>
    <cellStyle name="Normal 138" xfId="1433"/>
    <cellStyle name="Normal 138 2" xfId="1434"/>
    <cellStyle name="Normal 139" xfId="1435"/>
    <cellStyle name="Normal 139 2" xfId="1436"/>
    <cellStyle name="Normal 14" xfId="1437"/>
    <cellStyle name="Normal 14 10" xfId="1438"/>
    <cellStyle name="Normal 14 11" xfId="1439"/>
    <cellStyle name="Normal 14 12" xfId="1440"/>
    <cellStyle name="Normal 14 13" xfId="1441"/>
    <cellStyle name="Normal 14 14" xfId="1442"/>
    <cellStyle name="Normal 14 15" xfId="1443"/>
    <cellStyle name="Normal 14 16" xfId="1444"/>
    <cellStyle name="Normal 14 2" xfId="1445"/>
    <cellStyle name="Normal 14 3" xfId="1446"/>
    <cellStyle name="Normal 14 4" xfId="1447"/>
    <cellStyle name="Normal 14 5" xfId="1448"/>
    <cellStyle name="Normal 14 6" xfId="1449"/>
    <cellStyle name="Normal 14 7" xfId="1450"/>
    <cellStyle name="Normal 14 8" xfId="1451"/>
    <cellStyle name="Normal 14 9" xfId="1452"/>
    <cellStyle name="Normal 140" xfId="1453"/>
    <cellStyle name="Normal 140 2" xfId="1454"/>
    <cellStyle name="Normal 141" xfId="1455"/>
    <cellStyle name="Normal 141 2" xfId="1456"/>
    <cellStyle name="Normal 142" xfId="1457"/>
    <cellStyle name="Normal 142 2" xfId="1458"/>
    <cellStyle name="Normal 143" xfId="1459"/>
    <cellStyle name="Normal 143 2" xfId="1460"/>
    <cellStyle name="Normal 144" xfId="1461"/>
    <cellStyle name="Normal 144 2" xfId="1462"/>
    <cellStyle name="Normal 145" xfId="1463"/>
    <cellStyle name="Normal 145 2" xfId="1464"/>
    <cellStyle name="Normal 146" xfId="1465"/>
    <cellStyle name="Normal 146 2" xfId="1466"/>
    <cellStyle name="Normal 147" xfId="1467"/>
    <cellStyle name="Normal 147 2" xfId="1468"/>
    <cellStyle name="Normal 148" xfId="1469"/>
    <cellStyle name="Normal 148 2" xfId="1470"/>
    <cellStyle name="Normal 149" xfId="1471"/>
    <cellStyle name="Normal 149 2" xfId="1472"/>
    <cellStyle name="Normal 15" xfId="1473"/>
    <cellStyle name="Normal 15 2" xfId="1474"/>
    <cellStyle name="Normal 150" xfId="1475"/>
    <cellStyle name="Normal 150 2" xfId="1476"/>
    <cellStyle name="Normal 151" xfId="1477"/>
    <cellStyle name="Normal 151 2" xfId="1478"/>
    <cellStyle name="Normal 152" xfId="1479"/>
    <cellStyle name="Normal 152 2" xfId="1480"/>
    <cellStyle name="Normal 153" xfId="1481"/>
    <cellStyle name="Normal 153 2" xfId="1482"/>
    <cellStyle name="Normal 154" xfId="1483"/>
    <cellStyle name="Normal 154 2" xfId="1484"/>
    <cellStyle name="Normal 155" xfId="1485"/>
    <cellStyle name="Normal 155 2" xfId="1486"/>
    <cellStyle name="Normal 156" xfId="1487"/>
    <cellStyle name="Normal 156 2" xfId="1488"/>
    <cellStyle name="Normal 157" xfId="1489"/>
    <cellStyle name="Normal 157 2" xfId="1490"/>
    <cellStyle name="Normal 158" xfId="1491"/>
    <cellStyle name="Normal 158 2" xfId="1492"/>
    <cellStyle name="Normal 159" xfId="1493"/>
    <cellStyle name="Normal 159 2" xfId="1494"/>
    <cellStyle name="Normal 16" xfId="1495"/>
    <cellStyle name="Normal 16 2" xfId="1496"/>
    <cellStyle name="Normal 16 3" xfId="1497"/>
    <cellStyle name="Normal 160" xfId="1498"/>
    <cellStyle name="Normal 160 2" xfId="1499"/>
    <cellStyle name="Normal 161" xfId="1500"/>
    <cellStyle name="Normal 161 2" xfId="1501"/>
    <cellStyle name="Normal 162" xfId="1502"/>
    <cellStyle name="Normal 162 2" xfId="1503"/>
    <cellStyle name="Normal 163" xfId="1504"/>
    <cellStyle name="Normal 163 2" xfId="1505"/>
    <cellStyle name="Normal 164" xfId="1506"/>
    <cellStyle name="Normal 164 2" xfId="1507"/>
    <cellStyle name="Normal 165" xfId="1508"/>
    <cellStyle name="Normal 166" xfId="1509"/>
    <cellStyle name="Normal 167" xfId="1510"/>
    <cellStyle name="Normal 168" xfId="1511"/>
    <cellStyle name="Normal 169" xfId="1512"/>
    <cellStyle name="Normal 17" xfId="1513"/>
    <cellStyle name="Normal 170" xfId="1514"/>
    <cellStyle name="Normal 171" xfId="1515"/>
    <cellStyle name="Normal 172" xfId="1516"/>
    <cellStyle name="Normal 173" xfId="1517"/>
    <cellStyle name="Normal 174" xfId="1518"/>
    <cellStyle name="Normal 175" xfId="1519"/>
    <cellStyle name="Normal 176" xfId="1520"/>
    <cellStyle name="Normal 177" xfId="1521"/>
    <cellStyle name="Normal 177 2" xfId="1522"/>
    <cellStyle name="Normal 178" xfId="1523"/>
    <cellStyle name="Normal 179" xfId="1524"/>
    <cellStyle name="Normal 18" xfId="1525"/>
    <cellStyle name="Normal 18 2" xfId="1526"/>
    <cellStyle name="Normal 18 2 2" xfId="1527"/>
    <cellStyle name="Normal 18 3" xfId="1528"/>
    <cellStyle name="Normal 180" xfId="1529"/>
    <cellStyle name="Normal 181" xfId="1530"/>
    <cellStyle name="Normal 182" xfId="1531"/>
    <cellStyle name="Normal 19" xfId="1532"/>
    <cellStyle name="Normal 19 2" xfId="1533"/>
    <cellStyle name="Normal 2" xfId="37"/>
    <cellStyle name="Normal 2 10" xfId="1534"/>
    <cellStyle name="Normal 2 10 10" xfId="1535"/>
    <cellStyle name="Normal 2 10 11" xfId="1536"/>
    <cellStyle name="Normal 2 10 12" xfId="1537"/>
    <cellStyle name="Normal 2 10 13" xfId="1538"/>
    <cellStyle name="Normal 2 10 14" xfId="1539"/>
    <cellStyle name="Normal 2 10 15" xfId="1540"/>
    <cellStyle name="Normal 2 10 16" xfId="1541"/>
    <cellStyle name="Normal 2 10 17" xfId="1542"/>
    <cellStyle name="Normal 2 10 18" xfId="1543"/>
    <cellStyle name="Normal 2 10 2" xfId="1544"/>
    <cellStyle name="Normal 2 10 2 10" xfId="1545"/>
    <cellStyle name="Normal 2 10 2 11" xfId="1546"/>
    <cellStyle name="Normal 2 10 2 12" xfId="1547"/>
    <cellStyle name="Normal 2 10 2 13" xfId="1548"/>
    <cellStyle name="Normal 2 10 2 14" xfId="1549"/>
    <cellStyle name="Normal 2 10 2 15" xfId="1550"/>
    <cellStyle name="Normal 2 10 2 16" xfId="1551"/>
    <cellStyle name="Normal 2 10 2 2" xfId="1552"/>
    <cellStyle name="Normal 2 10 2 2 10" xfId="1553"/>
    <cellStyle name="Normal 2 10 2 2 11" xfId="1554"/>
    <cellStyle name="Normal 2 10 2 2 12" xfId="1555"/>
    <cellStyle name="Normal 2 10 2 2 13" xfId="1556"/>
    <cellStyle name="Normal 2 10 2 2 14" xfId="1557"/>
    <cellStyle name="Normal 2 10 2 2 15" xfId="1558"/>
    <cellStyle name="Normal 2 10 2 2 2" xfId="1559"/>
    <cellStyle name="Normal 2 10 2 2 3" xfId="1560"/>
    <cellStyle name="Normal 2 10 2 2 4" xfId="1561"/>
    <cellStyle name="Normal 2 10 2 2 5" xfId="1562"/>
    <cellStyle name="Normal 2 10 2 2 6" xfId="1563"/>
    <cellStyle name="Normal 2 10 2 2 7" xfId="1564"/>
    <cellStyle name="Normal 2 10 2 2 8" xfId="1565"/>
    <cellStyle name="Normal 2 10 2 2 9" xfId="1566"/>
    <cellStyle name="Normal 2 10 2 3" xfId="1567"/>
    <cellStyle name="Normal 2 10 2 4" xfId="1568"/>
    <cellStyle name="Normal 2 10 2 5" xfId="1569"/>
    <cellStyle name="Normal 2 10 2 6" xfId="1570"/>
    <cellStyle name="Normal 2 10 2 7" xfId="1571"/>
    <cellStyle name="Normal 2 10 2 8" xfId="1572"/>
    <cellStyle name="Normal 2 10 2 9" xfId="1573"/>
    <cellStyle name="Normal 2 10 3" xfId="1574"/>
    <cellStyle name="Normal 2 10 4" xfId="1575"/>
    <cellStyle name="Normal 2 10 5" xfId="1576"/>
    <cellStyle name="Normal 2 10 6" xfId="1577"/>
    <cellStyle name="Normal 2 10 7" xfId="1578"/>
    <cellStyle name="Normal 2 10 8" xfId="1579"/>
    <cellStyle name="Normal 2 10 9" xfId="1580"/>
    <cellStyle name="Normal 2 11" xfId="1581"/>
    <cellStyle name="Normal 2 11 10" xfId="1582"/>
    <cellStyle name="Normal 2 11 11" xfId="1583"/>
    <cellStyle name="Normal 2 11 12" xfId="1584"/>
    <cellStyle name="Normal 2 11 13" xfId="1585"/>
    <cellStyle name="Normal 2 11 14" xfId="1586"/>
    <cellStyle name="Normal 2 11 15" xfId="1587"/>
    <cellStyle name="Normal 2 11 16" xfId="1588"/>
    <cellStyle name="Normal 2 11 2" xfId="1589"/>
    <cellStyle name="Normal 2 11 2 10" xfId="1590"/>
    <cellStyle name="Normal 2 11 2 11" xfId="1591"/>
    <cellStyle name="Normal 2 11 2 12" xfId="1592"/>
    <cellStyle name="Normal 2 11 2 13" xfId="1593"/>
    <cellStyle name="Normal 2 11 2 14" xfId="1594"/>
    <cellStyle name="Normal 2 11 2 15" xfId="1595"/>
    <cellStyle name="Normal 2 11 2 2" xfId="1596"/>
    <cellStyle name="Normal 2 11 2 3" xfId="1597"/>
    <cellStyle name="Normal 2 11 2 4" xfId="1598"/>
    <cellStyle name="Normal 2 11 2 5" xfId="1599"/>
    <cellStyle name="Normal 2 11 2 6" xfId="1600"/>
    <cellStyle name="Normal 2 11 2 7" xfId="1601"/>
    <cellStyle name="Normal 2 11 2 8" xfId="1602"/>
    <cellStyle name="Normal 2 11 2 9" xfId="1603"/>
    <cellStyle name="Normal 2 11 3" xfId="1604"/>
    <cellStyle name="Normal 2 11 4" xfId="1605"/>
    <cellStyle name="Normal 2 11 5" xfId="1606"/>
    <cellStyle name="Normal 2 11 6" xfId="1607"/>
    <cellStyle name="Normal 2 11 7" xfId="1608"/>
    <cellStyle name="Normal 2 11 8" xfId="1609"/>
    <cellStyle name="Normal 2 11 9" xfId="1610"/>
    <cellStyle name="Normal 2 12" xfId="1611"/>
    <cellStyle name="Normal 2 13" xfId="1612"/>
    <cellStyle name="Normal 2 14" xfId="1613"/>
    <cellStyle name="Normal 2 2" xfId="38"/>
    <cellStyle name="Normal 2 2 2" xfId="1614"/>
    <cellStyle name="Normal 2 2 2 2" xfId="1615"/>
    <cellStyle name="Normal 2 2 3" xfId="1616"/>
    <cellStyle name="Normal 2 2 3 10" xfId="1617"/>
    <cellStyle name="Normal 2 2 3 11" xfId="1618"/>
    <cellStyle name="Normal 2 2 3 12" xfId="1619"/>
    <cellStyle name="Normal 2 2 3 13" xfId="1620"/>
    <cellStyle name="Normal 2 2 3 14" xfId="1621"/>
    <cellStyle name="Normal 2 2 3 15" xfId="1622"/>
    <cellStyle name="Normal 2 2 3 16" xfId="1623"/>
    <cellStyle name="Normal 2 2 3 17" xfId="1624"/>
    <cellStyle name="Normal 2 2 3 2" xfId="1625"/>
    <cellStyle name="Normal 2 2 3 2 10" xfId="1626"/>
    <cellStyle name="Normal 2 2 3 2 11" xfId="1627"/>
    <cellStyle name="Normal 2 2 3 2 12" xfId="1628"/>
    <cellStyle name="Normal 2 2 3 2 13" xfId="1629"/>
    <cellStyle name="Normal 2 2 3 2 14" xfId="1630"/>
    <cellStyle name="Normal 2 2 3 2 15" xfId="1631"/>
    <cellStyle name="Normal 2 2 3 2 2" xfId="1632"/>
    <cellStyle name="Normal 2 2 3 2 3" xfId="1633"/>
    <cellStyle name="Normal 2 2 3 2 4" xfId="1634"/>
    <cellStyle name="Normal 2 2 3 2 5" xfId="1635"/>
    <cellStyle name="Normal 2 2 3 2 6" xfId="1636"/>
    <cellStyle name="Normal 2 2 3 2 7" xfId="1637"/>
    <cellStyle name="Normal 2 2 3 2 8" xfId="1638"/>
    <cellStyle name="Normal 2 2 3 2 9" xfId="1639"/>
    <cellStyle name="Normal 2 2 3 3" xfId="1640"/>
    <cellStyle name="Normal 2 2 3 4" xfId="1641"/>
    <cellStyle name="Normal 2 2 3 5" xfId="1642"/>
    <cellStyle name="Normal 2 2 3 6" xfId="1643"/>
    <cellStyle name="Normal 2 2 3 7" xfId="1644"/>
    <cellStyle name="Normal 2 2 3 8" xfId="1645"/>
    <cellStyle name="Normal 2 2 3 9" xfId="1646"/>
    <cellStyle name="Normal 2 2 4" xfId="1647"/>
    <cellStyle name="Normal 2 2 4 10" xfId="1648"/>
    <cellStyle name="Normal 2 2 4 11" xfId="1649"/>
    <cellStyle name="Normal 2 2 4 12" xfId="1650"/>
    <cellStyle name="Normal 2 2 4 13" xfId="1651"/>
    <cellStyle name="Normal 2 2 4 14" xfId="1652"/>
    <cellStyle name="Normal 2 2 4 15" xfId="1653"/>
    <cellStyle name="Normal 2 2 4 16" xfId="1654"/>
    <cellStyle name="Normal 2 2 4 17" xfId="1655"/>
    <cellStyle name="Normal 2 2 4 2" xfId="1656"/>
    <cellStyle name="Normal 2 2 4 2 10" xfId="1657"/>
    <cellStyle name="Normal 2 2 4 2 11" xfId="1658"/>
    <cellStyle name="Normal 2 2 4 2 12" xfId="1659"/>
    <cellStyle name="Normal 2 2 4 2 13" xfId="1660"/>
    <cellStyle name="Normal 2 2 4 2 14" xfId="1661"/>
    <cellStyle name="Normal 2 2 4 2 15" xfId="1662"/>
    <cellStyle name="Normal 2 2 4 2 2" xfId="1663"/>
    <cellStyle name="Normal 2 2 4 2 3" xfId="1664"/>
    <cellStyle name="Normal 2 2 4 2 4" xfId="1665"/>
    <cellStyle name="Normal 2 2 4 2 5" xfId="1666"/>
    <cellStyle name="Normal 2 2 4 2 6" xfId="1667"/>
    <cellStyle name="Normal 2 2 4 2 7" xfId="1668"/>
    <cellStyle name="Normal 2 2 4 2 8" xfId="1669"/>
    <cellStyle name="Normal 2 2 4 2 9" xfId="1670"/>
    <cellStyle name="Normal 2 2 4 3" xfId="1671"/>
    <cellStyle name="Normal 2 2 4 4" xfId="1672"/>
    <cellStyle name="Normal 2 2 4 5" xfId="1673"/>
    <cellStyle name="Normal 2 2 4 6" xfId="1674"/>
    <cellStyle name="Normal 2 2 4 7" xfId="1675"/>
    <cellStyle name="Normal 2 2 4 8" xfId="1676"/>
    <cellStyle name="Normal 2 2 4 9" xfId="1677"/>
    <cellStyle name="Normal 2 2 5" xfId="1678"/>
    <cellStyle name="Normal 2 2 5 2" xfId="1679"/>
    <cellStyle name="Normal 2 2 6" xfId="1680"/>
    <cellStyle name="Normal 2 2 7" xfId="1681"/>
    <cellStyle name="Normal 2 2_The Tiger Woods-1 (18-03-07)" xfId="1682"/>
    <cellStyle name="Normal 2 3" xfId="1683"/>
    <cellStyle name="Normal 2 3 2" xfId="1684"/>
    <cellStyle name="Normal 2 3 2 2" xfId="1685"/>
    <cellStyle name="Normal 2 3 3" xfId="1686"/>
    <cellStyle name="Normal 2 3 3 2" xfId="1687"/>
    <cellStyle name="Normal 2 3 4" xfId="1688"/>
    <cellStyle name="Normal 2 3 5" xfId="1689"/>
    <cellStyle name="Normal 2 4" xfId="1690"/>
    <cellStyle name="Normal 2 4 10" xfId="1691"/>
    <cellStyle name="Normal 2 4 11" xfId="1692"/>
    <cellStyle name="Normal 2 4 12" xfId="1693"/>
    <cellStyle name="Normal 2 4 13" xfId="1694"/>
    <cellStyle name="Normal 2 4 14" xfId="1695"/>
    <cellStyle name="Normal 2 4 15" xfId="1696"/>
    <cellStyle name="Normal 2 4 16" xfId="1697"/>
    <cellStyle name="Normal 2 4 2" xfId="1698"/>
    <cellStyle name="Normal 2 4 2 2" xfId="1699"/>
    <cellStyle name="Normal 2 4 3" xfId="1700"/>
    <cellStyle name="Normal 2 4 3 2" xfId="1701"/>
    <cellStyle name="Normal 2 4 4" xfId="1702"/>
    <cellStyle name="Normal 2 4 4 2" xfId="1703"/>
    <cellStyle name="Normal 2 4 5" xfId="1704"/>
    <cellStyle name="Normal 2 4 6" xfId="1705"/>
    <cellStyle name="Normal 2 4 7" xfId="1706"/>
    <cellStyle name="Normal 2 4 8" xfId="1707"/>
    <cellStyle name="Normal 2 4 9" xfId="1708"/>
    <cellStyle name="Normal 2 5" xfId="1709"/>
    <cellStyle name="Normal 2 5 10" xfId="1710"/>
    <cellStyle name="Normal 2 5 11" xfId="1711"/>
    <cellStyle name="Normal 2 5 12" xfId="1712"/>
    <cellStyle name="Normal 2 5 13" xfId="1713"/>
    <cellStyle name="Normal 2 5 14" xfId="1714"/>
    <cellStyle name="Normal 2 5 15" xfId="1715"/>
    <cellStyle name="Normal 2 5 16" xfId="1716"/>
    <cellStyle name="Normal 2 5 17" xfId="1717"/>
    <cellStyle name="Normal 2 5 2" xfId="1718"/>
    <cellStyle name="Normal 2 5 2 10" xfId="1719"/>
    <cellStyle name="Normal 2 5 2 11" xfId="1720"/>
    <cellStyle name="Normal 2 5 2 12" xfId="1721"/>
    <cellStyle name="Normal 2 5 2 13" xfId="1722"/>
    <cellStyle name="Normal 2 5 2 14" xfId="1723"/>
    <cellStyle name="Normal 2 5 2 15" xfId="1724"/>
    <cellStyle name="Normal 2 5 2 2" xfId="1725"/>
    <cellStyle name="Normal 2 5 2 3" xfId="1726"/>
    <cellStyle name="Normal 2 5 2 4" xfId="1727"/>
    <cellStyle name="Normal 2 5 2 5" xfId="1728"/>
    <cellStyle name="Normal 2 5 2 6" xfId="1729"/>
    <cellStyle name="Normal 2 5 2 7" xfId="1730"/>
    <cellStyle name="Normal 2 5 2 8" xfId="1731"/>
    <cellStyle name="Normal 2 5 2 9" xfId="1732"/>
    <cellStyle name="Normal 2 5 3" xfId="1733"/>
    <cellStyle name="Normal 2 5 4" xfId="1734"/>
    <cellStyle name="Normal 2 5 5" xfId="1735"/>
    <cellStyle name="Normal 2 5 6" xfId="1736"/>
    <cellStyle name="Normal 2 5 7" xfId="1737"/>
    <cellStyle name="Normal 2 5 8" xfId="1738"/>
    <cellStyle name="Normal 2 5 9" xfId="1739"/>
    <cellStyle name="Normal 2 6" xfId="1740"/>
    <cellStyle name="Normal 2 6 2" xfId="1741"/>
    <cellStyle name="Normal 2 7" xfId="1742"/>
    <cellStyle name="Normal 2 7 10" xfId="1743"/>
    <cellStyle name="Normal 2 7 11" xfId="1744"/>
    <cellStyle name="Normal 2 7 12" xfId="1745"/>
    <cellStyle name="Normal 2 7 13" xfId="1746"/>
    <cellStyle name="Normal 2 7 14" xfId="1747"/>
    <cellStyle name="Normal 2 7 15" xfId="1748"/>
    <cellStyle name="Normal 2 7 16" xfId="1749"/>
    <cellStyle name="Normal 2 7 17" xfId="1750"/>
    <cellStyle name="Normal 2 7 18" xfId="1751"/>
    <cellStyle name="Normal 2 7 2" xfId="1752"/>
    <cellStyle name="Normal 2 7 2 10" xfId="1753"/>
    <cellStyle name="Normal 2 7 2 11" xfId="1754"/>
    <cellStyle name="Normal 2 7 2 12" xfId="1755"/>
    <cellStyle name="Normal 2 7 2 13" xfId="1756"/>
    <cellStyle name="Normal 2 7 2 14" xfId="1757"/>
    <cellStyle name="Normal 2 7 2 15" xfId="1758"/>
    <cellStyle name="Normal 2 7 2 16" xfId="1759"/>
    <cellStyle name="Normal 2 7 2 2" xfId="1760"/>
    <cellStyle name="Normal 2 7 2 2 10" xfId="1761"/>
    <cellStyle name="Normal 2 7 2 2 11" xfId="1762"/>
    <cellStyle name="Normal 2 7 2 2 12" xfId="1763"/>
    <cellStyle name="Normal 2 7 2 2 13" xfId="1764"/>
    <cellStyle name="Normal 2 7 2 2 14" xfId="1765"/>
    <cellStyle name="Normal 2 7 2 2 15" xfId="1766"/>
    <cellStyle name="Normal 2 7 2 2 16" xfId="1767"/>
    <cellStyle name="Normal 2 7 2 2 2" xfId="1768"/>
    <cellStyle name="Normal 2 7 2 2 2 10" xfId="1769"/>
    <cellStyle name="Normal 2 7 2 2 2 11" xfId="1770"/>
    <cellStyle name="Normal 2 7 2 2 2 12" xfId="1771"/>
    <cellStyle name="Normal 2 7 2 2 2 13" xfId="1772"/>
    <cellStyle name="Normal 2 7 2 2 2 14" xfId="1773"/>
    <cellStyle name="Normal 2 7 2 2 2 15" xfId="1774"/>
    <cellStyle name="Normal 2 7 2 2 2 2" xfId="1775"/>
    <cellStyle name="Normal 2 7 2 2 2 3" xfId="1776"/>
    <cellStyle name="Normal 2 7 2 2 2 4" xfId="1777"/>
    <cellStyle name="Normal 2 7 2 2 2 5" xfId="1778"/>
    <cellStyle name="Normal 2 7 2 2 2 6" xfId="1779"/>
    <cellStyle name="Normal 2 7 2 2 2 7" xfId="1780"/>
    <cellStyle name="Normal 2 7 2 2 2 8" xfId="1781"/>
    <cellStyle name="Normal 2 7 2 2 2 9" xfId="1782"/>
    <cellStyle name="Normal 2 7 2 2 3" xfId="1783"/>
    <cellStyle name="Normal 2 7 2 2 4" xfId="1784"/>
    <cellStyle name="Normal 2 7 2 2 5" xfId="1785"/>
    <cellStyle name="Normal 2 7 2 2 6" xfId="1786"/>
    <cellStyle name="Normal 2 7 2 2 7" xfId="1787"/>
    <cellStyle name="Normal 2 7 2 2 8" xfId="1788"/>
    <cellStyle name="Normal 2 7 2 2 9" xfId="1789"/>
    <cellStyle name="Normal 2 7 2 3" xfId="1790"/>
    <cellStyle name="Normal 2 7 2 4" xfId="1791"/>
    <cellStyle name="Normal 2 7 2 5" xfId="1792"/>
    <cellStyle name="Normal 2 7 2 6" xfId="1793"/>
    <cellStyle name="Normal 2 7 2 7" xfId="1794"/>
    <cellStyle name="Normal 2 7 2 8" xfId="1795"/>
    <cellStyle name="Normal 2 7 2 9" xfId="1796"/>
    <cellStyle name="Normal 2 7 3" xfId="1797"/>
    <cellStyle name="Normal 2 7 3 10" xfId="1798"/>
    <cellStyle name="Normal 2 7 3 11" xfId="1799"/>
    <cellStyle name="Normal 2 7 3 12" xfId="1800"/>
    <cellStyle name="Normal 2 7 3 13" xfId="1801"/>
    <cellStyle name="Normal 2 7 3 14" xfId="1802"/>
    <cellStyle name="Normal 2 7 3 15" xfId="1803"/>
    <cellStyle name="Normal 2 7 3 16" xfId="1804"/>
    <cellStyle name="Normal 2 7 3 2" xfId="1805"/>
    <cellStyle name="Normal 2 7 3 2 10" xfId="1806"/>
    <cellStyle name="Normal 2 7 3 2 11" xfId="1807"/>
    <cellStyle name="Normal 2 7 3 2 12" xfId="1808"/>
    <cellStyle name="Normal 2 7 3 2 13" xfId="1809"/>
    <cellStyle name="Normal 2 7 3 2 14" xfId="1810"/>
    <cellStyle name="Normal 2 7 3 2 15" xfId="1811"/>
    <cellStyle name="Normal 2 7 3 2 2" xfId="1812"/>
    <cellStyle name="Normal 2 7 3 2 3" xfId="1813"/>
    <cellStyle name="Normal 2 7 3 2 4" xfId="1814"/>
    <cellStyle name="Normal 2 7 3 2 5" xfId="1815"/>
    <cellStyle name="Normal 2 7 3 2 6" xfId="1816"/>
    <cellStyle name="Normal 2 7 3 2 7" xfId="1817"/>
    <cellStyle name="Normal 2 7 3 2 8" xfId="1818"/>
    <cellStyle name="Normal 2 7 3 2 9" xfId="1819"/>
    <cellStyle name="Normal 2 7 3 3" xfId="1820"/>
    <cellStyle name="Normal 2 7 3 4" xfId="1821"/>
    <cellStyle name="Normal 2 7 3 5" xfId="1822"/>
    <cellStyle name="Normal 2 7 3 6" xfId="1823"/>
    <cellStyle name="Normal 2 7 3 7" xfId="1824"/>
    <cellStyle name="Normal 2 7 3 8" xfId="1825"/>
    <cellStyle name="Normal 2 7 3 9" xfId="1826"/>
    <cellStyle name="Normal 2 7 4" xfId="1827"/>
    <cellStyle name="Normal 2 7 5" xfId="1828"/>
    <cellStyle name="Normal 2 7 6" xfId="1829"/>
    <cellStyle name="Normal 2 7 7" xfId="1830"/>
    <cellStyle name="Normal 2 7 8" xfId="1831"/>
    <cellStyle name="Normal 2 7 9" xfId="1832"/>
    <cellStyle name="Normal 2 8" xfId="1833"/>
    <cellStyle name="Normal 2 8 10" xfId="1834"/>
    <cellStyle name="Normal 2 8 11" xfId="1835"/>
    <cellStyle name="Normal 2 8 12" xfId="1836"/>
    <cellStyle name="Normal 2 8 13" xfId="1837"/>
    <cellStyle name="Normal 2 8 14" xfId="1838"/>
    <cellStyle name="Normal 2 8 15" xfId="1839"/>
    <cellStyle name="Normal 2 8 16" xfId="1840"/>
    <cellStyle name="Normal 2 8 17" xfId="1841"/>
    <cellStyle name="Normal 2 8 2" xfId="1842"/>
    <cellStyle name="Normal 2 8 2 10" xfId="1843"/>
    <cellStyle name="Normal 2 8 2 11" xfId="1844"/>
    <cellStyle name="Normal 2 8 2 12" xfId="1845"/>
    <cellStyle name="Normal 2 8 2 13" xfId="1846"/>
    <cellStyle name="Normal 2 8 2 14" xfId="1847"/>
    <cellStyle name="Normal 2 8 2 15" xfId="1848"/>
    <cellStyle name="Normal 2 8 2 16" xfId="1849"/>
    <cellStyle name="Normal 2 8 2 2" xfId="1850"/>
    <cellStyle name="Normal 2 8 2 2 10" xfId="1851"/>
    <cellStyle name="Normal 2 8 2 2 11" xfId="1852"/>
    <cellStyle name="Normal 2 8 2 2 12" xfId="1853"/>
    <cellStyle name="Normal 2 8 2 2 13" xfId="1854"/>
    <cellStyle name="Normal 2 8 2 2 14" xfId="1855"/>
    <cellStyle name="Normal 2 8 2 2 15" xfId="1856"/>
    <cellStyle name="Normal 2 8 2 2 2" xfId="1857"/>
    <cellStyle name="Normal 2 8 2 2 3" xfId="1858"/>
    <cellStyle name="Normal 2 8 2 2 4" xfId="1859"/>
    <cellStyle name="Normal 2 8 2 2 5" xfId="1860"/>
    <cellStyle name="Normal 2 8 2 2 6" xfId="1861"/>
    <cellStyle name="Normal 2 8 2 2 7" xfId="1862"/>
    <cellStyle name="Normal 2 8 2 2 8" xfId="1863"/>
    <cellStyle name="Normal 2 8 2 2 9" xfId="1864"/>
    <cellStyle name="Normal 2 8 2 3" xfId="1865"/>
    <cellStyle name="Normal 2 8 2 4" xfId="1866"/>
    <cellStyle name="Normal 2 8 2 5" xfId="1867"/>
    <cellStyle name="Normal 2 8 2 6" xfId="1868"/>
    <cellStyle name="Normal 2 8 2 7" xfId="1869"/>
    <cellStyle name="Normal 2 8 2 8" xfId="1870"/>
    <cellStyle name="Normal 2 8 2 9" xfId="1871"/>
    <cellStyle name="Normal 2 8 3" xfId="1872"/>
    <cellStyle name="Normal 2 8 4" xfId="1873"/>
    <cellStyle name="Normal 2 8 5" xfId="1874"/>
    <cellStyle name="Normal 2 8 6" xfId="1875"/>
    <cellStyle name="Normal 2 8 7" xfId="1876"/>
    <cellStyle name="Normal 2 8 8" xfId="1877"/>
    <cellStyle name="Normal 2 8 9" xfId="1878"/>
    <cellStyle name="Normal 2 9" xfId="1879"/>
    <cellStyle name="Normal 2 9 10" xfId="1880"/>
    <cellStyle name="Normal 2 9 11" xfId="1881"/>
    <cellStyle name="Normal 2 9 12" xfId="1882"/>
    <cellStyle name="Normal 2 9 13" xfId="1883"/>
    <cellStyle name="Normal 2 9 14" xfId="1884"/>
    <cellStyle name="Normal 2 9 15" xfId="1885"/>
    <cellStyle name="Normal 2 9 16" xfId="1886"/>
    <cellStyle name="Normal 2 9 17" xfId="1887"/>
    <cellStyle name="Normal 2 9 2" xfId="1888"/>
    <cellStyle name="Normal 2 9 3" xfId="1889"/>
    <cellStyle name="Normal 2 9 4" xfId="1890"/>
    <cellStyle name="Normal 2 9 5" xfId="1891"/>
    <cellStyle name="Normal 2 9 6" xfId="1892"/>
    <cellStyle name="Normal 2 9 7" xfId="1893"/>
    <cellStyle name="Normal 2 9 8" xfId="1894"/>
    <cellStyle name="Normal 2 9 9" xfId="1895"/>
    <cellStyle name="Normal 2_The Tiger Woods-1 (18-03-07)" xfId="1896"/>
    <cellStyle name="Normal 20" xfId="1897"/>
    <cellStyle name="Normal 20 2" xfId="1898"/>
    <cellStyle name="Normal 21" xfId="1899"/>
    <cellStyle name="Normal 22" xfId="1900"/>
    <cellStyle name="Normal 23" xfId="1901"/>
    <cellStyle name="Normal 24" xfId="1902"/>
    <cellStyle name="Normal 24 2" xfId="1903"/>
    <cellStyle name="Normal 24 2 2" xfId="1904"/>
    <cellStyle name="Normal 24 3" xfId="1905"/>
    <cellStyle name="Normal 25" xfId="1906"/>
    <cellStyle name="Normal 26" xfId="1907"/>
    <cellStyle name="Normal 27" xfId="1908"/>
    <cellStyle name="Normal 28" xfId="1909"/>
    <cellStyle name="Normal 29" xfId="1910"/>
    <cellStyle name="Normal 3" xfId="39"/>
    <cellStyle name="Normal 3 2" xfId="40"/>
    <cellStyle name="Normal 3 2 2" xfId="1911"/>
    <cellStyle name="Normal 3 2 2 10" xfId="1912"/>
    <cellStyle name="Normal 3 2 2 11" xfId="1913"/>
    <cellStyle name="Normal 3 2 2 12" xfId="1914"/>
    <cellStyle name="Normal 3 2 2 13" xfId="1915"/>
    <cellStyle name="Normal 3 2 2 14" xfId="1916"/>
    <cellStyle name="Normal 3 2 2 15" xfId="1917"/>
    <cellStyle name="Normal 3 2 2 16" xfId="1918"/>
    <cellStyle name="Normal 3 2 2 2" xfId="1919"/>
    <cellStyle name="Normal 3 2 2 3" xfId="1920"/>
    <cellStyle name="Normal 3 2 2 4" xfId="1921"/>
    <cellStyle name="Normal 3 2 2 5" xfId="1922"/>
    <cellStyle name="Normal 3 2 2 6" xfId="1923"/>
    <cellStyle name="Normal 3 2 2 7" xfId="1924"/>
    <cellStyle name="Normal 3 2 2 8" xfId="1925"/>
    <cellStyle name="Normal 3 2 2 9" xfId="1926"/>
    <cellStyle name="Normal 3 2 3" xfId="1927"/>
    <cellStyle name="Normal 3 3" xfId="1928"/>
    <cellStyle name="Normal 3 4" xfId="1929"/>
    <cellStyle name="Normal 3 5" xfId="1930"/>
    <cellStyle name="Normal 3 5 10" xfId="1931"/>
    <cellStyle name="Normal 3 5 11" xfId="1932"/>
    <cellStyle name="Normal 3 5 12" xfId="1933"/>
    <cellStyle name="Normal 3 5 13" xfId="1934"/>
    <cellStyle name="Normal 3 5 14" xfId="1935"/>
    <cellStyle name="Normal 3 5 15" xfId="1936"/>
    <cellStyle name="Normal 3 5 16" xfId="1937"/>
    <cellStyle name="Normal 3 5 17" xfId="1938"/>
    <cellStyle name="Normal 3 5 18" xfId="1939"/>
    <cellStyle name="Normal 3 5 19" xfId="1940"/>
    <cellStyle name="Normal 3 5 2" xfId="1941"/>
    <cellStyle name="Normal 3 5 2 10" xfId="1942"/>
    <cellStyle name="Normal 3 5 2 11" xfId="1943"/>
    <cellStyle name="Normal 3 5 2 12" xfId="1944"/>
    <cellStyle name="Normal 3 5 2 13" xfId="1945"/>
    <cellStyle name="Normal 3 5 2 14" xfId="1946"/>
    <cellStyle name="Normal 3 5 2 15" xfId="1947"/>
    <cellStyle name="Normal 3 5 2 16" xfId="1948"/>
    <cellStyle name="Normal 3 5 2 2" xfId="1949"/>
    <cellStyle name="Normal 3 5 2 2 10" xfId="1950"/>
    <cellStyle name="Normal 3 5 2 2 11" xfId="1951"/>
    <cellStyle name="Normal 3 5 2 2 12" xfId="1952"/>
    <cellStyle name="Normal 3 5 2 2 13" xfId="1953"/>
    <cellStyle name="Normal 3 5 2 2 14" xfId="1954"/>
    <cellStyle name="Normal 3 5 2 2 15" xfId="1955"/>
    <cellStyle name="Normal 3 5 2 2 2" xfId="1956"/>
    <cellStyle name="Normal 3 5 2 2 3" xfId="1957"/>
    <cellStyle name="Normal 3 5 2 2 4" xfId="1958"/>
    <cellStyle name="Normal 3 5 2 2 5" xfId="1959"/>
    <cellStyle name="Normal 3 5 2 2 6" xfId="1960"/>
    <cellStyle name="Normal 3 5 2 2 7" xfId="1961"/>
    <cellStyle name="Normal 3 5 2 2 8" xfId="1962"/>
    <cellStyle name="Normal 3 5 2 2 9" xfId="1963"/>
    <cellStyle name="Normal 3 5 2 3" xfId="1964"/>
    <cellStyle name="Normal 3 5 2 4" xfId="1965"/>
    <cellStyle name="Normal 3 5 2 5" xfId="1966"/>
    <cellStyle name="Normal 3 5 2 6" xfId="1967"/>
    <cellStyle name="Normal 3 5 2 7" xfId="1968"/>
    <cellStyle name="Normal 3 5 2 8" xfId="1969"/>
    <cellStyle name="Normal 3 5 2 9" xfId="1970"/>
    <cellStyle name="Normal 3 5 20" xfId="1971"/>
    <cellStyle name="Normal 3 5 3" xfId="1972"/>
    <cellStyle name="Normal 3 5 3 10" xfId="1973"/>
    <cellStyle name="Normal 3 5 3 11" xfId="1974"/>
    <cellStyle name="Normal 3 5 3 12" xfId="1975"/>
    <cellStyle name="Normal 3 5 3 13" xfId="1976"/>
    <cellStyle name="Normal 3 5 3 14" xfId="1977"/>
    <cellStyle name="Normal 3 5 3 15" xfId="1978"/>
    <cellStyle name="Normal 3 5 3 16" xfId="1979"/>
    <cellStyle name="Normal 3 5 3 2" xfId="1980"/>
    <cellStyle name="Normal 3 5 3 2 10" xfId="1981"/>
    <cellStyle name="Normal 3 5 3 2 11" xfId="1982"/>
    <cellStyle name="Normal 3 5 3 2 12" xfId="1983"/>
    <cellStyle name="Normal 3 5 3 2 13" xfId="1984"/>
    <cellStyle name="Normal 3 5 3 2 14" xfId="1985"/>
    <cellStyle name="Normal 3 5 3 2 15" xfId="1986"/>
    <cellStyle name="Normal 3 5 3 2 2" xfId="1987"/>
    <cellStyle name="Normal 3 5 3 2 3" xfId="1988"/>
    <cellStyle name="Normal 3 5 3 2 4" xfId="1989"/>
    <cellStyle name="Normal 3 5 3 2 5" xfId="1990"/>
    <cellStyle name="Normal 3 5 3 2 6" xfId="1991"/>
    <cellStyle name="Normal 3 5 3 2 7" xfId="1992"/>
    <cellStyle name="Normal 3 5 3 2 8" xfId="1993"/>
    <cellStyle name="Normal 3 5 3 2 9" xfId="1994"/>
    <cellStyle name="Normal 3 5 3 3" xfId="1995"/>
    <cellStyle name="Normal 3 5 3 4" xfId="1996"/>
    <cellStyle name="Normal 3 5 3 5" xfId="1997"/>
    <cellStyle name="Normal 3 5 3 6" xfId="1998"/>
    <cellStyle name="Normal 3 5 3 7" xfId="1999"/>
    <cellStyle name="Normal 3 5 3 8" xfId="2000"/>
    <cellStyle name="Normal 3 5 3 9" xfId="2001"/>
    <cellStyle name="Normal 3 5 4" xfId="2002"/>
    <cellStyle name="Normal 3 5 4 10" xfId="2003"/>
    <cellStyle name="Normal 3 5 4 11" xfId="2004"/>
    <cellStyle name="Normal 3 5 4 12" xfId="2005"/>
    <cellStyle name="Normal 3 5 4 13" xfId="2006"/>
    <cellStyle name="Normal 3 5 4 14" xfId="2007"/>
    <cellStyle name="Normal 3 5 4 15" xfId="2008"/>
    <cellStyle name="Normal 3 5 4 16" xfId="2009"/>
    <cellStyle name="Normal 3 5 4 17" xfId="2010"/>
    <cellStyle name="Normal 3 5 4 2" xfId="2011"/>
    <cellStyle name="Normal 3 5 4 2 10" xfId="2012"/>
    <cellStyle name="Normal 3 5 4 2 11" xfId="2013"/>
    <cellStyle name="Normal 3 5 4 2 12" xfId="2014"/>
    <cellStyle name="Normal 3 5 4 2 13" xfId="2015"/>
    <cellStyle name="Normal 3 5 4 2 14" xfId="2016"/>
    <cellStyle name="Normal 3 5 4 2 15" xfId="2017"/>
    <cellStyle name="Normal 3 5 4 2 16" xfId="2018"/>
    <cellStyle name="Normal 3 5 4 2 2" xfId="2019"/>
    <cellStyle name="Normal 3 5 4 2 2 10" xfId="2020"/>
    <cellStyle name="Normal 3 5 4 2 2 11" xfId="2021"/>
    <cellStyle name="Normal 3 5 4 2 2 12" xfId="2022"/>
    <cellStyle name="Normal 3 5 4 2 2 13" xfId="2023"/>
    <cellStyle name="Normal 3 5 4 2 2 14" xfId="2024"/>
    <cellStyle name="Normal 3 5 4 2 2 15" xfId="2025"/>
    <cellStyle name="Normal 3 5 4 2 2 16" xfId="2026"/>
    <cellStyle name="Normal 3 5 4 2 2 2" xfId="2027"/>
    <cellStyle name="Normal 3 5 4 2 2 2 10" xfId="2028"/>
    <cellStyle name="Normal 3 5 4 2 2 2 11" xfId="2029"/>
    <cellStyle name="Normal 3 5 4 2 2 2 12" xfId="2030"/>
    <cellStyle name="Normal 3 5 4 2 2 2 13" xfId="2031"/>
    <cellStyle name="Normal 3 5 4 2 2 2 14" xfId="2032"/>
    <cellStyle name="Normal 3 5 4 2 2 2 15" xfId="2033"/>
    <cellStyle name="Normal 3 5 4 2 2 2 2" xfId="2034"/>
    <cellStyle name="Normal 3 5 4 2 2 2 3" xfId="2035"/>
    <cellStyle name="Normal 3 5 4 2 2 2 4" xfId="2036"/>
    <cellStyle name="Normal 3 5 4 2 2 2 5" xfId="2037"/>
    <cellStyle name="Normal 3 5 4 2 2 2 6" xfId="2038"/>
    <cellStyle name="Normal 3 5 4 2 2 2 7" xfId="2039"/>
    <cellStyle name="Normal 3 5 4 2 2 2 8" xfId="2040"/>
    <cellStyle name="Normal 3 5 4 2 2 2 9" xfId="2041"/>
    <cellStyle name="Normal 3 5 4 2 2 3" xfId="2042"/>
    <cellStyle name="Normal 3 5 4 2 2 4" xfId="2043"/>
    <cellStyle name="Normal 3 5 4 2 2 5" xfId="2044"/>
    <cellStyle name="Normal 3 5 4 2 2 6" xfId="2045"/>
    <cellStyle name="Normal 3 5 4 2 2 7" xfId="2046"/>
    <cellStyle name="Normal 3 5 4 2 2 8" xfId="2047"/>
    <cellStyle name="Normal 3 5 4 2 2 9" xfId="2048"/>
    <cellStyle name="Normal 3 5 4 2 3" xfId="2049"/>
    <cellStyle name="Normal 3 5 4 2 4" xfId="2050"/>
    <cellStyle name="Normal 3 5 4 2 5" xfId="2051"/>
    <cellStyle name="Normal 3 5 4 2 6" xfId="2052"/>
    <cellStyle name="Normal 3 5 4 2 7" xfId="2053"/>
    <cellStyle name="Normal 3 5 4 2 8" xfId="2054"/>
    <cellStyle name="Normal 3 5 4 2 9" xfId="2055"/>
    <cellStyle name="Normal 3 5 4 3" xfId="2056"/>
    <cellStyle name="Normal 3 5 4 3 10" xfId="2057"/>
    <cellStyle name="Normal 3 5 4 3 11" xfId="2058"/>
    <cellStyle name="Normal 3 5 4 3 12" xfId="2059"/>
    <cellStyle name="Normal 3 5 4 3 13" xfId="2060"/>
    <cellStyle name="Normal 3 5 4 3 14" xfId="2061"/>
    <cellStyle name="Normal 3 5 4 3 15" xfId="2062"/>
    <cellStyle name="Normal 3 5 4 3 16" xfId="2063"/>
    <cellStyle name="Normal 3 5 4 3 2" xfId="2064"/>
    <cellStyle name="Normal 3 5 4 3 2 10" xfId="2065"/>
    <cellStyle name="Normal 3 5 4 3 2 11" xfId="2066"/>
    <cellStyle name="Normal 3 5 4 3 2 12" xfId="2067"/>
    <cellStyle name="Normal 3 5 4 3 2 13" xfId="2068"/>
    <cellStyle name="Normal 3 5 4 3 2 14" xfId="2069"/>
    <cellStyle name="Normal 3 5 4 3 2 15" xfId="2070"/>
    <cellStyle name="Normal 3 5 4 3 2 2" xfId="2071"/>
    <cellStyle name="Normal 3 5 4 3 2 3" xfId="2072"/>
    <cellStyle name="Normal 3 5 4 3 2 4" xfId="2073"/>
    <cellStyle name="Normal 3 5 4 3 2 5" xfId="2074"/>
    <cellStyle name="Normal 3 5 4 3 2 6" xfId="2075"/>
    <cellStyle name="Normal 3 5 4 3 2 7" xfId="2076"/>
    <cellStyle name="Normal 3 5 4 3 2 8" xfId="2077"/>
    <cellStyle name="Normal 3 5 4 3 2 9" xfId="2078"/>
    <cellStyle name="Normal 3 5 4 3 3" xfId="2079"/>
    <cellStyle name="Normal 3 5 4 3 4" xfId="2080"/>
    <cellStyle name="Normal 3 5 4 3 5" xfId="2081"/>
    <cellStyle name="Normal 3 5 4 3 6" xfId="2082"/>
    <cellStyle name="Normal 3 5 4 3 7" xfId="2083"/>
    <cellStyle name="Normal 3 5 4 3 8" xfId="2084"/>
    <cellStyle name="Normal 3 5 4 3 9" xfId="2085"/>
    <cellStyle name="Normal 3 5 4 4" xfId="2086"/>
    <cellStyle name="Normal 3 5 4 5" xfId="2087"/>
    <cellStyle name="Normal 3 5 4 6" xfId="2088"/>
    <cellStyle name="Normal 3 5 4 7" xfId="2089"/>
    <cellStyle name="Normal 3 5 4 8" xfId="2090"/>
    <cellStyle name="Normal 3 5 4 9" xfId="2091"/>
    <cellStyle name="Normal 3 5 5" xfId="2092"/>
    <cellStyle name="Normal 3 5 5 10" xfId="2093"/>
    <cellStyle name="Normal 3 5 5 11" xfId="2094"/>
    <cellStyle name="Normal 3 5 5 12" xfId="2095"/>
    <cellStyle name="Normal 3 5 5 13" xfId="2096"/>
    <cellStyle name="Normal 3 5 5 14" xfId="2097"/>
    <cellStyle name="Normal 3 5 5 15" xfId="2098"/>
    <cellStyle name="Normal 3 5 5 2" xfId="2099"/>
    <cellStyle name="Normal 3 5 5 3" xfId="2100"/>
    <cellStyle name="Normal 3 5 5 4" xfId="2101"/>
    <cellStyle name="Normal 3 5 5 5" xfId="2102"/>
    <cellStyle name="Normal 3 5 5 6" xfId="2103"/>
    <cellStyle name="Normal 3 5 5 7" xfId="2104"/>
    <cellStyle name="Normal 3 5 5 8" xfId="2105"/>
    <cellStyle name="Normal 3 5 5 9" xfId="2106"/>
    <cellStyle name="Normal 3 5 6" xfId="2107"/>
    <cellStyle name="Normal 3 5 7" xfId="2108"/>
    <cellStyle name="Normal 3 5 8" xfId="2109"/>
    <cellStyle name="Normal 3 5 9" xfId="2110"/>
    <cellStyle name="Normal 3 6" xfId="2111"/>
    <cellStyle name="Normal 30" xfId="2112"/>
    <cellStyle name="Normal 31" xfId="2113"/>
    <cellStyle name="Normal 32" xfId="2114"/>
    <cellStyle name="Normal 33" xfId="2115"/>
    <cellStyle name="Normal 34" xfId="2116"/>
    <cellStyle name="Normal 35" xfId="2117"/>
    <cellStyle name="Normal 36" xfId="2118"/>
    <cellStyle name="Normal 37" xfId="2119"/>
    <cellStyle name="Normal 38" xfId="2120"/>
    <cellStyle name="Normal 39" xfId="2121"/>
    <cellStyle name="Normal 4" xfId="41"/>
    <cellStyle name="Normal 4 10" xfId="2122"/>
    <cellStyle name="Normal 4 11" xfId="2123"/>
    <cellStyle name="Normal 4 12" xfId="2124"/>
    <cellStyle name="Normal 4 12 10" xfId="2125"/>
    <cellStyle name="Normal 4 12 11" xfId="2126"/>
    <cellStyle name="Normal 4 12 12" xfId="2127"/>
    <cellStyle name="Normal 4 12 13" xfId="2128"/>
    <cellStyle name="Normal 4 12 14" xfId="2129"/>
    <cellStyle name="Normal 4 12 15" xfId="2130"/>
    <cellStyle name="Normal 4 12 16" xfId="2131"/>
    <cellStyle name="Normal 4 12 17" xfId="2132"/>
    <cellStyle name="Normal 4 12 2" xfId="2133"/>
    <cellStyle name="Normal 4 12 2 10" xfId="2134"/>
    <cellStyle name="Normal 4 12 2 11" xfId="2135"/>
    <cellStyle name="Normal 4 12 2 12" xfId="2136"/>
    <cellStyle name="Normal 4 12 2 13" xfId="2137"/>
    <cellStyle name="Normal 4 12 2 14" xfId="2138"/>
    <cellStyle name="Normal 4 12 2 15" xfId="2139"/>
    <cellStyle name="Normal 4 12 2 2" xfId="2140"/>
    <cellStyle name="Normal 4 12 2 2 2" xfId="2141"/>
    <cellStyle name="Normal 4 12 2 2 2 2" xfId="2142"/>
    <cellStyle name="Normal 4 12 2 2 3" xfId="2143"/>
    <cellStyle name="Normal 4 12 2 3" xfId="2144"/>
    <cellStyle name="Normal 4 12 2 4" xfId="2145"/>
    <cellStyle name="Normal 4 12 2 5" xfId="2146"/>
    <cellStyle name="Normal 4 12 2 6" xfId="2147"/>
    <cellStyle name="Normal 4 12 2 7" xfId="2148"/>
    <cellStyle name="Normal 4 12 2 8" xfId="2149"/>
    <cellStyle name="Normal 4 12 2 9" xfId="2150"/>
    <cellStyle name="Normal 4 12 3" xfId="2151"/>
    <cellStyle name="Normal 4 12 3 10" xfId="2152"/>
    <cellStyle name="Normal 4 12 3 11" xfId="2153"/>
    <cellStyle name="Normal 4 12 3 12" xfId="2154"/>
    <cellStyle name="Normal 4 12 3 13" xfId="2155"/>
    <cellStyle name="Normal 4 12 3 14" xfId="2156"/>
    <cellStyle name="Normal 4 12 3 15" xfId="2157"/>
    <cellStyle name="Normal 4 12 3 16" xfId="2158"/>
    <cellStyle name="Normal 4 12 3 2" xfId="2159"/>
    <cellStyle name="Normal 4 12 3 2 10" xfId="2160"/>
    <cellStyle name="Normal 4 12 3 2 11" xfId="2161"/>
    <cellStyle name="Normal 4 12 3 2 12" xfId="2162"/>
    <cellStyle name="Normal 4 12 3 2 13" xfId="2163"/>
    <cellStyle name="Normal 4 12 3 2 14" xfId="2164"/>
    <cellStyle name="Normal 4 12 3 2 15" xfId="2165"/>
    <cellStyle name="Normal 4 12 3 2 16" xfId="2166"/>
    <cellStyle name="Normal 4 12 3 2 2" xfId="2167"/>
    <cellStyle name="Normal 4 12 3 2 2 10" xfId="2168"/>
    <cellStyle name="Normal 4 12 3 2 2 11" xfId="2169"/>
    <cellStyle name="Normal 4 12 3 2 2 12" xfId="2170"/>
    <cellStyle name="Normal 4 12 3 2 2 13" xfId="2171"/>
    <cellStyle name="Normal 4 12 3 2 2 14" xfId="2172"/>
    <cellStyle name="Normal 4 12 3 2 2 15" xfId="2173"/>
    <cellStyle name="Normal 4 12 3 2 2 16" xfId="2174"/>
    <cellStyle name="Normal 4 12 3 2 2 16 2" xfId="2175"/>
    <cellStyle name="Normal 4 12 3 2 2 2" xfId="2176"/>
    <cellStyle name="Normal 4 12 3 2 2 3" xfId="2177"/>
    <cellStyle name="Normal 4 12 3 2 2 4" xfId="2178"/>
    <cellStyle name="Normal 4 12 3 2 2 5" xfId="2179"/>
    <cellStyle name="Normal 4 12 3 2 2 6" xfId="2180"/>
    <cellStyle name="Normal 4 12 3 2 2 7" xfId="2181"/>
    <cellStyle name="Normal 4 12 3 2 2 8" xfId="2182"/>
    <cellStyle name="Normal 4 12 3 2 2 9" xfId="2183"/>
    <cellStyle name="Normal 4 12 3 2 3" xfId="2184"/>
    <cellStyle name="Normal 4 12 3 2 3 2" xfId="2185"/>
    <cellStyle name="Normal 4 12 3 2 4" xfId="2186"/>
    <cellStyle name="Normal 4 12 3 2 5" xfId="2187"/>
    <cellStyle name="Normal 4 12 3 2 6" xfId="2188"/>
    <cellStyle name="Normal 4 12 3 2 7" xfId="2189"/>
    <cellStyle name="Normal 4 12 3 2 8" xfId="2190"/>
    <cellStyle name="Normal 4 12 3 2 9" xfId="2191"/>
    <cellStyle name="Normal 4 12 3 3" xfId="2192"/>
    <cellStyle name="Normal 4 12 3 4" xfId="2193"/>
    <cellStyle name="Normal 4 12 3 5" xfId="2194"/>
    <cellStyle name="Normal 4 12 3 6" xfId="2195"/>
    <cellStyle name="Normal 4 12 3 7" xfId="2196"/>
    <cellStyle name="Normal 4 12 3 8" xfId="2197"/>
    <cellStyle name="Normal 4 12 3 9" xfId="2198"/>
    <cellStyle name="Normal 4 12 4" xfId="2199"/>
    <cellStyle name="Normal 4 12 5" xfId="2200"/>
    <cellStyle name="Normal 4 12 6" xfId="2201"/>
    <cellStyle name="Normal 4 12 7" xfId="2202"/>
    <cellStyle name="Normal 4 12 8" xfId="2203"/>
    <cellStyle name="Normal 4 12 9" xfId="2204"/>
    <cellStyle name="Normal 4 13" xfId="2205"/>
    <cellStyle name="Normal 4 14" xfId="2206"/>
    <cellStyle name="Normal 4 15" xfId="2207"/>
    <cellStyle name="Normal 4 16" xfId="2208"/>
    <cellStyle name="Normal 4 17" xfId="2209"/>
    <cellStyle name="Normal 4 18" xfId="2210"/>
    <cellStyle name="Normal 4 19" xfId="2211"/>
    <cellStyle name="Normal 4 2" xfId="2212"/>
    <cellStyle name="Normal 4 2 10" xfId="2213"/>
    <cellStyle name="Normal 4 2 11" xfId="2214"/>
    <cellStyle name="Normal 4 2 12" xfId="2215"/>
    <cellStyle name="Normal 4 2 13" xfId="2216"/>
    <cellStyle name="Normal 4 2 14" xfId="2217"/>
    <cellStyle name="Normal 4 2 15" xfId="2218"/>
    <cellStyle name="Normal 4 2 16" xfId="2219"/>
    <cellStyle name="Normal 4 2 17" xfId="2220"/>
    <cellStyle name="Normal 4 2 18" xfId="2221"/>
    <cellStyle name="Normal 4 2 19" xfId="2222"/>
    <cellStyle name="Normal 4 2 2" xfId="2223"/>
    <cellStyle name="Normal 4 2 2 10" xfId="2224"/>
    <cellStyle name="Normal 4 2 2 11" xfId="2225"/>
    <cellStyle name="Normal 4 2 2 12" xfId="2226"/>
    <cellStyle name="Normal 4 2 2 13" xfId="2227"/>
    <cellStyle name="Normal 4 2 2 14" xfId="2228"/>
    <cellStyle name="Normal 4 2 2 15" xfId="2229"/>
    <cellStyle name="Normal 4 2 2 16" xfId="2230"/>
    <cellStyle name="Normal 4 2 2 17" xfId="2231"/>
    <cellStyle name="Normal 4 2 2 2" xfId="2232"/>
    <cellStyle name="Normal 4 2 2 2 2" xfId="2233"/>
    <cellStyle name="Normal 4 2 2 2 3" xfId="2234"/>
    <cellStyle name="Normal 4 2 2 3" xfId="2235"/>
    <cellStyle name="Normal 4 2 2 4" xfId="2236"/>
    <cellStyle name="Normal 4 2 2 5" xfId="2237"/>
    <cellStyle name="Normal 4 2 2 6" xfId="2238"/>
    <cellStyle name="Normal 4 2 2 7" xfId="2239"/>
    <cellStyle name="Normal 4 2 2 8" xfId="2240"/>
    <cellStyle name="Normal 4 2 2 9" xfId="2241"/>
    <cellStyle name="Normal 4 2 20" xfId="2242"/>
    <cellStyle name="Normal 4 2 3" xfId="2243"/>
    <cellStyle name="Normal 4 2 3 10" xfId="2244"/>
    <cellStyle name="Normal 4 2 3 11" xfId="2245"/>
    <cellStyle name="Normal 4 2 3 12" xfId="2246"/>
    <cellStyle name="Normal 4 2 3 13" xfId="2247"/>
    <cellStyle name="Normal 4 2 3 14" xfId="2248"/>
    <cellStyle name="Normal 4 2 3 15" xfId="2249"/>
    <cellStyle name="Normal 4 2 3 2" xfId="2250"/>
    <cellStyle name="Normal 4 2 3 3" xfId="2251"/>
    <cellStyle name="Normal 4 2 3 4" xfId="2252"/>
    <cellStyle name="Normal 4 2 3 5" xfId="2253"/>
    <cellStyle name="Normal 4 2 3 6" xfId="2254"/>
    <cellStyle name="Normal 4 2 3 7" xfId="2255"/>
    <cellStyle name="Normal 4 2 3 8" xfId="2256"/>
    <cellStyle name="Normal 4 2 3 9" xfId="2257"/>
    <cellStyle name="Normal 4 2 4" xfId="2258"/>
    <cellStyle name="Normal 4 2 5" xfId="2259"/>
    <cellStyle name="Normal 4 2 6" xfId="2260"/>
    <cellStyle name="Normal 4 2 7" xfId="2261"/>
    <cellStyle name="Normal 4 2 8" xfId="2262"/>
    <cellStyle name="Normal 4 2 9" xfId="2263"/>
    <cellStyle name="Normal 4 2_03  50% Concept Design Cost Estimate Rev. 00 dated 29.07.07-AA" xfId="2264"/>
    <cellStyle name="Normal 4 20" xfId="2265"/>
    <cellStyle name="Normal 4 21" xfId="2266"/>
    <cellStyle name="Normal 4 22" xfId="2267"/>
    <cellStyle name="Normal 4 23" xfId="2268"/>
    <cellStyle name="Normal 4 24" xfId="2269"/>
    <cellStyle name="Normal 4 25" xfId="2270"/>
    <cellStyle name="Normal 4 26" xfId="2271"/>
    <cellStyle name="Normal 4 27" xfId="2272"/>
    <cellStyle name="Normal 4 28" xfId="2273"/>
    <cellStyle name="Normal 4 29" xfId="2274"/>
    <cellStyle name="Normal 4 3" xfId="2275"/>
    <cellStyle name="Normal 4 3 10" xfId="2276"/>
    <cellStyle name="Normal 4 3 11" xfId="2277"/>
    <cellStyle name="Normal 4 3 12" xfId="2278"/>
    <cellStyle name="Normal 4 3 13" xfId="2279"/>
    <cellStyle name="Normal 4 3 14" xfId="2280"/>
    <cellStyle name="Normal 4 3 15" xfId="2281"/>
    <cellStyle name="Normal 4 3 16" xfId="2282"/>
    <cellStyle name="Normal 4 3 17" xfId="2283"/>
    <cellStyle name="Normal 4 3 2" xfId="2284"/>
    <cellStyle name="Normal 4 3 2 2" xfId="2285"/>
    <cellStyle name="Normal 4 3 2 3" xfId="2286"/>
    <cellStyle name="Normal 4 3 3" xfId="2287"/>
    <cellStyle name="Normal 4 3 4" xfId="2288"/>
    <cellStyle name="Normal 4 3 5" xfId="2289"/>
    <cellStyle name="Normal 4 3 6" xfId="2290"/>
    <cellStyle name="Normal 4 3 7" xfId="2291"/>
    <cellStyle name="Normal 4 3 8" xfId="2292"/>
    <cellStyle name="Normal 4 3 9" xfId="2293"/>
    <cellStyle name="Normal 4 4" xfId="2294"/>
    <cellStyle name="Normal 4 4 10" xfId="2295"/>
    <cellStyle name="Normal 4 4 11" xfId="2296"/>
    <cellStyle name="Normal 4 4 12" xfId="2297"/>
    <cellStyle name="Normal 4 4 13" xfId="2298"/>
    <cellStyle name="Normal 4 4 14" xfId="2299"/>
    <cellStyle name="Normal 4 4 15" xfId="2300"/>
    <cellStyle name="Normal 4 4 16" xfId="2301"/>
    <cellStyle name="Normal 4 4 2" xfId="2302"/>
    <cellStyle name="Normal 4 4 3" xfId="2303"/>
    <cellStyle name="Normal 4 4 4" xfId="2304"/>
    <cellStyle name="Normal 4 4 5" xfId="2305"/>
    <cellStyle name="Normal 4 4 6" xfId="2306"/>
    <cellStyle name="Normal 4 4 7" xfId="2307"/>
    <cellStyle name="Normal 4 4 8" xfId="2308"/>
    <cellStyle name="Normal 4 4 9" xfId="2309"/>
    <cellStyle name="Normal 4 5" xfId="2310"/>
    <cellStyle name="Normal 4 6" xfId="2311"/>
    <cellStyle name="Normal 4 7" xfId="2312"/>
    <cellStyle name="Normal 4 8" xfId="2313"/>
    <cellStyle name="Normal 4 9" xfId="2314"/>
    <cellStyle name="Normal 4_03  50% Concept Design Cost Estimate Rev. 00 dated 29.07.07-AA" xfId="2315"/>
    <cellStyle name="Normal 40" xfId="2316"/>
    <cellStyle name="Normal 41" xfId="2317"/>
    <cellStyle name="Normal 42" xfId="2318"/>
    <cellStyle name="Normal 43" xfId="2319"/>
    <cellStyle name="Normal 44" xfId="2320"/>
    <cellStyle name="Normal 45" xfId="2321"/>
    <cellStyle name="Normal 46" xfId="2322"/>
    <cellStyle name="Normal 47" xfId="2323"/>
    <cellStyle name="Normal 47 2" xfId="2324"/>
    <cellStyle name="Normal 48" xfId="2325"/>
    <cellStyle name="Normal 48 2" xfId="2326"/>
    <cellStyle name="Normal 49" xfId="2327"/>
    <cellStyle name="Normal 49 2" xfId="2328"/>
    <cellStyle name="Normal 5" xfId="42"/>
    <cellStyle name="Normal 5 120" xfId="2329"/>
    <cellStyle name="Normal 5 2" xfId="2330"/>
    <cellStyle name="Normal 5 2 2" xfId="2331"/>
    <cellStyle name="Normal 5 2 3" xfId="2332"/>
    <cellStyle name="Normal 5 3" xfId="2333"/>
    <cellStyle name="Normal 5 4" xfId="2334"/>
    <cellStyle name="Normal 5 5" xfId="2335"/>
    <cellStyle name="Normal 5 6" xfId="2336"/>
    <cellStyle name="Normal 50" xfId="2337"/>
    <cellStyle name="Normal 50 2" xfId="2338"/>
    <cellStyle name="Normal 51" xfId="2339"/>
    <cellStyle name="Normal 51 2" xfId="2340"/>
    <cellStyle name="Normal 52" xfId="2341"/>
    <cellStyle name="Normal 52 2" xfId="2342"/>
    <cellStyle name="Normal 53" xfId="2343"/>
    <cellStyle name="Normal 53 2" xfId="2344"/>
    <cellStyle name="Normal 54" xfId="2345"/>
    <cellStyle name="Normal 54 2" xfId="2346"/>
    <cellStyle name="Normal 55" xfId="2347"/>
    <cellStyle name="Normal 55 2" xfId="2348"/>
    <cellStyle name="Normal 56" xfId="2349"/>
    <cellStyle name="Normal 56 2" xfId="2350"/>
    <cellStyle name="Normal 57" xfId="2351"/>
    <cellStyle name="Normal 57 2" xfId="2352"/>
    <cellStyle name="Normal 58" xfId="2353"/>
    <cellStyle name="Normal 58 2" xfId="2354"/>
    <cellStyle name="Normal 59" xfId="2355"/>
    <cellStyle name="Normal 59 2" xfId="2356"/>
    <cellStyle name="Normal 6" xfId="62"/>
    <cellStyle name="Normal 6 10" xfId="2357"/>
    <cellStyle name="Normal 6 11" xfId="2358"/>
    <cellStyle name="Normal 6 12" xfId="2359"/>
    <cellStyle name="Normal 6 13" xfId="2360"/>
    <cellStyle name="Normal 6 14" xfId="2361"/>
    <cellStyle name="Normal 6 15" xfId="2362"/>
    <cellStyle name="Normal 6 16" xfId="2363"/>
    <cellStyle name="Normal 6 17" xfId="2364"/>
    <cellStyle name="Normal 6 2" xfId="2365"/>
    <cellStyle name="Normal 6 2 2" xfId="2366"/>
    <cellStyle name="Normal 6 3" xfId="2367"/>
    <cellStyle name="Normal 6 4" xfId="2368"/>
    <cellStyle name="Normal 6 5" xfId="2369"/>
    <cellStyle name="Normal 6 6" xfId="2370"/>
    <cellStyle name="Normal 6 7" xfId="2371"/>
    <cellStyle name="Normal 6 8" xfId="2372"/>
    <cellStyle name="Normal 6 9" xfId="2373"/>
    <cellStyle name="Normal 60" xfId="2374"/>
    <cellStyle name="Normal 60 2" xfId="2375"/>
    <cellStyle name="Normal 61" xfId="2376"/>
    <cellStyle name="Normal 61 2" xfId="2377"/>
    <cellStyle name="Normal 62" xfId="2378"/>
    <cellStyle name="Normal 62 2" xfId="2379"/>
    <cellStyle name="Normal 63" xfId="2380"/>
    <cellStyle name="Normal 63 2" xfId="2381"/>
    <cellStyle name="Normal 64" xfId="2382"/>
    <cellStyle name="Normal 64 2" xfId="2383"/>
    <cellStyle name="Normal 65" xfId="2384"/>
    <cellStyle name="Normal 65 2" xfId="2385"/>
    <cellStyle name="Normal 66" xfId="2386"/>
    <cellStyle name="Normal 66 2" xfId="2387"/>
    <cellStyle name="Normal 67" xfId="2388"/>
    <cellStyle name="Normal 67 2" xfId="2389"/>
    <cellStyle name="Normal 68" xfId="2390"/>
    <cellStyle name="Normal 68 2" xfId="2391"/>
    <cellStyle name="Normal 69" xfId="2392"/>
    <cellStyle name="Normal 69 2" xfId="2393"/>
    <cellStyle name="Normal 7" xfId="2394"/>
    <cellStyle name="Normal 7 2" xfId="2395"/>
    <cellStyle name="Normal 7 3" xfId="2396"/>
    <cellStyle name="Normal 7 3 2" xfId="2397"/>
    <cellStyle name="Normal 70" xfId="2398"/>
    <cellStyle name="Normal 70 2" xfId="2399"/>
    <cellStyle name="Normal 71" xfId="2400"/>
    <cellStyle name="Normal 71 2" xfId="2401"/>
    <cellStyle name="Normal 72" xfId="2402"/>
    <cellStyle name="Normal 72 2" xfId="2403"/>
    <cellStyle name="Normal 73" xfId="2404"/>
    <cellStyle name="Normal 73 2" xfId="2405"/>
    <cellStyle name="Normal 74" xfId="2406"/>
    <cellStyle name="Normal 75" xfId="2407"/>
    <cellStyle name="Normal 76" xfId="2408"/>
    <cellStyle name="Normal 77" xfId="2409"/>
    <cellStyle name="Normal 78" xfId="2410"/>
    <cellStyle name="Normal 79" xfId="2411"/>
    <cellStyle name="Normal 8" xfId="2412"/>
    <cellStyle name="Normal 8 10" xfId="2413"/>
    <cellStyle name="Normal 8 11" xfId="2414"/>
    <cellStyle name="Normal 8 2" xfId="2415"/>
    <cellStyle name="Normal 8 3" xfId="2416"/>
    <cellStyle name="Normal 8 4" xfId="2417"/>
    <cellStyle name="Normal 8 5" xfId="2418"/>
    <cellStyle name="Normal 8 6" xfId="2419"/>
    <cellStyle name="Normal 8 7" xfId="2420"/>
    <cellStyle name="Normal 8 8" xfId="2421"/>
    <cellStyle name="Normal 8 9" xfId="2422"/>
    <cellStyle name="Normal 8_G &amp; 2nd Flr breakdown" xfId="2423"/>
    <cellStyle name="Normal 80" xfId="2424"/>
    <cellStyle name="Normal 80 2" xfId="2425"/>
    <cellStyle name="Normal 81" xfId="2426"/>
    <cellStyle name="Normal 81 2" xfId="2427"/>
    <cellStyle name="Normal 82" xfId="2428"/>
    <cellStyle name="Normal 82 2" xfId="2429"/>
    <cellStyle name="Normal 83" xfId="2430"/>
    <cellStyle name="Normal 83 2" xfId="2431"/>
    <cellStyle name="Normal 84" xfId="2432"/>
    <cellStyle name="Normal 84 2" xfId="2433"/>
    <cellStyle name="Normal 85" xfId="2434"/>
    <cellStyle name="Normal 85 2" xfId="2435"/>
    <cellStyle name="Normal 86" xfId="2436"/>
    <cellStyle name="Normal 86 2" xfId="2437"/>
    <cellStyle name="Normal 87" xfId="2438"/>
    <cellStyle name="Normal 87 2" xfId="2439"/>
    <cellStyle name="Normal 88" xfId="2440"/>
    <cellStyle name="Normal 88 2" xfId="2441"/>
    <cellStyle name="Normal 89" xfId="2442"/>
    <cellStyle name="Normal 89 2" xfId="2443"/>
    <cellStyle name="Normal 9" xfId="2444"/>
    <cellStyle name="Normal 9 2" xfId="2445"/>
    <cellStyle name="Normal 9 3" xfId="2446"/>
    <cellStyle name="Normal 90" xfId="2447"/>
    <cellStyle name="Normal 90 2" xfId="2448"/>
    <cellStyle name="Normal 91" xfId="2449"/>
    <cellStyle name="Normal 91 2" xfId="2450"/>
    <cellStyle name="Normal 92" xfId="2451"/>
    <cellStyle name="Normal 92 2" xfId="2452"/>
    <cellStyle name="Normal 93" xfId="2453"/>
    <cellStyle name="Normal 93 2" xfId="2454"/>
    <cellStyle name="Normal 94" xfId="2455"/>
    <cellStyle name="Normal 94 2" xfId="2456"/>
    <cellStyle name="Normal 95" xfId="2457"/>
    <cellStyle name="Normal 95 2" xfId="2458"/>
    <cellStyle name="Normal 96" xfId="2459"/>
    <cellStyle name="Normal 96 2" xfId="2460"/>
    <cellStyle name="Normal 97" xfId="2461"/>
    <cellStyle name="Normal 97 2" xfId="2462"/>
    <cellStyle name="Normal 98" xfId="2463"/>
    <cellStyle name="Normal 98 2" xfId="2464"/>
    <cellStyle name="Normal 99" xfId="2465"/>
    <cellStyle name="Normal 99 2" xfId="2466"/>
    <cellStyle name="Normal_LIU - Monthly Application #09A - January 2005" xfId="53"/>
    <cellStyle name="Note 2" xfId="43"/>
    <cellStyle name="Note 2 2" xfId="63"/>
    <cellStyle name="Note 2 3" xfId="64"/>
    <cellStyle name="Note 3" xfId="2467"/>
    <cellStyle name="Note 3 2" xfId="2468"/>
    <cellStyle name="Œ…‹æØ‚è [0.00]_Region Orders (2)" xfId="2469"/>
    <cellStyle name="Œ…‹æØ‚è_Region Orders (2)" xfId="2470"/>
    <cellStyle name="Output 2" xfId="44"/>
    <cellStyle name="Output 2 2" xfId="65"/>
    <cellStyle name="Output 2 3" xfId="66"/>
    <cellStyle name="Output 2 4" xfId="2471"/>
    <cellStyle name="Output 3" xfId="2472"/>
    <cellStyle name="per.style" xfId="2473"/>
    <cellStyle name="Percent" xfId="72" builtinId="5"/>
    <cellStyle name="Percent [2]" xfId="2474"/>
    <cellStyle name="Percent 10" xfId="2475"/>
    <cellStyle name="Percent 11" xfId="2476"/>
    <cellStyle name="Percent 12" xfId="2477"/>
    <cellStyle name="Percent 13" xfId="2478"/>
    <cellStyle name="Percent 14" xfId="2479"/>
    <cellStyle name="Percent 15" xfId="2480"/>
    <cellStyle name="Percent 16" xfId="2481"/>
    <cellStyle name="Percent 19 2" xfId="67"/>
    <cellStyle name="Percent 2" xfId="45"/>
    <cellStyle name="Percent 2 2" xfId="46"/>
    <cellStyle name="Percent 2 2 2" xfId="47"/>
    <cellStyle name="Percent 2 3" xfId="2482"/>
    <cellStyle name="Percent 3" xfId="68"/>
    <cellStyle name="Percent 3 2" xfId="2483"/>
    <cellStyle name="Percent 4" xfId="2484"/>
    <cellStyle name="Percent 4 2" xfId="2485"/>
    <cellStyle name="Percent 5" xfId="2486"/>
    <cellStyle name="Percent 5 2" xfId="2487"/>
    <cellStyle name="Percent 6" xfId="2488"/>
    <cellStyle name="Percent 7" xfId="2489"/>
    <cellStyle name="Percent 8" xfId="2490"/>
    <cellStyle name="Percent 9" xfId="2491"/>
    <cellStyle name="pricing" xfId="2492"/>
    <cellStyle name="PSChar" xfId="2493"/>
    <cellStyle name="RevList" xfId="2494"/>
    <cellStyle name="sheet title" xfId="2495"/>
    <cellStyle name="Style 1" xfId="2496"/>
    <cellStyle name="Style 100" xfId="2497"/>
    <cellStyle name="Subtotal" xfId="2498"/>
    <cellStyle name="Subtotal 2" xfId="2499"/>
    <cellStyle name="Title 2" xfId="48"/>
    <cellStyle name="Title 2 2" xfId="2500"/>
    <cellStyle name="Title 3" xfId="2501"/>
    <cellStyle name="topbot" xfId="2502"/>
    <cellStyle name="Total 2" xfId="49"/>
    <cellStyle name="Total 2 2" xfId="69"/>
    <cellStyle name="Total 2 3" xfId="70"/>
    <cellStyle name="Total 2 4" xfId="2503"/>
    <cellStyle name="Total 3" xfId="2504"/>
    <cellStyle name="unitrate" xfId="2505"/>
    <cellStyle name="Warning Text 2" xfId="50"/>
    <cellStyle name="Warning Text 3" xfId="2506"/>
    <cellStyle name="콤마 [0]_SSY-PAY" xfId="2507"/>
    <cellStyle name="표준_SSY-PAY" xfId="2508"/>
  </cellStyles>
  <dxfs count="3">
    <dxf>
      <fill>
        <patternFill>
          <bgColor rgb="FF92D050"/>
        </patternFill>
      </fill>
    </dxf>
    <dxf>
      <fill>
        <patternFill>
          <bgColor theme="3" tint="0.79998168889431442"/>
        </patternFill>
      </fill>
    </dxf>
    <dxf>
      <fill>
        <patternFill>
          <bgColor rgb="FFFF5050"/>
        </patternFill>
      </fill>
    </dxf>
  </dxfs>
  <tableStyles count="0" defaultTableStyle="TableStyleMedium2" defaultPivotStyle="PivotStyleLight16"/>
  <colors>
    <mruColors>
      <color rgb="FF0000FF"/>
      <color rgb="FFFF5050"/>
      <color rgb="FFDCE6F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27</xdr:col>
      <xdr:colOff>40815</xdr:colOff>
      <xdr:row>0</xdr:row>
      <xdr:rowOff>54431</xdr:rowOff>
    </xdr:from>
    <xdr:to>
      <xdr:col>49</xdr:col>
      <xdr:colOff>95243</xdr:colOff>
      <xdr:row>2</xdr:row>
      <xdr:rowOff>27216</xdr:rowOff>
    </xdr:to>
    <xdr:sp macro="" textlink="">
      <xdr:nvSpPr>
        <xdr:cNvPr id="2" name="TextBox 1"/>
        <xdr:cNvSpPr txBox="1"/>
      </xdr:nvSpPr>
      <xdr:spPr>
        <a:xfrm>
          <a:off x="6841665" y="54431"/>
          <a:ext cx="5502728" cy="353785"/>
        </a:xfrm>
        <a:prstGeom prst="rect">
          <a:avLst/>
        </a:prstGeom>
        <a:no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endParaRPr lang="en-US" sz="1400" b="1">
            <a:solidFill>
              <a:schemeClr val="dk1"/>
            </a:solidFill>
            <a:effectLst/>
            <a:latin typeface="+mn-lt"/>
            <a:ea typeface="+mn-ea"/>
            <a:cs typeface="+mn-cs"/>
          </a:endParaRPr>
        </a:p>
      </xdr:txBody>
    </xdr:sp>
    <xdr:clientData/>
  </xdr:twoCellAnchor>
  <xdr:twoCellAnchor>
    <xdr:from>
      <xdr:col>27</xdr:col>
      <xdr:colOff>40815</xdr:colOff>
      <xdr:row>0</xdr:row>
      <xdr:rowOff>54431</xdr:rowOff>
    </xdr:from>
    <xdr:to>
      <xdr:col>49</xdr:col>
      <xdr:colOff>95243</xdr:colOff>
      <xdr:row>2</xdr:row>
      <xdr:rowOff>27216</xdr:rowOff>
    </xdr:to>
    <xdr:sp macro="" textlink="">
      <xdr:nvSpPr>
        <xdr:cNvPr id="3" name="TextBox 2"/>
        <xdr:cNvSpPr txBox="1"/>
      </xdr:nvSpPr>
      <xdr:spPr>
        <a:xfrm>
          <a:off x="6841665" y="54431"/>
          <a:ext cx="5502728" cy="353785"/>
        </a:xfrm>
        <a:prstGeom prst="rect">
          <a:avLst/>
        </a:prstGeom>
        <a:no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endParaRPr lang="en-US" sz="1400" b="1">
            <a:solidFill>
              <a:schemeClr val="dk1"/>
            </a:solidFill>
            <a:effectLst/>
            <a:latin typeface="+mn-lt"/>
            <a:ea typeface="+mn-ea"/>
            <a:cs typeface="+mn-cs"/>
          </a:endParaRPr>
        </a:p>
      </xdr:txBody>
    </xdr:sp>
    <xdr:clientData/>
  </xdr:twoCellAnchor>
  <xdr:twoCellAnchor>
    <xdr:from>
      <xdr:col>1</xdr:col>
      <xdr:colOff>13607</xdr:colOff>
      <xdr:row>50</xdr:row>
      <xdr:rowOff>28404</xdr:rowOff>
    </xdr:from>
    <xdr:to>
      <xdr:col>26</xdr:col>
      <xdr:colOff>136072</xdr:colOff>
      <xdr:row>53</xdr:row>
      <xdr:rowOff>161754</xdr:rowOff>
    </xdr:to>
    <xdr:sp macro="" textlink="">
      <xdr:nvSpPr>
        <xdr:cNvPr id="5" name="Text Box 3"/>
        <xdr:cNvSpPr txBox="1">
          <a:spLocks noChangeArrowheads="1"/>
        </xdr:cNvSpPr>
      </xdr:nvSpPr>
      <xdr:spPr bwMode="auto">
        <a:xfrm>
          <a:off x="257024" y="9553404"/>
          <a:ext cx="6334881" cy="70485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ctr" rtl="0">
            <a:defRPr sz="1000"/>
          </a:pPr>
          <a:r>
            <a:rPr lang="en-US" sz="1800" b="1" i="0" u="none" strike="noStrike" baseline="0">
              <a:solidFill>
                <a:srgbClr val="114AFF"/>
              </a:solidFill>
              <a:latin typeface="+mn-lt"/>
            </a:rPr>
            <a:t>AL JASASSIYA SOUTH HOUSE PROJECT</a:t>
          </a:r>
        </a:p>
        <a:p>
          <a:pPr algn="ctr" rtl="0">
            <a:defRPr sz="1000"/>
          </a:pPr>
          <a:r>
            <a:rPr lang="en-US" sz="1800" b="1" i="0" u="none" strike="noStrike" baseline="0">
              <a:solidFill>
                <a:srgbClr val="114AFF"/>
              </a:solidFill>
              <a:latin typeface="+mn-lt"/>
            </a:rPr>
            <a:t> Proejct  #  R67-M1-15</a:t>
          </a:r>
        </a:p>
      </xdr:txBody>
    </xdr:sp>
    <xdr:clientData/>
  </xdr:twoCellAnchor>
  <xdr:twoCellAnchor>
    <xdr:from>
      <xdr:col>1</xdr:col>
      <xdr:colOff>9525</xdr:colOff>
      <xdr:row>32</xdr:row>
      <xdr:rowOff>115660</xdr:rowOff>
    </xdr:from>
    <xdr:to>
      <xdr:col>26</xdr:col>
      <xdr:colOff>114300</xdr:colOff>
      <xdr:row>49</xdr:row>
      <xdr:rowOff>52917</xdr:rowOff>
    </xdr:to>
    <xdr:sp macro="" textlink="">
      <xdr:nvSpPr>
        <xdr:cNvPr id="7" name="TextBox 6"/>
        <xdr:cNvSpPr txBox="1"/>
      </xdr:nvSpPr>
      <xdr:spPr>
        <a:xfrm>
          <a:off x="252942" y="6211660"/>
          <a:ext cx="6317191" cy="31757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500"/>
            <a:t>Client: </a:t>
          </a:r>
        </a:p>
        <a:p>
          <a:r>
            <a:rPr lang="en-US" sz="1500" b="1" i="0" baseline="0">
              <a:solidFill>
                <a:schemeClr val="dk1"/>
              </a:solidFill>
              <a:effectLst/>
              <a:latin typeface="+mn-lt"/>
              <a:ea typeface="+mn-ea"/>
              <a:cs typeface="+mn-cs"/>
            </a:rPr>
            <a:t>PRIVATE ENGINEERING OFFICE (PEO)</a:t>
          </a:r>
        </a:p>
        <a:p>
          <a:endParaRPr lang="en-US" sz="1000"/>
        </a:p>
        <a:p>
          <a:r>
            <a:rPr lang="en-US" sz="1500"/>
            <a:t>Consultant:</a:t>
          </a:r>
        </a:p>
        <a:p>
          <a:r>
            <a:rPr lang="en-US" sz="1500" b="1">
              <a:solidFill>
                <a:sysClr val="windowText" lastClr="000000"/>
              </a:solidFill>
            </a:rPr>
            <a:t>M/S DORSCH QATAR</a:t>
          </a:r>
        </a:p>
        <a:p>
          <a:endParaRPr lang="en-US" sz="1000"/>
        </a:p>
        <a:p>
          <a:r>
            <a:rPr lang="en-US" sz="1500"/>
            <a:t>Main Contractor:</a:t>
          </a:r>
        </a:p>
        <a:p>
          <a:r>
            <a:rPr lang="en-US" sz="1500" b="1"/>
            <a:t>M/S UCC</a:t>
          </a:r>
        </a:p>
        <a:p>
          <a:endParaRPr lang="en-US" sz="1000"/>
        </a:p>
        <a:p>
          <a:r>
            <a:rPr lang="en-US" sz="1500"/>
            <a:t>In house Sub Contractor: </a:t>
          </a:r>
        </a:p>
        <a:p>
          <a:r>
            <a:rPr lang="en-US" sz="1500" b="1">
              <a:solidFill>
                <a:sysClr val="windowText" lastClr="000000"/>
              </a:solidFill>
            </a:rPr>
            <a:t>Consolidated Engineering System CO. W.L.L (CESCO)</a:t>
          </a:r>
        </a:p>
        <a:p>
          <a:r>
            <a:rPr lang="en-US" sz="1500" b="1">
              <a:solidFill>
                <a:sysClr val="windowText" lastClr="000000"/>
              </a:solidFill>
            </a:rPr>
            <a:t>Al Mana Networks Solutions &amp; Security Services</a:t>
          </a:r>
        </a:p>
        <a:p>
          <a:r>
            <a:rPr lang="en-US" sz="1500" b="1">
              <a:solidFill>
                <a:sysClr val="windowText" lastClr="000000"/>
              </a:solidFill>
            </a:rPr>
            <a:t>Asian Insulation Co.</a:t>
          </a:r>
        </a:p>
        <a:p>
          <a:endParaRPr lang="en-US" sz="1500" b="1">
            <a:solidFill>
              <a:sysClr val="windowText" lastClr="000000"/>
            </a:solidFill>
          </a:endParaRPr>
        </a:p>
        <a:p>
          <a:endParaRPr lang="en-US" sz="1500" b="1">
            <a:solidFill>
              <a:sysClr val="windowText" lastClr="000000"/>
            </a:solidFill>
          </a:endParaRPr>
        </a:p>
      </xdr:txBody>
    </xdr:sp>
    <xdr:clientData/>
  </xdr:twoCellAnchor>
  <xdr:twoCellAnchor editAs="oneCell">
    <xdr:from>
      <xdr:col>1</xdr:col>
      <xdr:colOff>9522</xdr:colOff>
      <xdr:row>12</xdr:row>
      <xdr:rowOff>57150</xdr:rowOff>
    </xdr:from>
    <xdr:to>
      <xdr:col>26</xdr:col>
      <xdr:colOff>129463</xdr:colOff>
      <xdr:row>31</xdr:row>
      <xdr:rowOff>186690</xdr:rowOff>
    </xdr:to>
    <xdr:pic>
      <xdr:nvPicPr>
        <xdr:cNvPr id="8"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257172" y="2343150"/>
          <a:ext cx="6425491" cy="3749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24</xdr:col>
      <xdr:colOff>21785</xdr:colOff>
      <xdr:row>5</xdr:row>
      <xdr:rowOff>26567</xdr:rowOff>
    </xdr:from>
    <xdr:ext cx="468013" cy="7273134"/>
    <xdr:sp macro="" textlink="">
      <xdr:nvSpPr>
        <xdr:cNvPr id="3" name="Rectangle 2"/>
        <xdr:cNvSpPr/>
      </xdr:nvSpPr>
      <xdr:spPr>
        <a:xfrm rot="18824351">
          <a:off x="-866175" y="4495927"/>
          <a:ext cx="7273134" cy="468013"/>
        </a:xfrm>
        <a:prstGeom prst="rect">
          <a:avLst/>
        </a:prstGeom>
        <a:solidFill>
          <a:schemeClr val="tx2">
            <a:lumMod val="40000"/>
            <a:lumOff val="60000"/>
          </a:schemeClr>
        </a:solidFill>
      </xdr:spPr>
      <xdr:txBody>
        <a:bodyPr wrap="square" lIns="91440" tIns="45720" rIns="91440" bIns="45720">
          <a:spAutoFit/>
        </a:bodyPr>
        <a:lstStyle/>
        <a:p>
          <a:pPr algn="ctr"/>
          <a:r>
            <a:rPr lang="en-US" sz="2400" b="1" cap="none" spc="0" baseline="0">
              <a:ln w="12700">
                <a:solidFill>
                  <a:schemeClr val="tx2">
                    <a:satMod val="155000"/>
                  </a:schemeClr>
                </a:solidFill>
                <a:prstDash val="solid"/>
              </a:ln>
              <a:solidFill>
                <a:srgbClr val="C00000"/>
              </a:solidFill>
              <a:effectLst>
                <a:outerShdw blurRad="41275" dist="20320" dir="1800000" algn="tl" rotWithShape="0">
                  <a:srgbClr val="000000">
                    <a:alpha val="40000"/>
                  </a:srgbClr>
                </a:outerShdw>
              </a:effectLst>
            </a:rPr>
            <a:t>Procurement Log Sheet Attached</a:t>
          </a:r>
          <a:endParaRPr lang="en-US" sz="2400" b="1" cap="none" spc="0">
            <a:ln w="12700">
              <a:solidFill>
                <a:schemeClr val="tx2">
                  <a:satMod val="155000"/>
                </a:schemeClr>
              </a:solidFill>
              <a:prstDash val="solid"/>
            </a:ln>
            <a:solidFill>
              <a:srgbClr val="C00000"/>
            </a:solidFill>
            <a:effectLst>
              <a:outerShdw blurRad="41275" dist="20320" dir="1800000" algn="tl" rotWithShape="0">
                <a:srgbClr val="000000">
                  <a:alpha val="40000"/>
                </a:srgbClr>
              </a:outerShdw>
            </a:effectLst>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12</xdr:col>
      <xdr:colOff>47625</xdr:colOff>
      <xdr:row>116</xdr:row>
      <xdr:rowOff>85725</xdr:rowOff>
    </xdr:from>
    <xdr:ext cx="4722397" cy="468013"/>
    <xdr:sp macro="" textlink="">
      <xdr:nvSpPr>
        <xdr:cNvPr id="3" name="Rectangle 2"/>
        <xdr:cNvSpPr/>
      </xdr:nvSpPr>
      <xdr:spPr>
        <a:xfrm>
          <a:off x="1076325" y="24431625"/>
          <a:ext cx="4722397" cy="468013"/>
        </a:xfrm>
        <a:prstGeom prst="rect">
          <a:avLst/>
        </a:prstGeom>
        <a:solidFill>
          <a:schemeClr val="tx2">
            <a:lumMod val="40000"/>
            <a:lumOff val="60000"/>
          </a:schemeClr>
        </a:solidFill>
      </xdr:spPr>
      <xdr:txBody>
        <a:bodyPr wrap="square" lIns="91440" tIns="45720" rIns="91440" bIns="45720">
          <a:spAutoFit/>
        </a:bodyPr>
        <a:lstStyle/>
        <a:p>
          <a:pPr algn="ctr"/>
          <a:r>
            <a:rPr lang="en-US" sz="2400" b="1" cap="none" spc="0" baseline="0">
              <a:ln w="12700">
                <a:solidFill>
                  <a:schemeClr val="tx2">
                    <a:satMod val="155000"/>
                  </a:schemeClr>
                </a:solidFill>
                <a:prstDash val="solid"/>
              </a:ln>
              <a:solidFill>
                <a:srgbClr val="C00000"/>
              </a:solidFill>
              <a:effectLst>
                <a:outerShdw blurRad="41275" dist="20320" dir="1800000" algn="tl" rotWithShape="0">
                  <a:srgbClr val="000000">
                    <a:alpha val="40000"/>
                  </a:srgbClr>
                </a:outerShdw>
              </a:effectLst>
            </a:rPr>
            <a:t>Draftsmen Supply Only</a:t>
          </a:r>
          <a:endParaRPr lang="en-US" sz="2400" b="1" cap="none" spc="0">
            <a:ln w="12700">
              <a:solidFill>
                <a:schemeClr val="tx2">
                  <a:satMod val="155000"/>
                </a:schemeClr>
              </a:solidFill>
              <a:prstDash val="solid"/>
            </a:ln>
            <a:solidFill>
              <a:srgbClr val="C00000"/>
            </a:solidFill>
            <a:effectLst>
              <a:outerShdw blurRad="41275" dist="20320" dir="1800000" algn="tl" rotWithShape="0">
                <a:srgbClr val="000000">
                  <a:alpha val="40000"/>
                </a:srgbClr>
              </a:outerShdw>
            </a:effectLst>
          </a:endParaRPr>
        </a:p>
      </xdr:txBody>
    </xdr:sp>
    <xdr:clientData/>
  </xdr:oneCellAnchor>
  <xdr:oneCellAnchor>
    <xdr:from>
      <xdr:col>12</xdr:col>
      <xdr:colOff>38100</xdr:colOff>
      <xdr:row>125</xdr:row>
      <xdr:rowOff>104775</xdr:rowOff>
    </xdr:from>
    <xdr:ext cx="4722397" cy="468013"/>
    <xdr:sp macro="" textlink="">
      <xdr:nvSpPr>
        <xdr:cNvPr id="4" name="Rectangle 3"/>
        <xdr:cNvSpPr/>
      </xdr:nvSpPr>
      <xdr:spPr>
        <a:xfrm>
          <a:off x="1066800" y="26384250"/>
          <a:ext cx="4722397" cy="468013"/>
        </a:xfrm>
        <a:prstGeom prst="rect">
          <a:avLst/>
        </a:prstGeom>
        <a:solidFill>
          <a:schemeClr val="tx2">
            <a:lumMod val="40000"/>
            <a:lumOff val="60000"/>
          </a:schemeClr>
        </a:solidFill>
      </xdr:spPr>
      <xdr:txBody>
        <a:bodyPr wrap="square" lIns="91440" tIns="45720" rIns="91440" bIns="45720">
          <a:spAutoFit/>
        </a:bodyPr>
        <a:lstStyle/>
        <a:p>
          <a:pPr algn="ctr"/>
          <a:r>
            <a:rPr lang="en-US" sz="2400" b="1" cap="none" spc="0" baseline="0">
              <a:ln w="12700">
                <a:solidFill>
                  <a:schemeClr val="tx2">
                    <a:satMod val="155000"/>
                  </a:schemeClr>
                </a:solidFill>
                <a:prstDash val="solid"/>
              </a:ln>
              <a:solidFill>
                <a:srgbClr val="C00000"/>
              </a:solidFill>
              <a:effectLst>
                <a:outerShdw blurRad="41275" dist="20320" dir="1800000" algn="tl" rotWithShape="0">
                  <a:srgbClr val="000000">
                    <a:alpha val="40000"/>
                  </a:srgbClr>
                </a:outerShdw>
              </a:effectLst>
            </a:rPr>
            <a:t>Manpower Supply Only</a:t>
          </a:r>
          <a:endParaRPr lang="en-US" sz="2400" b="1" cap="none" spc="0">
            <a:ln w="12700">
              <a:solidFill>
                <a:schemeClr val="tx2">
                  <a:satMod val="155000"/>
                </a:schemeClr>
              </a:solidFill>
              <a:prstDash val="solid"/>
            </a:ln>
            <a:solidFill>
              <a:srgbClr val="C00000"/>
            </a:solidFill>
            <a:effectLst>
              <a:outerShdw blurRad="41275" dist="20320" dir="1800000" algn="tl" rotWithShape="0">
                <a:srgbClr val="000000">
                  <a:alpha val="40000"/>
                </a:srgbClr>
              </a:outerShdw>
            </a:effectLst>
          </a:endParaRPr>
        </a:p>
      </xdr:txBody>
    </xdr:sp>
    <xdr:clientData/>
  </xdr:oneCellAnchor>
  <xdr:oneCellAnchor>
    <xdr:from>
      <xdr:col>12</xdr:col>
      <xdr:colOff>38100</xdr:colOff>
      <xdr:row>125</xdr:row>
      <xdr:rowOff>57150</xdr:rowOff>
    </xdr:from>
    <xdr:ext cx="4722397" cy="468013"/>
    <xdr:sp macro="" textlink="">
      <xdr:nvSpPr>
        <xdr:cNvPr id="5" name="Rectangle 4"/>
        <xdr:cNvSpPr/>
      </xdr:nvSpPr>
      <xdr:spPr>
        <a:xfrm>
          <a:off x="1066800" y="26336625"/>
          <a:ext cx="4722397" cy="468013"/>
        </a:xfrm>
        <a:prstGeom prst="rect">
          <a:avLst/>
        </a:prstGeom>
        <a:solidFill>
          <a:schemeClr val="tx2">
            <a:lumMod val="40000"/>
            <a:lumOff val="60000"/>
          </a:schemeClr>
        </a:solidFill>
      </xdr:spPr>
      <xdr:txBody>
        <a:bodyPr wrap="square" lIns="91440" tIns="45720" rIns="91440" bIns="45720">
          <a:spAutoFit/>
        </a:bodyPr>
        <a:lstStyle/>
        <a:p>
          <a:pPr algn="ctr"/>
          <a:r>
            <a:rPr lang="en-US" sz="2400" b="1" cap="none" spc="0" baseline="0">
              <a:ln w="12700">
                <a:solidFill>
                  <a:schemeClr val="tx2">
                    <a:satMod val="155000"/>
                  </a:schemeClr>
                </a:solidFill>
                <a:prstDash val="solid"/>
              </a:ln>
              <a:solidFill>
                <a:srgbClr val="C00000"/>
              </a:solidFill>
              <a:effectLst>
                <a:outerShdw blurRad="41275" dist="20320" dir="1800000" algn="tl" rotWithShape="0">
                  <a:srgbClr val="000000">
                    <a:alpha val="40000"/>
                  </a:srgbClr>
                </a:outerShdw>
              </a:effectLst>
            </a:rPr>
            <a:t>Manpower Supply Only</a:t>
          </a:r>
          <a:endParaRPr lang="en-US" sz="2400" b="1" cap="none" spc="0">
            <a:ln w="12700">
              <a:solidFill>
                <a:schemeClr val="tx2">
                  <a:satMod val="155000"/>
                </a:schemeClr>
              </a:solidFill>
              <a:prstDash val="solid"/>
            </a:ln>
            <a:solidFill>
              <a:srgbClr val="C00000"/>
            </a:solidFill>
            <a:effectLst>
              <a:outerShdw blurRad="41275" dist="20320" dir="1800000" algn="tl" rotWithShape="0">
                <a:srgbClr val="000000">
                  <a:alpha val="40000"/>
                </a:srgbClr>
              </a:outerShdw>
            </a:effectLst>
          </a:endParaRP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58616</xdr:colOff>
      <xdr:row>0</xdr:row>
      <xdr:rowOff>178310</xdr:rowOff>
    </xdr:from>
    <xdr:to>
      <xdr:col>0</xdr:col>
      <xdr:colOff>710712</xdr:colOff>
      <xdr:row>2</xdr:row>
      <xdr:rowOff>81463</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58616" y="178310"/>
          <a:ext cx="652096" cy="284153"/>
        </a:xfrm>
        <a:prstGeom prst="rect">
          <a:avLst/>
        </a:prstGeom>
        <a:solidFill>
          <a:schemeClr val="bg2">
            <a:lumMod val="75000"/>
          </a:schemeClr>
        </a:solidFill>
        <a:effectLst>
          <a:reflection endPos="0" dist="50800" dir="5400000" sy="-100000" algn="bl" rotWithShape="0"/>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47626</xdr:colOff>
      <xdr:row>0</xdr:row>
      <xdr:rowOff>214233</xdr:rowOff>
    </xdr:from>
    <xdr:to>
      <xdr:col>5</xdr:col>
      <xdr:colOff>66676</xdr:colOff>
      <xdr:row>1</xdr:row>
      <xdr:rowOff>223917</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47626" y="214233"/>
          <a:ext cx="590550" cy="257334"/>
        </a:xfrm>
        <a:prstGeom prst="rect">
          <a:avLst/>
        </a:prstGeom>
        <a:solidFill>
          <a:schemeClr val="bg2">
            <a:lumMod val="75000"/>
          </a:schemeClr>
        </a:solidFill>
        <a:effectLst>
          <a:reflection endPos="0" dist="50800" dir="5400000" sy="-100000" algn="bl" rotWithShape="0"/>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58616</xdr:colOff>
      <xdr:row>0</xdr:row>
      <xdr:rowOff>142876</xdr:rowOff>
    </xdr:from>
    <xdr:to>
      <xdr:col>0</xdr:col>
      <xdr:colOff>714375</xdr:colOff>
      <xdr:row>2</xdr:row>
      <xdr:rowOff>47625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58616" y="142876"/>
          <a:ext cx="655759" cy="285749"/>
        </a:xfrm>
        <a:prstGeom prst="rect">
          <a:avLst/>
        </a:prstGeom>
        <a:solidFill>
          <a:schemeClr val="bg2">
            <a:lumMod val="75000"/>
          </a:schemeClr>
        </a:solidFill>
        <a:effectLst>
          <a:reflection endPos="0" dist="50800" dir="5400000" sy="-100000" algn="bl" rotWithShape="0"/>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47626</xdr:colOff>
      <xdr:row>0</xdr:row>
      <xdr:rowOff>214233</xdr:rowOff>
    </xdr:from>
    <xdr:to>
      <xdr:col>5</xdr:col>
      <xdr:colOff>66676</xdr:colOff>
      <xdr:row>1</xdr:row>
      <xdr:rowOff>223917</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47626" y="214233"/>
          <a:ext cx="590550" cy="257334"/>
        </a:xfrm>
        <a:prstGeom prst="rect">
          <a:avLst/>
        </a:prstGeom>
        <a:solidFill>
          <a:schemeClr val="bg2">
            <a:lumMod val="75000"/>
          </a:schemeClr>
        </a:solidFill>
        <a:effectLst>
          <a:reflection endPos="0" dist="50800" dir="5400000" sy="-100000" algn="bl" rotWithShape="0"/>
        </a:effec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47626</xdr:colOff>
      <xdr:row>0</xdr:row>
      <xdr:rowOff>214233</xdr:rowOff>
    </xdr:from>
    <xdr:to>
      <xdr:col>5</xdr:col>
      <xdr:colOff>66676</xdr:colOff>
      <xdr:row>1</xdr:row>
      <xdr:rowOff>223917</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47626" y="214233"/>
          <a:ext cx="590550" cy="257334"/>
        </a:xfrm>
        <a:prstGeom prst="rect">
          <a:avLst/>
        </a:prstGeom>
        <a:solidFill>
          <a:schemeClr val="bg2">
            <a:lumMod val="75000"/>
          </a:schemeClr>
        </a:solidFill>
        <a:effectLst>
          <a:reflection endPos="0" dist="50800" dir="5400000" sy="-100000" algn="bl" rotWithShape="0"/>
        </a:effec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xdr:colOff>
      <xdr:row>0</xdr:row>
      <xdr:rowOff>157481</xdr:rowOff>
    </xdr:from>
    <xdr:to>
      <xdr:col>5</xdr:col>
      <xdr:colOff>171449</xdr:colOff>
      <xdr:row>2</xdr:row>
      <xdr:rowOff>118742</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28575" y="157481"/>
          <a:ext cx="1047749" cy="456561"/>
        </a:xfrm>
        <a:prstGeom prst="rect">
          <a:avLst/>
        </a:prstGeom>
        <a:solidFill>
          <a:schemeClr val="bg2">
            <a:lumMod val="75000"/>
          </a:schemeClr>
        </a:solidFill>
        <a:effectLst>
          <a:reflection endPos="0" dist="50800" dir="5400000" sy="-100000" algn="bl" rotWithShape="0"/>
        </a:effec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0</xdr:row>
      <xdr:rowOff>157481</xdr:rowOff>
    </xdr:from>
    <xdr:to>
      <xdr:col>1</xdr:col>
      <xdr:colOff>609599</xdr:colOff>
      <xdr:row>2</xdr:row>
      <xdr:rowOff>118742</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9525" y="157481"/>
          <a:ext cx="1047749" cy="456561"/>
        </a:xfrm>
        <a:prstGeom prst="rect">
          <a:avLst/>
        </a:prstGeom>
        <a:solidFill>
          <a:schemeClr val="bg2">
            <a:lumMod val="75000"/>
          </a:schemeClr>
        </a:solidFill>
        <a:effectLst>
          <a:reflection endPos="0" dist="50800" dir="5400000" sy="-100000" algn="bl" rotWithShape="0"/>
        </a:effec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29308</xdr:colOff>
      <xdr:row>0</xdr:row>
      <xdr:rowOff>177383</xdr:rowOff>
    </xdr:from>
    <xdr:to>
      <xdr:col>0</xdr:col>
      <xdr:colOff>476250</xdr:colOff>
      <xdr:row>1</xdr:row>
      <xdr:rowOff>181639</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29308" y="177383"/>
          <a:ext cx="446942" cy="194756"/>
        </a:xfrm>
        <a:prstGeom prst="rect">
          <a:avLst/>
        </a:prstGeom>
        <a:solidFill>
          <a:schemeClr val="bg2">
            <a:lumMod val="75000"/>
          </a:schemeClr>
        </a:solidFill>
        <a:effectLst>
          <a:reflection endPos="0" dist="50800" dir="5400000" sy="-100000" algn="bl" rotWithShape="0"/>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16565</xdr:colOff>
      <xdr:row>58</xdr:row>
      <xdr:rowOff>82836</xdr:rowOff>
    </xdr:from>
    <xdr:to>
      <xdr:col>80</xdr:col>
      <xdr:colOff>82825</xdr:colOff>
      <xdr:row>70</xdr:row>
      <xdr:rowOff>17431</xdr:rowOff>
    </xdr:to>
    <xdr:grpSp>
      <xdr:nvGrpSpPr>
        <xdr:cNvPr id="2" name="Group 1"/>
        <xdr:cNvGrpSpPr>
          <a:grpSpLocks/>
        </xdr:cNvGrpSpPr>
      </xdr:nvGrpSpPr>
      <xdr:grpSpPr bwMode="auto">
        <a:xfrm>
          <a:off x="16565" y="11131836"/>
          <a:ext cx="9359347" cy="2220595"/>
          <a:chOff x="-6" y="3399"/>
          <a:chExt cx="12197" cy="4253"/>
        </a:xfrm>
      </xdr:grpSpPr>
      <xdr:grpSp>
        <xdr:nvGrpSpPr>
          <xdr:cNvPr id="3" name="Group 2"/>
          <xdr:cNvGrpSpPr>
            <a:grpSpLocks/>
          </xdr:cNvGrpSpPr>
        </xdr:nvGrpSpPr>
        <xdr:grpSpPr bwMode="auto">
          <a:xfrm>
            <a:off x="-6" y="3717"/>
            <a:ext cx="12189" cy="3550"/>
            <a:chOff x="18" y="7468"/>
            <a:chExt cx="12189" cy="3550"/>
          </a:xfrm>
        </xdr:grpSpPr>
        <xdr:sp macro="" textlink="">
          <xdr:nvSpPr>
            <xdr:cNvPr id="10" name="Freeform 9"/>
            <xdr:cNvSpPr>
              <a:spLocks/>
            </xdr:cNvSpPr>
          </xdr:nvSpPr>
          <xdr:spPr bwMode="auto">
            <a:xfrm>
              <a:off x="18" y="7837"/>
              <a:ext cx="7132" cy="2863"/>
            </a:xfrm>
            <a:custGeom>
              <a:avLst/>
              <a:gdLst>
                <a:gd name="T0" fmla="*/ 0 w 7132"/>
                <a:gd name="T1" fmla="*/ 0 h 2863"/>
                <a:gd name="T2" fmla="*/ 17 w 7132"/>
                <a:gd name="T3" fmla="*/ 2863 h 2863"/>
                <a:gd name="T4" fmla="*/ 7132 w 7132"/>
                <a:gd name="T5" fmla="*/ 2578 h 2863"/>
                <a:gd name="T6" fmla="*/ 7132 w 7132"/>
                <a:gd name="T7" fmla="*/ 200 h 2863"/>
                <a:gd name="T8" fmla="*/ 0 w 7132"/>
                <a:gd name="T9" fmla="*/ 0 h 2863"/>
              </a:gdLst>
              <a:ahLst/>
              <a:cxnLst>
                <a:cxn ang="0">
                  <a:pos x="T0" y="T1"/>
                </a:cxn>
                <a:cxn ang="0">
                  <a:pos x="T2" y="T3"/>
                </a:cxn>
                <a:cxn ang="0">
                  <a:pos x="T4" y="T5"/>
                </a:cxn>
                <a:cxn ang="0">
                  <a:pos x="T6" y="T7"/>
                </a:cxn>
                <a:cxn ang="0">
                  <a:pos x="T8" y="T9"/>
                </a:cxn>
              </a:cxnLst>
              <a:rect l="0" t="0" r="r" b="b"/>
              <a:pathLst>
                <a:path w="7132" h="2863">
                  <a:moveTo>
                    <a:pt x="0" y="0"/>
                  </a:moveTo>
                  <a:lnTo>
                    <a:pt x="17" y="2863"/>
                  </a:lnTo>
                  <a:lnTo>
                    <a:pt x="7132" y="2578"/>
                  </a:lnTo>
                  <a:lnTo>
                    <a:pt x="7132" y="200"/>
                  </a:lnTo>
                  <a:lnTo>
                    <a:pt x="0" y="0"/>
                  </a:lnTo>
                  <a:close/>
                </a:path>
              </a:pathLst>
            </a:custGeom>
            <a:solidFill>
              <a:schemeClr val="accent3">
                <a:lumMod val="100000"/>
                <a:lumOff val="0"/>
                <a:alpha val="50000"/>
              </a:schemeClr>
            </a:solidFill>
            <a:ln w="38100">
              <a:solidFill>
                <a:schemeClr val="lt1">
                  <a:lumMod val="95000"/>
                  <a:lumOff val="0"/>
                </a:schemeClr>
              </a:solidFill>
              <a:round/>
              <a:headEnd/>
              <a:tailEnd/>
            </a:ln>
            <a:effectLst/>
            <a:extLst>
              <a:ext uri="{AF507438-7753-43E0-B8FC-AC1667EBCBE1}">
                <a14:hiddenEffects xmlns:a14="http://schemas.microsoft.com/office/drawing/2010/main" xmlns="">
                  <a:effectLst>
                    <a:outerShdw dist="28398" dir="3806097" algn="ctr" rotWithShape="0">
                      <a:schemeClr val="accent3">
                        <a:lumMod val="50000"/>
                        <a:lumOff val="0"/>
                        <a:alpha val="50000"/>
                      </a:schemeClr>
                    </a:outerShdw>
                  </a:effectLst>
                </a14:hiddenEffects>
              </a:ext>
            </a:extLst>
          </xdr:spPr>
          <xdr:txBody>
            <a:bodyPr rot="0" vert="horz" wrap="square" lIns="91440" tIns="45720" rIns="91440" bIns="45720" anchor="t" anchorCtr="0" upright="1">
              <a:noAutofit/>
            </a:bodyPr>
            <a:lstStyle/>
            <a:p>
              <a:endParaRPr lang="en-US"/>
            </a:p>
          </xdr:txBody>
        </xdr:sp>
        <xdr:sp macro="" textlink="">
          <xdr:nvSpPr>
            <xdr:cNvPr id="11" name="Freeform 10"/>
            <xdr:cNvSpPr>
              <a:spLocks/>
            </xdr:cNvSpPr>
          </xdr:nvSpPr>
          <xdr:spPr bwMode="auto">
            <a:xfrm>
              <a:off x="7150" y="7468"/>
              <a:ext cx="3466" cy="3550"/>
            </a:xfrm>
            <a:custGeom>
              <a:avLst/>
              <a:gdLst>
                <a:gd name="T0" fmla="*/ 0 w 3466"/>
                <a:gd name="T1" fmla="*/ 569 h 3550"/>
                <a:gd name="T2" fmla="*/ 0 w 3466"/>
                <a:gd name="T3" fmla="*/ 2930 h 3550"/>
                <a:gd name="T4" fmla="*/ 3466 w 3466"/>
                <a:gd name="T5" fmla="*/ 3550 h 3550"/>
                <a:gd name="T6" fmla="*/ 3466 w 3466"/>
                <a:gd name="T7" fmla="*/ 0 h 3550"/>
                <a:gd name="T8" fmla="*/ 0 w 3466"/>
                <a:gd name="T9" fmla="*/ 569 h 3550"/>
              </a:gdLst>
              <a:ahLst/>
              <a:cxnLst>
                <a:cxn ang="0">
                  <a:pos x="T0" y="T1"/>
                </a:cxn>
                <a:cxn ang="0">
                  <a:pos x="T2" y="T3"/>
                </a:cxn>
                <a:cxn ang="0">
                  <a:pos x="T4" y="T5"/>
                </a:cxn>
                <a:cxn ang="0">
                  <a:pos x="T6" y="T7"/>
                </a:cxn>
                <a:cxn ang="0">
                  <a:pos x="T8" y="T9"/>
                </a:cxn>
              </a:cxnLst>
              <a:rect l="0" t="0" r="r" b="b"/>
              <a:pathLst>
                <a:path w="3466" h="3550">
                  <a:moveTo>
                    <a:pt x="0" y="569"/>
                  </a:moveTo>
                  <a:lnTo>
                    <a:pt x="0" y="2930"/>
                  </a:lnTo>
                  <a:lnTo>
                    <a:pt x="3466" y="3550"/>
                  </a:lnTo>
                  <a:lnTo>
                    <a:pt x="3466" y="0"/>
                  </a:lnTo>
                  <a:lnTo>
                    <a:pt x="0" y="569"/>
                  </a:lnTo>
                  <a:close/>
                </a:path>
              </a:pathLst>
            </a:custGeom>
            <a:solidFill>
              <a:schemeClr val="accent3">
                <a:lumMod val="100000"/>
                <a:lumOff val="0"/>
                <a:alpha val="50000"/>
              </a:schemeClr>
            </a:solidFill>
            <a:ln w="38100">
              <a:solidFill>
                <a:schemeClr val="lt1">
                  <a:lumMod val="95000"/>
                  <a:lumOff val="0"/>
                </a:schemeClr>
              </a:solidFill>
              <a:round/>
              <a:headEnd/>
              <a:tailEnd/>
            </a:ln>
            <a:effectLst/>
            <a:extLst>
              <a:ext uri="{AF507438-7753-43E0-B8FC-AC1667EBCBE1}">
                <a14:hiddenEffects xmlns:a14="http://schemas.microsoft.com/office/drawing/2010/main" xmlns="">
                  <a:effectLst>
                    <a:outerShdw dist="28398" dir="3806097" algn="ctr" rotWithShape="0">
                      <a:schemeClr val="accent3">
                        <a:lumMod val="50000"/>
                        <a:lumOff val="0"/>
                        <a:alpha val="50000"/>
                      </a:schemeClr>
                    </a:outerShdw>
                  </a:effectLst>
                </a14:hiddenEffects>
              </a:ext>
            </a:extLst>
          </xdr:spPr>
          <xdr:txBody>
            <a:bodyPr rot="0" vert="horz" wrap="square" lIns="91440" tIns="45720" rIns="91440" bIns="45720" anchor="t" anchorCtr="0" upright="1">
              <a:noAutofit/>
            </a:bodyPr>
            <a:lstStyle/>
            <a:p>
              <a:endParaRPr lang="en-US"/>
            </a:p>
          </xdr:txBody>
        </xdr:sp>
        <xdr:sp macro="" textlink="">
          <xdr:nvSpPr>
            <xdr:cNvPr id="12" name="Freeform 11"/>
            <xdr:cNvSpPr>
              <a:spLocks/>
            </xdr:cNvSpPr>
          </xdr:nvSpPr>
          <xdr:spPr bwMode="auto">
            <a:xfrm>
              <a:off x="10616" y="7468"/>
              <a:ext cx="1591" cy="3550"/>
            </a:xfrm>
            <a:custGeom>
              <a:avLst/>
              <a:gdLst>
                <a:gd name="T0" fmla="*/ 0 w 1591"/>
                <a:gd name="T1" fmla="*/ 0 h 3550"/>
                <a:gd name="T2" fmla="*/ 0 w 1591"/>
                <a:gd name="T3" fmla="*/ 3550 h 3550"/>
                <a:gd name="T4" fmla="*/ 1591 w 1591"/>
                <a:gd name="T5" fmla="*/ 2746 h 3550"/>
                <a:gd name="T6" fmla="*/ 1591 w 1591"/>
                <a:gd name="T7" fmla="*/ 737 h 3550"/>
                <a:gd name="T8" fmla="*/ 0 w 1591"/>
                <a:gd name="T9" fmla="*/ 0 h 3550"/>
              </a:gdLst>
              <a:ahLst/>
              <a:cxnLst>
                <a:cxn ang="0">
                  <a:pos x="T0" y="T1"/>
                </a:cxn>
                <a:cxn ang="0">
                  <a:pos x="T2" y="T3"/>
                </a:cxn>
                <a:cxn ang="0">
                  <a:pos x="T4" y="T5"/>
                </a:cxn>
                <a:cxn ang="0">
                  <a:pos x="T6" y="T7"/>
                </a:cxn>
                <a:cxn ang="0">
                  <a:pos x="T8" y="T9"/>
                </a:cxn>
              </a:cxnLst>
              <a:rect l="0" t="0" r="r" b="b"/>
              <a:pathLst>
                <a:path w="1591" h="3550">
                  <a:moveTo>
                    <a:pt x="0" y="0"/>
                  </a:moveTo>
                  <a:lnTo>
                    <a:pt x="0" y="3550"/>
                  </a:lnTo>
                  <a:lnTo>
                    <a:pt x="1591" y="2746"/>
                  </a:lnTo>
                  <a:lnTo>
                    <a:pt x="1591" y="737"/>
                  </a:lnTo>
                  <a:lnTo>
                    <a:pt x="0" y="0"/>
                  </a:lnTo>
                  <a:close/>
                </a:path>
              </a:pathLst>
            </a:custGeom>
            <a:solidFill>
              <a:schemeClr val="accent3">
                <a:lumMod val="100000"/>
                <a:lumOff val="0"/>
                <a:alpha val="50000"/>
              </a:schemeClr>
            </a:solidFill>
            <a:ln w="38100">
              <a:solidFill>
                <a:schemeClr val="lt1">
                  <a:lumMod val="95000"/>
                  <a:lumOff val="0"/>
                </a:schemeClr>
              </a:solidFill>
              <a:round/>
              <a:headEnd/>
              <a:tailEnd/>
            </a:ln>
            <a:effectLst/>
            <a:extLst>
              <a:ext uri="{AF507438-7753-43E0-B8FC-AC1667EBCBE1}">
                <a14:hiddenEffects xmlns:a14="http://schemas.microsoft.com/office/drawing/2010/main" xmlns="">
                  <a:effectLst>
                    <a:outerShdw dist="28398" dir="3806097" algn="ctr" rotWithShape="0">
                      <a:schemeClr val="accent3">
                        <a:lumMod val="50000"/>
                        <a:lumOff val="0"/>
                        <a:alpha val="50000"/>
                      </a:schemeClr>
                    </a:outerShdw>
                  </a:effectLst>
                </a14:hiddenEffects>
              </a:ext>
            </a:extLst>
          </xdr:spPr>
          <xdr:txBody>
            <a:bodyPr rot="0" vert="horz" wrap="square" lIns="91440" tIns="45720" rIns="91440" bIns="45720" anchor="t" anchorCtr="0" upright="1">
              <a:noAutofit/>
            </a:bodyPr>
            <a:lstStyle/>
            <a:p>
              <a:endParaRPr lang="en-US"/>
            </a:p>
          </xdr:txBody>
        </xdr:sp>
      </xdr:grpSp>
      <xdr:sp macro="" textlink="">
        <xdr:nvSpPr>
          <xdr:cNvPr id="4" name="Freeform 3"/>
          <xdr:cNvSpPr>
            <a:spLocks/>
          </xdr:cNvSpPr>
        </xdr:nvSpPr>
        <xdr:spPr bwMode="auto">
          <a:xfrm>
            <a:off x="8071" y="4069"/>
            <a:ext cx="4120" cy="2913"/>
          </a:xfrm>
          <a:custGeom>
            <a:avLst/>
            <a:gdLst>
              <a:gd name="T0" fmla="*/ 1 w 4120"/>
              <a:gd name="T1" fmla="*/ 251 h 2913"/>
              <a:gd name="T2" fmla="*/ 0 w 4120"/>
              <a:gd name="T3" fmla="*/ 2662 h 2913"/>
              <a:gd name="T4" fmla="*/ 4120 w 4120"/>
              <a:gd name="T5" fmla="*/ 2913 h 2913"/>
              <a:gd name="T6" fmla="*/ 4120 w 4120"/>
              <a:gd name="T7" fmla="*/ 0 h 2913"/>
              <a:gd name="T8" fmla="*/ 1 w 4120"/>
              <a:gd name="T9" fmla="*/ 251 h 2913"/>
            </a:gdLst>
            <a:ahLst/>
            <a:cxnLst>
              <a:cxn ang="0">
                <a:pos x="T0" y="T1"/>
              </a:cxn>
              <a:cxn ang="0">
                <a:pos x="T2" y="T3"/>
              </a:cxn>
              <a:cxn ang="0">
                <a:pos x="T4" y="T5"/>
              </a:cxn>
              <a:cxn ang="0">
                <a:pos x="T6" y="T7"/>
              </a:cxn>
              <a:cxn ang="0">
                <a:pos x="T8" y="T9"/>
              </a:cxn>
            </a:cxnLst>
            <a:rect l="0" t="0" r="r" b="b"/>
            <a:pathLst>
              <a:path w="4120" h="2913">
                <a:moveTo>
                  <a:pt x="1" y="251"/>
                </a:moveTo>
                <a:lnTo>
                  <a:pt x="0" y="2662"/>
                </a:lnTo>
                <a:lnTo>
                  <a:pt x="4120" y="2913"/>
                </a:lnTo>
                <a:lnTo>
                  <a:pt x="4120" y="0"/>
                </a:lnTo>
                <a:lnTo>
                  <a:pt x="1" y="251"/>
                </a:lnTo>
                <a:close/>
              </a:path>
            </a:pathLst>
          </a:custGeom>
          <a:solidFill>
            <a:schemeClr val="accent3">
              <a:lumMod val="100000"/>
              <a:lumOff val="0"/>
            </a:schemeClr>
          </a:solidFill>
          <a:ln w="38100">
            <a:solidFill>
              <a:schemeClr val="lt1">
                <a:lumMod val="95000"/>
                <a:lumOff val="0"/>
              </a:schemeClr>
            </a:solidFill>
            <a:round/>
            <a:headEnd/>
            <a:tailEnd/>
          </a:ln>
          <a:effectLst/>
          <a:extLst>
            <a:ext uri="{AF507438-7753-43E0-B8FC-AC1667EBCBE1}">
              <a14:hiddenEffects xmlns:a14="http://schemas.microsoft.com/office/drawing/2010/main" xmlns="">
                <a:effectLst>
                  <a:outerShdw dist="28398" dir="3806097" algn="ctr" rotWithShape="0">
                    <a:schemeClr val="accent3">
                      <a:lumMod val="50000"/>
                      <a:lumOff val="0"/>
                      <a:alpha val="50000"/>
                    </a:schemeClr>
                  </a:outerShdw>
                </a:effectLst>
              </a14:hiddenEffects>
            </a:ext>
          </a:extLst>
        </xdr:spPr>
        <xdr:txBody>
          <a:bodyPr rot="0" vert="horz" wrap="square" lIns="91440" tIns="45720" rIns="91440" bIns="45720" anchor="t" anchorCtr="0" upright="1">
            <a:noAutofit/>
          </a:bodyPr>
          <a:lstStyle/>
          <a:p>
            <a:endParaRPr lang="en-US"/>
          </a:p>
        </xdr:txBody>
      </xdr:sp>
      <xdr:sp macro="" textlink="">
        <xdr:nvSpPr>
          <xdr:cNvPr id="5" name="Freeform 4"/>
          <xdr:cNvSpPr>
            <a:spLocks/>
          </xdr:cNvSpPr>
        </xdr:nvSpPr>
        <xdr:spPr bwMode="auto">
          <a:xfrm>
            <a:off x="4104" y="3399"/>
            <a:ext cx="3985" cy="4236"/>
          </a:xfrm>
          <a:custGeom>
            <a:avLst/>
            <a:gdLst>
              <a:gd name="T0" fmla="*/ 0 w 3985"/>
              <a:gd name="T1" fmla="*/ 0 h 4236"/>
              <a:gd name="T2" fmla="*/ 0 w 3985"/>
              <a:gd name="T3" fmla="*/ 4236 h 4236"/>
              <a:gd name="T4" fmla="*/ 3985 w 3985"/>
              <a:gd name="T5" fmla="*/ 3349 h 4236"/>
              <a:gd name="T6" fmla="*/ 3985 w 3985"/>
              <a:gd name="T7" fmla="*/ 921 h 4236"/>
              <a:gd name="T8" fmla="*/ 0 w 3985"/>
              <a:gd name="T9" fmla="*/ 0 h 4236"/>
            </a:gdLst>
            <a:ahLst/>
            <a:cxnLst>
              <a:cxn ang="0">
                <a:pos x="T0" y="T1"/>
              </a:cxn>
              <a:cxn ang="0">
                <a:pos x="T2" y="T3"/>
              </a:cxn>
              <a:cxn ang="0">
                <a:pos x="T4" y="T5"/>
              </a:cxn>
              <a:cxn ang="0">
                <a:pos x="T6" y="T7"/>
              </a:cxn>
              <a:cxn ang="0">
                <a:pos x="T8" y="T9"/>
              </a:cxn>
            </a:cxnLst>
            <a:rect l="0" t="0" r="r" b="b"/>
            <a:pathLst>
              <a:path w="3985" h="4236">
                <a:moveTo>
                  <a:pt x="0" y="0"/>
                </a:moveTo>
                <a:lnTo>
                  <a:pt x="0" y="4236"/>
                </a:lnTo>
                <a:lnTo>
                  <a:pt x="3985" y="3349"/>
                </a:lnTo>
                <a:lnTo>
                  <a:pt x="3985" y="921"/>
                </a:lnTo>
                <a:lnTo>
                  <a:pt x="0" y="0"/>
                </a:lnTo>
                <a:close/>
              </a:path>
            </a:pathLst>
          </a:custGeom>
          <a:solidFill>
            <a:schemeClr val="accent5">
              <a:lumMod val="100000"/>
              <a:lumOff val="0"/>
            </a:schemeClr>
          </a:solidFill>
          <a:ln w="38100">
            <a:solidFill>
              <a:schemeClr val="lt1">
                <a:lumMod val="95000"/>
                <a:lumOff val="0"/>
              </a:schemeClr>
            </a:solidFill>
            <a:round/>
            <a:headEnd/>
            <a:tailEnd/>
          </a:ln>
          <a:effectLst>
            <a:outerShdw dist="28398" dir="3806097" algn="ctr" rotWithShape="0">
              <a:schemeClr val="accent5">
                <a:lumMod val="50000"/>
                <a:lumOff val="0"/>
                <a:alpha val="50000"/>
              </a:schemeClr>
            </a:outerShdw>
          </a:effectLst>
        </xdr:spPr>
        <xdr:txBody>
          <a:bodyPr rot="0" vert="horz" wrap="square" lIns="91440" tIns="45720" rIns="91440" bIns="45720" anchor="t" anchorCtr="0" upright="1">
            <a:noAutofit/>
          </a:bodyPr>
          <a:lstStyle/>
          <a:p>
            <a:endParaRPr lang="en-US"/>
          </a:p>
        </xdr:txBody>
      </xdr:sp>
      <xdr:sp macro="" textlink="">
        <xdr:nvSpPr>
          <xdr:cNvPr id="6" name="Freeform 5"/>
          <xdr:cNvSpPr>
            <a:spLocks/>
          </xdr:cNvSpPr>
        </xdr:nvSpPr>
        <xdr:spPr bwMode="auto">
          <a:xfrm>
            <a:off x="18" y="3399"/>
            <a:ext cx="4086" cy="4253"/>
          </a:xfrm>
          <a:custGeom>
            <a:avLst/>
            <a:gdLst>
              <a:gd name="T0" fmla="*/ 4086 w 4086"/>
              <a:gd name="T1" fmla="*/ 0 h 4253"/>
              <a:gd name="T2" fmla="*/ 4084 w 4086"/>
              <a:gd name="T3" fmla="*/ 4253 h 4253"/>
              <a:gd name="T4" fmla="*/ 0 w 4086"/>
              <a:gd name="T5" fmla="*/ 3198 h 4253"/>
              <a:gd name="T6" fmla="*/ 0 w 4086"/>
              <a:gd name="T7" fmla="*/ 1072 h 4253"/>
              <a:gd name="T8" fmla="*/ 4086 w 4086"/>
              <a:gd name="T9" fmla="*/ 0 h 4253"/>
            </a:gdLst>
            <a:ahLst/>
            <a:cxnLst>
              <a:cxn ang="0">
                <a:pos x="T0" y="T1"/>
              </a:cxn>
              <a:cxn ang="0">
                <a:pos x="T2" y="T3"/>
              </a:cxn>
              <a:cxn ang="0">
                <a:pos x="T4" y="T5"/>
              </a:cxn>
              <a:cxn ang="0">
                <a:pos x="T6" y="T7"/>
              </a:cxn>
              <a:cxn ang="0">
                <a:pos x="T8" y="T9"/>
              </a:cxn>
            </a:cxnLst>
            <a:rect l="0" t="0" r="r" b="b"/>
            <a:pathLst>
              <a:path w="4086" h="4253">
                <a:moveTo>
                  <a:pt x="4086" y="0"/>
                </a:moveTo>
                <a:lnTo>
                  <a:pt x="4084" y="4253"/>
                </a:lnTo>
                <a:lnTo>
                  <a:pt x="0" y="3198"/>
                </a:lnTo>
                <a:lnTo>
                  <a:pt x="0" y="1072"/>
                </a:lnTo>
                <a:lnTo>
                  <a:pt x="4086" y="0"/>
                </a:lnTo>
                <a:close/>
              </a:path>
            </a:pathLst>
          </a:custGeom>
          <a:solidFill>
            <a:schemeClr val="accent3">
              <a:lumMod val="100000"/>
              <a:lumOff val="0"/>
            </a:schemeClr>
          </a:solidFill>
          <a:ln w="38100">
            <a:solidFill>
              <a:schemeClr val="lt1">
                <a:lumMod val="95000"/>
                <a:lumOff val="0"/>
              </a:schemeClr>
            </a:solidFill>
            <a:round/>
            <a:headEnd/>
            <a:tailEnd/>
          </a:ln>
          <a:effectLst/>
          <a:extLst>
            <a:ext uri="{AF507438-7753-43E0-B8FC-AC1667EBCBE1}">
              <a14:hiddenEffects xmlns:a14="http://schemas.microsoft.com/office/drawing/2010/main" xmlns="">
                <a:effectLst>
                  <a:outerShdw dist="28398" dir="3806097" algn="ctr" rotWithShape="0">
                    <a:schemeClr val="accent3">
                      <a:lumMod val="50000"/>
                      <a:lumOff val="0"/>
                      <a:alpha val="50000"/>
                    </a:schemeClr>
                  </a:outerShdw>
                </a:effectLst>
              </a14:hiddenEffects>
            </a:ext>
          </a:extLst>
        </xdr:spPr>
        <xdr:txBody>
          <a:bodyPr rot="0" vert="horz" wrap="square" lIns="91440" tIns="45720" rIns="91440" bIns="45720" anchor="t" anchorCtr="0" upright="1">
            <a:noAutofit/>
          </a:bodyPr>
          <a:lstStyle/>
          <a:p>
            <a:endParaRPr lang="en-US"/>
          </a:p>
        </xdr:txBody>
      </xdr:sp>
      <xdr:sp macro="" textlink="">
        <xdr:nvSpPr>
          <xdr:cNvPr id="7" name="Freeform 6"/>
          <xdr:cNvSpPr>
            <a:spLocks/>
          </xdr:cNvSpPr>
        </xdr:nvSpPr>
        <xdr:spPr bwMode="auto">
          <a:xfrm>
            <a:off x="17" y="3617"/>
            <a:ext cx="2076" cy="3851"/>
          </a:xfrm>
          <a:custGeom>
            <a:avLst/>
            <a:gdLst>
              <a:gd name="T0" fmla="*/ 0 w 2076"/>
              <a:gd name="T1" fmla="*/ 921 h 3851"/>
              <a:gd name="T2" fmla="*/ 2060 w 2076"/>
              <a:gd name="T3" fmla="*/ 0 h 3851"/>
              <a:gd name="T4" fmla="*/ 2076 w 2076"/>
              <a:gd name="T5" fmla="*/ 3851 h 3851"/>
              <a:gd name="T6" fmla="*/ 0 w 2076"/>
              <a:gd name="T7" fmla="*/ 2981 h 3851"/>
              <a:gd name="T8" fmla="*/ 0 w 2076"/>
              <a:gd name="T9" fmla="*/ 921 h 3851"/>
            </a:gdLst>
            <a:ahLst/>
            <a:cxnLst>
              <a:cxn ang="0">
                <a:pos x="T0" y="T1"/>
              </a:cxn>
              <a:cxn ang="0">
                <a:pos x="T2" y="T3"/>
              </a:cxn>
              <a:cxn ang="0">
                <a:pos x="T4" y="T5"/>
              </a:cxn>
              <a:cxn ang="0">
                <a:pos x="T6" y="T7"/>
              </a:cxn>
              <a:cxn ang="0">
                <a:pos x="T8" y="T9"/>
              </a:cxn>
            </a:cxnLst>
            <a:rect l="0" t="0" r="r" b="b"/>
            <a:pathLst>
              <a:path w="2076" h="3851">
                <a:moveTo>
                  <a:pt x="0" y="921"/>
                </a:moveTo>
                <a:lnTo>
                  <a:pt x="2060" y="0"/>
                </a:lnTo>
                <a:lnTo>
                  <a:pt x="2076" y="3851"/>
                </a:lnTo>
                <a:lnTo>
                  <a:pt x="0" y="2981"/>
                </a:lnTo>
                <a:lnTo>
                  <a:pt x="0" y="921"/>
                </a:lnTo>
                <a:close/>
              </a:path>
            </a:pathLst>
          </a:custGeom>
          <a:gradFill rotWithShape="0">
            <a:gsLst>
              <a:gs pos="0">
                <a:schemeClr val="accent2">
                  <a:lumMod val="60000"/>
                  <a:lumOff val="40000"/>
                  <a:alpha val="70000"/>
                </a:schemeClr>
              </a:gs>
              <a:gs pos="50000">
                <a:schemeClr val="accent2">
                  <a:lumMod val="100000"/>
                  <a:lumOff val="0"/>
                </a:schemeClr>
              </a:gs>
              <a:gs pos="100000">
                <a:schemeClr val="accent2">
                  <a:lumMod val="60000"/>
                  <a:lumOff val="40000"/>
                  <a:alpha val="70000"/>
                </a:schemeClr>
              </a:gs>
            </a:gsLst>
            <a:lin ang="5400000" scaled="1"/>
          </a:gradFill>
          <a:ln w="12700">
            <a:solidFill>
              <a:schemeClr val="accent2">
                <a:lumMod val="100000"/>
                <a:lumOff val="0"/>
              </a:schemeClr>
            </a:solidFill>
            <a:round/>
            <a:headEnd/>
            <a:tailEnd/>
          </a:ln>
          <a:effectLst>
            <a:outerShdw dist="28398" dir="3806097" algn="ctr" rotWithShape="0">
              <a:schemeClr val="accent2">
                <a:lumMod val="50000"/>
                <a:lumOff val="0"/>
              </a:schemeClr>
            </a:outerShdw>
          </a:effectLst>
        </xdr:spPr>
        <xdr:txBody>
          <a:bodyPr rot="0" vert="horz" wrap="square" lIns="91440" tIns="45720" rIns="91440" bIns="45720" anchor="t" anchorCtr="0" upright="1">
            <a:noAutofit/>
          </a:bodyPr>
          <a:lstStyle/>
          <a:p>
            <a:endParaRPr lang="en-US"/>
          </a:p>
        </xdr:txBody>
      </xdr:sp>
      <xdr:sp macro="" textlink="">
        <xdr:nvSpPr>
          <xdr:cNvPr id="8" name="Freeform 7"/>
          <xdr:cNvSpPr>
            <a:spLocks/>
          </xdr:cNvSpPr>
        </xdr:nvSpPr>
        <xdr:spPr bwMode="auto">
          <a:xfrm>
            <a:off x="2077" y="3617"/>
            <a:ext cx="6011" cy="3835"/>
          </a:xfrm>
          <a:custGeom>
            <a:avLst/>
            <a:gdLst>
              <a:gd name="T0" fmla="*/ 0 w 6011"/>
              <a:gd name="T1" fmla="*/ 0 h 3835"/>
              <a:gd name="T2" fmla="*/ 17 w 6011"/>
              <a:gd name="T3" fmla="*/ 3835 h 3835"/>
              <a:gd name="T4" fmla="*/ 6011 w 6011"/>
              <a:gd name="T5" fmla="*/ 2629 h 3835"/>
              <a:gd name="T6" fmla="*/ 6011 w 6011"/>
              <a:gd name="T7" fmla="*/ 1239 h 3835"/>
              <a:gd name="T8" fmla="*/ 0 w 6011"/>
              <a:gd name="T9" fmla="*/ 0 h 3835"/>
            </a:gdLst>
            <a:ahLst/>
            <a:cxnLst>
              <a:cxn ang="0">
                <a:pos x="T0" y="T1"/>
              </a:cxn>
              <a:cxn ang="0">
                <a:pos x="T2" y="T3"/>
              </a:cxn>
              <a:cxn ang="0">
                <a:pos x="T4" y="T5"/>
              </a:cxn>
              <a:cxn ang="0">
                <a:pos x="T6" y="T7"/>
              </a:cxn>
              <a:cxn ang="0">
                <a:pos x="T8" y="T9"/>
              </a:cxn>
            </a:cxnLst>
            <a:rect l="0" t="0" r="r" b="b"/>
            <a:pathLst>
              <a:path w="6011" h="3835">
                <a:moveTo>
                  <a:pt x="0" y="0"/>
                </a:moveTo>
                <a:lnTo>
                  <a:pt x="17" y="3835"/>
                </a:lnTo>
                <a:lnTo>
                  <a:pt x="6011" y="2629"/>
                </a:lnTo>
                <a:lnTo>
                  <a:pt x="6011" y="1239"/>
                </a:lnTo>
                <a:lnTo>
                  <a:pt x="0" y="0"/>
                </a:lnTo>
                <a:close/>
              </a:path>
            </a:pathLst>
          </a:custGeom>
          <a:solidFill>
            <a:schemeClr val="accent3">
              <a:lumMod val="100000"/>
              <a:lumOff val="0"/>
              <a:alpha val="70000"/>
            </a:schemeClr>
          </a:solidFill>
          <a:ln w="38100">
            <a:solidFill>
              <a:schemeClr val="lt1">
                <a:lumMod val="95000"/>
                <a:lumOff val="0"/>
              </a:schemeClr>
            </a:solidFill>
            <a:round/>
            <a:headEnd/>
            <a:tailEnd/>
          </a:ln>
          <a:effectLst/>
          <a:extLst>
            <a:ext uri="{AF507438-7753-43E0-B8FC-AC1667EBCBE1}">
              <a14:hiddenEffects xmlns:a14="http://schemas.microsoft.com/office/drawing/2010/main" xmlns="">
                <a:effectLst>
                  <a:outerShdw dist="28398" dir="3806097" algn="ctr" rotWithShape="0">
                    <a:schemeClr val="accent3">
                      <a:lumMod val="50000"/>
                      <a:lumOff val="0"/>
                      <a:alpha val="50000"/>
                    </a:schemeClr>
                  </a:outerShdw>
                </a:effectLst>
              </a14:hiddenEffects>
            </a:ext>
          </a:extLst>
        </xdr:spPr>
        <xdr:txBody>
          <a:bodyPr rot="0" vert="horz" wrap="square" lIns="91440" tIns="45720" rIns="91440" bIns="45720" anchor="t" anchorCtr="0" upright="1">
            <a:noAutofit/>
          </a:bodyPr>
          <a:lstStyle/>
          <a:p>
            <a:endParaRPr lang="en-US"/>
          </a:p>
        </xdr:txBody>
      </xdr:sp>
      <xdr:sp macro="" textlink="">
        <xdr:nvSpPr>
          <xdr:cNvPr id="9" name="Freeform 8"/>
          <xdr:cNvSpPr>
            <a:spLocks/>
          </xdr:cNvSpPr>
        </xdr:nvSpPr>
        <xdr:spPr bwMode="auto">
          <a:xfrm>
            <a:off x="8088" y="3835"/>
            <a:ext cx="4102" cy="3432"/>
          </a:xfrm>
          <a:custGeom>
            <a:avLst/>
            <a:gdLst>
              <a:gd name="T0" fmla="*/ 0 w 4102"/>
              <a:gd name="T1" fmla="*/ 1038 h 3432"/>
              <a:gd name="T2" fmla="*/ 0 w 4102"/>
              <a:gd name="T3" fmla="*/ 2411 h 3432"/>
              <a:gd name="T4" fmla="*/ 4102 w 4102"/>
              <a:gd name="T5" fmla="*/ 3432 h 3432"/>
              <a:gd name="T6" fmla="*/ 4102 w 4102"/>
              <a:gd name="T7" fmla="*/ 0 h 3432"/>
              <a:gd name="T8" fmla="*/ 0 w 4102"/>
              <a:gd name="T9" fmla="*/ 1038 h 3432"/>
            </a:gdLst>
            <a:ahLst/>
            <a:cxnLst>
              <a:cxn ang="0">
                <a:pos x="T0" y="T1"/>
              </a:cxn>
              <a:cxn ang="0">
                <a:pos x="T2" y="T3"/>
              </a:cxn>
              <a:cxn ang="0">
                <a:pos x="T4" y="T5"/>
              </a:cxn>
              <a:cxn ang="0">
                <a:pos x="T6" y="T7"/>
              </a:cxn>
              <a:cxn ang="0">
                <a:pos x="T8" y="T9"/>
              </a:cxn>
            </a:cxnLst>
            <a:rect l="0" t="0" r="r" b="b"/>
            <a:pathLst>
              <a:path w="4102" h="3432">
                <a:moveTo>
                  <a:pt x="0" y="1038"/>
                </a:moveTo>
                <a:lnTo>
                  <a:pt x="0" y="2411"/>
                </a:lnTo>
                <a:lnTo>
                  <a:pt x="4102" y="3432"/>
                </a:lnTo>
                <a:lnTo>
                  <a:pt x="4102" y="0"/>
                </a:lnTo>
                <a:lnTo>
                  <a:pt x="0" y="1038"/>
                </a:lnTo>
                <a:close/>
              </a:path>
            </a:pathLst>
          </a:custGeom>
          <a:gradFill rotWithShape="0">
            <a:gsLst>
              <a:gs pos="0">
                <a:schemeClr val="accent3">
                  <a:lumMod val="60000"/>
                  <a:lumOff val="40000"/>
                  <a:alpha val="70000"/>
                </a:schemeClr>
              </a:gs>
              <a:gs pos="50000">
                <a:schemeClr val="accent3">
                  <a:lumMod val="100000"/>
                  <a:lumOff val="0"/>
                </a:schemeClr>
              </a:gs>
              <a:gs pos="100000">
                <a:schemeClr val="accent3">
                  <a:lumMod val="60000"/>
                  <a:lumOff val="40000"/>
                  <a:alpha val="70000"/>
                </a:schemeClr>
              </a:gs>
            </a:gsLst>
            <a:lin ang="5400000" scaled="1"/>
          </a:gradFill>
          <a:ln w="12700">
            <a:solidFill>
              <a:schemeClr val="accent3">
                <a:lumMod val="100000"/>
                <a:lumOff val="0"/>
              </a:schemeClr>
            </a:solidFill>
            <a:round/>
            <a:headEnd/>
            <a:tailEnd/>
          </a:ln>
          <a:effectLst>
            <a:outerShdw dist="28398" dir="3806097" algn="ctr" rotWithShape="0">
              <a:schemeClr val="accent3">
                <a:lumMod val="50000"/>
                <a:lumOff val="0"/>
              </a:schemeClr>
            </a:outerShdw>
          </a:effectLst>
        </xdr:spPr>
        <xdr:txBody>
          <a:bodyPr rot="0" vert="horz" wrap="square" lIns="91440" tIns="45720" rIns="91440" bIns="45720" anchor="ctr" anchorCtr="0" upright="1">
            <a:noAutofit/>
          </a:bodyPr>
          <a:lstStyle/>
          <a:p>
            <a:pPr algn="ctr"/>
            <a:r>
              <a:rPr lang="en-US" sz="3200" b="1"/>
              <a:t>January - 2014</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rithym/Local%20Settings/Temporary%20Internet%20Files/Content.Outlook/VPT0YCDN/Rits%20Docz/DXB%20-%20014%20Project/Tracking%20Schedule/AX%20014%20Base%20Line%20Tracking%20Schedule.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CA"/>
      <sheetName val="MEP Site Survey Report"/>
      <sheetName val="SCR"/>
      <sheetName val="MATRIX OF RESPOSIBILITIES"/>
      <sheetName val="Proposed List of Subcontractor"/>
      <sheetName val="SCOPE OF WORK "/>
      <sheetName val="WORK NOTIFICATION"/>
      <sheetName val="List of Long Load Material"/>
      <sheetName val="Material Submittal"/>
      <sheetName val="Method Statement"/>
      <sheetName val="SD A3"/>
      <sheetName val="SD A4"/>
      <sheetName val="Summary "/>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dimension ref="A1:V61"/>
  <sheetViews>
    <sheetView tabSelected="1" view="pageBreakPreview" zoomScale="77" zoomScaleSheetLayoutView="77" workbookViewId="0">
      <selection activeCell="G66" sqref="G66"/>
    </sheetView>
  </sheetViews>
  <sheetFormatPr defaultColWidth="9.140625" defaultRowHeight="14.25"/>
  <cols>
    <col min="1" max="1" width="19.42578125" style="548" customWidth="1"/>
    <col min="2" max="2" width="14.5703125" style="548" customWidth="1"/>
    <col min="3" max="8" width="13.7109375" style="548" customWidth="1"/>
    <col min="9" max="9" width="14.85546875" style="374" customWidth="1"/>
    <col min="10" max="10" width="1.7109375" style="374" customWidth="1"/>
    <col min="11" max="11" width="20.7109375" style="374" customWidth="1"/>
    <col min="12" max="12" width="13.7109375" style="374" customWidth="1"/>
    <col min="13" max="13" width="19.5703125" style="374" customWidth="1"/>
    <col min="14" max="14" width="19.7109375" style="374" customWidth="1"/>
    <col min="15" max="17" width="18.7109375" style="374" customWidth="1"/>
    <col min="18" max="18" width="21.5703125" style="374" customWidth="1"/>
    <col min="19" max="19" width="14" style="374" customWidth="1"/>
    <col min="20" max="20" width="20.7109375" style="374" customWidth="1"/>
    <col min="21" max="21" width="9.140625" style="374"/>
    <col min="22" max="22" width="29.28515625" style="374" bestFit="1" customWidth="1"/>
    <col min="23" max="16384" width="9.140625" style="374"/>
  </cols>
  <sheetData>
    <row r="1" spans="1:22" customFormat="1" ht="21" customHeight="1" thickTop="1">
      <c r="A1" s="831"/>
      <c r="B1" s="834" t="s">
        <v>809</v>
      </c>
      <c r="C1" s="835"/>
      <c r="D1" s="835"/>
      <c r="E1" s="835"/>
      <c r="F1" s="835"/>
      <c r="G1" s="835"/>
      <c r="H1" s="835"/>
      <c r="I1" s="835"/>
      <c r="J1" s="835"/>
      <c r="K1" s="835"/>
      <c r="L1" s="835"/>
      <c r="M1" s="835"/>
      <c r="N1" s="835"/>
      <c r="O1" s="835"/>
      <c r="P1" s="835"/>
      <c r="Q1" s="836"/>
      <c r="R1" s="843" t="s">
        <v>257</v>
      </c>
      <c r="S1" s="844"/>
      <c r="T1" s="369" t="s">
        <v>402</v>
      </c>
    </row>
    <row r="2" spans="1:22" customFormat="1" ht="21" customHeight="1">
      <c r="A2" s="832"/>
      <c r="B2" s="837"/>
      <c r="C2" s="838"/>
      <c r="D2" s="838"/>
      <c r="E2" s="838"/>
      <c r="F2" s="838"/>
      <c r="G2" s="838"/>
      <c r="H2" s="838"/>
      <c r="I2" s="838"/>
      <c r="J2" s="838"/>
      <c r="K2" s="838"/>
      <c r="L2" s="838"/>
      <c r="M2" s="838"/>
      <c r="N2" s="838"/>
      <c r="O2" s="838"/>
      <c r="P2" s="838"/>
      <c r="Q2" s="839"/>
      <c r="R2" s="845" t="s">
        <v>235</v>
      </c>
      <c r="S2" s="845"/>
      <c r="T2" s="370" t="s">
        <v>578</v>
      </c>
    </row>
    <row r="3" spans="1:22" customFormat="1" ht="21" customHeight="1">
      <c r="A3" s="833"/>
      <c r="B3" s="840"/>
      <c r="C3" s="841"/>
      <c r="D3" s="841"/>
      <c r="E3" s="841"/>
      <c r="F3" s="841"/>
      <c r="G3" s="841"/>
      <c r="H3" s="841"/>
      <c r="I3" s="841"/>
      <c r="J3" s="841"/>
      <c r="K3" s="841"/>
      <c r="L3" s="841"/>
      <c r="M3" s="841"/>
      <c r="N3" s="841"/>
      <c r="O3" s="841"/>
      <c r="P3" s="841"/>
      <c r="Q3" s="842"/>
      <c r="R3" s="845" t="s">
        <v>236</v>
      </c>
      <c r="S3" s="845"/>
      <c r="T3" s="371">
        <f>+'Cover '!T11</f>
        <v>42460</v>
      </c>
    </row>
    <row r="4" spans="1:22" ht="22.5" customHeight="1">
      <c r="A4" s="372" t="s">
        <v>579</v>
      </c>
      <c r="B4" s="846" t="s">
        <v>682</v>
      </c>
      <c r="C4" s="847"/>
      <c r="D4" s="847"/>
      <c r="E4" s="847"/>
      <c r="F4" s="847"/>
      <c r="G4" s="847"/>
      <c r="H4" s="847"/>
      <c r="I4" s="847"/>
      <c r="J4" s="847"/>
      <c r="K4" s="847"/>
      <c r="L4" s="847"/>
      <c r="M4" s="847"/>
      <c r="N4" s="847"/>
      <c r="O4" s="847"/>
      <c r="P4" s="847"/>
      <c r="Q4" s="848"/>
      <c r="R4" s="849" t="s">
        <v>580</v>
      </c>
      <c r="S4" s="850"/>
      <c r="T4" s="373">
        <f>+T3</f>
        <v>42460</v>
      </c>
    </row>
    <row r="5" spans="1:22" ht="22.5" customHeight="1" thickBot="1">
      <c r="A5" s="375" t="s">
        <v>581</v>
      </c>
      <c r="B5" s="817" t="s">
        <v>681</v>
      </c>
      <c r="C5" s="818"/>
      <c r="D5" s="818"/>
      <c r="E5" s="818"/>
      <c r="F5" s="818"/>
      <c r="G5" s="818"/>
      <c r="H5" s="818"/>
      <c r="I5" s="819"/>
      <c r="J5" s="820" t="s">
        <v>582</v>
      </c>
      <c r="K5" s="821"/>
      <c r="L5" s="822" t="s">
        <v>677</v>
      </c>
      <c r="M5" s="823"/>
      <c r="N5" s="823"/>
      <c r="O5" s="823"/>
      <c r="P5" s="824" t="s">
        <v>583</v>
      </c>
      <c r="Q5" s="824"/>
      <c r="R5" s="822" t="s">
        <v>584</v>
      </c>
      <c r="S5" s="823"/>
      <c r="T5" s="825"/>
    </row>
    <row r="6" spans="1:22" ht="9.9499999999999993" customHeight="1" thickBot="1">
      <c r="A6" s="826"/>
      <c r="B6" s="827"/>
      <c r="C6" s="827"/>
      <c r="D6" s="827"/>
      <c r="E6" s="827"/>
      <c r="F6" s="827"/>
      <c r="G6" s="827"/>
      <c r="H6" s="827"/>
      <c r="I6" s="827"/>
      <c r="J6" s="828"/>
      <c r="K6" s="827"/>
      <c r="L6" s="827"/>
      <c r="M6" s="827"/>
      <c r="N6" s="827"/>
      <c r="O6" s="827"/>
      <c r="P6" s="829"/>
      <c r="Q6" s="829"/>
      <c r="R6" s="827"/>
      <c r="S6" s="827"/>
      <c r="T6" s="830"/>
    </row>
    <row r="7" spans="1:22" s="377" customFormat="1" ht="18" customHeight="1">
      <c r="A7" s="682" t="s">
        <v>585</v>
      </c>
      <c r="B7" s="683"/>
      <c r="C7" s="683"/>
      <c r="D7" s="683"/>
      <c r="E7" s="683"/>
      <c r="F7" s="683"/>
      <c r="G7" s="683"/>
      <c r="H7" s="683"/>
      <c r="I7" s="720"/>
      <c r="J7" s="376"/>
      <c r="K7" s="652" t="s">
        <v>586</v>
      </c>
      <c r="L7" s="653"/>
      <c r="M7" s="653"/>
      <c r="N7" s="653"/>
      <c r="O7" s="653"/>
      <c r="P7" s="653"/>
      <c r="Q7" s="653"/>
      <c r="R7" s="653"/>
      <c r="S7" s="653"/>
      <c r="T7" s="654"/>
    </row>
    <row r="8" spans="1:22" s="377" customFormat="1" ht="18" customHeight="1">
      <c r="A8" s="807" t="s">
        <v>587</v>
      </c>
      <c r="B8" s="749" t="s">
        <v>588</v>
      </c>
      <c r="C8" s="749" t="s">
        <v>589</v>
      </c>
      <c r="D8" s="749"/>
      <c r="E8" s="809" t="s">
        <v>590</v>
      </c>
      <c r="F8" s="809" t="s">
        <v>591</v>
      </c>
      <c r="G8" s="809" t="s">
        <v>592</v>
      </c>
      <c r="H8" s="749" t="s">
        <v>593</v>
      </c>
      <c r="I8" s="810"/>
      <c r="J8" s="378"/>
      <c r="K8" s="811" t="s">
        <v>594</v>
      </c>
      <c r="L8" s="812"/>
      <c r="M8" s="813"/>
      <c r="N8" s="797" t="s">
        <v>595</v>
      </c>
      <c r="O8" s="798"/>
      <c r="P8" s="799"/>
      <c r="Q8" s="797" t="s">
        <v>596</v>
      </c>
      <c r="R8" s="798"/>
      <c r="S8" s="798"/>
      <c r="T8" s="803"/>
    </row>
    <row r="9" spans="1:22" s="377" customFormat="1" ht="18" customHeight="1">
      <c r="A9" s="808"/>
      <c r="B9" s="749"/>
      <c r="C9" s="379" t="s">
        <v>1</v>
      </c>
      <c r="D9" s="379" t="s">
        <v>597</v>
      </c>
      <c r="E9" s="809"/>
      <c r="F9" s="809"/>
      <c r="G9" s="809"/>
      <c r="H9" s="749"/>
      <c r="I9" s="810"/>
      <c r="J9" s="378"/>
      <c r="K9" s="814"/>
      <c r="L9" s="815"/>
      <c r="M9" s="816"/>
      <c r="N9" s="800"/>
      <c r="O9" s="801"/>
      <c r="P9" s="802"/>
      <c r="Q9" s="800"/>
      <c r="R9" s="801"/>
      <c r="S9" s="801"/>
      <c r="T9" s="804"/>
    </row>
    <row r="10" spans="1:22" s="377" customFormat="1" ht="24.95" customHeight="1">
      <c r="A10" s="380" t="s">
        <v>598</v>
      </c>
      <c r="B10" s="381">
        <f>+'2-Schedule'!AG11</f>
        <v>42086</v>
      </c>
      <c r="C10" s="381">
        <f>+'2-Schedule'!AT11</f>
        <v>42338</v>
      </c>
      <c r="D10" s="381">
        <f>+D11</f>
        <v>42518</v>
      </c>
      <c r="E10" s="382">
        <v>1</v>
      </c>
      <c r="F10" s="382">
        <f>+F11</f>
        <v>0.94950000000000001</v>
      </c>
      <c r="G10" s="383">
        <f>+F10-E10</f>
        <v>-5.0499999999999989E-2</v>
      </c>
      <c r="H10" s="805">
        <v>0.98499999999999999</v>
      </c>
      <c r="I10" s="806"/>
      <c r="J10" s="384"/>
      <c r="K10" s="677" t="s">
        <v>366</v>
      </c>
      <c r="L10" s="678"/>
      <c r="M10" s="385">
        <f>+'7-Project Scope +Revenue Detail'!C8</f>
        <v>49200000</v>
      </c>
      <c r="N10" s="716" t="s">
        <v>363</v>
      </c>
      <c r="O10" s="678"/>
      <c r="P10" s="385">
        <f>M17</f>
        <v>52051338.962600008</v>
      </c>
      <c r="Q10" s="716" t="s">
        <v>599</v>
      </c>
      <c r="R10" s="752"/>
      <c r="S10" s="678"/>
      <c r="T10" s="386">
        <f>+'7-Project Scope +Revenue Detail'!E21</f>
        <v>49354913.840000004</v>
      </c>
      <c r="V10" s="387"/>
    </row>
    <row r="11" spans="1:22" s="394" customFormat="1" ht="30" customHeight="1">
      <c r="A11" s="388" t="s">
        <v>678</v>
      </c>
      <c r="B11" s="389">
        <f>+B10</f>
        <v>42086</v>
      </c>
      <c r="C11" s="389">
        <f>+'2-Schedule'!AT12</f>
        <v>42424</v>
      </c>
      <c r="D11" s="389">
        <f>+'2-Schedule'!BK12</f>
        <v>42518</v>
      </c>
      <c r="E11" s="390">
        <f>+'2-Schedule'!Z24</f>
        <v>1</v>
      </c>
      <c r="F11" s="390">
        <f>+'2-Schedule'!AJ24</f>
        <v>0.94950000000000001</v>
      </c>
      <c r="G11" s="391">
        <f>+F11-E11</f>
        <v>-5.0499999999999989E-2</v>
      </c>
      <c r="H11" s="792">
        <v>0.98499999999999999</v>
      </c>
      <c r="I11" s="793"/>
      <c r="J11" s="384"/>
      <c r="K11" s="767" t="s">
        <v>600</v>
      </c>
      <c r="L11" s="768"/>
      <c r="M11" s="392">
        <f>+'7-Project Scope +Revenue Detail'!C9</f>
        <v>0</v>
      </c>
      <c r="N11" s="707" t="s">
        <v>369</v>
      </c>
      <c r="O11" s="681"/>
      <c r="P11" s="392"/>
      <c r="Q11" s="794" t="s">
        <v>601</v>
      </c>
      <c r="R11" s="795"/>
      <c r="S11" s="768"/>
      <c r="T11" s="393">
        <f>+'7-Project Scope +Revenue Detail'!E23</f>
        <v>44408504.46512334</v>
      </c>
      <c r="V11" s="395"/>
    </row>
    <row r="12" spans="1:22" s="394" customFormat="1" ht="34.5" customHeight="1">
      <c r="A12" s="396"/>
      <c r="B12" s="397"/>
      <c r="C12" s="397"/>
      <c r="D12" s="397"/>
      <c r="E12" s="398"/>
      <c r="F12" s="398"/>
      <c r="G12" s="399"/>
      <c r="H12" s="784"/>
      <c r="I12" s="785"/>
      <c r="J12" s="384"/>
      <c r="K12" s="661" t="s">
        <v>602</v>
      </c>
      <c r="L12" s="662"/>
      <c r="M12" s="400">
        <f>+'7-Project Scope +Revenue Detail'!C10</f>
        <v>154913.84</v>
      </c>
      <c r="N12" s="788" t="s">
        <v>603</v>
      </c>
      <c r="O12" s="787"/>
      <c r="P12" s="400">
        <f>+'7.2-Scope Management'!C24</f>
        <v>0</v>
      </c>
      <c r="Q12" s="788" t="s">
        <v>604</v>
      </c>
      <c r="R12" s="796"/>
      <c r="S12" s="787"/>
      <c r="T12" s="401">
        <f>+'7.1-Payment-Detail'!D19</f>
        <v>40992023.643333338</v>
      </c>
    </row>
    <row r="13" spans="1:22" s="394" customFormat="1" ht="27.95" customHeight="1">
      <c r="A13" s="402"/>
      <c r="B13" s="403"/>
      <c r="C13" s="403"/>
      <c r="D13" s="403"/>
      <c r="E13" s="403"/>
      <c r="F13" s="404"/>
      <c r="G13" s="404"/>
      <c r="H13" s="765"/>
      <c r="I13" s="766"/>
      <c r="J13" s="384"/>
      <c r="K13" s="680" t="s">
        <v>605</v>
      </c>
      <c r="L13" s="681"/>
      <c r="M13" s="405">
        <f>+'7-Project Scope +Revenue Detail'!C11</f>
        <v>0</v>
      </c>
      <c r="N13" s="707" t="s">
        <v>373</v>
      </c>
      <c r="O13" s="681"/>
      <c r="P13" s="405"/>
      <c r="Q13" s="781" t="s">
        <v>606</v>
      </c>
      <c r="R13" s="782"/>
      <c r="S13" s="783"/>
      <c r="T13" s="393">
        <f>+'7-Project Scope +Revenue Detail'!E20</f>
        <v>154913.84</v>
      </c>
    </row>
    <row r="14" spans="1:22" s="394" customFormat="1" ht="35.25" customHeight="1">
      <c r="A14" s="396"/>
      <c r="B14" s="397"/>
      <c r="C14" s="397"/>
      <c r="D14" s="397"/>
      <c r="E14" s="397"/>
      <c r="F14" s="398"/>
      <c r="G14" s="398"/>
      <c r="H14" s="784"/>
      <c r="I14" s="785"/>
      <c r="J14" s="384"/>
      <c r="K14" s="786" t="s">
        <v>607</v>
      </c>
      <c r="L14" s="787"/>
      <c r="M14" s="400">
        <f>+'7-Project Scope +Revenue Detail'!C13</f>
        <v>0</v>
      </c>
      <c r="N14" s="788" t="s">
        <v>608</v>
      </c>
      <c r="O14" s="662"/>
      <c r="P14" s="400">
        <f>+'7-Project Scope +Revenue Detail'!H12</f>
        <v>0</v>
      </c>
      <c r="Q14" s="789" t="s">
        <v>609</v>
      </c>
      <c r="R14" s="790"/>
      <c r="S14" s="791"/>
      <c r="T14" s="401">
        <f>+'7.1-Payment-Detail'!C17</f>
        <v>3416480.8217900009</v>
      </c>
    </row>
    <row r="15" spans="1:22" s="394" customFormat="1" ht="44.25" customHeight="1">
      <c r="A15" s="388" t="s">
        <v>610</v>
      </c>
      <c r="B15" s="403"/>
      <c r="C15" s="403"/>
      <c r="D15" s="403"/>
      <c r="E15" s="403"/>
      <c r="F15" s="404"/>
      <c r="G15" s="404"/>
      <c r="H15" s="765"/>
      <c r="I15" s="766"/>
      <c r="J15" s="384"/>
      <c r="K15" s="767" t="s">
        <v>611</v>
      </c>
      <c r="L15" s="768"/>
      <c r="M15" s="405">
        <f>+'7-Project Scope +Revenue Detail'!C12</f>
        <v>2696425.1226000004</v>
      </c>
      <c r="N15" s="707" t="s">
        <v>612</v>
      </c>
      <c r="O15" s="681"/>
      <c r="P15" s="406">
        <f>+-'9-Budget-Cost-ETC-EAC'!E27</f>
        <v>0</v>
      </c>
      <c r="Q15" s="769"/>
      <c r="R15" s="770"/>
      <c r="S15" s="771"/>
      <c r="T15" s="407"/>
    </row>
    <row r="16" spans="1:22" s="394" customFormat="1" ht="27.95" customHeight="1">
      <c r="A16" s="408"/>
      <c r="B16" s="409"/>
      <c r="C16" s="409"/>
      <c r="D16" s="409"/>
      <c r="E16" s="409"/>
      <c r="F16" s="410"/>
      <c r="G16" s="410"/>
      <c r="H16" s="772"/>
      <c r="I16" s="773"/>
      <c r="J16" s="384"/>
      <c r="K16" s="774"/>
      <c r="L16" s="775"/>
      <c r="M16" s="411"/>
      <c r="N16" s="776"/>
      <c r="O16" s="777"/>
      <c r="P16" s="412"/>
      <c r="Q16" s="778"/>
      <c r="R16" s="779"/>
      <c r="S16" s="780"/>
      <c r="T16" s="413"/>
    </row>
    <row r="17" spans="1:22" s="394" customFormat="1" ht="39.75" customHeight="1" thickBot="1">
      <c r="A17" s="414" t="s">
        <v>613</v>
      </c>
      <c r="B17" s="756"/>
      <c r="C17" s="757"/>
      <c r="D17" s="757"/>
      <c r="E17" s="757"/>
      <c r="F17" s="757"/>
      <c r="G17" s="757"/>
      <c r="H17" s="757"/>
      <c r="I17" s="758"/>
      <c r="J17" s="384"/>
      <c r="K17" s="759" t="s">
        <v>614</v>
      </c>
      <c r="L17" s="760"/>
      <c r="M17" s="415">
        <f>SUM(M10:M16)</f>
        <v>52051338.962600008</v>
      </c>
      <c r="N17" s="761" t="s">
        <v>614</v>
      </c>
      <c r="O17" s="760"/>
      <c r="P17" s="415">
        <f>SUM(P10:P16)</f>
        <v>52051338.962600008</v>
      </c>
      <c r="Q17" s="762"/>
      <c r="R17" s="763"/>
      <c r="S17" s="763"/>
      <c r="T17" s="764"/>
      <c r="V17" s="416"/>
    </row>
    <row r="18" spans="1:22" s="394" customFormat="1" ht="9.9499999999999993" customHeight="1" thickBot="1">
      <c r="A18" s="668"/>
      <c r="B18" s="669"/>
      <c r="C18" s="669"/>
      <c r="D18" s="669"/>
      <c r="E18" s="669"/>
      <c r="F18" s="669"/>
      <c r="G18" s="669"/>
      <c r="H18" s="669"/>
      <c r="I18" s="669"/>
      <c r="J18" s="670"/>
      <c r="K18" s="669"/>
      <c r="L18" s="669"/>
      <c r="M18" s="669"/>
      <c r="N18" s="669"/>
      <c r="O18" s="669"/>
      <c r="P18" s="669"/>
      <c r="Q18" s="669"/>
      <c r="R18" s="669"/>
      <c r="S18" s="669"/>
      <c r="T18" s="671"/>
    </row>
    <row r="19" spans="1:22" s="394" customFormat="1" ht="18" customHeight="1">
      <c r="A19" s="682" t="s">
        <v>615</v>
      </c>
      <c r="B19" s="683"/>
      <c r="C19" s="683"/>
      <c r="D19" s="683"/>
      <c r="E19" s="683"/>
      <c r="F19" s="683"/>
      <c r="G19" s="683"/>
      <c r="H19" s="683"/>
      <c r="I19" s="720"/>
      <c r="J19" s="376"/>
      <c r="K19" s="652" t="s">
        <v>616</v>
      </c>
      <c r="L19" s="653"/>
      <c r="M19" s="653"/>
      <c r="N19" s="653"/>
      <c r="O19" s="653"/>
      <c r="P19" s="653"/>
      <c r="Q19" s="653"/>
      <c r="R19" s="653"/>
      <c r="S19" s="653"/>
      <c r="T19" s="654"/>
    </row>
    <row r="20" spans="1:22" s="394" customFormat="1" ht="30" customHeight="1">
      <c r="A20" s="417"/>
      <c r="B20" s="379" t="s">
        <v>431</v>
      </c>
      <c r="C20" s="418" t="s">
        <v>617</v>
      </c>
      <c r="D20" s="749" t="s">
        <v>618</v>
      </c>
      <c r="E20" s="749"/>
      <c r="F20" s="379" t="s">
        <v>210</v>
      </c>
      <c r="G20" s="418" t="s">
        <v>211</v>
      </c>
      <c r="H20" s="418" t="s">
        <v>212</v>
      </c>
      <c r="I20" s="419" t="s">
        <v>619</v>
      </c>
      <c r="J20" s="378"/>
      <c r="K20" s="750"/>
      <c r="L20" s="751"/>
      <c r="M20" s="751"/>
      <c r="N20" s="675"/>
      <c r="O20" s="418" t="s">
        <v>620</v>
      </c>
      <c r="P20" s="418" t="s">
        <v>621</v>
      </c>
      <c r="Q20" s="418" t="s">
        <v>622</v>
      </c>
      <c r="R20" s="379" t="s">
        <v>4</v>
      </c>
      <c r="S20" s="379" t="s">
        <v>5</v>
      </c>
      <c r="T20" s="420" t="s">
        <v>6</v>
      </c>
    </row>
    <row r="21" spans="1:22" s="394" customFormat="1" ht="20.100000000000001" customHeight="1">
      <c r="A21" s="421" t="s">
        <v>623</v>
      </c>
      <c r="B21" s="422"/>
      <c r="C21" s="422"/>
      <c r="D21" s="422"/>
      <c r="E21" s="422"/>
      <c r="F21" s="422"/>
      <c r="G21" s="422"/>
      <c r="H21" s="422"/>
      <c r="I21" s="423"/>
      <c r="J21" s="424"/>
      <c r="K21" s="677" t="s">
        <v>7</v>
      </c>
      <c r="L21" s="752"/>
      <c r="M21" s="752"/>
      <c r="N21" s="678"/>
      <c r="O21" s="425">
        <f>+'8-HSE'!AG9</f>
        <v>51440</v>
      </c>
      <c r="P21" s="425">
        <f>+'8-HSE'!AG10</f>
        <v>51440</v>
      </c>
      <c r="Q21" s="425">
        <f>+'8-HSE'!AG11</f>
        <v>51440</v>
      </c>
      <c r="R21" s="426">
        <f>+'8-HSE'!AG12</f>
        <v>3</v>
      </c>
      <c r="S21" s="426">
        <f>+'8-HSE'!AG13</f>
        <v>0</v>
      </c>
      <c r="T21" s="427">
        <f>+'8-HSE'!AG14</f>
        <v>5</v>
      </c>
    </row>
    <row r="22" spans="1:22" s="394" customFormat="1" ht="20.100000000000001" customHeight="1">
      <c r="A22" s="428" t="s">
        <v>276</v>
      </c>
      <c r="B22" s="429">
        <f>+'3-Engineering'!B20</f>
        <v>514</v>
      </c>
      <c r="C22" s="429">
        <f>+B22</f>
        <v>514</v>
      </c>
      <c r="D22" s="429">
        <f>+'3-Engineering'!E20</f>
        <v>514</v>
      </c>
      <c r="E22" s="430">
        <f>+D22/B22</f>
        <v>1</v>
      </c>
      <c r="F22" s="429">
        <f>+'3-Engineering'!F20</f>
        <v>0</v>
      </c>
      <c r="G22" s="429">
        <f>+'3-Engineering'!G20</f>
        <v>0</v>
      </c>
      <c r="H22" s="431">
        <f>+B22-D22-F22-G22</f>
        <v>0</v>
      </c>
      <c r="I22" s="432"/>
      <c r="J22" s="433"/>
      <c r="K22" s="680" t="s">
        <v>624</v>
      </c>
      <c r="L22" s="711"/>
      <c r="M22" s="711"/>
      <c r="N22" s="681"/>
      <c r="O22" s="434">
        <f>+'8-HSE'!R9</f>
        <v>11380000</v>
      </c>
      <c r="P22" s="434">
        <f>+'8-HSE'!R10</f>
        <v>11380000</v>
      </c>
      <c r="Q22" s="434">
        <f>+'8-HSE'!R11</f>
        <v>11380000</v>
      </c>
      <c r="R22" s="435">
        <f>+'8-HSE'!R12</f>
        <v>39</v>
      </c>
      <c r="S22" s="435">
        <f>+'8-HSE'!R13</f>
        <v>0</v>
      </c>
      <c r="T22" s="436">
        <f>+'8-HSE'!R14</f>
        <v>36</v>
      </c>
    </row>
    <row r="23" spans="1:22" s="394" customFormat="1" ht="20.100000000000001" customHeight="1" thickBot="1">
      <c r="A23" s="437"/>
      <c r="B23" s="438"/>
      <c r="C23" s="438"/>
      <c r="D23" s="438"/>
      <c r="E23" s="438"/>
      <c r="F23" s="438"/>
      <c r="G23" s="438"/>
      <c r="H23" s="438"/>
      <c r="I23" s="439"/>
      <c r="J23" s="440"/>
      <c r="K23" s="753" t="s">
        <v>8</v>
      </c>
      <c r="L23" s="754"/>
      <c r="M23" s="754"/>
      <c r="N23" s="755"/>
      <c r="O23" s="441">
        <f>SUM(O21:O22)</f>
        <v>11431440</v>
      </c>
      <c r="P23" s="441">
        <f t="shared" ref="P23:T23" si="0">SUM(P21:P22)</f>
        <v>11431440</v>
      </c>
      <c r="Q23" s="441">
        <f t="shared" si="0"/>
        <v>11431440</v>
      </c>
      <c r="R23" s="441">
        <f t="shared" si="0"/>
        <v>42</v>
      </c>
      <c r="S23" s="441">
        <f t="shared" si="0"/>
        <v>0</v>
      </c>
      <c r="T23" s="441">
        <f t="shared" si="0"/>
        <v>41</v>
      </c>
    </row>
    <row r="24" spans="1:22" s="394" customFormat="1" ht="9.9499999999999993" customHeight="1" thickBot="1">
      <c r="A24" s="668"/>
      <c r="B24" s="669"/>
      <c r="C24" s="669"/>
      <c r="D24" s="669"/>
      <c r="E24" s="669"/>
      <c r="F24" s="669"/>
      <c r="G24" s="669"/>
      <c r="H24" s="669"/>
      <c r="I24" s="669"/>
      <c r="J24" s="670"/>
      <c r="K24" s="669"/>
      <c r="L24" s="669"/>
      <c r="M24" s="669"/>
      <c r="N24" s="669"/>
      <c r="O24" s="669"/>
      <c r="P24" s="669"/>
      <c r="Q24" s="669"/>
      <c r="R24" s="669"/>
      <c r="S24" s="669"/>
      <c r="T24" s="671"/>
    </row>
    <row r="25" spans="1:22" s="377" customFormat="1" ht="18" customHeight="1">
      <c r="A25" s="682" t="s">
        <v>625</v>
      </c>
      <c r="B25" s="683"/>
      <c r="C25" s="683"/>
      <c r="D25" s="683"/>
      <c r="E25" s="683"/>
      <c r="F25" s="683"/>
      <c r="G25" s="683"/>
      <c r="H25" s="683"/>
      <c r="I25" s="720"/>
      <c r="J25" s="376"/>
      <c r="K25" s="652" t="s">
        <v>626</v>
      </c>
      <c r="L25" s="653"/>
      <c r="M25" s="653"/>
      <c r="N25" s="653"/>
      <c r="O25" s="653"/>
      <c r="P25" s="653"/>
      <c r="Q25" s="653"/>
      <c r="R25" s="653"/>
      <c r="S25" s="653"/>
      <c r="T25" s="654"/>
    </row>
    <row r="26" spans="1:22" s="377" customFormat="1" ht="33" customHeight="1">
      <c r="A26" s="721" t="s">
        <v>627</v>
      </c>
      <c r="B26" s="722"/>
      <c r="C26" s="687"/>
      <c r="D26" s="725" t="s">
        <v>628</v>
      </c>
      <c r="E26" s="726"/>
      <c r="F26" s="727"/>
      <c r="G26" s="731" t="s">
        <v>629</v>
      </c>
      <c r="H26" s="722"/>
      <c r="I26" s="732"/>
      <c r="J26" s="442"/>
      <c r="K26" s="735"/>
      <c r="L26" s="736"/>
      <c r="M26" s="737"/>
      <c r="N26" s="741" t="s">
        <v>630</v>
      </c>
      <c r="O26" s="742"/>
      <c r="P26" s="743" t="s">
        <v>631</v>
      </c>
      <c r="Q26" s="745" t="s">
        <v>632</v>
      </c>
      <c r="R26" s="747" t="s">
        <v>633</v>
      </c>
      <c r="S26" s="713" t="s">
        <v>634</v>
      </c>
      <c r="T26" s="714"/>
    </row>
    <row r="27" spans="1:22" s="377" customFormat="1" ht="24" customHeight="1">
      <c r="A27" s="723"/>
      <c r="B27" s="724"/>
      <c r="C27" s="689"/>
      <c r="D27" s="728"/>
      <c r="E27" s="729"/>
      <c r="F27" s="730"/>
      <c r="G27" s="733"/>
      <c r="H27" s="724"/>
      <c r="I27" s="734"/>
      <c r="J27" s="442"/>
      <c r="K27" s="738"/>
      <c r="L27" s="739"/>
      <c r="M27" s="740"/>
      <c r="N27" s="443" t="s">
        <v>635</v>
      </c>
      <c r="O27" s="443" t="s">
        <v>636</v>
      </c>
      <c r="P27" s="744"/>
      <c r="Q27" s="746"/>
      <c r="R27" s="748"/>
      <c r="S27" s="713" t="s">
        <v>637</v>
      </c>
      <c r="T27" s="714"/>
    </row>
    <row r="28" spans="1:22" s="377" customFormat="1" ht="21.95" customHeight="1">
      <c r="A28" s="715" t="s">
        <v>431</v>
      </c>
      <c r="B28" s="676"/>
      <c r="C28" s="426">
        <f>+'4-Procurement'!K25</f>
        <v>109</v>
      </c>
      <c r="D28" s="676" t="s">
        <v>431</v>
      </c>
      <c r="E28" s="676"/>
      <c r="F28" s="426">
        <f>+C28</f>
        <v>109</v>
      </c>
      <c r="G28" s="716" t="s">
        <v>431</v>
      </c>
      <c r="H28" s="678"/>
      <c r="I28" s="444">
        <v>109</v>
      </c>
      <c r="J28" s="445"/>
      <c r="K28" s="717" t="s">
        <v>10</v>
      </c>
      <c r="L28" s="718"/>
      <c r="M28" s="719"/>
      <c r="N28" s="446">
        <v>25830769</v>
      </c>
      <c r="O28" s="446">
        <f>+'9-Budget-Cost-ETC-EAC'!C12</f>
        <v>1123129.3771944391</v>
      </c>
      <c r="P28" s="446">
        <f>+'9-Budget-Cost-ETC-EAC'!D13</f>
        <v>26667132</v>
      </c>
      <c r="Q28" s="446">
        <f>+'9-Budget-Cost-ETC-EAC'!E13</f>
        <v>260000</v>
      </c>
      <c r="R28" s="446">
        <f>Q28+P28</f>
        <v>26927132</v>
      </c>
      <c r="S28" s="447" t="s">
        <v>638</v>
      </c>
      <c r="T28" s="448">
        <f>M17</f>
        <v>52051338.962600008</v>
      </c>
      <c r="V28" s="624"/>
    </row>
    <row r="29" spans="1:22" s="377" customFormat="1" ht="21.95" customHeight="1">
      <c r="A29" s="706" t="s">
        <v>639</v>
      </c>
      <c r="B29" s="679"/>
      <c r="C29" s="435">
        <f>+C28</f>
        <v>109</v>
      </c>
      <c r="D29" s="679" t="s">
        <v>640</v>
      </c>
      <c r="E29" s="679"/>
      <c r="F29" s="435">
        <f>+'4-Procurement'!K25</f>
        <v>109</v>
      </c>
      <c r="G29" s="707" t="s">
        <v>641</v>
      </c>
      <c r="H29" s="681"/>
      <c r="I29" s="449">
        <v>109</v>
      </c>
      <c r="J29" s="445"/>
      <c r="K29" s="661" t="s">
        <v>642</v>
      </c>
      <c r="L29" s="700"/>
      <c r="M29" s="662"/>
      <c r="N29" s="450">
        <v>6180000</v>
      </c>
      <c r="O29" s="450">
        <f>+'9-Budget-Cost-ETC-EAC'!C18</f>
        <v>1306043.6539930743</v>
      </c>
      <c r="P29" s="450">
        <f>+'9-Budget-Cost-ETC-EAC'!D19</f>
        <v>14217600.26</v>
      </c>
      <c r="Q29" s="450">
        <f>+'9-Budget-Cost-ETC-EAC'!E19</f>
        <v>514800</v>
      </c>
      <c r="R29" s="450">
        <f t="shared" ref="R29:R33" si="1">Q29+P29</f>
        <v>14732400.26</v>
      </c>
      <c r="S29" s="451" t="s">
        <v>643</v>
      </c>
      <c r="T29" s="401">
        <f>R34</f>
        <v>49996901.700000003</v>
      </c>
      <c r="V29" s="452"/>
    </row>
    <row r="30" spans="1:22" s="377" customFormat="1" ht="21.95" customHeight="1">
      <c r="A30" s="712" t="s">
        <v>644</v>
      </c>
      <c r="B30" s="660"/>
      <c r="C30" s="453">
        <f>+C29</f>
        <v>109</v>
      </c>
      <c r="D30" s="660" t="s">
        <v>645</v>
      </c>
      <c r="E30" s="660"/>
      <c r="F30" s="453">
        <f>+F29</f>
        <v>109</v>
      </c>
      <c r="G30" s="710" t="s">
        <v>646</v>
      </c>
      <c r="H30" s="662"/>
      <c r="I30" s="454">
        <v>109</v>
      </c>
      <c r="J30" s="445"/>
      <c r="K30" s="680" t="s">
        <v>647</v>
      </c>
      <c r="L30" s="711"/>
      <c r="M30" s="681"/>
      <c r="N30" s="455">
        <v>6222000</v>
      </c>
      <c r="O30" s="455">
        <f>+'9-Budget-Cost-ETC-EAC'!C21</f>
        <v>222829.59162614419</v>
      </c>
      <c r="P30" s="455">
        <f>+'9-Budget-Cost-ETC-EAC'!D20</f>
        <v>3721391.2800000003</v>
      </c>
      <c r="Q30" s="455">
        <f>+'9-Budget-Cost-ETC-EAC'!E20</f>
        <v>150000</v>
      </c>
      <c r="R30" s="455">
        <f t="shared" si="1"/>
        <v>3871391.2800000003</v>
      </c>
      <c r="S30" s="456"/>
      <c r="T30" s="407"/>
      <c r="V30" s="625"/>
    </row>
    <row r="31" spans="1:22" s="377" customFormat="1" ht="21.95" customHeight="1">
      <c r="A31" s="706"/>
      <c r="B31" s="679"/>
      <c r="C31" s="435"/>
      <c r="D31" s="679" t="s">
        <v>648</v>
      </c>
      <c r="E31" s="679"/>
      <c r="F31" s="435">
        <f>+F30</f>
        <v>109</v>
      </c>
      <c r="G31" s="707" t="s">
        <v>649</v>
      </c>
      <c r="H31" s="681"/>
      <c r="I31" s="449">
        <v>109</v>
      </c>
      <c r="J31" s="445"/>
      <c r="K31" s="661" t="s">
        <v>650</v>
      </c>
      <c r="L31" s="700"/>
      <c r="M31" s="662"/>
      <c r="N31" s="450">
        <v>2434887.2799999998</v>
      </c>
      <c r="O31" s="450"/>
      <c r="P31" s="457">
        <f>+'9-Budget-Cost-ETC-EAC'!D25</f>
        <v>3315978.16</v>
      </c>
      <c r="Q31" s="457">
        <f>+'9-Budget-Cost-ETC-EAC'!E25</f>
        <v>150000</v>
      </c>
      <c r="R31" s="450">
        <f t="shared" si="1"/>
        <v>3465978.16</v>
      </c>
      <c r="S31" s="458"/>
      <c r="T31" s="459"/>
    </row>
    <row r="32" spans="1:22" s="394" customFormat="1" ht="34.5" customHeight="1">
      <c r="A32" s="708" t="s">
        <v>221</v>
      </c>
      <c r="B32" s="709"/>
      <c r="C32" s="460">
        <f>+C30-C28</f>
        <v>0</v>
      </c>
      <c r="D32" s="660" t="s">
        <v>12</v>
      </c>
      <c r="E32" s="660"/>
      <c r="F32" s="460">
        <f>+F31-F29</f>
        <v>0</v>
      </c>
      <c r="G32" s="710" t="s">
        <v>12</v>
      </c>
      <c r="H32" s="662"/>
      <c r="I32" s="461">
        <f>+I31-I28</f>
        <v>0</v>
      </c>
      <c r="J32" s="462"/>
      <c r="K32" s="680" t="s">
        <v>651</v>
      </c>
      <c r="L32" s="711"/>
      <c r="M32" s="681"/>
      <c r="N32" s="455">
        <f>SUM(N28:N31)</f>
        <v>40667656.280000001</v>
      </c>
      <c r="O32" s="455">
        <f>SUM(O28:O31)</f>
        <v>2652002.6228136574</v>
      </c>
      <c r="P32" s="455">
        <f>SUM(P28:P31)</f>
        <v>47922101.700000003</v>
      </c>
      <c r="Q32" s="455">
        <f>SUM(Q28:Q31)</f>
        <v>1074800</v>
      </c>
      <c r="R32" s="455">
        <f t="shared" si="1"/>
        <v>48996901.700000003</v>
      </c>
      <c r="S32" s="456"/>
      <c r="T32" s="407"/>
    </row>
    <row r="33" spans="1:22" s="394" customFormat="1" ht="32.25" customHeight="1">
      <c r="A33" s="693" t="s">
        <v>652</v>
      </c>
      <c r="B33" s="694"/>
      <c r="C33" s="550"/>
      <c r="D33" s="695"/>
      <c r="E33" s="696"/>
      <c r="F33" s="463"/>
      <c r="G33" s="697"/>
      <c r="H33" s="698"/>
      <c r="I33" s="464"/>
      <c r="J33" s="465"/>
      <c r="K33" s="699" t="s">
        <v>804</v>
      </c>
      <c r="L33" s="700"/>
      <c r="M33" s="662"/>
      <c r="N33" s="466"/>
      <c r="O33" s="466"/>
      <c r="P33" s="457"/>
      <c r="Q33" s="457">
        <f>'9-Budget-Cost-ETC-EAC'!E28</f>
        <v>1000000</v>
      </c>
      <c r="R33" s="450">
        <f t="shared" si="1"/>
        <v>1000000</v>
      </c>
      <c r="S33" s="458"/>
      <c r="T33" s="459"/>
    </row>
    <row r="34" spans="1:22" s="394" customFormat="1" ht="21.75" customHeight="1" thickBot="1">
      <c r="A34" s="701"/>
      <c r="B34" s="702"/>
      <c r="C34" s="467"/>
      <c r="D34" s="467"/>
      <c r="E34" s="467"/>
      <c r="F34" s="467"/>
      <c r="G34" s="467"/>
      <c r="H34" s="467"/>
      <c r="I34" s="468"/>
      <c r="J34" s="465"/>
      <c r="K34" s="703" t="s">
        <v>653</v>
      </c>
      <c r="L34" s="704"/>
      <c r="M34" s="704"/>
      <c r="N34" s="705"/>
      <c r="O34" s="469">
        <f>N32+O32</f>
        <v>43319658.902813658</v>
      </c>
      <c r="P34" s="469">
        <f>SUM(P28:P31)+P33</f>
        <v>47922101.700000003</v>
      </c>
      <c r="Q34" s="469">
        <f>SUM(Q28:Q31)+Q33</f>
        <v>2074800</v>
      </c>
      <c r="R34" s="469">
        <f>SUM(R28:R31)+R33</f>
        <v>49996901.700000003</v>
      </c>
      <c r="S34" s="470">
        <f>T34/T28</f>
        <v>3.9469441200660781E-2</v>
      </c>
      <c r="T34" s="471">
        <f>T28-T29</f>
        <v>2054437.2626000047</v>
      </c>
      <c r="V34" s="416"/>
    </row>
    <row r="35" spans="1:22" s="394" customFormat="1" ht="9.9499999999999993" customHeight="1" thickBot="1">
      <c r="A35" s="668"/>
      <c r="B35" s="669"/>
      <c r="C35" s="669"/>
      <c r="D35" s="669"/>
      <c r="E35" s="669"/>
      <c r="F35" s="669"/>
      <c r="G35" s="669"/>
      <c r="H35" s="669"/>
      <c r="I35" s="669"/>
      <c r="J35" s="670"/>
      <c r="K35" s="669"/>
      <c r="L35" s="669"/>
      <c r="M35" s="669"/>
      <c r="N35" s="669"/>
      <c r="O35" s="669"/>
      <c r="P35" s="669"/>
      <c r="Q35" s="669"/>
      <c r="R35" s="669"/>
      <c r="S35" s="669"/>
      <c r="T35" s="671"/>
    </row>
    <row r="36" spans="1:22" s="394" customFormat="1" ht="18" customHeight="1">
      <c r="A36" s="682" t="s">
        <v>654</v>
      </c>
      <c r="B36" s="683"/>
      <c r="C36" s="683"/>
      <c r="D36" s="683"/>
      <c r="E36" s="683"/>
      <c r="F36" s="683"/>
      <c r="G36" s="683"/>
      <c r="H36" s="683"/>
      <c r="I36" s="683"/>
      <c r="J36" s="376"/>
      <c r="K36" s="652" t="s">
        <v>655</v>
      </c>
      <c r="L36" s="653"/>
      <c r="M36" s="653"/>
      <c r="N36" s="653"/>
      <c r="O36" s="653"/>
      <c r="P36" s="653"/>
      <c r="Q36" s="653"/>
      <c r="R36" s="653"/>
      <c r="S36" s="653"/>
      <c r="T36" s="654"/>
    </row>
    <row r="37" spans="1:22" s="394" customFormat="1" ht="18" customHeight="1">
      <c r="A37" s="684" t="s">
        <v>656</v>
      </c>
      <c r="B37" s="685"/>
      <c r="C37" s="685"/>
      <c r="D37" s="685"/>
      <c r="E37" s="673"/>
      <c r="F37" s="672" t="s">
        <v>215</v>
      </c>
      <c r="G37" s="685"/>
      <c r="H37" s="685"/>
      <c r="I37" s="685"/>
      <c r="J37" s="442"/>
      <c r="K37" s="686"/>
      <c r="L37" s="687"/>
      <c r="M37" s="672" t="s">
        <v>657</v>
      </c>
      <c r="N37" s="685"/>
      <c r="O37" s="673"/>
      <c r="P37" s="672" t="s">
        <v>658</v>
      </c>
      <c r="Q37" s="685"/>
      <c r="R37" s="673"/>
      <c r="S37" s="672" t="s">
        <v>659</v>
      </c>
      <c r="T37" s="690"/>
    </row>
    <row r="38" spans="1:22" s="394" customFormat="1" ht="18" customHeight="1">
      <c r="A38" s="472"/>
      <c r="B38" s="691" t="s">
        <v>214</v>
      </c>
      <c r="C38" s="692"/>
      <c r="D38" s="672" t="s">
        <v>13</v>
      </c>
      <c r="E38" s="673"/>
      <c r="F38" s="674"/>
      <c r="G38" s="675"/>
      <c r="H38" s="473" t="s">
        <v>218</v>
      </c>
      <c r="I38" s="473" t="s">
        <v>217</v>
      </c>
      <c r="J38" s="442"/>
      <c r="K38" s="688"/>
      <c r="L38" s="689"/>
      <c r="M38" s="473" t="s">
        <v>1</v>
      </c>
      <c r="N38" s="473" t="s">
        <v>14</v>
      </c>
      <c r="O38" s="473" t="s">
        <v>12</v>
      </c>
      <c r="P38" s="473" t="s">
        <v>1</v>
      </c>
      <c r="Q38" s="473" t="s">
        <v>14</v>
      </c>
      <c r="R38" s="473" t="s">
        <v>12</v>
      </c>
      <c r="S38" s="473" t="s">
        <v>660</v>
      </c>
      <c r="T38" s="420" t="s">
        <v>661</v>
      </c>
    </row>
    <row r="39" spans="1:22" s="394" customFormat="1" ht="18" customHeight="1">
      <c r="A39" s="421" t="s">
        <v>431</v>
      </c>
      <c r="B39" s="425">
        <f>SUM(B40:B42)</f>
        <v>1131</v>
      </c>
      <c r="C39" s="425"/>
      <c r="D39" s="425">
        <f>SUM(D40:D42)</f>
        <v>57</v>
      </c>
      <c r="E39" s="425"/>
      <c r="F39" s="676" t="s">
        <v>662</v>
      </c>
      <c r="G39" s="676"/>
      <c r="H39" s="425">
        <f>+'5-QA-QC'!K29</f>
        <v>0</v>
      </c>
      <c r="I39" s="474">
        <f>+'5-QA-QC'!K28</f>
        <v>29</v>
      </c>
      <c r="J39" s="475"/>
      <c r="K39" s="677" t="s">
        <v>222</v>
      </c>
      <c r="L39" s="678"/>
      <c r="M39" s="425">
        <f>+'10-Resources'!R11</f>
        <v>15</v>
      </c>
      <c r="N39" s="425">
        <f>+'10-Resources'!X11</f>
        <v>10</v>
      </c>
      <c r="O39" s="476">
        <f>N39-M39</f>
        <v>-5</v>
      </c>
      <c r="P39" s="425"/>
      <c r="Q39" s="425">
        <f>+'10-Resources'!AJ11+'10-Resources'!AV11</f>
        <v>74776</v>
      </c>
      <c r="R39" s="477">
        <f>P39-Q39</f>
        <v>-74776</v>
      </c>
      <c r="S39" s="422"/>
      <c r="T39" s="635">
        <f>'10-Resources'!BN11</f>
        <v>4</v>
      </c>
    </row>
    <row r="40" spans="1:22" s="394" customFormat="1" ht="18" customHeight="1">
      <c r="A40" s="478" t="s">
        <v>2</v>
      </c>
      <c r="B40" s="434">
        <f>+'5-QA-QC'!W23</f>
        <v>672</v>
      </c>
      <c r="C40" s="479">
        <f>B40/B39</f>
        <v>0.59416445623342173</v>
      </c>
      <c r="D40" s="434">
        <f>+'5-QA-QC'!W14</f>
        <v>57</v>
      </c>
      <c r="E40" s="479">
        <f>D40/D39</f>
        <v>1</v>
      </c>
      <c r="F40" s="679" t="s">
        <v>220</v>
      </c>
      <c r="G40" s="679"/>
      <c r="H40" s="434">
        <f>+'5-QA-QC'!AA29</f>
        <v>0</v>
      </c>
      <c r="I40" s="480">
        <f>+'5-QA-QC'!AA28</f>
        <v>11</v>
      </c>
      <c r="J40" s="475"/>
      <c r="K40" s="680" t="s">
        <v>81</v>
      </c>
      <c r="L40" s="681"/>
      <c r="M40" s="434">
        <f>+'10-Resources'!R16</f>
        <v>40</v>
      </c>
      <c r="N40" s="434">
        <f>+'10-Resources'!X16</f>
        <v>141</v>
      </c>
      <c r="O40" s="481">
        <f>+M40-N40</f>
        <v>-101</v>
      </c>
      <c r="P40" s="434">
        <v>9490000</v>
      </c>
      <c r="Q40" s="434">
        <f>+'10-Resources'!AJ12+'10-Resources'!AV16+'10-Resources'!AV17</f>
        <v>11348124</v>
      </c>
      <c r="R40" s="481">
        <f>+P40-Q40</f>
        <v>-1858124</v>
      </c>
      <c r="S40" s="482"/>
      <c r="T40" s="527">
        <f>'10-Resources'!BN16</f>
        <v>65</v>
      </c>
    </row>
    <row r="41" spans="1:22" s="394" customFormat="1" ht="18" customHeight="1">
      <c r="A41" s="484" t="s">
        <v>15</v>
      </c>
      <c r="B41" s="476">
        <f>+'5-QA-QC'!AI23</f>
        <v>407</v>
      </c>
      <c r="C41" s="485">
        <f>B41/B39</f>
        <v>0.35985853227232539</v>
      </c>
      <c r="D41" s="476">
        <f>+'5-QA-QC'!AI14</f>
        <v>0</v>
      </c>
      <c r="E41" s="485">
        <f>D41/D39</f>
        <v>0</v>
      </c>
      <c r="F41" s="660" t="s">
        <v>15</v>
      </c>
      <c r="G41" s="660"/>
      <c r="H41" s="486">
        <f>+H39-H40</f>
        <v>0</v>
      </c>
      <c r="I41" s="486">
        <f>I39-I40</f>
        <v>18</v>
      </c>
      <c r="J41" s="475"/>
      <c r="K41" s="661" t="s">
        <v>663</v>
      </c>
      <c r="L41" s="662"/>
      <c r="M41" s="487"/>
      <c r="N41" s="488"/>
      <c r="O41" s="487"/>
      <c r="P41" s="488"/>
      <c r="Q41" s="488">
        <f>N41*10*26</f>
        <v>0</v>
      </c>
      <c r="R41" s="487"/>
      <c r="S41" s="487"/>
      <c r="T41" s="522">
        <f>'10-Resources'!BN17</f>
        <v>0</v>
      </c>
    </row>
    <row r="42" spans="1:22" s="377" customFormat="1" ht="18" customHeight="1">
      <c r="A42" s="490" t="s">
        <v>210</v>
      </c>
      <c r="B42" s="491">
        <f>+'5-QA-QC'!AU23</f>
        <v>52</v>
      </c>
      <c r="C42" s="492">
        <f>B42/B39</f>
        <v>4.5977011494252873E-2</v>
      </c>
      <c r="D42" s="493">
        <f>+'5-QA-QC'!AU14</f>
        <v>0</v>
      </c>
      <c r="E42" s="492">
        <f>D42/D39</f>
        <v>0</v>
      </c>
      <c r="F42" s="663"/>
      <c r="G42" s="664"/>
      <c r="H42" s="494"/>
      <c r="I42" s="495"/>
      <c r="J42" s="440"/>
      <c r="K42" s="665"/>
      <c r="L42" s="666"/>
      <c r="M42" s="496"/>
      <c r="N42" s="496"/>
      <c r="O42" s="496"/>
      <c r="P42" s="496"/>
      <c r="Q42" s="496"/>
      <c r="R42" s="496"/>
      <c r="S42" s="494"/>
      <c r="T42" s="497"/>
    </row>
    <row r="43" spans="1:22" s="377" customFormat="1" ht="19.5" customHeight="1" thickBot="1">
      <c r="A43" s="498"/>
      <c r="B43" s="499"/>
      <c r="C43" s="499"/>
      <c r="D43" s="500"/>
      <c r="E43" s="500"/>
      <c r="F43" s="667"/>
      <c r="G43" s="667"/>
      <c r="H43" s="500"/>
      <c r="I43" s="500"/>
      <c r="J43" s="440"/>
      <c r="K43" s="501"/>
      <c r="L43" s="500"/>
      <c r="M43" s="500"/>
      <c r="N43" s="500"/>
      <c r="O43" s="500"/>
      <c r="P43" s="500"/>
      <c r="Q43" s="500"/>
      <c r="R43" s="500"/>
      <c r="S43" s="500"/>
      <c r="T43" s="502"/>
    </row>
    <row r="44" spans="1:22" s="394" customFormat="1" ht="9.9499999999999993" customHeight="1" thickBot="1">
      <c r="A44" s="668"/>
      <c r="B44" s="669"/>
      <c r="C44" s="669"/>
      <c r="D44" s="669"/>
      <c r="E44" s="669"/>
      <c r="F44" s="669"/>
      <c r="G44" s="669"/>
      <c r="H44" s="669"/>
      <c r="I44" s="669"/>
      <c r="J44" s="670"/>
      <c r="K44" s="669"/>
      <c r="L44" s="669"/>
      <c r="M44" s="669"/>
      <c r="N44" s="669"/>
      <c r="O44" s="669"/>
      <c r="P44" s="669"/>
      <c r="Q44" s="669"/>
      <c r="R44" s="669"/>
      <c r="S44" s="669"/>
      <c r="T44" s="671"/>
    </row>
    <row r="45" spans="1:22" s="377" customFormat="1" ht="17.25" customHeight="1">
      <c r="A45" s="503" t="s">
        <v>664</v>
      </c>
      <c r="B45" s="504"/>
      <c r="C45" s="504"/>
      <c r="D45" s="504"/>
      <c r="E45" s="503" t="s">
        <v>665</v>
      </c>
      <c r="F45" s="504"/>
      <c r="G45" s="504"/>
      <c r="H45" s="504"/>
      <c r="I45" s="505"/>
      <c r="J45" s="376"/>
      <c r="K45" s="652" t="s">
        <v>666</v>
      </c>
      <c r="L45" s="653"/>
      <c r="M45" s="653"/>
      <c r="N45" s="653"/>
      <c r="O45" s="653"/>
      <c r="P45" s="653"/>
      <c r="Q45" s="653"/>
      <c r="R45" s="653"/>
      <c r="S45" s="653"/>
      <c r="T45" s="654"/>
    </row>
    <row r="46" spans="1:22" s="377" customFormat="1" ht="31.5">
      <c r="A46" s="655" t="s">
        <v>667</v>
      </c>
      <c r="B46" s="656"/>
      <c r="C46" s="656"/>
      <c r="D46" s="657"/>
      <c r="E46" s="658" t="s">
        <v>668</v>
      </c>
      <c r="F46" s="656"/>
      <c r="G46" s="656"/>
      <c r="H46" s="656"/>
      <c r="I46" s="659"/>
      <c r="J46" s="506"/>
      <c r="K46" s="507"/>
      <c r="L46" s="418" t="s">
        <v>214</v>
      </c>
      <c r="M46" s="418" t="s">
        <v>13</v>
      </c>
      <c r="N46" s="418" t="s">
        <v>227</v>
      </c>
      <c r="O46" s="418" t="s">
        <v>228</v>
      </c>
      <c r="P46" s="418" t="s">
        <v>229</v>
      </c>
      <c r="Q46" s="418" t="s">
        <v>230</v>
      </c>
      <c r="R46" s="418" t="s">
        <v>669</v>
      </c>
      <c r="S46" s="418" t="s">
        <v>231</v>
      </c>
      <c r="T46" s="508" t="s">
        <v>232</v>
      </c>
    </row>
    <row r="47" spans="1:22" ht="24.75" customHeight="1">
      <c r="A47" s="509" t="str">
        <f>IF(+'6-Construction'!B8="","",+'6-Construction'!B8)</f>
        <v>Testing &amp; Commissioning of Fire fighting system in progress.</v>
      </c>
      <c r="B47" s="510"/>
      <c r="C47" s="510"/>
      <c r="D47" s="510"/>
      <c r="E47" s="549" t="str">
        <f>+IF('13-AOC'!B9="","",'13-AOC'!B9)</f>
        <v>Delivery of Emergency lights for staircase in Palace, chalets &amp; Ancillary buildings</v>
      </c>
      <c r="F47" s="511"/>
      <c r="G47" s="511"/>
      <c r="H47" s="511"/>
      <c r="I47" s="512"/>
      <c r="J47" s="513"/>
      <c r="K47" s="514" t="s">
        <v>8</v>
      </c>
      <c r="L47" s="515">
        <f>+'14-Close-out'!C10</f>
        <v>1131</v>
      </c>
      <c r="M47" s="515">
        <f>+'14-Close-out'!C6</f>
        <v>64</v>
      </c>
      <c r="N47" s="515"/>
      <c r="O47" s="515">
        <f>+'14-Close-out'!C18</f>
        <v>457</v>
      </c>
      <c r="P47" s="515">
        <f>+'14-Close-out'!C23</f>
        <v>15</v>
      </c>
      <c r="Q47" s="515">
        <f>+'14-Close-out'!C33</f>
        <v>21</v>
      </c>
      <c r="R47" s="515"/>
      <c r="S47" s="515"/>
      <c r="T47" s="516"/>
    </row>
    <row r="48" spans="1:22" ht="24.75" customHeight="1">
      <c r="A48" s="517" t="str">
        <f>IF(+'6-Construction'!B9="","",+'6-Construction'!B9)</f>
        <v>Pretesting of HVAC Equipment in progress</v>
      </c>
      <c r="B48" s="518"/>
      <c r="C48" s="518"/>
      <c r="D48" s="518"/>
      <c r="E48" s="519" t="str">
        <f>+IF('13-AOC'!B10="","",'13-AOC'!B10)</f>
        <v>Delivery of wiring devices</v>
      </c>
      <c r="F48" s="518"/>
      <c r="G48" s="518"/>
      <c r="H48" s="518"/>
      <c r="I48" s="520"/>
      <c r="J48" s="513"/>
      <c r="K48" s="521" t="s">
        <v>16</v>
      </c>
      <c r="L48" s="453">
        <f>+'14-Close-out'!D10+'14-Close-out'!H10</f>
        <v>1131</v>
      </c>
      <c r="M48" s="488">
        <f>+'14-Close-out'!C7</f>
        <v>25</v>
      </c>
      <c r="N48" s="488"/>
      <c r="O48" s="488">
        <f>+'14-Close-out'!C19</f>
        <v>17</v>
      </c>
      <c r="P48" s="488">
        <f>+'14-Close-out'!C24</f>
        <v>15</v>
      </c>
      <c r="Q48" s="488">
        <f>+'14-Close-out'!C34</f>
        <v>0</v>
      </c>
      <c r="R48" s="488"/>
      <c r="S48" s="488"/>
      <c r="T48" s="522"/>
    </row>
    <row r="49" spans="1:20" ht="24.75" customHeight="1">
      <c r="A49" s="509" t="str">
        <f>IF(+'6-Construction'!B10="","",+'6-Construction'!B10)</f>
        <v>Testing &amp; Commissioning of Electrical Equipment in progress</v>
      </c>
      <c r="B49" s="523"/>
      <c r="C49" s="523"/>
      <c r="D49" s="523"/>
      <c r="E49" s="524" t="str">
        <f>+IF('13-AOC'!B11="","",'13-AOC'!B11)</f>
        <v>Civil clearance for Bath Tub Installation in Chalets</v>
      </c>
      <c r="F49" s="523"/>
      <c r="G49" s="523"/>
      <c r="H49" s="523"/>
      <c r="I49" s="525"/>
      <c r="J49" s="513"/>
      <c r="K49" s="526" t="s">
        <v>670</v>
      </c>
      <c r="L49" s="435">
        <f>+'14-Close-out'!C11</f>
        <v>672</v>
      </c>
      <c r="M49" s="434">
        <f>+'14-Close-out'!C7</f>
        <v>25</v>
      </c>
      <c r="N49" s="434"/>
      <c r="O49" s="434">
        <f>+'14-Close-out'!C20</f>
        <v>0</v>
      </c>
      <c r="P49" s="434">
        <f>+'14-Close-out'!C25</f>
        <v>14</v>
      </c>
      <c r="Q49" s="434">
        <f>+'14-Close-out'!C35</f>
        <v>0</v>
      </c>
      <c r="R49" s="434"/>
      <c r="S49" s="434"/>
      <c r="T49" s="527"/>
    </row>
    <row r="50" spans="1:20" ht="24.75" customHeight="1">
      <c r="A50" s="528" t="str">
        <f>IF(+'6-Construction'!B11="","",+'6-Construction'!B11)</f>
        <v>Pretesting of panels in progress.</v>
      </c>
      <c r="B50" s="518"/>
      <c r="C50" s="518"/>
      <c r="D50" s="518"/>
      <c r="E50" s="519" t="str">
        <f>+IF('13-AOC'!B12="","",'13-AOC'!B12)</f>
        <v xml:space="preserve">Doors &amp; Windows Installation are delaying </v>
      </c>
      <c r="F50" s="518"/>
      <c r="G50" s="518"/>
      <c r="H50" s="518"/>
      <c r="I50" s="520"/>
      <c r="J50" s="513"/>
      <c r="K50" s="521" t="s">
        <v>233</v>
      </c>
      <c r="L50" s="453"/>
      <c r="M50" s="488"/>
      <c r="N50" s="488"/>
      <c r="O50" s="488"/>
      <c r="P50" s="488"/>
      <c r="Q50" s="488"/>
      <c r="R50" s="488"/>
      <c r="S50" s="488"/>
      <c r="T50" s="522"/>
    </row>
    <row r="51" spans="1:20" s="532" customFormat="1" ht="24.75" customHeight="1">
      <c r="A51" s="509" t="str">
        <f>IF(+'6-Construction'!B12="","",+'6-Construction'!B12)</f>
        <v xml:space="preserve"> Installation of Wiring Devices &amp; Light Fixture in Palace &amp; Chalets.</v>
      </c>
      <c r="B51" s="523"/>
      <c r="C51" s="523"/>
      <c r="D51" s="523"/>
      <c r="E51" s="524" t="str">
        <f>+IF('13-AOC'!B13="","",'13-AOC'!B13)</f>
        <v/>
      </c>
      <c r="F51" s="613"/>
      <c r="G51" s="613"/>
      <c r="H51" s="613"/>
      <c r="I51" s="614"/>
      <c r="J51" s="513"/>
      <c r="K51" s="529" t="s">
        <v>258</v>
      </c>
      <c r="L51" s="530"/>
      <c r="M51" s="530"/>
      <c r="N51" s="482"/>
      <c r="O51" s="531"/>
      <c r="P51" s="482"/>
      <c r="Q51" s="482"/>
      <c r="R51" s="482"/>
      <c r="S51" s="482"/>
      <c r="T51" s="483"/>
    </row>
    <row r="52" spans="1:20" s="532" customFormat="1" ht="24.75" customHeight="1">
      <c r="A52" s="528" t="str">
        <f>IF(+'6-Construction'!B13="","",+'6-Construction'!B13)</f>
        <v>Isolator Installation &amp; termination for equipment in progress</v>
      </c>
      <c r="B52" s="518"/>
      <c r="C52" s="518"/>
      <c r="D52" s="518"/>
      <c r="E52" s="519" t="str">
        <f>+IF('13-AOC'!B14="","",'13-AOC'!B14)</f>
        <v/>
      </c>
      <c r="F52" s="615"/>
      <c r="G52" s="615"/>
      <c r="H52" s="615"/>
      <c r="I52" s="616"/>
      <c r="J52" s="513"/>
      <c r="K52" s="521" t="s">
        <v>671</v>
      </c>
      <c r="L52" s="533"/>
      <c r="M52" s="533"/>
      <c r="N52" s="533"/>
      <c r="O52" s="533"/>
      <c r="P52" s="533"/>
      <c r="Q52" s="533"/>
      <c r="R52" s="533"/>
      <c r="S52" s="533"/>
      <c r="T52" s="534"/>
    </row>
    <row r="53" spans="1:20" s="532" customFormat="1" ht="24.75" customHeight="1">
      <c r="A53" s="509" t="str">
        <f>IF(+'6-Construction'!B14="","",+'6-Construction'!B14)</f>
        <v>Sanitary ware installation in chalet &amp; palace in progress</v>
      </c>
      <c r="B53" s="523"/>
      <c r="C53" s="523"/>
      <c r="D53" s="523"/>
      <c r="E53" s="524" t="str">
        <f>+IF('13-AOC'!B15="","",'13-AOC'!B15)</f>
        <v/>
      </c>
      <c r="F53" s="613"/>
      <c r="G53" s="613"/>
      <c r="H53" s="613"/>
      <c r="I53" s="614"/>
      <c r="J53" s="513"/>
      <c r="K53" s="535" t="s">
        <v>8</v>
      </c>
      <c r="L53" s="530"/>
      <c r="M53" s="530"/>
      <c r="N53" s="482"/>
      <c r="O53" s="482"/>
      <c r="P53" s="482"/>
      <c r="Q53" s="482"/>
      <c r="R53" s="482"/>
      <c r="S53" s="482"/>
      <c r="T53" s="483"/>
    </row>
    <row r="54" spans="1:20" s="532" customFormat="1" ht="24.75" customHeight="1">
      <c r="A54" s="528" t="str">
        <f>IF(+'6-Construction'!B15="","",+'6-Construction'!B15)</f>
        <v>Grills &amp; Diffuser Installation in palace in progress parallel with civil.</v>
      </c>
      <c r="B54" s="518"/>
      <c r="C54" s="518"/>
      <c r="D54" s="518"/>
      <c r="E54" s="519" t="str">
        <f>+IF('13-AOC'!B16="","",'13-AOC'!B16)</f>
        <v/>
      </c>
      <c r="F54" s="615"/>
      <c r="G54" s="615"/>
      <c r="H54" s="615"/>
      <c r="I54" s="616"/>
      <c r="J54" s="513"/>
      <c r="K54" s="521" t="s">
        <v>16</v>
      </c>
      <c r="L54" s="536"/>
      <c r="M54" s="536"/>
      <c r="N54" s="487"/>
      <c r="O54" s="487"/>
      <c r="P54" s="487"/>
      <c r="Q54" s="487"/>
      <c r="R54" s="487"/>
      <c r="S54" s="487"/>
      <c r="T54" s="489"/>
    </row>
    <row r="55" spans="1:20" s="532" customFormat="1" ht="25.5" customHeight="1">
      <c r="A55" s="509" t="str">
        <f>IF(+'6-Construction'!B16="","",+'6-Construction'!B16)</f>
        <v/>
      </c>
      <c r="B55" s="523"/>
      <c r="C55" s="523"/>
      <c r="D55" s="523"/>
      <c r="E55" s="524" t="str">
        <f>+IF('13-AOC'!B17="","",'13-AOC'!B17)</f>
        <v/>
      </c>
      <c r="F55" s="613"/>
      <c r="G55" s="613"/>
      <c r="H55" s="613"/>
      <c r="I55" s="614"/>
      <c r="J55" s="513"/>
      <c r="K55" s="526" t="s">
        <v>2</v>
      </c>
      <c r="L55" s="530"/>
      <c r="M55" s="530"/>
      <c r="N55" s="482"/>
      <c r="O55" s="482"/>
      <c r="P55" s="482"/>
      <c r="Q55" s="482"/>
      <c r="R55" s="482"/>
      <c r="S55" s="482"/>
      <c r="T55" s="483"/>
    </row>
    <row r="56" spans="1:20" s="532" customFormat="1" ht="28.5" customHeight="1">
      <c r="A56" s="528" t="str">
        <f>IF(+'6-Construction'!B17="","",+'6-Construction'!B17)</f>
        <v/>
      </c>
      <c r="B56" s="518"/>
      <c r="C56" s="518"/>
      <c r="D56" s="518"/>
      <c r="E56" s="524" t="str">
        <f>+IF('13-AOC'!B18="","",'13-AOC'!B18)</f>
        <v/>
      </c>
      <c r="F56" s="615"/>
      <c r="G56" s="615"/>
      <c r="H56" s="615"/>
      <c r="I56" s="616"/>
      <c r="J56" s="513"/>
      <c r="K56" s="521" t="s">
        <v>233</v>
      </c>
      <c r="L56" s="536"/>
      <c r="M56" s="536"/>
      <c r="N56" s="487"/>
      <c r="O56" s="487"/>
      <c r="P56" s="487"/>
      <c r="Q56" s="487"/>
      <c r="R56" s="487"/>
      <c r="S56" s="487"/>
      <c r="T56" s="489"/>
    </row>
    <row r="57" spans="1:20" s="532" customFormat="1" ht="29.25" customHeight="1">
      <c r="A57" s="509" t="str">
        <f>IF(+'6-Construction'!B18="","",+'6-Construction'!B18)</f>
        <v/>
      </c>
      <c r="B57" s="523"/>
      <c r="C57" s="523"/>
      <c r="D57" s="523"/>
      <c r="E57" s="524" t="str">
        <f>+IF('13-AOC'!B20="","",'13-AOC'!B20)</f>
        <v/>
      </c>
      <c r="F57" s="646"/>
      <c r="G57" s="646"/>
      <c r="H57" s="646"/>
      <c r="I57" s="647"/>
      <c r="J57" s="513"/>
      <c r="K57" s="537" t="s">
        <v>258</v>
      </c>
      <c r="L57" s="538"/>
      <c r="M57" s="538"/>
      <c r="N57" s="494"/>
      <c r="O57" s="494"/>
      <c r="P57" s="494"/>
      <c r="Q57" s="494"/>
      <c r="R57" s="494"/>
      <c r="S57" s="494"/>
      <c r="T57" s="497"/>
    </row>
    <row r="58" spans="1:20" s="532" customFormat="1" ht="23.25" customHeight="1" thickBot="1">
      <c r="A58" s="539" t="str">
        <f>IF(+'6-Construction'!B19="","",+'6-Construction'!B19)</f>
        <v/>
      </c>
      <c r="B58" s="540"/>
      <c r="C58" s="540"/>
      <c r="D58" s="540"/>
      <c r="E58" s="541" t="str">
        <f>+IF('13-AOC'!B21="","",'13-AOC'!B21)</f>
        <v/>
      </c>
      <c r="F58" s="648"/>
      <c r="G58" s="648"/>
      <c r="H58" s="648"/>
      <c r="I58" s="649"/>
      <c r="J58" s="513"/>
      <c r="K58" s="542" t="s">
        <v>62</v>
      </c>
      <c r="L58" s="650"/>
      <c r="M58" s="650"/>
      <c r="N58" s="650"/>
      <c r="O58" s="650"/>
      <c r="P58" s="650"/>
      <c r="Q58" s="650"/>
      <c r="R58" s="650"/>
      <c r="S58" s="650"/>
      <c r="T58" s="651"/>
    </row>
    <row r="59" spans="1:20" s="532" customFormat="1" ht="9.9499999999999993" customHeight="1">
      <c r="A59" s="636"/>
      <c r="B59" s="637"/>
      <c r="C59" s="637"/>
      <c r="D59" s="637"/>
      <c r="E59" s="637"/>
      <c r="F59" s="637"/>
      <c r="G59" s="637"/>
      <c r="H59" s="637"/>
      <c r="I59" s="637"/>
      <c r="J59" s="638"/>
      <c r="K59" s="637"/>
      <c r="L59" s="637"/>
      <c r="M59" s="637"/>
      <c r="N59" s="637"/>
      <c r="O59" s="637"/>
      <c r="P59" s="637"/>
      <c r="Q59" s="637"/>
      <c r="R59" s="637"/>
      <c r="S59" s="637"/>
      <c r="T59" s="639"/>
    </row>
    <row r="60" spans="1:20" s="532" customFormat="1" ht="35.25" customHeight="1" thickBot="1">
      <c r="A60" s="640" t="s">
        <v>679</v>
      </c>
      <c r="B60" s="641"/>
      <c r="C60" s="642" t="s">
        <v>672</v>
      </c>
      <c r="D60" s="642"/>
      <c r="E60" s="643" t="s">
        <v>680</v>
      </c>
      <c r="F60" s="643"/>
      <c r="G60" s="643"/>
      <c r="H60" s="543" t="s">
        <v>674</v>
      </c>
      <c r="I60" s="544">
        <f>+'Cover '!T11</f>
        <v>42460</v>
      </c>
      <c r="J60" s="545" t="s">
        <v>675</v>
      </c>
      <c r="K60" s="546"/>
      <c r="L60" s="547"/>
      <c r="M60" s="642" t="s">
        <v>676</v>
      </c>
      <c r="N60" s="642"/>
      <c r="O60" s="642"/>
      <c r="P60" s="643" t="s">
        <v>673</v>
      </c>
      <c r="Q60" s="643"/>
      <c r="R60" s="643"/>
      <c r="S60" s="644" t="s">
        <v>236</v>
      </c>
      <c r="T60" s="645"/>
    </row>
    <row r="61" spans="1:20" ht="15" thickTop="1"/>
  </sheetData>
  <mergeCells count="139">
    <mergeCell ref="B5:I5"/>
    <mergeCell ref="J5:K5"/>
    <mergeCell ref="L5:O5"/>
    <mergeCell ref="P5:Q5"/>
    <mergeCell ref="R5:T5"/>
    <mergeCell ref="A6:T6"/>
    <mergeCell ref="A1:A3"/>
    <mergeCell ref="B1:Q3"/>
    <mergeCell ref="R1:S1"/>
    <mergeCell ref="R2:S2"/>
    <mergeCell ref="R3:S3"/>
    <mergeCell ref="B4:Q4"/>
    <mergeCell ref="R4:S4"/>
    <mergeCell ref="A7:I7"/>
    <mergeCell ref="K7:T7"/>
    <mergeCell ref="A8:A9"/>
    <mergeCell ref="B8:B9"/>
    <mergeCell ref="C8:D8"/>
    <mergeCell ref="E8:E9"/>
    <mergeCell ref="F8:F9"/>
    <mergeCell ref="G8:G9"/>
    <mergeCell ref="H8:I9"/>
    <mergeCell ref="K8:M9"/>
    <mergeCell ref="H11:I11"/>
    <mergeCell ref="K11:L11"/>
    <mergeCell ref="N11:O11"/>
    <mergeCell ref="Q11:S11"/>
    <mergeCell ref="H12:I12"/>
    <mergeCell ref="K12:L12"/>
    <mergeCell ref="N12:O12"/>
    <mergeCell ref="Q12:S12"/>
    <mergeCell ref="N8:P9"/>
    <mergeCell ref="Q8:T9"/>
    <mergeCell ref="H10:I10"/>
    <mergeCell ref="K10:L10"/>
    <mergeCell ref="N10:O10"/>
    <mergeCell ref="Q10:S10"/>
    <mergeCell ref="H15:I15"/>
    <mergeCell ref="K15:L15"/>
    <mergeCell ref="N15:O15"/>
    <mergeCell ref="Q15:S15"/>
    <mergeCell ref="H16:I16"/>
    <mergeCell ref="K16:L16"/>
    <mergeCell ref="N16:O16"/>
    <mergeCell ref="Q16:S16"/>
    <mergeCell ref="H13:I13"/>
    <mergeCell ref="K13:L13"/>
    <mergeCell ref="N13:O13"/>
    <mergeCell ref="Q13:S13"/>
    <mergeCell ref="H14:I14"/>
    <mergeCell ref="K14:L14"/>
    <mergeCell ref="N14:O14"/>
    <mergeCell ref="Q14:S14"/>
    <mergeCell ref="D20:E20"/>
    <mergeCell ref="K20:N20"/>
    <mergeCell ref="K21:N21"/>
    <mergeCell ref="K22:N22"/>
    <mergeCell ref="K23:N23"/>
    <mergeCell ref="A24:T24"/>
    <mergeCell ref="B17:I17"/>
    <mergeCell ref="K17:L17"/>
    <mergeCell ref="N17:O17"/>
    <mergeCell ref="Q17:T17"/>
    <mergeCell ref="A18:T18"/>
    <mergeCell ref="A19:I19"/>
    <mergeCell ref="K19:T19"/>
    <mergeCell ref="A25:I25"/>
    <mergeCell ref="K25:T25"/>
    <mergeCell ref="A26:C27"/>
    <mergeCell ref="D26:F27"/>
    <mergeCell ref="G26:I27"/>
    <mergeCell ref="K26:M27"/>
    <mergeCell ref="N26:O26"/>
    <mergeCell ref="P26:P27"/>
    <mergeCell ref="Q26:Q27"/>
    <mergeCell ref="R26:R27"/>
    <mergeCell ref="A29:B29"/>
    <mergeCell ref="D29:E29"/>
    <mergeCell ref="G29:H29"/>
    <mergeCell ref="K29:M29"/>
    <mergeCell ref="A30:B30"/>
    <mergeCell ref="D30:E30"/>
    <mergeCell ref="G30:H30"/>
    <mergeCell ref="K30:M30"/>
    <mergeCell ref="S26:T26"/>
    <mergeCell ref="S27:T27"/>
    <mergeCell ref="A28:B28"/>
    <mergeCell ref="D28:E28"/>
    <mergeCell ref="G28:H28"/>
    <mergeCell ref="K28:M28"/>
    <mergeCell ref="A33:B33"/>
    <mergeCell ref="D33:E33"/>
    <mergeCell ref="G33:H33"/>
    <mergeCell ref="K33:M33"/>
    <mergeCell ref="A34:B34"/>
    <mergeCell ref="K34:N34"/>
    <mergeCell ref="A31:B31"/>
    <mergeCell ref="D31:E31"/>
    <mergeCell ref="G31:H31"/>
    <mergeCell ref="K31:M31"/>
    <mergeCell ref="A32:B32"/>
    <mergeCell ref="D32:E32"/>
    <mergeCell ref="G32:H32"/>
    <mergeCell ref="K32:M32"/>
    <mergeCell ref="D38:E38"/>
    <mergeCell ref="F38:G38"/>
    <mergeCell ref="F39:G39"/>
    <mergeCell ref="K39:L39"/>
    <mergeCell ref="F40:G40"/>
    <mergeCell ref="K40:L40"/>
    <mergeCell ref="A35:T35"/>
    <mergeCell ref="A36:I36"/>
    <mergeCell ref="K36:T36"/>
    <mergeCell ref="A37:E37"/>
    <mergeCell ref="F37:I37"/>
    <mergeCell ref="K37:L38"/>
    <mergeCell ref="M37:O37"/>
    <mergeCell ref="P37:R37"/>
    <mergeCell ref="S37:T37"/>
    <mergeCell ref="B38:C38"/>
    <mergeCell ref="K45:T45"/>
    <mergeCell ref="A46:D46"/>
    <mergeCell ref="E46:I46"/>
    <mergeCell ref="F41:G41"/>
    <mergeCell ref="K41:L41"/>
    <mergeCell ref="F42:G42"/>
    <mergeCell ref="K42:L42"/>
    <mergeCell ref="F43:G43"/>
    <mergeCell ref="A44:T44"/>
    <mergeCell ref="A59:T59"/>
    <mergeCell ref="A60:B60"/>
    <mergeCell ref="C60:D60"/>
    <mergeCell ref="E60:G60"/>
    <mergeCell ref="M60:O60"/>
    <mergeCell ref="P60:R60"/>
    <mergeCell ref="S60:T60"/>
    <mergeCell ref="F57:I57"/>
    <mergeCell ref="F58:I58"/>
    <mergeCell ref="L58:T58"/>
  </mergeCells>
  <printOptions horizontalCentered="1"/>
  <pageMargins left="0.32" right="0.17" top="0.17" bottom="0.17" header="0.18" footer="0.17"/>
  <pageSetup paperSize="8" scale="60" orientation="landscape" r:id="rId1"/>
  <headerFooter>
    <oddFooter xml:space="preserve">&amp;C&amp;10 </oddFooter>
  </headerFooter>
  <ignoredErrors>
    <ignoredError sqref="D40:D42" formula="1"/>
  </ignoredErrors>
</worksheet>
</file>

<file path=xl/worksheets/sheet2.xml><?xml version="1.0" encoding="utf-8"?>
<worksheet xmlns="http://schemas.openxmlformats.org/spreadsheetml/2006/main" xmlns:r="http://schemas.openxmlformats.org/officeDocument/2006/relationships">
  <sheetPr>
    <tabColor theme="4" tint="0.39997558519241921"/>
    <pageSetUpPr fitToPage="1"/>
  </sheetPr>
  <dimension ref="A1:BD60"/>
  <sheetViews>
    <sheetView view="pageBreakPreview" topLeftCell="A37" zoomScale="90" zoomScaleNormal="100" zoomScaleSheetLayoutView="90" workbookViewId="0">
      <selection activeCell="L5" sqref="L5"/>
    </sheetView>
  </sheetViews>
  <sheetFormatPr defaultRowHeight="15"/>
  <cols>
    <col min="1" max="2" width="3.7109375" customWidth="1"/>
    <col min="3" max="7" width="3.7109375" style="10" customWidth="1"/>
    <col min="8" max="8" width="4.140625" style="26" customWidth="1"/>
    <col min="9" max="11" width="4.140625" style="10" customWidth="1"/>
    <col min="12" max="17" width="3.7109375" style="10" customWidth="1"/>
    <col min="18" max="19" width="3.7109375" style="26" customWidth="1"/>
    <col min="20" max="29" width="3.7109375" style="10" customWidth="1"/>
    <col min="30" max="30" width="3.7109375" style="26" customWidth="1"/>
    <col min="31" max="50" width="3.7109375" style="10" customWidth="1"/>
    <col min="51" max="51" width="3.7109375" style="26" customWidth="1"/>
    <col min="61" max="61" width="9.140625" customWidth="1"/>
  </cols>
  <sheetData>
    <row r="1" spans="1:52" s="19" customFormat="1" ht="15" customHeight="1" thickTop="1">
      <c r="A1" s="234"/>
      <c r="B1" s="235"/>
      <c r="C1" s="236"/>
      <c r="D1" s="236"/>
      <c r="E1" s="236"/>
      <c r="F1" s="236"/>
      <c r="G1" s="236"/>
      <c r="H1" s="236"/>
      <c r="I1" s="236"/>
      <c r="J1" s="236"/>
      <c r="K1" s="236"/>
      <c r="L1" s="236"/>
      <c r="M1" s="236"/>
      <c r="N1" s="236"/>
      <c r="O1" s="236"/>
      <c r="P1" s="236"/>
      <c r="Q1" s="236"/>
      <c r="R1" s="236"/>
      <c r="S1" s="236"/>
      <c r="T1" s="236"/>
      <c r="U1" s="236"/>
      <c r="V1" s="236"/>
      <c r="W1" s="236"/>
      <c r="X1" s="236"/>
      <c r="Y1" s="236"/>
      <c r="Z1" s="236"/>
      <c r="AA1" s="237"/>
      <c r="AB1" s="15"/>
      <c r="AC1" s="15"/>
      <c r="AD1" s="15"/>
      <c r="AE1" s="15"/>
      <c r="AF1" s="15"/>
      <c r="AG1" s="15"/>
      <c r="AH1" s="15"/>
      <c r="AI1" s="15"/>
      <c r="AJ1" s="15"/>
      <c r="AK1" s="15"/>
      <c r="AL1" s="15"/>
      <c r="AM1" s="15"/>
      <c r="AN1" s="15"/>
      <c r="AO1" s="15"/>
      <c r="AP1" s="15"/>
      <c r="AQ1" s="15"/>
      <c r="AR1" s="15"/>
      <c r="AS1" s="25"/>
      <c r="AT1" s="25"/>
      <c r="AU1" s="25"/>
      <c r="AV1" s="25"/>
      <c r="AW1" s="25"/>
      <c r="AX1" s="25"/>
      <c r="AY1" s="25"/>
    </row>
    <row r="2" spans="1:52" ht="15" customHeight="1">
      <c r="A2" s="184"/>
      <c r="B2" s="173"/>
      <c r="C2" s="15"/>
      <c r="D2" s="15"/>
      <c r="E2" s="15"/>
      <c r="F2" s="15"/>
      <c r="G2" s="15"/>
      <c r="H2" s="15"/>
      <c r="I2" s="15"/>
      <c r="J2" s="15"/>
      <c r="K2" s="15"/>
      <c r="L2" s="15"/>
      <c r="M2" s="15"/>
      <c r="N2" s="15"/>
      <c r="O2" s="15"/>
      <c r="P2" s="15"/>
      <c r="Q2" s="15"/>
      <c r="R2" s="15"/>
      <c r="S2" s="15"/>
      <c r="T2" s="15"/>
      <c r="U2" s="15"/>
      <c r="V2" s="15"/>
      <c r="W2" s="15"/>
      <c r="X2" s="15"/>
      <c r="Y2" s="15"/>
      <c r="Z2" s="15"/>
      <c r="AA2" s="185"/>
      <c r="AB2" s="15"/>
      <c r="AC2" s="15"/>
      <c r="AD2" s="15"/>
      <c r="AE2" s="15"/>
      <c r="AF2" s="15"/>
      <c r="AG2" s="15"/>
      <c r="AH2" s="15"/>
      <c r="AI2" s="15"/>
      <c r="AJ2" s="15"/>
      <c r="AK2" s="15"/>
      <c r="AL2" s="15"/>
      <c r="AM2" s="15"/>
      <c r="AN2" s="15"/>
      <c r="AO2" s="15"/>
      <c r="AP2" s="15"/>
      <c r="AQ2" s="15"/>
      <c r="AR2" s="15"/>
      <c r="AS2" s="26"/>
      <c r="AT2" s="26"/>
      <c r="AU2" s="26"/>
      <c r="AV2" s="26"/>
      <c r="AW2" s="26"/>
      <c r="AX2" s="26"/>
    </row>
    <row r="3" spans="1:52" ht="15" customHeight="1">
      <c r="A3" s="184"/>
      <c r="B3" s="173"/>
      <c r="C3" s="15"/>
      <c r="D3" s="15"/>
      <c r="E3" s="15"/>
      <c r="F3" s="15"/>
      <c r="G3" s="15"/>
      <c r="H3" s="15"/>
      <c r="I3" s="15"/>
      <c r="J3" s="15"/>
      <c r="K3" s="15"/>
      <c r="L3" s="15"/>
      <c r="M3" s="15"/>
      <c r="N3" s="15"/>
      <c r="O3" s="15"/>
      <c r="P3" s="15"/>
      <c r="Q3" s="15"/>
      <c r="R3" s="15"/>
      <c r="S3" s="15"/>
      <c r="T3" s="15"/>
      <c r="U3" s="15"/>
      <c r="V3" s="15"/>
      <c r="W3" s="15"/>
      <c r="X3" s="15"/>
      <c r="Y3" s="15"/>
      <c r="Z3" s="15"/>
      <c r="AA3" s="185"/>
      <c r="AB3" s="15"/>
      <c r="AC3" s="15"/>
      <c r="AD3" s="15"/>
      <c r="AE3" s="15"/>
      <c r="AF3" s="15"/>
      <c r="AG3" s="15"/>
      <c r="AH3" s="15"/>
      <c r="AI3" s="15"/>
      <c r="AJ3" s="15"/>
      <c r="AK3" s="15"/>
      <c r="AL3" s="15"/>
      <c r="AM3" s="15"/>
      <c r="AN3" s="15"/>
      <c r="AO3" s="15"/>
      <c r="AP3" s="15"/>
      <c r="AQ3" s="15"/>
      <c r="AR3" s="15"/>
      <c r="AS3" s="26"/>
      <c r="AT3" s="26"/>
      <c r="AU3" s="26"/>
      <c r="AV3" s="26"/>
      <c r="AW3" s="26"/>
      <c r="AX3" s="26"/>
    </row>
    <row r="4" spans="1:52" ht="15" customHeight="1">
      <c r="A4" s="184"/>
      <c r="B4" s="173"/>
      <c r="C4" s="15"/>
      <c r="D4" s="15"/>
      <c r="E4" s="15"/>
      <c r="F4" s="15"/>
      <c r="G4" s="15"/>
      <c r="H4" s="15"/>
      <c r="I4" s="15"/>
      <c r="J4" s="15"/>
      <c r="K4" s="15"/>
      <c r="L4" s="15"/>
      <c r="M4" s="15"/>
      <c r="N4" s="15"/>
      <c r="O4" s="15"/>
      <c r="P4" s="15"/>
      <c r="Q4" s="15"/>
      <c r="R4" s="15"/>
      <c r="S4" s="15"/>
      <c r="T4" s="15"/>
      <c r="U4" s="15"/>
      <c r="V4" s="15"/>
      <c r="W4" s="15"/>
      <c r="X4" s="15"/>
      <c r="Y4" s="15"/>
      <c r="Z4" s="15"/>
      <c r="AA4" s="185"/>
      <c r="AB4" s="15"/>
      <c r="AC4" s="15"/>
      <c r="AD4" s="15"/>
      <c r="AE4" s="15"/>
      <c r="AF4" s="15"/>
      <c r="AG4" s="15"/>
      <c r="AH4" s="15"/>
      <c r="AI4" s="15"/>
      <c r="AJ4" s="15"/>
      <c r="AK4" s="15"/>
      <c r="AL4" s="15"/>
      <c r="AM4" s="15"/>
      <c r="AN4" s="15"/>
      <c r="AO4" s="15"/>
      <c r="AP4" s="15"/>
      <c r="AQ4" s="15"/>
      <c r="AR4" s="15"/>
      <c r="AU4" s="26"/>
      <c r="AV4" s="26"/>
      <c r="AW4" s="26"/>
      <c r="AX4" s="26"/>
    </row>
    <row r="5" spans="1:52" ht="15" customHeight="1">
      <c r="A5" s="184"/>
      <c r="B5" s="173"/>
      <c r="C5" s="186"/>
      <c r="D5" s="186"/>
      <c r="E5" s="186"/>
      <c r="F5" s="186"/>
      <c r="G5" s="186"/>
      <c r="H5" s="187"/>
      <c r="I5" s="186"/>
      <c r="J5" s="186"/>
      <c r="K5" s="186"/>
      <c r="L5" s="186"/>
      <c r="M5" s="186"/>
      <c r="N5" s="186"/>
      <c r="O5" s="186"/>
      <c r="P5" s="186"/>
      <c r="Q5" s="186"/>
      <c r="R5" s="187"/>
      <c r="S5" s="187"/>
      <c r="T5" s="186"/>
      <c r="U5" s="186"/>
      <c r="V5" s="186"/>
      <c r="W5" s="186"/>
      <c r="X5" s="186"/>
      <c r="Y5" s="186"/>
      <c r="Z5" s="186"/>
      <c r="AA5" s="188"/>
      <c r="AB5" s="15"/>
      <c r="AC5" s="15"/>
      <c r="AD5" s="15"/>
      <c r="AE5" s="15"/>
      <c r="AF5" s="15"/>
      <c r="AG5" s="15"/>
      <c r="AH5" s="15"/>
      <c r="AI5" s="15"/>
      <c r="AJ5" s="15"/>
      <c r="AK5" s="15"/>
      <c r="AL5" s="15"/>
      <c r="AM5" s="15"/>
      <c r="AN5" s="15"/>
      <c r="AO5" s="15"/>
      <c r="AP5" s="15"/>
      <c r="AQ5" s="15"/>
      <c r="AR5" s="15"/>
      <c r="AU5" s="106"/>
      <c r="AV5" s="106"/>
      <c r="AW5" s="106"/>
      <c r="AX5" s="106"/>
      <c r="AY5" s="106"/>
    </row>
    <row r="6" spans="1:52" ht="15" customHeight="1">
      <c r="A6" s="184"/>
      <c r="B6" s="173"/>
      <c r="C6" s="186"/>
      <c r="D6" s="186"/>
      <c r="E6" s="186"/>
      <c r="F6" s="186"/>
      <c r="G6" s="186"/>
      <c r="H6" s="187"/>
      <c r="I6" s="186"/>
      <c r="J6" s="186"/>
      <c r="K6" s="186"/>
      <c r="L6" s="186"/>
      <c r="M6" s="186"/>
      <c r="N6" s="186"/>
      <c r="O6" s="186"/>
      <c r="P6" s="186"/>
      <c r="Q6" s="186"/>
      <c r="R6" s="187"/>
      <c r="S6" s="187"/>
      <c r="T6" s="186"/>
      <c r="U6" s="186"/>
      <c r="V6" s="186"/>
      <c r="W6" s="186"/>
      <c r="X6" s="186"/>
      <c r="Y6" s="186"/>
      <c r="Z6" s="186"/>
      <c r="AA6" s="188"/>
      <c r="AB6" s="15"/>
      <c r="AC6" s="15"/>
      <c r="AD6" s="15"/>
      <c r="AE6" s="15"/>
      <c r="AF6" s="15"/>
      <c r="AG6" s="15"/>
      <c r="AH6" s="15"/>
      <c r="AI6" s="15"/>
      <c r="AJ6" s="15"/>
      <c r="AK6" s="15"/>
      <c r="AL6" s="15"/>
      <c r="AM6" s="15"/>
      <c r="AN6" s="15"/>
      <c r="AO6" s="15"/>
      <c r="AP6" s="15"/>
      <c r="AQ6" s="15"/>
      <c r="AR6" s="15"/>
      <c r="AU6" s="106"/>
      <c r="AV6" s="106"/>
      <c r="AW6" s="106"/>
      <c r="AX6" s="106"/>
      <c r="AY6" s="106"/>
    </row>
    <row r="7" spans="1:52" ht="15" customHeight="1">
      <c r="A7" s="184"/>
      <c r="B7" s="173"/>
      <c r="C7" s="186"/>
      <c r="D7" s="186"/>
      <c r="E7" s="186"/>
      <c r="F7" s="186"/>
      <c r="G7" s="186"/>
      <c r="H7" s="187"/>
      <c r="I7" s="186"/>
      <c r="J7" s="186"/>
      <c r="K7" s="186"/>
      <c r="L7" s="186"/>
      <c r="M7" s="186"/>
      <c r="N7" s="186"/>
      <c r="O7" s="186"/>
      <c r="P7" s="186"/>
      <c r="Q7" s="186"/>
      <c r="R7" s="187"/>
      <c r="S7" s="187"/>
      <c r="T7" s="186"/>
      <c r="U7" s="186"/>
      <c r="V7" s="186"/>
      <c r="W7" s="186"/>
      <c r="X7" s="186"/>
      <c r="Y7" s="186"/>
      <c r="Z7" s="186"/>
      <c r="AA7" s="188"/>
      <c r="AB7" s="15"/>
      <c r="AC7" s="15"/>
      <c r="AD7" s="15"/>
      <c r="AE7" s="15"/>
      <c r="AF7" s="15"/>
      <c r="AG7" s="15"/>
      <c r="AH7" s="15"/>
      <c r="AI7" s="15"/>
      <c r="AJ7" s="15"/>
      <c r="AK7" s="15"/>
      <c r="AL7" s="15"/>
      <c r="AM7" s="15"/>
      <c r="AN7" s="15"/>
      <c r="AO7" s="15"/>
      <c r="AP7" s="15"/>
      <c r="AQ7" s="15"/>
      <c r="AR7" s="15"/>
      <c r="AU7" s="106"/>
      <c r="AV7" s="106"/>
      <c r="AW7" s="106"/>
      <c r="AX7" s="106"/>
      <c r="AY7" s="106"/>
    </row>
    <row r="8" spans="1:52" s="77" customFormat="1" ht="15" customHeight="1" thickBot="1">
      <c r="A8" s="189"/>
      <c r="B8" s="190"/>
      <c r="C8" s="15"/>
      <c r="D8" s="15"/>
      <c r="E8" s="15"/>
      <c r="F8" s="15"/>
      <c r="G8" s="15"/>
      <c r="H8" s="15"/>
      <c r="I8" s="15"/>
      <c r="J8" s="15"/>
      <c r="K8" s="15"/>
      <c r="L8" s="15"/>
      <c r="M8" s="15"/>
      <c r="N8" s="15"/>
      <c r="O8" s="15"/>
      <c r="P8" s="15"/>
      <c r="Q8" s="15"/>
      <c r="R8" s="15"/>
      <c r="S8" s="15"/>
      <c r="T8" s="15"/>
      <c r="U8" s="15"/>
      <c r="V8" s="15"/>
      <c r="W8" s="15"/>
      <c r="X8" s="15"/>
      <c r="Y8" s="15"/>
      <c r="Z8" s="15"/>
      <c r="AA8" s="185"/>
      <c r="AB8" s="15"/>
      <c r="AC8" s="15"/>
      <c r="AD8" s="15"/>
      <c r="AE8" s="15"/>
      <c r="AF8" s="15"/>
      <c r="AG8" s="15"/>
      <c r="AH8" s="15"/>
      <c r="AI8" s="15"/>
      <c r="AJ8" s="15"/>
      <c r="AK8" s="15"/>
      <c r="AL8" s="15"/>
      <c r="AM8" s="15"/>
      <c r="AN8" s="15"/>
      <c r="AO8" s="15"/>
      <c r="AP8" s="15"/>
      <c r="AQ8" s="15"/>
      <c r="AR8" s="15"/>
      <c r="AU8" s="26"/>
      <c r="AV8" s="26"/>
      <c r="AW8" s="26"/>
      <c r="AX8" s="26"/>
      <c r="AY8" s="26"/>
      <c r="AZ8"/>
    </row>
    <row r="9" spans="1:52" ht="15" customHeight="1" thickTop="1">
      <c r="A9" s="184"/>
      <c r="B9" s="173"/>
      <c r="C9" s="46"/>
      <c r="D9" s="46"/>
      <c r="E9" s="46"/>
      <c r="F9" s="46"/>
      <c r="G9" s="46"/>
      <c r="H9" s="15"/>
      <c r="I9" s="46"/>
      <c r="J9" s="46"/>
      <c r="K9" s="46"/>
      <c r="L9" s="46"/>
      <c r="M9" s="46"/>
      <c r="N9" s="46"/>
      <c r="O9" s="191" t="s">
        <v>237</v>
      </c>
      <c r="P9" s="238"/>
      <c r="Q9" s="238"/>
      <c r="R9" s="238"/>
      <c r="S9" s="192"/>
      <c r="T9" s="853" t="s">
        <v>402</v>
      </c>
      <c r="U9" s="854"/>
      <c r="V9" s="854"/>
      <c r="W9" s="854"/>
      <c r="X9" s="854"/>
      <c r="Y9" s="854"/>
      <c r="Z9" s="855"/>
      <c r="AA9" s="193"/>
      <c r="AB9" s="15"/>
      <c r="AC9" s="15"/>
      <c r="AD9" s="15"/>
      <c r="AE9" s="15"/>
      <c r="AF9" s="15"/>
      <c r="AG9" s="15"/>
      <c r="AH9" s="15"/>
      <c r="AI9" s="15"/>
      <c r="AJ9" s="15"/>
      <c r="AK9" s="15"/>
      <c r="AL9" s="15"/>
      <c r="AM9" s="15"/>
      <c r="AN9" s="15"/>
      <c r="AO9" s="15"/>
      <c r="AP9" s="15"/>
      <c r="AQ9" s="15"/>
      <c r="AR9" s="15"/>
    </row>
    <row r="10" spans="1:52" ht="15" customHeight="1">
      <c r="A10" s="184"/>
      <c r="B10" s="173"/>
      <c r="C10" s="46"/>
      <c r="D10" s="46"/>
      <c r="E10" s="46"/>
      <c r="F10" s="46"/>
      <c r="G10" s="46"/>
      <c r="H10" s="15"/>
      <c r="I10" s="46"/>
      <c r="J10" s="46"/>
      <c r="K10" s="46"/>
      <c r="L10" s="46"/>
      <c r="M10" s="46"/>
      <c r="N10" s="46"/>
      <c r="O10" s="194" t="s">
        <v>235</v>
      </c>
      <c r="P10" s="195"/>
      <c r="Q10" s="195"/>
      <c r="R10" s="195"/>
      <c r="S10" s="196"/>
      <c r="T10" s="856">
        <v>0</v>
      </c>
      <c r="U10" s="857"/>
      <c r="V10" s="857"/>
      <c r="W10" s="857"/>
      <c r="X10" s="857"/>
      <c r="Y10" s="857"/>
      <c r="Z10" s="858"/>
      <c r="AA10" s="193"/>
    </row>
    <row r="11" spans="1:52" ht="15" customHeight="1" thickBot="1">
      <c r="A11" s="184"/>
      <c r="B11" s="173"/>
      <c r="C11" s="46"/>
      <c r="D11" s="46"/>
      <c r="E11" s="46"/>
      <c r="F11" s="46"/>
      <c r="G11" s="46"/>
      <c r="H11" s="15"/>
      <c r="I11" s="46"/>
      <c r="J11" s="46"/>
      <c r="K11" s="46"/>
      <c r="L11" s="46"/>
      <c r="M11" s="46"/>
      <c r="N11" s="46"/>
      <c r="O11" s="197" t="s">
        <v>236</v>
      </c>
      <c r="P11" s="198"/>
      <c r="Q11" s="198"/>
      <c r="R11" s="198"/>
      <c r="S11" s="199"/>
      <c r="T11" s="859">
        <v>42460</v>
      </c>
      <c r="U11" s="860"/>
      <c r="V11" s="860"/>
      <c r="W11" s="860"/>
      <c r="X11" s="860"/>
      <c r="Y11" s="860"/>
      <c r="Z11" s="861"/>
      <c r="AA11" s="193"/>
    </row>
    <row r="12" spans="1:52" ht="15" customHeight="1" thickTop="1">
      <c r="A12" s="184"/>
      <c r="B12" s="173"/>
      <c r="C12" s="46"/>
      <c r="D12" s="46"/>
      <c r="E12" s="46"/>
      <c r="F12" s="46"/>
      <c r="G12" s="46"/>
      <c r="H12" s="15"/>
      <c r="I12" s="46"/>
      <c r="J12" s="46"/>
      <c r="K12" s="46"/>
      <c r="L12" s="46"/>
      <c r="M12" s="46"/>
      <c r="N12" s="46"/>
      <c r="O12" s="46"/>
      <c r="P12" s="46"/>
      <c r="Q12" s="46"/>
      <c r="R12" s="15"/>
      <c r="S12" s="15"/>
      <c r="T12" s="46"/>
      <c r="U12" s="46"/>
      <c r="V12" s="46"/>
      <c r="W12" s="46"/>
      <c r="X12" s="46"/>
      <c r="Y12" s="46"/>
      <c r="Z12" s="46"/>
      <c r="AA12" s="193"/>
    </row>
    <row r="13" spans="1:52" ht="15" customHeight="1">
      <c r="A13" s="184"/>
      <c r="B13" s="173"/>
      <c r="C13" s="46"/>
      <c r="D13" s="46"/>
      <c r="E13" s="46"/>
      <c r="F13" s="15"/>
      <c r="G13" s="15"/>
      <c r="H13" s="46"/>
      <c r="I13" s="46"/>
      <c r="J13" s="46"/>
      <c r="K13" s="46"/>
      <c r="L13" s="46"/>
      <c r="M13" s="46"/>
      <c r="N13" s="46"/>
      <c r="O13" s="46"/>
      <c r="P13" s="46"/>
      <c r="Q13" s="46"/>
      <c r="R13" s="15"/>
      <c r="S13" s="15"/>
      <c r="T13" s="46"/>
      <c r="U13" s="46"/>
      <c r="V13" s="46"/>
      <c r="W13" s="46"/>
      <c r="X13" s="46"/>
      <c r="Y13" s="46"/>
      <c r="Z13" s="46"/>
      <c r="AA13" s="193"/>
    </row>
    <row r="14" spans="1:52" ht="15" customHeight="1">
      <c r="A14" s="184"/>
      <c r="B14" s="173"/>
      <c r="C14" s="46"/>
      <c r="D14" s="46"/>
      <c r="E14" s="46"/>
      <c r="F14" s="15"/>
      <c r="G14" s="15"/>
      <c r="H14" s="46"/>
      <c r="I14" s="46"/>
      <c r="J14" s="46"/>
      <c r="K14" s="46"/>
      <c r="L14" s="46"/>
      <c r="M14" s="46"/>
      <c r="N14" s="200"/>
      <c r="O14" s="46"/>
      <c r="P14" s="46"/>
      <c r="Q14" s="46"/>
      <c r="R14" s="15"/>
      <c r="S14" s="15"/>
      <c r="T14" s="46"/>
      <c r="U14" s="46"/>
      <c r="V14" s="46"/>
      <c r="W14" s="46"/>
      <c r="X14" s="46"/>
      <c r="Y14" s="46"/>
      <c r="Z14" s="46"/>
      <c r="AA14" s="193"/>
      <c r="AB14"/>
      <c r="AC14"/>
      <c r="AD14"/>
      <c r="AE14"/>
      <c r="AF14"/>
      <c r="AG14"/>
      <c r="AH14"/>
      <c r="AI14"/>
      <c r="AJ14"/>
      <c r="AK14"/>
      <c r="AL14"/>
      <c r="AM14"/>
      <c r="AN14"/>
      <c r="AO14"/>
      <c r="AP14"/>
      <c r="AQ14"/>
      <c r="AR14"/>
      <c r="AS14"/>
      <c r="AT14"/>
      <c r="AU14"/>
      <c r="AV14"/>
      <c r="AW14"/>
      <c r="AX14"/>
      <c r="AY14"/>
    </row>
    <row r="15" spans="1:52" ht="15" customHeight="1">
      <c r="A15" s="184"/>
      <c r="B15" s="173"/>
      <c r="C15" s="46"/>
      <c r="D15" s="46"/>
      <c r="E15" s="46"/>
      <c r="F15" s="15"/>
      <c r="G15" s="15"/>
      <c r="H15" s="46"/>
      <c r="I15" s="46"/>
      <c r="J15" s="46"/>
      <c r="K15" s="46"/>
      <c r="L15" s="46"/>
      <c r="M15" s="46"/>
      <c r="N15" s="200"/>
      <c r="O15" s="46"/>
      <c r="P15" s="46"/>
      <c r="Q15" s="46"/>
      <c r="R15" s="15"/>
      <c r="S15" s="15"/>
      <c r="T15" s="46"/>
      <c r="U15" s="46"/>
      <c r="V15" s="46"/>
      <c r="W15" s="46"/>
      <c r="X15" s="46"/>
      <c r="Y15" s="46"/>
      <c r="Z15" s="46"/>
      <c r="AA15" s="193"/>
      <c r="AB15"/>
      <c r="AC15"/>
      <c r="AD15"/>
      <c r="AE15"/>
      <c r="AF15"/>
      <c r="AG15"/>
      <c r="AH15"/>
      <c r="AI15"/>
      <c r="AJ15"/>
      <c r="AK15"/>
      <c r="AL15"/>
      <c r="AM15"/>
      <c r="AN15"/>
      <c r="AO15"/>
      <c r="AP15"/>
      <c r="AQ15"/>
      <c r="AR15"/>
      <c r="AS15"/>
      <c r="AT15"/>
      <c r="AU15"/>
      <c r="AV15"/>
      <c r="AW15"/>
      <c r="AX15"/>
      <c r="AY15"/>
    </row>
    <row r="16" spans="1:52" ht="15" customHeight="1">
      <c r="A16" s="184"/>
      <c r="B16" s="173"/>
      <c r="C16" s="46"/>
      <c r="D16" s="46"/>
      <c r="E16" s="46"/>
      <c r="F16" s="15"/>
      <c r="G16" s="15"/>
      <c r="H16" s="46"/>
      <c r="I16" s="46"/>
      <c r="J16" s="46"/>
      <c r="K16" s="46"/>
      <c r="L16" s="46"/>
      <c r="M16" s="46"/>
      <c r="N16" s="200"/>
      <c r="O16" s="46"/>
      <c r="P16" s="46"/>
      <c r="Q16" s="46"/>
      <c r="R16" s="15"/>
      <c r="S16" s="15"/>
      <c r="T16" s="46"/>
      <c r="U16" s="46"/>
      <c r="V16" s="46"/>
      <c r="W16" s="46"/>
      <c r="X16" s="46"/>
      <c r="Y16" s="46"/>
      <c r="Z16" s="46"/>
      <c r="AA16" s="193"/>
      <c r="AB16"/>
      <c r="AC16"/>
      <c r="AD16"/>
      <c r="AE16"/>
      <c r="AF16"/>
      <c r="AG16"/>
      <c r="AH16"/>
      <c r="AI16"/>
      <c r="AJ16"/>
      <c r="AK16"/>
      <c r="AL16"/>
      <c r="AM16"/>
      <c r="AN16"/>
      <c r="AO16"/>
      <c r="AP16"/>
      <c r="AQ16"/>
      <c r="AR16"/>
      <c r="AS16"/>
      <c r="AT16"/>
      <c r="AU16"/>
      <c r="AV16"/>
      <c r="AW16"/>
      <c r="AX16"/>
      <c r="AY16"/>
    </row>
    <row r="17" spans="1:51" ht="15" customHeight="1">
      <c r="A17" s="184"/>
      <c r="B17" s="173"/>
      <c r="C17" s="46"/>
      <c r="D17" s="46"/>
      <c r="E17" s="46"/>
      <c r="F17" s="15"/>
      <c r="G17" s="15"/>
      <c r="H17" s="46"/>
      <c r="I17" s="46"/>
      <c r="J17" s="46"/>
      <c r="K17" s="46"/>
      <c r="L17" s="46"/>
      <c r="M17" s="46"/>
      <c r="N17" s="200"/>
      <c r="O17" s="46"/>
      <c r="P17" s="46"/>
      <c r="Q17" s="46"/>
      <c r="R17" s="15"/>
      <c r="S17" s="15"/>
      <c r="T17" s="46"/>
      <c r="U17" s="46"/>
      <c r="V17" s="46"/>
      <c r="W17" s="46"/>
      <c r="X17" s="46"/>
      <c r="Y17" s="46"/>
      <c r="Z17" s="46"/>
      <c r="AA17" s="193"/>
      <c r="AB17"/>
      <c r="AC17"/>
      <c r="AD17"/>
      <c r="AE17"/>
      <c r="AF17"/>
      <c r="AG17"/>
      <c r="AH17"/>
      <c r="AI17"/>
      <c r="AJ17"/>
      <c r="AK17"/>
      <c r="AL17"/>
      <c r="AM17"/>
      <c r="AN17"/>
      <c r="AO17"/>
      <c r="AP17"/>
      <c r="AQ17"/>
      <c r="AR17"/>
      <c r="AS17"/>
      <c r="AT17"/>
      <c r="AU17"/>
      <c r="AV17"/>
      <c r="AW17"/>
      <c r="AX17"/>
      <c r="AY17"/>
    </row>
    <row r="18" spans="1:51" ht="15" customHeight="1">
      <c r="A18" s="184"/>
      <c r="B18" s="173"/>
      <c r="C18" s="46"/>
      <c r="D18" s="46"/>
      <c r="E18" s="46"/>
      <c r="F18" s="15"/>
      <c r="G18" s="15"/>
      <c r="H18" s="46"/>
      <c r="I18" s="46"/>
      <c r="J18" s="46"/>
      <c r="K18" s="46"/>
      <c r="L18" s="46"/>
      <c r="M18" s="46"/>
      <c r="N18" s="200"/>
      <c r="O18" s="46"/>
      <c r="P18" s="46"/>
      <c r="Q18" s="46"/>
      <c r="R18" s="15"/>
      <c r="S18" s="15"/>
      <c r="T18" s="46"/>
      <c r="U18" s="46"/>
      <c r="V18" s="46"/>
      <c r="W18" s="46"/>
      <c r="X18" s="46"/>
      <c r="Y18" s="46"/>
      <c r="Z18" s="46"/>
      <c r="AA18" s="193"/>
      <c r="AB18" s="173"/>
      <c r="AC18" s="173"/>
      <c r="AD18" s="173"/>
      <c r="AE18" s="173"/>
      <c r="AF18" s="173"/>
      <c r="AG18" s="173"/>
      <c r="AH18" s="173"/>
      <c r="AI18"/>
      <c r="AJ18"/>
      <c r="AK18"/>
      <c r="AL18"/>
      <c r="AM18"/>
      <c r="AN18"/>
      <c r="AO18"/>
      <c r="AP18"/>
      <c r="AQ18"/>
      <c r="AR18"/>
      <c r="AS18"/>
      <c r="AT18"/>
      <c r="AU18"/>
      <c r="AV18"/>
      <c r="AW18"/>
      <c r="AX18"/>
      <c r="AY18"/>
    </row>
    <row r="19" spans="1:51" ht="15" customHeight="1">
      <c r="A19" s="184"/>
      <c r="B19" s="173"/>
      <c r="C19" s="201"/>
      <c r="D19" s="201"/>
      <c r="E19" s="201"/>
      <c r="F19" s="201"/>
      <c r="G19" s="201"/>
      <c r="H19" s="201"/>
      <c r="I19" s="202"/>
      <c r="J19" s="202"/>
      <c r="K19" s="202"/>
      <c r="L19" s="202"/>
      <c r="M19" s="200"/>
      <c r="N19" s="200"/>
      <c r="O19" s="46"/>
      <c r="P19" s="46"/>
      <c r="Q19" s="46"/>
      <c r="R19" s="15"/>
      <c r="S19" s="15"/>
      <c r="T19" s="46"/>
      <c r="U19" s="46"/>
      <c r="V19" s="46"/>
      <c r="W19" s="46"/>
      <c r="X19" s="46"/>
      <c r="Y19" s="46"/>
      <c r="Z19" s="46"/>
      <c r="AA19" s="193"/>
      <c r="AB19" s="173"/>
      <c r="AC19" s="173"/>
      <c r="AD19" s="173"/>
      <c r="AE19" s="173"/>
      <c r="AF19" s="173"/>
      <c r="AG19" s="173"/>
      <c r="AH19" s="173"/>
      <c r="AI19"/>
      <c r="AJ19"/>
      <c r="AK19"/>
      <c r="AL19"/>
      <c r="AM19"/>
      <c r="AN19"/>
      <c r="AO19"/>
      <c r="AP19"/>
      <c r="AQ19"/>
      <c r="AR19"/>
      <c r="AS19"/>
      <c r="AT19"/>
      <c r="AU19"/>
      <c r="AV19"/>
      <c r="AW19"/>
      <c r="AX19"/>
      <c r="AY19"/>
    </row>
    <row r="20" spans="1:51" ht="15" customHeight="1">
      <c r="A20" s="184"/>
      <c r="B20" s="173"/>
      <c r="C20" s="201"/>
      <c r="D20" s="851"/>
      <c r="E20" s="851"/>
      <c r="F20" s="851"/>
      <c r="G20" s="851"/>
      <c r="H20" s="851"/>
      <c r="I20" s="852"/>
      <c r="J20" s="852"/>
      <c r="K20" s="852"/>
      <c r="L20" s="852"/>
      <c r="M20" s="200"/>
      <c r="N20" s="200"/>
      <c r="O20" s="46"/>
      <c r="P20" s="46"/>
      <c r="Q20" s="46"/>
      <c r="R20" s="15"/>
      <c r="S20" s="15"/>
      <c r="T20" s="46"/>
      <c r="U20" s="46"/>
      <c r="V20" s="46"/>
      <c r="W20" s="46"/>
      <c r="X20" s="46"/>
      <c r="Y20" s="46"/>
      <c r="Z20" s="46"/>
      <c r="AA20" s="193"/>
      <c r="AB20" s="173"/>
      <c r="AC20" s="173"/>
      <c r="AD20" s="173"/>
      <c r="AE20" s="173"/>
      <c r="AF20" s="173"/>
      <c r="AG20" s="173"/>
      <c r="AH20" s="173"/>
      <c r="AX20"/>
      <c r="AY20"/>
    </row>
    <row r="21" spans="1:51" ht="15" customHeight="1">
      <c r="A21" s="184"/>
      <c r="B21" s="173"/>
      <c r="C21" s="201"/>
      <c r="D21" s="851"/>
      <c r="E21" s="851"/>
      <c r="F21" s="851"/>
      <c r="G21" s="851"/>
      <c r="H21" s="851"/>
      <c r="I21" s="852"/>
      <c r="J21" s="852"/>
      <c r="K21" s="852"/>
      <c r="L21" s="852"/>
      <c r="M21" s="200"/>
      <c r="N21" s="200"/>
      <c r="O21" s="46"/>
      <c r="P21" s="46"/>
      <c r="Q21" s="46"/>
      <c r="R21" s="15"/>
      <c r="S21" s="15"/>
      <c r="T21" s="46"/>
      <c r="U21" s="46"/>
      <c r="V21" s="46"/>
      <c r="W21" s="46"/>
      <c r="X21" s="46"/>
      <c r="Y21" s="46"/>
      <c r="Z21" s="46"/>
      <c r="AA21" s="193"/>
      <c r="AB21" s="173"/>
      <c r="AC21" s="173"/>
      <c r="AD21" s="173"/>
      <c r="AE21" s="173"/>
      <c r="AF21" s="173"/>
      <c r="AG21" s="173"/>
      <c r="AH21" s="173"/>
      <c r="AI21"/>
      <c r="AJ21"/>
      <c r="AK21"/>
      <c r="AL21"/>
      <c r="AM21"/>
      <c r="AN21"/>
      <c r="AO21"/>
      <c r="AP21"/>
      <c r="AQ21"/>
      <c r="AR21"/>
      <c r="AS21"/>
      <c r="AT21"/>
      <c r="AU21"/>
      <c r="AV21"/>
      <c r="AW21"/>
      <c r="AX21"/>
      <c r="AY21"/>
    </row>
    <row r="22" spans="1:51" ht="15" customHeight="1">
      <c r="A22" s="184"/>
      <c r="B22" s="173"/>
      <c r="C22" s="201"/>
      <c r="D22" s="851"/>
      <c r="E22" s="851"/>
      <c r="F22" s="851"/>
      <c r="G22" s="851"/>
      <c r="H22" s="851"/>
      <c r="I22" s="852"/>
      <c r="J22" s="852"/>
      <c r="K22" s="852"/>
      <c r="L22" s="852"/>
      <c r="M22" s="200"/>
      <c r="N22" s="200"/>
      <c r="O22" s="46"/>
      <c r="P22" s="46"/>
      <c r="Q22" s="46"/>
      <c r="R22" s="15"/>
      <c r="S22" s="15"/>
      <c r="T22" s="46"/>
      <c r="U22" s="46"/>
      <c r="V22" s="46"/>
      <c r="W22" s="46"/>
      <c r="X22" s="46"/>
      <c r="Y22" s="46"/>
      <c r="Z22" s="46"/>
      <c r="AA22" s="193"/>
      <c r="AB22" s="173"/>
      <c r="AC22" s="173"/>
      <c r="AD22" s="173"/>
      <c r="AE22" s="173"/>
      <c r="AF22" s="173"/>
      <c r="AG22" s="173"/>
      <c r="AH22" s="173"/>
      <c r="AI22"/>
      <c r="AK22"/>
      <c r="AL22"/>
      <c r="AM22"/>
      <c r="AN22"/>
      <c r="AO22"/>
      <c r="AP22"/>
      <c r="AQ22"/>
      <c r="AR22"/>
      <c r="AS22"/>
      <c r="AT22"/>
      <c r="AU22"/>
      <c r="AV22"/>
      <c r="AW22"/>
      <c r="AX22"/>
      <c r="AY22"/>
    </row>
    <row r="23" spans="1:51" ht="15" customHeight="1">
      <c r="A23" s="184"/>
      <c r="B23" s="173"/>
      <c r="C23" s="201"/>
      <c r="D23" s="851"/>
      <c r="E23" s="851"/>
      <c r="F23" s="851"/>
      <c r="G23" s="851"/>
      <c r="H23" s="851"/>
      <c r="I23" s="852"/>
      <c r="J23" s="852"/>
      <c r="K23" s="852"/>
      <c r="L23" s="852"/>
      <c r="M23" s="200"/>
      <c r="N23" s="200"/>
      <c r="O23" s="46"/>
      <c r="P23" s="46"/>
      <c r="Q23" s="46"/>
      <c r="R23" s="15"/>
      <c r="S23" s="15"/>
      <c r="T23" s="46"/>
      <c r="U23" s="46"/>
      <c r="V23" s="46"/>
      <c r="W23" s="46"/>
      <c r="X23" s="46"/>
      <c r="Y23" s="46"/>
      <c r="Z23" s="46"/>
      <c r="AA23" s="193"/>
      <c r="AB23" s="173"/>
      <c r="AC23" s="173"/>
      <c r="AD23" s="173"/>
      <c r="AE23" s="173"/>
      <c r="AF23" s="173"/>
      <c r="AG23" s="173"/>
      <c r="AH23" s="173"/>
      <c r="AX23"/>
      <c r="AY23"/>
    </row>
    <row r="24" spans="1:51" ht="15" customHeight="1">
      <c r="A24" s="184"/>
      <c r="B24" s="173"/>
      <c r="C24" s="201"/>
      <c r="D24" s="851"/>
      <c r="E24" s="851"/>
      <c r="F24" s="851"/>
      <c r="G24" s="851"/>
      <c r="H24" s="851"/>
      <c r="I24" s="852"/>
      <c r="J24" s="852"/>
      <c r="K24" s="852"/>
      <c r="L24" s="852"/>
      <c r="M24" s="200"/>
      <c r="N24" s="200"/>
      <c r="O24" s="46"/>
      <c r="P24" s="46"/>
      <c r="Q24" s="46"/>
      <c r="R24" s="15"/>
      <c r="S24" s="15"/>
      <c r="T24" s="46"/>
      <c r="U24" s="46"/>
      <c r="V24" s="46"/>
      <c r="W24" s="46"/>
      <c r="X24" s="46"/>
      <c r="Y24" s="46"/>
      <c r="Z24" s="46"/>
      <c r="AA24" s="193"/>
      <c r="AB24" s="173"/>
      <c r="AC24" s="173"/>
      <c r="AD24" s="173"/>
      <c r="AE24" s="173"/>
      <c r="AF24" s="173"/>
      <c r="AG24" s="173"/>
      <c r="AH24" s="173"/>
      <c r="AX24"/>
      <c r="AY24"/>
    </row>
    <row r="25" spans="1:51" ht="15" customHeight="1">
      <c r="A25" s="184"/>
      <c r="B25" s="173"/>
      <c r="C25" s="201"/>
      <c r="D25" s="851"/>
      <c r="E25" s="851"/>
      <c r="F25" s="851"/>
      <c r="G25" s="851"/>
      <c r="H25" s="851"/>
      <c r="I25" s="852"/>
      <c r="J25" s="852"/>
      <c r="K25" s="852"/>
      <c r="L25" s="852"/>
      <c r="M25" s="200"/>
      <c r="N25" s="200"/>
      <c r="O25" s="46"/>
      <c r="P25" s="46"/>
      <c r="Q25" s="46"/>
      <c r="R25" s="15"/>
      <c r="S25" s="15"/>
      <c r="T25" s="46"/>
      <c r="U25" s="46"/>
      <c r="V25" s="46"/>
      <c r="W25" s="46"/>
      <c r="X25" s="46"/>
      <c r="Y25" s="46"/>
      <c r="Z25" s="46"/>
      <c r="AA25" s="193"/>
      <c r="AB25" s="173"/>
      <c r="AC25" s="173"/>
      <c r="AD25" s="173"/>
      <c r="AE25" s="173"/>
      <c r="AF25" s="173"/>
      <c r="AG25" s="173"/>
      <c r="AH25" s="173"/>
      <c r="AX25"/>
      <c r="AY25"/>
    </row>
    <row r="26" spans="1:51" ht="15" customHeight="1">
      <c r="A26" s="184"/>
      <c r="B26" s="173"/>
      <c r="C26" s="201"/>
      <c r="D26" s="851"/>
      <c r="E26" s="851"/>
      <c r="F26" s="851"/>
      <c r="G26" s="851"/>
      <c r="H26" s="851"/>
      <c r="I26" s="852"/>
      <c r="J26" s="852"/>
      <c r="K26" s="852"/>
      <c r="L26" s="852"/>
      <c r="M26" s="200"/>
      <c r="N26" s="200"/>
      <c r="O26" s="46"/>
      <c r="P26" s="46"/>
      <c r="Q26" s="46"/>
      <c r="R26" s="15"/>
      <c r="S26" s="15"/>
      <c r="T26" s="46"/>
      <c r="U26" s="46"/>
      <c r="V26" s="46"/>
      <c r="W26" s="46"/>
      <c r="X26" s="46"/>
      <c r="Y26" s="46"/>
      <c r="Z26" s="46"/>
      <c r="AA26" s="193"/>
      <c r="AB26" s="173"/>
      <c r="AC26" s="173"/>
      <c r="AD26" s="173"/>
      <c r="AE26" s="173"/>
      <c r="AF26" s="173"/>
      <c r="AG26" s="173"/>
      <c r="AH26" s="173"/>
      <c r="AX26"/>
      <c r="AY26"/>
    </row>
    <row r="27" spans="1:51" ht="15" customHeight="1">
      <c r="A27" s="184"/>
      <c r="B27" s="173"/>
      <c r="C27" s="201"/>
      <c r="D27" s="851"/>
      <c r="E27" s="851"/>
      <c r="F27" s="851"/>
      <c r="G27" s="851"/>
      <c r="H27" s="851"/>
      <c r="I27" s="852"/>
      <c r="J27" s="852"/>
      <c r="K27" s="852"/>
      <c r="L27" s="852"/>
      <c r="M27" s="200"/>
      <c r="N27" s="200"/>
      <c r="O27" s="46"/>
      <c r="P27" s="46"/>
      <c r="Q27" s="46"/>
      <c r="R27" s="15"/>
      <c r="S27" s="15"/>
      <c r="T27" s="46"/>
      <c r="U27" s="46"/>
      <c r="V27" s="46"/>
      <c r="W27" s="46"/>
      <c r="X27" s="46"/>
      <c r="Y27" s="46"/>
      <c r="Z27" s="46"/>
      <c r="AA27" s="193"/>
      <c r="AB27" s="173"/>
      <c r="AC27" s="173"/>
      <c r="AD27" s="173"/>
      <c r="AE27" s="173"/>
      <c r="AF27" s="173"/>
      <c r="AG27" s="173"/>
      <c r="AH27" s="173"/>
      <c r="AX27"/>
      <c r="AY27"/>
    </row>
    <row r="28" spans="1:51" ht="15" customHeight="1">
      <c r="A28" s="184"/>
      <c r="B28" s="173"/>
      <c r="C28" s="201"/>
      <c r="D28" s="851"/>
      <c r="E28" s="851"/>
      <c r="F28" s="851"/>
      <c r="G28" s="851"/>
      <c r="H28" s="851"/>
      <c r="I28" s="852"/>
      <c r="J28" s="852"/>
      <c r="K28" s="852"/>
      <c r="L28" s="852"/>
      <c r="M28" s="200"/>
      <c r="N28" s="200"/>
      <c r="O28" s="46"/>
      <c r="P28" s="46"/>
      <c r="Q28" s="46"/>
      <c r="R28" s="15"/>
      <c r="S28" s="15"/>
      <c r="T28" s="46"/>
      <c r="U28" s="46"/>
      <c r="V28" s="46"/>
      <c r="W28" s="46"/>
      <c r="X28" s="46"/>
      <c r="Y28" s="46"/>
      <c r="Z28" s="46"/>
      <c r="AA28" s="193"/>
      <c r="AB28" s="173"/>
      <c r="AC28" s="173"/>
      <c r="AD28" s="173"/>
      <c r="AE28" s="173"/>
      <c r="AF28" s="173"/>
      <c r="AG28" s="173"/>
      <c r="AH28" s="173"/>
      <c r="AX28"/>
      <c r="AY28"/>
    </row>
    <row r="29" spans="1:51" ht="15" customHeight="1">
      <c r="A29" s="184"/>
      <c r="B29" s="173"/>
      <c r="C29" s="201"/>
      <c r="D29" s="851"/>
      <c r="E29" s="851"/>
      <c r="F29" s="851"/>
      <c r="G29" s="851"/>
      <c r="H29" s="851"/>
      <c r="I29" s="852"/>
      <c r="J29" s="852"/>
      <c r="K29" s="852"/>
      <c r="L29" s="852"/>
      <c r="M29" s="200"/>
      <c r="N29" s="200"/>
      <c r="O29" s="46"/>
      <c r="P29" s="46"/>
      <c r="Q29" s="46"/>
      <c r="R29" s="15"/>
      <c r="S29" s="15"/>
      <c r="T29" s="46"/>
      <c r="U29" s="46"/>
      <c r="V29" s="46"/>
      <c r="W29" s="46"/>
      <c r="X29" s="46"/>
      <c r="Y29" s="46"/>
      <c r="Z29" s="46"/>
      <c r="AA29" s="193"/>
      <c r="AB29" s="173"/>
      <c r="AC29" s="173"/>
      <c r="AD29" s="173"/>
      <c r="AE29" s="173"/>
      <c r="AF29" s="173"/>
      <c r="AG29" s="173"/>
      <c r="AH29" s="173"/>
      <c r="AI29"/>
      <c r="AJ29"/>
      <c r="AK29"/>
      <c r="AL29"/>
      <c r="AM29"/>
      <c r="AN29"/>
      <c r="AO29"/>
      <c r="AP29"/>
      <c r="AQ29"/>
      <c r="AR29"/>
      <c r="AS29"/>
      <c r="AT29"/>
      <c r="AU29"/>
      <c r="AV29"/>
      <c r="AW29"/>
      <c r="AX29"/>
      <c r="AY29"/>
    </row>
    <row r="30" spans="1:51" ht="15" customHeight="1">
      <c r="A30" s="184"/>
      <c r="B30" s="173"/>
      <c r="C30" s="201"/>
      <c r="D30" s="851"/>
      <c r="E30" s="851"/>
      <c r="F30" s="851"/>
      <c r="G30" s="851"/>
      <c r="H30" s="851"/>
      <c r="I30" s="852"/>
      <c r="J30" s="852"/>
      <c r="K30" s="852"/>
      <c r="L30" s="852"/>
      <c r="M30" s="200"/>
      <c r="N30" s="200"/>
      <c r="O30" s="46"/>
      <c r="P30" s="46"/>
      <c r="Q30" s="46"/>
      <c r="R30" s="15"/>
      <c r="S30" s="15"/>
      <c r="T30" s="46"/>
      <c r="U30" s="46"/>
      <c r="V30" s="46"/>
      <c r="W30" s="46"/>
      <c r="X30" s="46"/>
      <c r="Y30" s="46"/>
      <c r="Z30" s="46"/>
      <c r="AA30" s="193"/>
      <c r="AB30" s="173"/>
      <c r="AC30" s="173"/>
      <c r="AD30" s="173"/>
      <c r="AE30" s="173"/>
      <c r="AF30" s="173"/>
      <c r="AG30" s="173"/>
      <c r="AH30" s="173"/>
      <c r="AI30"/>
      <c r="AJ30"/>
      <c r="AK30"/>
      <c r="AL30"/>
      <c r="AM30"/>
      <c r="AN30"/>
      <c r="AO30"/>
      <c r="AP30"/>
      <c r="AQ30"/>
      <c r="AR30"/>
      <c r="AS30"/>
      <c r="AT30"/>
      <c r="AU30"/>
      <c r="AV30"/>
      <c r="AW30"/>
      <c r="AX30"/>
      <c r="AY30"/>
    </row>
    <row r="31" spans="1:51" ht="15" customHeight="1">
      <c r="A31" s="184"/>
      <c r="B31" s="173"/>
      <c r="C31" s="201"/>
      <c r="D31" s="851"/>
      <c r="E31" s="851"/>
      <c r="F31" s="851"/>
      <c r="G31" s="851"/>
      <c r="H31" s="851"/>
      <c r="I31" s="852"/>
      <c r="J31" s="852"/>
      <c r="K31" s="852"/>
      <c r="L31" s="852"/>
      <c r="M31" s="200"/>
      <c r="N31" s="200"/>
      <c r="O31" s="46"/>
      <c r="P31" s="46"/>
      <c r="Q31" s="46"/>
      <c r="R31" s="15"/>
      <c r="S31" s="15"/>
      <c r="T31" s="46"/>
      <c r="U31" s="46"/>
      <c r="V31" s="46"/>
      <c r="W31" s="46"/>
      <c r="X31" s="46"/>
      <c r="Y31" s="46"/>
      <c r="Z31" s="46"/>
      <c r="AA31" s="193"/>
      <c r="AB31" s="173"/>
      <c r="AC31" s="173"/>
      <c r="AD31" s="173"/>
      <c r="AE31" s="173"/>
      <c r="AF31" s="173"/>
      <c r="AG31" s="173"/>
      <c r="AH31" s="173"/>
      <c r="AI31"/>
      <c r="AJ31"/>
      <c r="AK31"/>
      <c r="AL31"/>
      <c r="AM31"/>
      <c r="AN31"/>
      <c r="AO31"/>
      <c r="AP31"/>
      <c r="AQ31"/>
      <c r="AR31"/>
      <c r="AS31"/>
      <c r="AT31"/>
      <c r="AU31"/>
      <c r="AV31"/>
      <c r="AW31"/>
      <c r="AX31"/>
      <c r="AY31"/>
    </row>
    <row r="32" spans="1:51" ht="15" customHeight="1">
      <c r="A32" s="184"/>
      <c r="B32" s="173"/>
      <c r="C32" s="201"/>
      <c r="D32" s="851"/>
      <c r="E32" s="851"/>
      <c r="F32" s="851"/>
      <c r="G32" s="851"/>
      <c r="H32" s="851"/>
      <c r="I32" s="852"/>
      <c r="J32" s="852"/>
      <c r="K32" s="852"/>
      <c r="L32" s="852"/>
      <c r="M32" s="200"/>
      <c r="N32" s="200"/>
      <c r="O32" s="46"/>
      <c r="P32" s="46"/>
      <c r="Q32" s="46"/>
      <c r="R32" s="15"/>
      <c r="S32" s="15"/>
      <c r="T32" s="46"/>
      <c r="U32" s="46"/>
      <c r="V32" s="46"/>
      <c r="W32" s="46"/>
      <c r="X32" s="46"/>
      <c r="Y32" s="46"/>
      <c r="Z32" s="46"/>
      <c r="AA32" s="193"/>
      <c r="AB32" s="173"/>
      <c r="AC32" s="173"/>
      <c r="AD32" s="173"/>
      <c r="AE32" s="173"/>
      <c r="AF32" s="173"/>
      <c r="AG32" s="173"/>
      <c r="AH32" s="173"/>
      <c r="AI32"/>
      <c r="AJ32"/>
      <c r="AK32"/>
      <c r="AL32"/>
      <c r="AM32"/>
      <c r="AN32"/>
      <c r="AO32"/>
      <c r="AP32"/>
      <c r="AQ32"/>
      <c r="AR32"/>
      <c r="AS32"/>
      <c r="AT32"/>
      <c r="AU32"/>
      <c r="AV32"/>
      <c r="AW32"/>
      <c r="AX32"/>
      <c r="AY32"/>
    </row>
    <row r="33" spans="1:56" ht="15" customHeight="1">
      <c r="A33" s="184"/>
      <c r="B33" s="173"/>
      <c r="C33" s="201"/>
      <c r="D33" s="851"/>
      <c r="E33" s="851"/>
      <c r="F33" s="851"/>
      <c r="G33" s="851"/>
      <c r="H33" s="851"/>
      <c r="I33" s="852"/>
      <c r="J33" s="852"/>
      <c r="K33" s="852"/>
      <c r="L33" s="852"/>
      <c r="M33" s="200"/>
      <c r="N33" s="200"/>
      <c r="O33" s="46"/>
      <c r="P33" s="46"/>
      <c r="Q33" s="46"/>
      <c r="R33" s="15"/>
      <c r="S33" s="15"/>
      <c r="T33" s="46"/>
      <c r="U33" s="46"/>
      <c r="V33" s="46"/>
      <c r="W33" s="46"/>
      <c r="X33" s="46"/>
      <c r="Y33" s="46"/>
      <c r="Z33" s="46"/>
      <c r="AA33" s="193"/>
      <c r="AB33" s="173"/>
      <c r="AC33" s="173"/>
      <c r="AD33" s="173"/>
      <c r="AE33" s="173"/>
      <c r="AF33" s="173"/>
      <c r="AG33" s="173"/>
      <c r="AH33" s="173"/>
      <c r="AI33"/>
      <c r="AJ33"/>
      <c r="AK33"/>
      <c r="AL33"/>
      <c r="AM33"/>
      <c r="AN33"/>
      <c r="AO33"/>
      <c r="AP33"/>
      <c r="AQ33"/>
      <c r="AR33"/>
      <c r="AS33"/>
      <c r="AT33"/>
      <c r="AU33"/>
      <c r="AV33"/>
      <c r="AW33"/>
      <c r="AX33"/>
      <c r="AY33"/>
    </row>
    <row r="34" spans="1:56" ht="15" customHeight="1">
      <c r="A34" s="184"/>
      <c r="B34" s="173"/>
      <c r="C34" s="201"/>
      <c r="D34" s="851"/>
      <c r="E34" s="851"/>
      <c r="F34" s="851"/>
      <c r="G34" s="851"/>
      <c r="H34" s="851"/>
      <c r="I34" s="852"/>
      <c r="J34" s="852"/>
      <c r="K34" s="852"/>
      <c r="L34" s="852"/>
      <c r="M34" s="200"/>
      <c r="N34" s="200"/>
      <c r="O34" s="46"/>
      <c r="P34" s="46"/>
      <c r="Q34" s="46"/>
      <c r="R34" s="15"/>
      <c r="S34" s="15"/>
      <c r="T34" s="46"/>
      <c r="U34" s="46"/>
      <c r="V34" s="46"/>
      <c r="W34" s="46"/>
      <c r="X34" s="46"/>
      <c r="Y34" s="46"/>
      <c r="Z34" s="46"/>
      <c r="AA34" s="193"/>
      <c r="AB34" s="173"/>
      <c r="AC34" s="173"/>
      <c r="AD34" s="173"/>
      <c r="AE34" s="173"/>
      <c r="AF34" s="173"/>
      <c r="AG34" s="173"/>
      <c r="AH34" s="173"/>
      <c r="AI34"/>
      <c r="AJ34"/>
      <c r="AK34"/>
      <c r="AL34"/>
      <c r="AM34"/>
      <c r="AN34"/>
      <c r="AO34"/>
      <c r="AP34"/>
      <c r="AQ34"/>
      <c r="AR34"/>
      <c r="AS34"/>
      <c r="AT34"/>
      <c r="AU34"/>
      <c r="AV34"/>
      <c r="AW34"/>
      <c r="AX34"/>
      <c r="AY34"/>
    </row>
    <row r="35" spans="1:56" ht="15" customHeight="1">
      <c r="A35" s="184"/>
      <c r="B35" s="173"/>
      <c r="C35" s="201"/>
      <c r="D35" s="851"/>
      <c r="E35" s="851"/>
      <c r="F35" s="851"/>
      <c r="G35" s="851"/>
      <c r="H35" s="851"/>
      <c r="I35" s="852"/>
      <c r="J35" s="852"/>
      <c r="K35" s="852"/>
      <c r="L35" s="852"/>
      <c r="M35" s="200"/>
      <c r="N35" s="200"/>
      <c r="O35" s="46"/>
      <c r="P35" s="46"/>
      <c r="Q35" s="46"/>
      <c r="R35" s="15"/>
      <c r="S35" s="15"/>
      <c r="T35" s="46"/>
      <c r="U35" s="46"/>
      <c r="V35" s="46"/>
      <c r="W35" s="46"/>
      <c r="X35" s="46"/>
      <c r="Y35" s="46"/>
      <c r="Z35" s="46"/>
      <c r="AA35" s="193"/>
      <c r="AB35" s="173"/>
      <c r="AC35" s="173"/>
      <c r="AD35" s="173"/>
      <c r="AE35" s="173"/>
      <c r="AF35" s="173"/>
      <c r="AG35" s="173"/>
      <c r="AH35" s="173"/>
      <c r="AI35" s="25"/>
      <c r="AJ35" s="25"/>
      <c r="AK35" s="25"/>
      <c r="AL35" s="25"/>
      <c r="AM35" s="25"/>
      <c r="AN35" s="25"/>
      <c r="AO35" s="25"/>
      <c r="AP35" s="25"/>
      <c r="AQ35" s="25"/>
      <c r="AR35" s="25"/>
      <c r="AS35" s="25"/>
      <c r="AT35" s="25"/>
      <c r="AU35" s="25"/>
      <c r="AV35" s="25"/>
      <c r="AW35" s="25"/>
      <c r="AX35" s="25"/>
      <c r="AY35" s="25"/>
      <c r="AZ35" s="25"/>
      <c r="BA35" s="25"/>
      <c r="BB35" s="25"/>
      <c r="BC35" s="25"/>
      <c r="BD35" s="25"/>
    </row>
    <row r="36" spans="1:56" ht="15" customHeight="1">
      <c r="A36" s="184"/>
      <c r="B36" s="173"/>
      <c r="C36" s="201"/>
      <c r="D36" s="851"/>
      <c r="E36" s="851"/>
      <c r="F36" s="851"/>
      <c r="G36" s="851"/>
      <c r="H36" s="851"/>
      <c r="I36" s="852"/>
      <c r="J36" s="852"/>
      <c r="K36" s="852"/>
      <c r="L36" s="852"/>
      <c r="M36" s="200"/>
      <c r="N36" s="200"/>
      <c r="O36" s="46"/>
      <c r="P36" s="46"/>
      <c r="Q36" s="46"/>
      <c r="R36" s="15"/>
      <c r="S36" s="15"/>
      <c r="T36" s="46"/>
      <c r="U36" s="46"/>
      <c r="V36" s="46"/>
      <c r="W36" s="46"/>
      <c r="X36" s="46"/>
      <c r="Y36" s="46"/>
      <c r="Z36" s="46"/>
      <c r="AA36" s="193"/>
      <c r="AB36" s="173"/>
      <c r="AC36" s="173"/>
      <c r="AD36" s="173"/>
      <c r="AE36" s="173"/>
      <c r="AF36" s="173"/>
      <c r="AG36" s="173"/>
      <c r="AH36" s="173"/>
      <c r="AI36"/>
      <c r="AJ36"/>
      <c r="AK36"/>
      <c r="AL36"/>
      <c r="AM36"/>
      <c r="AN36"/>
      <c r="AO36"/>
      <c r="AP36"/>
      <c r="AQ36"/>
      <c r="AR36"/>
      <c r="AS36"/>
      <c r="AT36"/>
      <c r="AU36"/>
      <c r="AV36"/>
      <c r="AW36"/>
      <c r="AX36"/>
      <c r="AY36"/>
    </row>
    <row r="37" spans="1:56" ht="15" customHeight="1">
      <c r="A37" s="184"/>
      <c r="B37" s="173"/>
      <c r="C37" s="201"/>
      <c r="D37" s="851"/>
      <c r="E37" s="851"/>
      <c r="F37" s="851"/>
      <c r="G37" s="851"/>
      <c r="H37" s="851"/>
      <c r="I37" s="852"/>
      <c r="J37" s="852"/>
      <c r="K37" s="852"/>
      <c r="L37" s="852"/>
      <c r="M37" s="200"/>
      <c r="N37" s="200"/>
      <c r="O37" s="46"/>
      <c r="P37" s="46"/>
      <c r="Q37" s="46"/>
      <c r="R37" s="15"/>
      <c r="S37" s="15"/>
      <c r="T37" s="46"/>
      <c r="U37" s="46"/>
      <c r="V37" s="46"/>
      <c r="W37" s="46"/>
      <c r="X37" s="46"/>
      <c r="Y37" s="46"/>
      <c r="Z37" s="46"/>
      <c r="AA37" s="193"/>
      <c r="AB37"/>
      <c r="AC37"/>
      <c r="AD37"/>
      <c r="AE37"/>
      <c r="AF37"/>
      <c r="AG37"/>
      <c r="AH37"/>
      <c r="AI37"/>
      <c r="AJ37"/>
      <c r="AK37"/>
      <c r="AL37"/>
      <c r="AM37"/>
      <c r="AN37"/>
      <c r="AO37"/>
      <c r="AP37"/>
      <c r="AQ37"/>
      <c r="AR37"/>
      <c r="AS37"/>
      <c r="AT37"/>
      <c r="AU37"/>
      <c r="AV37"/>
      <c r="AW37"/>
      <c r="AX37"/>
      <c r="AY37"/>
    </row>
    <row r="38" spans="1:56" ht="15" customHeight="1">
      <c r="A38" s="184"/>
      <c r="B38" s="173"/>
      <c r="C38" s="201"/>
      <c r="D38" s="201"/>
      <c r="E38" s="201"/>
      <c r="F38" s="201"/>
      <c r="G38" s="201"/>
      <c r="H38" s="201"/>
      <c r="I38" s="202"/>
      <c r="J38" s="202"/>
      <c r="K38" s="202"/>
      <c r="L38" s="202"/>
      <c r="M38" s="200"/>
      <c r="N38" s="200"/>
      <c r="O38" s="46"/>
      <c r="P38" s="46"/>
      <c r="Q38" s="46"/>
      <c r="R38" s="15"/>
      <c r="S38" s="15"/>
      <c r="T38" s="46"/>
      <c r="U38" s="46"/>
      <c r="V38" s="46"/>
      <c r="W38" s="46"/>
      <c r="X38" s="46"/>
      <c r="Y38" s="46"/>
      <c r="Z38" s="46"/>
      <c r="AA38" s="193"/>
      <c r="AB38"/>
      <c r="AC38"/>
      <c r="AD38"/>
      <c r="AE38"/>
      <c r="AF38"/>
      <c r="AG38"/>
      <c r="AH38"/>
      <c r="AI38"/>
      <c r="AJ38"/>
      <c r="AK38"/>
      <c r="AL38"/>
      <c r="AM38"/>
      <c r="AN38"/>
      <c r="AO38"/>
      <c r="AP38"/>
      <c r="AQ38"/>
      <c r="AR38"/>
      <c r="AS38"/>
      <c r="AT38"/>
      <c r="AU38"/>
      <c r="AV38"/>
      <c r="AW38"/>
      <c r="AX38"/>
      <c r="AY38"/>
    </row>
    <row r="39" spans="1:56" ht="15" customHeight="1">
      <c r="A39" s="184"/>
      <c r="B39" s="173"/>
      <c r="C39" s="46"/>
      <c r="D39" s="46"/>
      <c r="E39" s="46"/>
      <c r="F39" s="46"/>
      <c r="G39" s="46"/>
      <c r="H39" s="15"/>
      <c r="I39" s="46"/>
      <c r="J39" s="46"/>
      <c r="K39" s="46"/>
      <c r="L39" s="46"/>
      <c r="M39" s="200"/>
      <c r="N39" s="200"/>
      <c r="O39" s="46"/>
      <c r="P39" s="46"/>
      <c r="Q39" s="46"/>
      <c r="R39" s="15"/>
      <c r="S39" s="15"/>
      <c r="T39" s="46"/>
      <c r="U39" s="46"/>
      <c r="V39" s="46"/>
      <c r="W39" s="46"/>
      <c r="X39" s="46"/>
      <c r="Y39" s="46"/>
      <c r="Z39" s="46"/>
      <c r="AA39" s="193"/>
      <c r="AB39"/>
      <c r="AC39"/>
      <c r="AD39"/>
      <c r="AE39"/>
      <c r="AF39"/>
      <c r="AG39"/>
      <c r="AH39"/>
      <c r="AI39"/>
      <c r="AJ39"/>
      <c r="AK39"/>
      <c r="AL39"/>
      <c r="AM39"/>
      <c r="AN39"/>
      <c r="AO39"/>
      <c r="AP39"/>
      <c r="AQ39"/>
      <c r="AR39"/>
      <c r="AS39"/>
      <c r="AT39"/>
      <c r="AU39"/>
      <c r="AV39"/>
      <c r="AW39"/>
      <c r="AX39"/>
      <c r="AY39"/>
    </row>
    <row r="40" spans="1:56" ht="15" customHeight="1">
      <c r="A40" s="184"/>
      <c r="B40" s="173"/>
      <c r="C40" s="46"/>
      <c r="D40" s="46"/>
      <c r="E40" s="46"/>
      <c r="F40" s="46"/>
      <c r="G40" s="46"/>
      <c r="H40" s="15"/>
      <c r="I40" s="46"/>
      <c r="J40" s="46"/>
      <c r="K40" s="46"/>
      <c r="L40" s="46"/>
      <c r="M40" s="200"/>
      <c r="N40" s="200"/>
      <c r="O40" s="46"/>
      <c r="P40" s="46"/>
      <c r="Q40" s="46"/>
      <c r="R40" s="15"/>
      <c r="S40" s="15"/>
      <c r="T40" s="46"/>
      <c r="U40" s="46"/>
      <c r="V40" s="46"/>
      <c r="W40" s="46"/>
      <c r="X40" s="46"/>
      <c r="Y40" s="46"/>
      <c r="Z40" s="46"/>
      <c r="AA40" s="193"/>
      <c r="AB40"/>
      <c r="AC40"/>
      <c r="AD40"/>
      <c r="AE40"/>
      <c r="AF40"/>
      <c r="AG40"/>
      <c r="AH40"/>
      <c r="AI40"/>
      <c r="AJ40"/>
      <c r="AK40"/>
      <c r="AL40"/>
      <c r="AM40"/>
      <c r="AN40"/>
      <c r="AO40"/>
      <c r="AP40"/>
      <c r="AQ40"/>
      <c r="AR40"/>
      <c r="AS40"/>
      <c r="AT40"/>
      <c r="AU40"/>
      <c r="AV40"/>
      <c r="AW40"/>
      <c r="AX40"/>
      <c r="AY40"/>
    </row>
    <row r="41" spans="1:56" ht="15" customHeight="1">
      <c r="A41" s="184"/>
      <c r="B41" s="173"/>
      <c r="C41" s="46"/>
      <c r="D41" s="46"/>
      <c r="E41" s="46"/>
      <c r="F41" s="46"/>
      <c r="G41" s="46"/>
      <c r="H41" s="15"/>
      <c r="I41" s="46"/>
      <c r="J41" s="46"/>
      <c r="K41" s="46"/>
      <c r="L41" s="46"/>
      <c r="M41" s="46"/>
      <c r="N41" s="46"/>
      <c r="O41" s="46"/>
      <c r="P41" s="46"/>
      <c r="Q41" s="46"/>
      <c r="R41" s="15"/>
      <c r="S41" s="15"/>
      <c r="T41" s="46"/>
      <c r="U41" s="46"/>
      <c r="V41" s="46"/>
      <c r="W41" s="46"/>
      <c r="X41" s="46"/>
      <c r="Y41" s="46"/>
      <c r="Z41" s="46"/>
      <c r="AA41" s="193"/>
      <c r="AB41"/>
      <c r="AC41"/>
      <c r="AD41"/>
      <c r="AE41"/>
      <c r="AF41"/>
      <c r="AG41"/>
      <c r="AH41"/>
      <c r="AI41"/>
      <c r="AJ41"/>
      <c r="AK41"/>
      <c r="AL41"/>
      <c r="AM41"/>
      <c r="AN41"/>
      <c r="AO41"/>
      <c r="AP41"/>
      <c r="AQ41"/>
      <c r="AR41"/>
      <c r="AS41"/>
      <c r="AT41"/>
      <c r="AU41"/>
      <c r="AV41"/>
      <c r="AW41"/>
      <c r="AX41"/>
      <c r="AY41"/>
    </row>
    <row r="42" spans="1:56" ht="15" customHeight="1">
      <c r="A42" s="184"/>
      <c r="B42" s="173"/>
      <c r="C42" s="46"/>
      <c r="D42" s="46"/>
      <c r="E42" s="46"/>
      <c r="F42" s="46"/>
      <c r="G42" s="46"/>
      <c r="H42" s="15"/>
      <c r="I42" s="46"/>
      <c r="J42" s="46"/>
      <c r="K42" s="46"/>
      <c r="L42" s="46"/>
      <c r="M42" s="46"/>
      <c r="N42" s="46"/>
      <c r="O42" s="46"/>
      <c r="P42" s="46"/>
      <c r="Q42" s="46"/>
      <c r="R42" s="15"/>
      <c r="S42" s="15"/>
      <c r="T42" s="46"/>
      <c r="U42" s="46"/>
      <c r="V42" s="46"/>
      <c r="W42" s="46"/>
      <c r="X42" s="46"/>
      <c r="Y42" s="46"/>
      <c r="Z42" s="46"/>
      <c r="AA42" s="193"/>
      <c r="AB42"/>
      <c r="AC42"/>
      <c r="AD42"/>
      <c r="AE42"/>
      <c r="AF42"/>
      <c r="AG42"/>
      <c r="AH42"/>
      <c r="AI42"/>
      <c r="AJ42"/>
      <c r="AK42"/>
      <c r="AL42"/>
      <c r="AM42"/>
      <c r="AN42"/>
      <c r="AO42"/>
      <c r="AP42"/>
      <c r="AQ42"/>
      <c r="AR42"/>
      <c r="AS42"/>
      <c r="AT42"/>
      <c r="AU42"/>
      <c r="AV42"/>
      <c r="AW42"/>
      <c r="AX42"/>
      <c r="AY42"/>
    </row>
    <row r="43" spans="1:56" ht="15" customHeight="1">
      <c r="A43" s="184"/>
      <c r="B43" s="173"/>
      <c r="C43" s="46"/>
      <c r="D43" s="46"/>
      <c r="E43" s="46"/>
      <c r="F43" s="46"/>
      <c r="G43" s="46"/>
      <c r="H43" s="15"/>
      <c r="I43" s="46"/>
      <c r="J43" s="46"/>
      <c r="K43" s="46"/>
      <c r="L43" s="46"/>
      <c r="M43" s="46"/>
      <c r="N43" s="46"/>
      <c r="O43" s="46"/>
      <c r="P43" s="46"/>
      <c r="Q43" s="46"/>
      <c r="R43" s="15"/>
      <c r="S43" s="15"/>
      <c r="T43" s="46"/>
      <c r="U43" s="46"/>
      <c r="V43" s="46"/>
      <c r="W43" s="46"/>
      <c r="X43" s="46"/>
      <c r="Y43" s="46"/>
      <c r="Z43" s="46"/>
      <c r="AA43" s="193"/>
      <c r="AB43"/>
      <c r="AC43"/>
      <c r="AD43"/>
      <c r="AE43"/>
      <c r="AF43"/>
      <c r="AG43"/>
      <c r="AH43"/>
      <c r="AI43"/>
      <c r="AJ43"/>
      <c r="AK43"/>
      <c r="AL43"/>
      <c r="AM43"/>
      <c r="AN43"/>
      <c r="AO43"/>
      <c r="AP43"/>
      <c r="AQ43"/>
      <c r="AR43"/>
      <c r="AS43"/>
      <c r="AT43"/>
      <c r="AU43"/>
      <c r="AV43"/>
      <c r="AW43"/>
      <c r="AX43"/>
      <c r="AY43"/>
    </row>
    <row r="44" spans="1:56" ht="15" customHeight="1">
      <c r="A44" s="184"/>
      <c r="B44" s="173"/>
      <c r="C44" s="46"/>
      <c r="D44" s="46"/>
      <c r="E44" s="46"/>
      <c r="F44" s="46"/>
      <c r="G44" s="46"/>
      <c r="H44" s="15"/>
      <c r="I44" s="46"/>
      <c r="J44" s="46"/>
      <c r="K44" s="46"/>
      <c r="L44" s="46"/>
      <c r="M44" s="46"/>
      <c r="N44" s="46"/>
      <c r="O44" s="46"/>
      <c r="P44" s="46"/>
      <c r="Q44" s="46"/>
      <c r="R44" s="15"/>
      <c r="S44" s="15"/>
      <c r="T44" s="46"/>
      <c r="U44" s="46"/>
      <c r="V44" s="46"/>
      <c r="W44" s="46"/>
      <c r="X44" s="46"/>
      <c r="Y44" s="46"/>
      <c r="Z44" s="46"/>
      <c r="AA44" s="193"/>
      <c r="AB44"/>
      <c r="AC44"/>
      <c r="AD44"/>
      <c r="AE44"/>
      <c r="AF44"/>
      <c r="AG44"/>
      <c r="AH44"/>
      <c r="AI44"/>
      <c r="AJ44"/>
      <c r="AK44"/>
      <c r="AL44"/>
      <c r="AM44"/>
      <c r="AN44"/>
      <c r="AO44"/>
      <c r="AP44"/>
      <c r="AQ44"/>
      <c r="AR44"/>
      <c r="AS44"/>
      <c r="AT44"/>
      <c r="AU44"/>
      <c r="AV44"/>
      <c r="AW44"/>
      <c r="AX44"/>
      <c r="AY44"/>
    </row>
    <row r="45" spans="1:56" ht="15" customHeight="1">
      <c r="A45" s="184"/>
      <c r="B45" s="173"/>
      <c r="C45" s="46"/>
      <c r="D45" s="46"/>
      <c r="E45" s="46"/>
      <c r="F45" s="46"/>
      <c r="G45" s="46"/>
      <c r="H45" s="15"/>
      <c r="I45" s="46"/>
      <c r="J45" s="46"/>
      <c r="K45" s="46"/>
      <c r="L45" s="46"/>
      <c r="M45" s="46"/>
      <c r="N45" s="46"/>
      <c r="O45" s="46"/>
      <c r="P45" s="46"/>
      <c r="Q45" s="46"/>
      <c r="R45" s="15"/>
      <c r="S45" s="15"/>
      <c r="T45" s="46"/>
      <c r="U45" s="46"/>
      <c r="V45" s="46"/>
      <c r="W45" s="46"/>
      <c r="X45" s="46"/>
      <c r="Y45" s="46"/>
      <c r="Z45" s="46"/>
      <c r="AA45" s="193"/>
      <c r="AB45"/>
      <c r="AC45"/>
      <c r="AD45"/>
      <c r="AE45"/>
      <c r="AF45"/>
      <c r="AG45"/>
      <c r="AH45"/>
      <c r="AI45"/>
      <c r="AJ45"/>
      <c r="AK45"/>
      <c r="AL45"/>
      <c r="AM45"/>
      <c r="AN45"/>
      <c r="AO45"/>
      <c r="AP45"/>
      <c r="AQ45"/>
      <c r="AR45"/>
      <c r="AS45"/>
      <c r="AT45"/>
      <c r="AU45"/>
      <c r="AV45"/>
      <c r="AW45"/>
      <c r="AX45"/>
      <c r="AY45"/>
    </row>
    <row r="46" spans="1:56" ht="15" customHeight="1">
      <c r="A46" s="184"/>
      <c r="B46" s="173"/>
      <c r="C46" s="46"/>
      <c r="D46" s="46"/>
      <c r="E46" s="46"/>
      <c r="F46" s="46"/>
      <c r="G46" s="46"/>
      <c r="H46" s="15"/>
      <c r="I46" s="46"/>
      <c r="J46" s="46"/>
      <c r="K46" s="46"/>
      <c r="L46" s="46"/>
      <c r="M46" s="46"/>
      <c r="N46" s="46"/>
      <c r="O46" s="46"/>
      <c r="P46" s="46"/>
      <c r="Q46" s="46"/>
      <c r="R46" s="15"/>
      <c r="S46" s="15"/>
      <c r="T46" s="46"/>
      <c r="U46" s="46"/>
      <c r="V46" s="46"/>
      <c r="W46" s="46"/>
      <c r="X46" s="46"/>
      <c r="Y46" s="46"/>
      <c r="Z46" s="46"/>
      <c r="AA46" s="193"/>
      <c r="AB46"/>
      <c r="AC46"/>
      <c r="AD46"/>
      <c r="AE46"/>
      <c r="AF46"/>
      <c r="AG46"/>
      <c r="AH46"/>
      <c r="AI46"/>
      <c r="AJ46"/>
      <c r="AK46"/>
      <c r="AL46"/>
      <c r="AM46"/>
      <c r="AN46"/>
      <c r="AO46"/>
      <c r="AP46"/>
      <c r="AQ46"/>
      <c r="AR46"/>
      <c r="AS46"/>
      <c r="AT46"/>
      <c r="AU46"/>
      <c r="AV46"/>
      <c r="AW46"/>
      <c r="AX46"/>
      <c r="AY46"/>
    </row>
    <row r="47" spans="1:56" ht="15" customHeight="1">
      <c r="A47" s="184"/>
      <c r="B47" s="173"/>
      <c r="C47" s="46"/>
      <c r="D47" s="46"/>
      <c r="E47" s="46"/>
      <c r="F47" s="46"/>
      <c r="G47" s="46"/>
      <c r="H47" s="15"/>
      <c r="I47" s="46"/>
      <c r="J47" s="46"/>
      <c r="K47" s="46"/>
      <c r="L47" s="46"/>
      <c r="M47" s="46"/>
      <c r="N47" s="46"/>
      <c r="O47" s="46"/>
      <c r="P47" s="46"/>
      <c r="Q47" s="46"/>
      <c r="R47" s="15"/>
      <c r="S47" s="15"/>
      <c r="T47" s="46"/>
      <c r="U47" s="46"/>
      <c r="V47" s="46"/>
      <c r="W47" s="46"/>
      <c r="X47" s="46"/>
      <c r="Y47" s="46"/>
      <c r="Z47" s="46"/>
      <c r="AA47" s="193"/>
      <c r="AB47"/>
      <c r="AC47"/>
      <c r="AD47"/>
      <c r="AE47"/>
      <c r="AF47"/>
      <c r="AG47"/>
      <c r="AH47"/>
      <c r="AI47"/>
      <c r="AJ47"/>
      <c r="AK47"/>
      <c r="AL47"/>
      <c r="AM47"/>
      <c r="AN47"/>
      <c r="AO47"/>
      <c r="AP47"/>
      <c r="AQ47"/>
      <c r="AR47"/>
      <c r="AS47"/>
      <c r="AT47"/>
      <c r="AU47"/>
      <c r="AV47"/>
      <c r="AW47"/>
      <c r="AX47"/>
      <c r="AY47"/>
    </row>
    <row r="48" spans="1:56" ht="15" customHeight="1">
      <c r="A48" s="184"/>
      <c r="B48" s="173"/>
      <c r="C48" s="46"/>
      <c r="D48" s="46"/>
      <c r="E48" s="46"/>
      <c r="F48" s="46"/>
      <c r="G48" s="46"/>
      <c r="H48" s="15"/>
      <c r="I48" s="46"/>
      <c r="J48" s="46"/>
      <c r="K48" s="46"/>
      <c r="L48" s="46"/>
      <c r="M48" s="46"/>
      <c r="N48" s="46"/>
      <c r="O48" s="46"/>
      <c r="P48" s="46"/>
      <c r="Q48" s="46"/>
      <c r="R48" s="15"/>
      <c r="S48" s="15"/>
      <c r="T48" s="46"/>
      <c r="U48" s="46"/>
      <c r="V48" s="46"/>
      <c r="W48" s="46"/>
      <c r="X48" s="46"/>
      <c r="Y48" s="46"/>
      <c r="Z48" s="46"/>
      <c r="AA48" s="193"/>
      <c r="AB48"/>
      <c r="AC48"/>
      <c r="AD48"/>
      <c r="AE48"/>
      <c r="AF48"/>
      <c r="AG48"/>
      <c r="AH48"/>
      <c r="AI48"/>
      <c r="AJ48"/>
      <c r="AK48"/>
      <c r="AL48"/>
      <c r="AM48"/>
      <c r="AN48"/>
      <c r="AO48"/>
      <c r="AP48"/>
      <c r="AQ48"/>
      <c r="AR48"/>
      <c r="AS48"/>
      <c r="AT48"/>
      <c r="AU48"/>
      <c r="AV48"/>
      <c r="AW48"/>
      <c r="AX48"/>
      <c r="AY48"/>
    </row>
    <row r="49" spans="1:51" ht="15" customHeight="1">
      <c r="A49" s="184"/>
      <c r="B49" s="173"/>
      <c r="C49" s="46"/>
      <c r="D49" s="46"/>
      <c r="E49" s="46"/>
      <c r="F49" s="46"/>
      <c r="G49" s="46"/>
      <c r="H49" s="15"/>
      <c r="I49" s="46"/>
      <c r="J49" s="46"/>
      <c r="K49" s="46"/>
      <c r="L49" s="46"/>
      <c r="M49" s="46"/>
      <c r="N49" s="46"/>
      <c r="O49" s="46"/>
      <c r="P49" s="46"/>
      <c r="Q49" s="46"/>
      <c r="R49" s="15"/>
      <c r="S49" s="15"/>
      <c r="T49" s="46"/>
      <c r="U49" s="46"/>
      <c r="V49" s="46"/>
      <c r="W49" s="46"/>
      <c r="X49" s="46"/>
      <c r="Y49" s="46"/>
      <c r="Z49" s="46"/>
      <c r="AA49" s="193"/>
      <c r="AB49"/>
      <c r="AC49"/>
      <c r="AD49"/>
      <c r="AE49"/>
      <c r="AF49"/>
      <c r="AG49"/>
      <c r="AH49"/>
      <c r="AI49"/>
      <c r="AJ49"/>
      <c r="AK49"/>
      <c r="AL49"/>
      <c r="AM49"/>
      <c r="AN49"/>
      <c r="AO49"/>
      <c r="AP49"/>
      <c r="AQ49"/>
      <c r="AR49"/>
      <c r="AS49"/>
      <c r="AT49"/>
      <c r="AU49"/>
      <c r="AV49"/>
      <c r="AW49"/>
      <c r="AX49"/>
      <c r="AY49"/>
    </row>
    <row r="50" spans="1:51" ht="15" customHeight="1">
      <c r="A50" s="184"/>
      <c r="B50" s="173"/>
      <c r="C50" s="46"/>
      <c r="D50" s="46"/>
      <c r="E50" s="46"/>
      <c r="F50" s="46"/>
      <c r="G50" s="46"/>
      <c r="H50" s="15"/>
      <c r="I50" s="46"/>
      <c r="J50" s="46"/>
      <c r="K50" s="46"/>
      <c r="L50" s="46"/>
      <c r="M50" s="46"/>
      <c r="N50" s="46"/>
      <c r="O50" s="46"/>
      <c r="P50" s="46"/>
      <c r="Q50" s="46"/>
      <c r="R50" s="15"/>
      <c r="S50" s="15"/>
      <c r="T50" s="46"/>
      <c r="U50" s="46"/>
      <c r="V50" s="46"/>
      <c r="W50" s="46"/>
      <c r="X50" s="46"/>
      <c r="Y50" s="46"/>
      <c r="Z50" s="46"/>
      <c r="AA50" s="193"/>
      <c r="AB50"/>
      <c r="AC50"/>
      <c r="AD50"/>
      <c r="AE50"/>
      <c r="AF50"/>
      <c r="AG50"/>
      <c r="AH50"/>
      <c r="AI50"/>
      <c r="AJ50"/>
      <c r="AK50"/>
      <c r="AL50"/>
      <c r="AM50"/>
      <c r="AN50"/>
      <c r="AO50"/>
      <c r="AP50"/>
      <c r="AQ50"/>
      <c r="AR50"/>
      <c r="AS50"/>
      <c r="AT50"/>
      <c r="AU50"/>
      <c r="AV50"/>
      <c r="AW50"/>
      <c r="AX50"/>
      <c r="AY50"/>
    </row>
    <row r="51" spans="1:51" ht="15" customHeight="1">
      <c r="A51" s="184"/>
      <c r="B51" s="173"/>
      <c r="C51" s="46"/>
      <c r="D51" s="46"/>
      <c r="E51" s="46"/>
      <c r="F51" s="46"/>
      <c r="G51" s="46"/>
      <c r="H51" s="15"/>
      <c r="I51" s="46"/>
      <c r="J51" s="46"/>
      <c r="K51" s="46"/>
      <c r="L51" s="46"/>
      <c r="M51" s="46"/>
      <c r="N51" s="46"/>
      <c r="O51" s="46"/>
      <c r="P51" s="46"/>
      <c r="Q51" s="46"/>
      <c r="R51" s="15"/>
      <c r="S51" s="15"/>
      <c r="T51" s="46"/>
      <c r="U51" s="46"/>
      <c r="V51" s="46"/>
      <c r="W51" s="46"/>
      <c r="X51" s="46"/>
      <c r="Y51" s="46"/>
      <c r="Z51" s="46"/>
      <c r="AA51" s="193"/>
    </row>
    <row r="52" spans="1:51" ht="15" customHeight="1">
      <c r="A52" s="184"/>
      <c r="B52" s="173"/>
      <c r="C52" s="46"/>
      <c r="D52" s="46"/>
      <c r="E52" s="46"/>
      <c r="F52" s="46"/>
      <c r="G52" s="46"/>
      <c r="H52" s="15"/>
      <c r="I52" s="46"/>
      <c r="J52" s="46"/>
      <c r="K52" s="46"/>
      <c r="L52" s="46"/>
      <c r="M52" s="46"/>
      <c r="N52" s="46"/>
      <c r="O52" s="46"/>
      <c r="P52" s="46"/>
      <c r="Q52" s="46"/>
      <c r="R52" s="15"/>
      <c r="S52" s="15"/>
      <c r="T52" s="46"/>
      <c r="U52" s="46"/>
      <c r="V52" s="46"/>
      <c r="W52" s="46"/>
      <c r="X52" s="46"/>
      <c r="Y52" s="46"/>
      <c r="Z52" s="46"/>
      <c r="AA52" s="193"/>
    </row>
    <row r="53" spans="1:51" ht="15" customHeight="1">
      <c r="A53" s="184"/>
      <c r="B53" s="173"/>
      <c r="C53" s="46"/>
      <c r="D53" s="46"/>
      <c r="E53" s="46"/>
      <c r="F53" s="46"/>
      <c r="G53" s="46"/>
      <c r="H53" s="15"/>
      <c r="I53" s="46"/>
      <c r="J53" s="46"/>
      <c r="K53" s="46"/>
      <c r="L53" s="46"/>
      <c r="M53" s="46"/>
      <c r="N53" s="46"/>
      <c r="O53" s="46"/>
      <c r="P53" s="46"/>
      <c r="Q53" s="46"/>
      <c r="R53" s="15"/>
      <c r="S53" s="15"/>
      <c r="T53" s="46"/>
      <c r="U53" s="46"/>
      <c r="V53" s="46"/>
      <c r="W53" s="46"/>
      <c r="X53" s="46"/>
      <c r="Y53" s="46"/>
      <c r="Z53" s="46"/>
      <c r="AA53" s="193"/>
    </row>
    <row r="54" spans="1:51" ht="15" customHeight="1">
      <c r="A54" s="184"/>
      <c r="B54" s="173"/>
      <c r="C54" s="46"/>
      <c r="D54" s="46"/>
      <c r="E54" s="46"/>
      <c r="F54" s="46"/>
      <c r="G54" s="46"/>
      <c r="H54" s="15"/>
      <c r="I54" s="46"/>
      <c r="J54" s="46"/>
      <c r="K54" s="46"/>
      <c r="L54" s="46"/>
      <c r="M54" s="46"/>
      <c r="N54" s="46"/>
      <c r="O54" s="46"/>
      <c r="P54" s="46"/>
      <c r="Q54" s="46"/>
      <c r="R54" s="15"/>
      <c r="S54" s="15"/>
      <c r="T54" s="46"/>
      <c r="U54" s="46"/>
      <c r="V54" s="46"/>
      <c r="W54" s="46"/>
      <c r="X54" s="46"/>
      <c r="Y54" s="46"/>
      <c r="Z54" s="46"/>
      <c r="AA54" s="193"/>
    </row>
    <row r="55" spans="1:51" ht="15" customHeight="1" thickBot="1">
      <c r="A55" s="203"/>
      <c r="B55" s="204"/>
      <c r="C55" s="205"/>
      <c r="D55" s="205"/>
      <c r="E55" s="205"/>
      <c r="F55" s="205"/>
      <c r="G55" s="205"/>
      <c r="H55" s="206"/>
      <c r="I55" s="205"/>
      <c r="J55" s="205"/>
      <c r="K55" s="205"/>
      <c r="L55" s="205"/>
      <c r="M55" s="205"/>
      <c r="N55" s="205"/>
      <c r="O55" s="205"/>
      <c r="P55" s="205"/>
      <c r="Q55" s="205"/>
      <c r="R55" s="206"/>
      <c r="S55" s="206"/>
      <c r="T55" s="205"/>
      <c r="U55" s="205"/>
      <c r="V55" s="205"/>
      <c r="W55" s="205"/>
      <c r="X55" s="205"/>
      <c r="Y55" s="205"/>
      <c r="Z55" s="205"/>
      <c r="AA55" s="207"/>
    </row>
    <row r="56" spans="1:51" ht="15" customHeight="1" thickTop="1"/>
    <row r="57" spans="1:51" ht="15" customHeight="1"/>
    <row r="58" spans="1:51" ht="15" customHeight="1">
      <c r="C58" s="107"/>
      <c r="D58" s="107"/>
      <c r="E58" s="107"/>
      <c r="F58" s="107"/>
      <c r="G58" s="107"/>
      <c r="H58" s="108"/>
      <c r="I58" s="107"/>
      <c r="J58" s="107"/>
      <c r="K58" s="107"/>
      <c r="L58" s="107"/>
      <c r="M58" s="107"/>
      <c r="N58" s="107"/>
      <c r="O58" s="107"/>
      <c r="P58" s="107"/>
      <c r="Q58" s="107"/>
      <c r="R58" s="108"/>
      <c r="S58" s="108"/>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row>
    <row r="59" spans="1:51" ht="15" customHeight="1">
      <c r="C59" s="107"/>
      <c r="D59" s="107"/>
      <c r="E59" s="107"/>
      <c r="F59" s="107"/>
      <c r="G59" s="107"/>
      <c r="H59" s="108"/>
      <c r="I59" s="107"/>
      <c r="J59" s="107"/>
      <c r="K59" s="107"/>
      <c r="L59" s="107"/>
      <c r="M59" s="107"/>
      <c r="N59" s="107"/>
      <c r="O59" s="107"/>
      <c r="P59" s="107"/>
      <c r="Q59" s="107"/>
      <c r="R59" s="108"/>
      <c r="S59" s="108"/>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row>
    <row r="60" spans="1:51" ht="15" customHeight="1">
      <c r="C60"/>
      <c r="D60"/>
      <c r="E60"/>
      <c r="F60"/>
      <c r="G60"/>
    </row>
  </sheetData>
  <mergeCells count="15">
    <mergeCell ref="D23:H25"/>
    <mergeCell ref="I23:L25"/>
    <mergeCell ref="T9:Z9"/>
    <mergeCell ref="T10:Z10"/>
    <mergeCell ref="T11:Z11"/>
    <mergeCell ref="D20:H22"/>
    <mergeCell ref="I20:L22"/>
    <mergeCell ref="D35:H37"/>
    <mergeCell ref="I35:L37"/>
    <mergeCell ref="D26:H28"/>
    <mergeCell ref="I26:L28"/>
    <mergeCell ref="D29:H31"/>
    <mergeCell ref="I29:L31"/>
    <mergeCell ref="D32:H34"/>
    <mergeCell ref="I32:L34"/>
  </mergeCells>
  <printOptions horizontalCentered="1"/>
  <pageMargins left="0.11" right="0.11" top="0.5" bottom="0.5" header="0.3" footer="0.3"/>
  <pageSetup paperSize="9" scale="96" orientation="portrait" r:id="rId1"/>
  <drawing r:id="rId2"/>
</worksheet>
</file>

<file path=xl/worksheets/sheet3.xml><?xml version="1.0" encoding="utf-8"?>
<worksheet xmlns="http://schemas.openxmlformats.org/spreadsheetml/2006/main" xmlns:r="http://schemas.openxmlformats.org/officeDocument/2006/relationships">
  <sheetPr>
    <tabColor theme="4" tint="0.39997558519241921"/>
    <pageSetUpPr fitToPage="1"/>
  </sheetPr>
  <dimension ref="A1:CI54"/>
  <sheetViews>
    <sheetView view="pageBreakPreview" zoomScale="85" zoomScaleNormal="100" zoomScaleSheetLayoutView="85" workbookViewId="0">
      <selection activeCell="I1" sqref="I1:BN3"/>
    </sheetView>
  </sheetViews>
  <sheetFormatPr defaultRowHeight="15"/>
  <cols>
    <col min="1" max="2" width="1.7109375" style="10" customWidth="1"/>
    <col min="3" max="4" width="1.7109375" style="26" customWidth="1"/>
    <col min="5" max="8" width="1.7109375" style="10" customWidth="1"/>
    <col min="9" max="9" width="2" style="10" customWidth="1"/>
    <col min="10" max="19" width="1.7109375" style="10" customWidth="1"/>
    <col min="20" max="20" width="1.7109375" style="26" customWidth="1"/>
    <col min="21" max="39" width="1.7109375" style="10" customWidth="1"/>
    <col min="40" max="40" width="1.7109375" style="26" customWidth="1"/>
    <col min="41" max="65" width="1.7109375" style="10" customWidth="1"/>
    <col min="66" max="66" width="1.7109375" style="26" customWidth="1"/>
    <col min="67" max="87" width="1.7109375" style="10" customWidth="1"/>
  </cols>
  <sheetData>
    <row r="1" spans="1:87" ht="20.100000000000001" customHeight="1" thickTop="1">
      <c r="A1" s="867"/>
      <c r="B1" s="868"/>
      <c r="C1" s="868"/>
      <c r="D1" s="868"/>
      <c r="E1" s="868"/>
      <c r="F1" s="868"/>
      <c r="G1" s="868"/>
      <c r="H1" s="868"/>
      <c r="I1" s="871" t="s">
        <v>260</v>
      </c>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872"/>
      <c r="AQ1" s="872"/>
      <c r="AR1" s="872"/>
      <c r="AS1" s="872"/>
      <c r="AT1" s="872"/>
      <c r="AU1" s="872"/>
      <c r="AV1" s="872"/>
      <c r="AW1" s="872"/>
      <c r="AX1" s="872"/>
      <c r="AY1" s="872"/>
      <c r="AZ1" s="872"/>
      <c r="BA1" s="872"/>
      <c r="BB1" s="872"/>
      <c r="BC1" s="872"/>
      <c r="BD1" s="872"/>
      <c r="BE1" s="872"/>
      <c r="BF1" s="872"/>
      <c r="BG1" s="872"/>
      <c r="BH1" s="872"/>
      <c r="BI1" s="872"/>
      <c r="BJ1" s="872"/>
      <c r="BK1" s="872"/>
      <c r="BL1" s="872"/>
      <c r="BM1" s="872"/>
      <c r="BN1" s="873"/>
    </row>
    <row r="2" spans="1:87" ht="20.100000000000001" customHeight="1">
      <c r="A2" s="869"/>
      <c r="B2" s="870"/>
      <c r="C2" s="870"/>
      <c r="D2" s="870"/>
      <c r="E2" s="870"/>
      <c r="F2" s="870"/>
      <c r="G2" s="870"/>
      <c r="H2" s="870"/>
      <c r="I2" s="874"/>
      <c r="J2" s="875"/>
      <c r="K2" s="875"/>
      <c r="L2" s="875"/>
      <c r="M2" s="875"/>
      <c r="N2" s="875"/>
      <c r="O2" s="875"/>
      <c r="P2" s="875"/>
      <c r="Q2" s="875"/>
      <c r="R2" s="875"/>
      <c r="S2" s="875"/>
      <c r="T2" s="875"/>
      <c r="U2" s="875"/>
      <c r="V2" s="875"/>
      <c r="W2" s="875"/>
      <c r="X2" s="875"/>
      <c r="Y2" s="875"/>
      <c r="Z2" s="875"/>
      <c r="AA2" s="875"/>
      <c r="AB2" s="875"/>
      <c r="AC2" s="875"/>
      <c r="AD2" s="875"/>
      <c r="AE2" s="875"/>
      <c r="AF2" s="875"/>
      <c r="AG2" s="875"/>
      <c r="AH2" s="875"/>
      <c r="AI2" s="875"/>
      <c r="AJ2" s="875"/>
      <c r="AK2" s="875"/>
      <c r="AL2" s="875"/>
      <c r="AM2" s="875"/>
      <c r="AN2" s="875"/>
      <c r="AO2" s="875"/>
      <c r="AP2" s="875"/>
      <c r="AQ2" s="875"/>
      <c r="AR2" s="875"/>
      <c r="AS2" s="875"/>
      <c r="AT2" s="875"/>
      <c r="AU2" s="875"/>
      <c r="AV2" s="875"/>
      <c r="AW2" s="875"/>
      <c r="AX2" s="875"/>
      <c r="AY2" s="875"/>
      <c r="AZ2" s="875"/>
      <c r="BA2" s="875"/>
      <c r="BB2" s="875"/>
      <c r="BC2" s="875"/>
      <c r="BD2" s="875"/>
      <c r="BE2" s="875"/>
      <c r="BF2" s="875"/>
      <c r="BG2" s="875"/>
      <c r="BH2" s="875"/>
      <c r="BI2" s="875"/>
      <c r="BJ2" s="875"/>
      <c r="BK2" s="875"/>
      <c r="BL2" s="875"/>
      <c r="BM2" s="875"/>
      <c r="BN2" s="876"/>
    </row>
    <row r="3" spans="1:87" ht="20.100000000000001" customHeight="1">
      <c r="A3" s="869"/>
      <c r="B3" s="870"/>
      <c r="C3" s="870"/>
      <c r="D3" s="870"/>
      <c r="E3" s="870"/>
      <c r="F3" s="870"/>
      <c r="G3" s="870"/>
      <c r="H3" s="870"/>
      <c r="I3" s="877"/>
      <c r="J3" s="878"/>
      <c r="K3" s="878"/>
      <c r="L3" s="878"/>
      <c r="M3" s="878"/>
      <c r="N3" s="878"/>
      <c r="O3" s="878"/>
      <c r="P3" s="878"/>
      <c r="Q3" s="878"/>
      <c r="R3" s="878"/>
      <c r="S3" s="878"/>
      <c r="T3" s="878"/>
      <c r="U3" s="878"/>
      <c r="V3" s="878"/>
      <c r="W3" s="878"/>
      <c r="X3" s="878"/>
      <c r="Y3" s="878"/>
      <c r="Z3" s="878"/>
      <c r="AA3" s="878"/>
      <c r="AB3" s="878"/>
      <c r="AC3" s="878"/>
      <c r="AD3" s="878"/>
      <c r="AE3" s="878"/>
      <c r="AF3" s="878"/>
      <c r="AG3" s="878"/>
      <c r="AH3" s="878"/>
      <c r="AI3" s="878"/>
      <c r="AJ3" s="878"/>
      <c r="AK3" s="878"/>
      <c r="AL3" s="878"/>
      <c r="AM3" s="878"/>
      <c r="AN3" s="878"/>
      <c r="AO3" s="878"/>
      <c r="AP3" s="878"/>
      <c r="AQ3" s="878"/>
      <c r="AR3" s="878"/>
      <c r="AS3" s="878"/>
      <c r="AT3" s="878"/>
      <c r="AU3" s="878"/>
      <c r="AV3" s="878"/>
      <c r="AW3" s="878"/>
      <c r="AX3" s="878"/>
      <c r="AY3" s="878"/>
      <c r="AZ3" s="878"/>
      <c r="BA3" s="878"/>
      <c r="BB3" s="878"/>
      <c r="BC3" s="878"/>
      <c r="BD3" s="878"/>
      <c r="BE3" s="878"/>
      <c r="BF3" s="878"/>
      <c r="BG3" s="878"/>
      <c r="BH3" s="878"/>
      <c r="BI3" s="878"/>
      <c r="BJ3" s="878"/>
      <c r="BK3" s="878"/>
      <c r="BL3" s="878"/>
      <c r="BM3" s="878"/>
      <c r="BN3" s="879"/>
    </row>
    <row r="4" spans="1:87" ht="15" customHeight="1">
      <c r="A4" s="209"/>
      <c r="B4" s="103"/>
      <c r="C4" s="101"/>
      <c r="D4" s="101"/>
      <c r="E4" s="215"/>
      <c r="F4" s="215"/>
      <c r="G4" s="215"/>
      <c r="H4" s="215"/>
      <c r="I4" s="215"/>
      <c r="J4" s="35"/>
      <c r="K4" s="104"/>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1"/>
      <c r="AW4" s="181"/>
      <c r="AX4" s="181"/>
      <c r="AY4" s="181"/>
      <c r="AZ4" s="181"/>
      <c r="BA4" s="181"/>
      <c r="BB4" s="181"/>
      <c r="BC4" s="181"/>
      <c r="BD4" s="181"/>
      <c r="BE4" s="181"/>
      <c r="BF4" s="181"/>
      <c r="BG4" s="181"/>
      <c r="BH4" s="181"/>
      <c r="BI4" s="181"/>
      <c r="BJ4" s="181"/>
      <c r="BK4" s="181"/>
      <c r="BL4" s="181"/>
      <c r="BM4" s="181"/>
      <c r="BN4" s="208"/>
    </row>
    <row r="5" spans="1:87" s="100" customFormat="1" ht="20.100000000000001" customHeight="1">
      <c r="A5" s="209"/>
      <c r="B5" s="103"/>
      <c r="C5" s="101"/>
      <c r="D5" s="101"/>
      <c r="E5" s="215">
        <v>1</v>
      </c>
      <c r="F5" s="865">
        <v>1</v>
      </c>
      <c r="G5" s="865"/>
      <c r="H5" s="865"/>
      <c r="I5" s="215"/>
      <c r="J5" s="35"/>
      <c r="K5" s="104"/>
      <c r="L5" s="864" t="s">
        <v>419</v>
      </c>
      <c r="M5" s="864"/>
      <c r="N5" s="864"/>
      <c r="O5" s="864"/>
      <c r="P5" s="864"/>
      <c r="Q5" s="864"/>
      <c r="R5" s="864"/>
      <c r="S5" s="864"/>
      <c r="T5" s="864"/>
      <c r="U5" s="864"/>
      <c r="V5" s="864"/>
      <c r="W5" s="864"/>
      <c r="X5" s="864"/>
      <c r="Y5" s="864"/>
      <c r="Z5" s="864"/>
      <c r="AA5" s="864"/>
      <c r="AB5" s="864"/>
      <c r="AC5" s="864"/>
      <c r="AD5" s="864"/>
      <c r="AE5" s="864"/>
      <c r="AF5" s="864"/>
      <c r="AG5" s="864"/>
      <c r="AH5" s="864"/>
      <c r="AI5" s="864"/>
      <c r="AJ5" s="864"/>
      <c r="AK5" s="864"/>
      <c r="AL5" s="864"/>
      <c r="AM5" s="864"/>
      <c r="AN5" s="864"/>
      <c r="AO5" s="864"/>
      <c r="AP5" s="864"/>
      <c r="AQ5" s="864"/>
      <c r="AR5" s="864"/>
      <c r="AS5" s="864"/>
      <c r="AT5" s="864"/>
      <c r="AU5" s="102"/>
      <c r="AV5" s="102"/>
      <c r="AW5" s="102"/>
      <c r="AX5" s="102"/>
      <c r="AY5" s="102"/>
      <c r="AZ5" s="102"/>
      <c r="BA5" s="102"/>
      <c r="BB5" s="102"/>
      <c r="BC5" s="102"/>
      <c r="BD5" s="102"/>
      <c r="BE5" s="213"/>
      <c r="BF5" s="213"/>
      <c r="BG5" s="213"/>
      <c r="BH5" s="213"/>
      <c r="BI5" s="213"/>
      <c r="BJ5" s="213"/>
      <c r="BK5" s="213"/>
      <c r="BL5" s="213"/>
      <c r="BM5" s="213"/>
      <c r="BN5" s="210"/>
      <c r="BO5" s="99"/>
      <c r="BP5" s="99"/>
      <c r="BQ5" s="99"/>
      <c r="BR5" s="99"/>
      <c r="BS5" s="99"/>
      <c r="BT5" s="99"/>
      <c r="BU5" s="99"/>
      <c r="BV5" s="99"/>
      <c r="BW5" s="99"/>
      <c r="BX5" s="99"/>
      <c r="BY5" s="99"/>
      <c r="BZ5" s="99"/>
      <c r="CA5" s="99"/>
      <c r="CB5" s="99"/>
      <c r="CC5" s="99"/>
      <c r="CD5" s="99"/>
      <c r="CE5" s="99"/>
      <c r="CF5" s="99"/>
      <c r="CG5" s="99"/>
      <c r="CH5" s="99"/>
      <c r="CI5" s="99"/>
    </row>
    <row r="6" spans="1:87" s="100" customFormat="1" ht="20.100000000000001" customHeight="1">
      <c r="A6" s="209"/>
      <c r="B6" s="103"/>
      <c r="C6" s="101"/>
      <c r="D6" s="101"/>
      <c r="E6" s="215">
        <v>2</v>
      </c>
      <c r="F6" s="865">
        <v>2</v>
      </c>
      <c r="G6" s="865"/>
      <c r="H6" s="865"/>
      <c r="I6" s="215"/>
      <c r="J6" s="35"/>
      <c r="K6" s="104"/>
      <c r="L6" s="864" t="s">
        <v>261</v>
      </c>
      <c r="M6" s="864"/>
      <c r="N6" s="864"/>
      <c r="O6" s="864"/>
      <c r="P6" s="864"/>
      <c r="Q6" s="864"/>
      <c r="R6" s="864"/>
      <c r="S6" s="864"/>
      <c r="T6" s="864"/>
      <c r="U6" s="864"/>
      <c r="V6" s="864"/>
      <c r="W6" s="864"/>
      <c r="X6" s="864"/>
      <c r="Y6" s="864"/>
      <c r="Z6" s="864"/>
      <c r="AA6" s="864"/>
      <c r="AB6" s="864"/>
      <c r="AC6" s="864"/>
      <c r="AD6" s="864"/>
      <c r="AE6" s="864"/>
      <c r="AF6" s="864"/>
      <c r="AG6" s="864"/>
      <c r="AH6" s="864"/>
      <c r="AI6" s="864"/>
      <c r="AJ6" s="864"/>
      <c r="AK6" s="864"/>
      <c r="AL6" s="864"/>
      <c r="AM6" s="864"/>
      <c r="AN6" s="864"/>
      <c r="AO6" s="864"/>
      <c r="AP6" s="864"/>
      <c r="AQ6" s="864"/>
      <c r="AR6" s="864"/>
      <c r="AS6" s="864"/>
      <c r="AT6" s="864"/>
      <c r="AU6" s="102"/>
      <c r="AV6" s="102"/>
      <c r="AW6" s="102"/>
      <c r="AX6" s="102"/>
      <c r="AY6" s="102"/>
      <c r="AZ6" s="102"/>
      <c r="BA6" s="102"/>
      <c r="BB6" s="102"/>
      <c r="BC6" s="102"/>
      <c r="BD6" s="102"/>
      <c r="BE6" s="182"/>
      <c r="BF6" s="182"/>
      <c r="BG6" s="182"/>
      <c r="BH6" s="182"/>
      <c r="BI6" s="182"/>
      <c r="BJ6" s="182"/>
      <c r="BK6" s="182"/>
      <c r="BL6" s="182"/>
      <c r="BM6" s="182"/>
      <c r="BN6" s="210"/>
      <c r="BO6" s="99"/>
      <c r="BP6" s="99"/>
      <c r="BQ6" s="99"/>
      <c r="BR6" s="99"/>
      <c r="BS6" s="99"/>
      <c r="BT6" s="99"/>
      <c r="BU6" s="99"/>
      <c r="BV6" s="99"/>
      <c r="BW6" s="99"/>
      <c r="BX6" s="99"/>
      <c r="BY6" s="99"/>
      <c r="BZ6" s="99"/>
      <c r="CA6" s="99"/>
      <c r="CB6" s="99"/>
      <c r="CC6" s="99"/>
      <c r="CD6" s="99"/>
      <c r="CE6" s="99"/>
      <c r="CF6" s="99"/>
      <c r="CG6" s="99"/>
      <c r="CH6" s="99"/>
      <c r="CI6" s="99"/>
    </row>
    <row r="7" spans="1:87" s="35" customFormat="1" ht="20.100000000000001" customHeight="1">
      <c r="A7" s="209"/>
      <c r="B7" s="103"/>
      <c r="C7" s="101"/>
      <c r="D7" s="101"/>
      <c r="E7" s="215"/>
      <c r="F7" s="215"/>
      <c r="G7" s="215"/>
      <c r="H7" s="215"/>
      <c r="I7" s="215"/>
      <c r="K7" s="104"/>
      <c r="L7" s="866" t="s">
        <v>299</v>
      </c>
      <c r="M7" s="866"/>
      <c r="N7" s="866"/>
      <c r="O7" s="866"/>
      <c r="P7" s="866"/>
      <c r="Q7" s="866"/>
      <c r="R7" s="866"/>
      <c r="S7" s="866"/>
      <c r="T7" s="866"/>
      <c r="U7" s="866"/>
      <c r="V7" s="866"/>
      <c r="W7" s="866"/>
      <c r="X7" s="866"/>
      <c r="Y7" s="866"/>
      <c r="Z7" s="866"/>
      <c r="AA7" s="866"/>
      <c r="AB7" s="866"/>
      <c r="AC7" s="866"/>
      <c r="AD7" s="866"/>
      <c r="AE7" s="866"/>
      <c r="AF7" s="866"/>
      <c r="AG7" s="866"/>
      <c r="AH7" s="866"/>
      <c r="AI7" s="866"/>
      <c r="AJ7" s="866"/>
      <c r="AK7" s="866"/>
      <c r="AL7" s="866"/>
      <c r="AM7" s="866"/>
      <c r="AN7" s="866"/>
      <c r="AO7" s="866"/>
      <c r="AP7" s="866"/>
      <c r="AQ7" s="866"/>
      <c r="AR7" s="866"/>
      <c r="AS7" s="866"/>
      <c r="AT7" s="866"/>
      <c r="AU7" s="181"/>
      <c r="AV7" s="181"/>
      <c r="AW7" s="181"/>
      <c r="AX7" s="181"/>
      <c r="AY7" s="181"/>
      <c r="AZ7" s="181"/>
      <c r="BA7" s="181"/>
      <c r="BB7" s="181"/>
      <c r="BC7" s="181"/>
      <c r="BD7" s="181"/>
      <c r="BE7" s="181"/>
      <c r="BF7" s="181"/>
      <c r="BG7" s="181"/>
      <c r="BH7" s="181"/>
      <c r="BI7" s="181"/>
      <c r="BJ7" s="181"/>
      <c r="BK7" s="181"/>
      <c r="BL7" s="181"/>
      <c r="BM7" s="181"/>
      <c r="BN7" s="208"/>
      <c r="BO7" s="32"/>
      <c r="BP7" s="32"/>
      <c r="BQ7" s="32"/>
      <c r="BR7" s="32"/>
      <c r="BS7" s="32"/>
      <c r="BT7" s="32"/>
      <c r="BU7" s="32"/>
      <c r="BV7" s="32"/>
      <c r="BW7" s="32"/>
      <c r="BX7" s="32"/>
      <c r="BY7" s="32"/>
      <c r="BZ7" s="32"/>
      <c r="CA7" s="32"/>
      <c r="CB7" s="32"/>
      <c r="CC7" s="32"/>
      <c r="CD7" s="32"/>
      <c r="CE7" s="32"/>
      <c r="CF7" s="32"/>
      <c r="CG7" s="32"/>
      <c r="CH7" s="32"/>
      <c r="CI7" s="32"/>
    </row>
    <row r="8" spans="1:87" s="35" customFormat="1" ht="20.100000000000001" customHeight="1">
      <c r="A8" s="209"/>
      <c r="B8" s="103"/>
      <c r="C8" s="101"/>
      <c r="D8" s="101"/>
      <c r="E8" s="215"/>
      <c r="F8" s="215"/>
      <c r="G8" s="215"/>
      <c r="H8" s="215"/>
      <c r="I8" s="215"/>
      <c r="K8" s="104"/>
      <c r="L8" s="866" t="s">
        <v>300</v>
      </c>
      <c r="M8" s="866"/>
      <c r="N8" s="866"/>
      <c r="O8" s="866"/>
      <c r="P8" s="866"/>
      <c r="Q8" s="866"/>
      <c r="R8" s="866"/>
      <c r="S8" s="866"/>
      <c r="T8" s="866"/>
      <c r="U8" s="866"/>
      <c r="V8" s="866"/>
      <c r="W8" s="866"/>
      <c r="X8" s="866"/>
      <c r="Y8" s="866"/>
      <c r="Z8" s="866"/>
      <c r="AA8" s="866"/>
      <c r="AB8" s="866"/>
      <c r="AC8" s="866"/>
      <c r="AD8" s="866"/>
      <c r="AE8" s="866"/>
      <c r="AF8" s="866"/>
      <c r="AG8" s="866"/>
      <c r="AH8" s="866"/>
      <c r="AI8" s="866"/>
      <c r="AJ8" s="866"/>
      <c r="AK8" s="866"/>
      <c r="AL8" s="866"/>
      <c r="AM8" s="866"/>
      <c r="AN8" s="866"/>
      <c r="AO8" s="866"/>
      <c r="AP8" s="866"/>
      <c r="AQ8" s="866"/>
      <c r="AR8" s="866"/>
      <c r="AS8" s="866"/>
      <c r="AT8" s="866"/>
      <c r="AU8" s="104"/>
      <c r="AV8" s="104"/>
      <c r="AW8" s="104"/>
      <c r="AX8" s="104"/>
      <c r="AY8" s="104"/>
      <c r="AZ8" s="104"/>
      <c r="BA8" s="104"/>
      <c r="BB8" s="104"/>
      <c r="BC8" s="104"/>
      <c r="BD8" s="104"/>
      <c r="BE8" s="104"/>
      <c r="BF8" s="104"/>
      <c r="BG8" s="104"/>
      <c r="BH8" s="104"/>
      <c r="BI8" s="104"/>
      <c r="BJ8" s="104"/>
      <c r="BK8" s="104"/>
      <c r="BL8" s="104"/>
      <c r="BM8" s="104"/>
      <c r="BN8" s="211"/>
      <c r="BO8" s="32"/>
      <c r="BP8" s="32"/>
      <c r="BQ8" s="32"/>
      <c r="BR8" s="32"/>
      <c r="BS8" s="32"/>
      <c r="BT8" s="32"/>
      <c r="BU8" s="32"/>
      <c r="BV8" s="32"/>
      <c r="BW8" s="32"/>
      <c r="BX8" s="32"/>
      <c r="BY8" s="32"/>
      <c r="BZ8" s="32"/>
      <c r="CA8" s="32"/>
      <c r="CB8" s="32"/>
      <c r="CC8" s="32"/>
      <c r="CD8" s="32"/>
      <c r="CE8" s="32"/>
      <c r="CF8" s="32"/>
      <c r="CG8" s="32"/>
      <c r="CH8" s="32"/>
      <c r="CI8" s="32"/>
    </row>
    <row r="9" spans="1:87" s="35" customFormat="1" ht="20.100000000000001" customHeight="1">
      <c r="A9" s="209"/>
      <c r="B9" s="103"/>
      <c r="C9" s="101"/>
      <c r="D9" s="101"/>
      <c r="E9" s="215">
        <v>2</v>
      </c>
      <c r="F9" s="865">
        <v>3</v>
      </c>
      <c r="G9" s="865"/>
      <c r="H9" s="865"/>
      <c r="I9" s="215"/>
      <c r="K9" s="104"/>
      <c r="L9" s="864" t="s">
        <v>3</v>
      </c>
      <c r="M9" s="864"/>
      <c r="N9" s="864"/>
      <c r="O9" s="864"/>
      <c r="P9" s="864"/>
      <c r="Q9" s="864"/>
      <c r="R9" s="864"/>
      <c r="S9" s="864"/>
      <c r="T9" s="864"/>
      <c r="U9" s="864"/>
      <c r="V9" s="864"/>
      <c r="W9" s="864"/>
      <c r="X9" s="864"/>
      <c r="Y9" s="864"/>
      <c r="Z9" s="864"/>
      <c r="AA9" s="864"/>
      <c r="AB9" s="864"/>
      <c r="AC9" s="864"/>
      <c r="AD9" s="864"/>
      <c r="AE9" s="864"/>
      <c r="AF9" s="864"/>
      <c r="AG9" s="864"/>
      <c r="AH9" s="864"/>
      <c r="AI9" s="864"/>
      <c r="AJ9" s="864"/>
      <c r="AK9" s="864"/>
      <c r="AL9" s="864"/>
      <c r="AM9" s="864"/>
      <c r="AN9" s="864"/>
      <c r="AO9" s="864"/>
      <c r="AP9" s="864"/>
      <c r="AQ9" s="864"/>
      <c r="AR9" s="864"/>
      <c r="AS9" s="864"/>
      <c r="AT9" s="864"/>
      <c r="AU9" s="104"/>
      <c r="AV9" s="104"/>
      <c r="AW9" s="104"/>
      <c r="AX9" s="104"/>
      <c r="AY9" s="104"/>
      <c r="AZ9" s="104"/>
      <c r="BA9" s="104"/>
      <c r="BB9" s="104"/>
      <c r="BC9" s="104"/>
      <c r="BD9" s="104"/>
      <c r="BE9" s="104"/>
      <c r="BF9" s="104"/>
      <c r="BG9" s="104"/>
      <c r="BH9" s="104"/>
      <c r="BI9" s="104"/>
      <c r="BJ9" s="104"/>
      <c r="BK9" s="104"/>
      <c r="BL9" s="104"/>
      <c r="BM9" s="104"/>
      <c r="BN9" s="211"/>
      <c r="BO9" s="32"/>
      <c r="BP9" s="32"/>
      <c r="BQ9" s="32"/>
      <c r="BR9" s="32"/>
      <c r="BS9" s="32"/>
      <c r="BT9" s="32"/>
      <c r="BU9" s="32"/>
      <c r="BV9" s="32"/>
      <c r="BW9" s="32"/>
      <c r="BX9" s="32"/>
      <c r="BY9" s="32"/>
      <c r="BZ9" s="32"/>
      <c r="CA9" s="32"/>
      <c r="CB9" s="32"/>
      <c r="CC9" s="32"/>
      <c r="CD9" s="32"/>
      <c r="CE9" s="32"/>
      <c r="CF9" s="32"/>
      <c r="CG9" s="32"/>
      <c r="CH9" s="32"/>
      <c r="CI9" s="32"/>
    </row>
    <row r="10" spans="1:87" s="35" customFormat="1" ht="20.100000000000001" customHeight="1">
      <c r="A10" s="209"/>
      <c r="B10" s="103"/>
      <c r="C10" s="101"/>
      <c r="D10" s="101"/>
      <c r="E10" s="215"/>
      <c r="F10" s="215"/>
      <c r="G10" s="215"/>
      <c r="H10" s="215"/>
      <c r="I10" s="215"/>
      <c r="K10" s="104"/>
      <c r="L10" s="866" t="s">
        <v>301</v>
      </c>
      <c r="M10" s="866"/>
      <c r="N10" s="866"/>
      <c r="O10" s="866"/>
      <c r="P10" s="866"/>
      <c r="Q10" s="866"/>
      <c r="R10" s="866"/>
      <c r="S10" s="866"/>
      <c r="T10" s="866"/>
      <c r="U10" s="866"/>
      <c r="V10" s="866"/>
      <c r="W10" s="866"/>
      <c r="X10" s="866"/>
      <c r="Y10" s="866"/>
      <c r="Z10" s="866"/>
      <c r="AA10" s="866"/>
      <c r="AB10" s="866"/>
      <c r="AC10" s="866"/>
      <c r="AD10" s="866"/>
      <c r="AE10" s="866"/>
      <c r="AF10" s="866"/>
      <c r="AG10" s="866"/>
      <c r="AH10" s="866"/>
      <c r="AI10" s="866"/>
      <c r="AJ10" s="866"/>
      <c r="AK10" s="866"/>
      <c r="AL10" s="866"/>
      <c r="AM10" s="866"/>
      <c r="AN10" s="866"/>
      <c r="AO10" s="866"/>
      <c r="AP10" s="866"/>
      <c r="AQ10" s="866"/>
      <c r="AR10" s="866"/>
      <c r="AS10" s="866"/>
      <c r="AT10" s="866"/>
      <c r="AU10" s="104"/>
      <c r="AV10" s="104"/>
      <c r="AW10" s="104"/>
      <c r="AX10" s="104"/>
      <c r="AY10" s="104"/>
      <c r="AZ10" s="104"/>
      <c r="BA10" s="104"/>
      <c r="BB10" s="104"/>
      <c r="BC10" s="104"/>
      <c r="BD10" s="104"/>
      <c r="BE10" s="104"/>
      <c r="BF10" s="104"/>
      <c r="BG10" s="104"/>
      <c r="BH10" s="104"/>
      <c r="BI10" s="104"/>
      <c r="BJ10" s="104"/>
      <c r="BK10" s="104"/>
      <c r="BL10" s="104"/>
      <c r="BM10" s="104"/>
      <c r="BN10" s="211"/>
      <c r="BO10" s="32"/>
      <c r="BP10" s="32"/>
      <c r="BQ10" s="32"/>
      <c r="BR10" s="32"/>
      <c r="BS10" s="32"/>
      <c r="BT10" s="32"/>
      <c r="BU10" s="32"/>
      <c r="BV10" s="32"/>
      <c r="BW10" s="32"/>
      <c r="BX10" s="32"/>
      <c r="BY10" s="32"/>
      <c r="BZ10" s="32"/>
      <c r="CA10" s="32"/>
      <c r="CB10" s="32"/>
      <c r="CC10" s="32"/>
      <c r="CD10" s="32"/>
      <c r="CE10" s="32"/>
      <c r="CF10" s="32"/>
      <c r="CG10" s="32"/>
      <c r="CH10" s="32"/>
      <c r="CI10" s="32"/>
    </row>
    <row r="11" spans="1:87" s="35" customFormat="1" ht="20.100000000000001" customHeight="1">
      <c r="A11" s="209"/>
      <c r="B11" s="103"/>
      <c r="C11" s="101"/>
      <c r="D11" s="101"/>
      <c r="E11" s="215"/>
      <c r="F11" s="215"/>
      <c r="G11" s="215"/>
      <c r="H11" s="215"/>
      <c r="I11" s="215"/>
      <c r="K11" s="104"/>
      <c r="L11" s="866" t="s">
        <v>321</v>
      </c>
      <c r="M11" s="866"/>
      <c r="N11" s="866"/>
      <c r="O11" s="866"/>
      <c r="P11" s="866"/>
      <c r="Q11" s="866"/>
      <c r="R11" s="866"/>
      <c r="S11" s="866"/>
      <c r="T11" s="866"/>
      <c r="U11" s="866"/>
      <c r="V11" s="866"/>
      <c r="W11" s="866"/>
      <c r="X11" s="866"/>
      <c r="Y11" s="866"/>
      <c r="Z11" s="866"/>
      <c r="AA11" s="866"/>
      <c r="AB11" s="866"/>
      <c r="AC11" s="866"/>
      <c r="AD11" s="866"/>
      <c r="AE11" s="866"/>
      <c r="AF11" s="866"/>
      <c r="AG11" s="866"/>
      <c r="AH11" s="866"/>
      <c r="AI11" s="866"/>
      <c r="AJ11" s="866"/>
      <c r="AK11" s="866"/>
      <c r="AL11" s="866"/>
      <c r="AM11" s="866"/>
      <c r="AN11" s="866"/>
      <c r="AO11" s="866"/>
      <c r="AP11" s="866"/>
      <c r="AQ11" s="866"/>
      <c r="AR11" s="866"/>
      <c r="AS11" s="866"/>
      <c r="AT11" s="866"/>
      <c r="AU11" s="104"/>
      <c r="AV11" s="104"/>
      <c r="AW11" s="104"/>
      <c r="AX11" s="104"/>
      <c r="AY11" s="104"/>
      <c r="AZ11" s="104"/>
      <c r="BA11" s="104"/>
      <c r="BB11" s="104"/>
      <c r="BC11" s="104"/>
      <c r="BD11" s="104"/>
      <c r="BE11" s="104"/>
      <c r="BF11" s="104"/>
      <c r="BG11" s="104"/>
      <c r="BH11" s="104"/>
      <c r="BI11" s="104"/>
      <c r="BJ11" s="104"/>
      <c r="BK11" s="104"/>
      <c r="BL11" s="104"/>
      <c r="BM11" s="104"/>
      <c r="BN11" s="211"/>
      <c r="BO11" s="32"/>
      <c r="BP11" s="32"/>
      <c r="BQ11" s="32"/>
      <c r="BR11" s="32"/>
      <c r="BS11" s="32"/>
      <c r="BT11" s="32"/>
      <c r="BU11" s="32"/>
      <c r="BV11" s="32"/>
      <c r="BW11" s="32"/>
      <c r="BX11" s="32"/>
      <c r="BY11" s="32"/>
      <c r="BZ11" s="32"/>
      <c r="CA11" s="32"/>
      <c r="CB11" s="32"/>
      <c r="CC11" s="32"/>
      <c r="CD11" s="32"/>
      <c r="CE11" s="32"/>
      <c r="CF11" s="32"/>
      <c r="CG11" s="32"/>
      <c r="CH11" s="32"/>
      <c r="CI11" s="32"/>
    </row>
    <row r="12" spans="1:87" s="35" customFormat="1" ht="20.100000000000001" customHeight="1">
      <c r="A12" s="862"/>
      <c r="B12" s="863"/>
      <c r="C12" s="863"/>
      <c r="D12" s="863"/>
      <c r="E12" s="216">
        <v>3</v>
      </c>
      <c r="F12" s="865">
        <v>4</v>
      </c>
      <c r="G12" s="865"/>
      <c r="H12" s="865"/>
      <c r="I12" s="216"/>
      <c r="K12" s="104"/>
      <c r="L12" s="864" t="s">
        <v>9</v>
      </c>
      <c r="M12" s="864"/>
      <c r="N12" s="864"/>
      <c r="O12" s="864"/>
      <c r="P12" s="864"/>
      <c r="Q12" s="864"/>
      <c r="R12" s="864"/>
      <c r="S12" s="864"/>
      <c r="T12" s="864"/>
      <c r="U12" s="864"/>
      <c r="V12" s="864"/>
      <c r="W12" s="864"/>
      <c r="X12" s="864"/>
      <c r="Y12" s="864"/>
      <c r="Z12" s="864"/>
      <c r="AA12" s="864"/>
      <c r="AB12" s="864"/>
      <c r="AC12" s="864"/>
      <c r="AD12" s="864"/>
      <c r="AE12" s="864"/>
      <c r="AF12" s="864"/>
      <c r="AG12" s="864"/>
      <c r="AH12" s="864"/>
      <c r="AI12" s="864"/>
      <c r="AJ12" s="864"/>
      <c r="AK12" s="864"/>
      <c r="AL12" s="864"/>
      <c r="AM12" s="864"/>
      <c r="AN12" s="864"/>
      <c r="AO12" s="864"/>
      <c r="AP12" s="864"/>
      <c r="AQ12" s="864"/>
      <c r="AR12" s="864"/>
      <c r="AS12" s="864"/>
      <c r="AT12" s="864"/>
      <c r="AU12" s="104"/>
      <c r="AV12" s="104"/>
      <c r="AW12" s="104"/>
      <c r="AX12" s="104"/>
      <c r="AY12" s="104"/>
      <c r="AZ12" s="104"/>
      <c r="BA12" s="104"/>
      <c r="BB12" s="104"/>
      <c r="BC12" s="104"/>
      <c r="BD12" s="104"/>
      <c r="BE12" s="104"/>
      <c r="BF12" s="104"/>
      <c r="BG12" s="104"/>
      <c r="BH12" s="104"/>
      <c r="BI12" s="104"/>
      <c r="BJ12" s="104"/>
      <c r="BK12" s="104"/>
      <c r="BL12" s="104"/>
      <c r="BM12" s="104"/>
      <c r="BN12" s="211"/>
      <c r="BO12" s="32"/>
      <c r="BP12" s="32"/>
      <c r="BQ12" s="32"/>
      <c r="BR12" s="32"/>
      <c r="BS12" s="32"/>
      <c r="BT12" s="32"/>
      <c r="BU12" s="32"/>
      <c r="BV12" s="32"/>
      <c r="BW12" s="32"/>
      <c r="BX12" s="32"/>
      <c r="BY12" s="32"/>
      <c r="BZ12" s="32"/>
      <c r="CA12" s="32"/>
      <c r="CB12" s="32"/>
      <c r="CC12" s="32"/>
      <c r="CD12" s="32"/>
      <c r="CE12" s="32"/>
      <c r="CF12" s="32"/>
      <c r="CG12" s="32"/>
      <c r="CH12" s="32"/>
      <c r="CI12" s="32"/>
    </row>
    <row r="13" spans="1:87" s="35" customFormat="1" ht="20.100000000000001" customHeight="1">
      <c r="A13" s="212"/>
      <c r="B13" s="183"/>
      <c r="C13" s="183"/>
      <c r="D13" s="183"/>
      <c r="E13" s="215"/>
      <c r="F13" s="215"/>
      <c r="G13" s="215"/>
      <c r="H13" s="215"/>
      <c r="I13" s="215"/>
      <c r="K13" s="104"/>
      <c r="L13" s="866" t="s">
        <v>302</v>
      </c>
      <c r="M13" s="866"/>
      <c r="N13" s="866"/>
      <c r="O13" s="866"/>
      <c r="P13" s="866"/>
      <c r="Q13" s="866"/>
      <c r="R13" s="866"/>
      <c r="S13" s="866"/>
      <c r="T13" s="866"/>
      <c r="U13" s="866"/>
      <c r="V13" s="866"/>
      <c r="W13" s="866"/>
      <c r="X13" s="866"/>
      <c r="Y13" s="866"/>
      <c r="Z13" s="866"/>
      <c r="AA13" s="866"/>
      <c r="AB13" s="866"/>
      <c r="AC13" s="866"/>
      <c r="AD13" s="866"/>
      <c r="AE13" s="866"/>
      <c r="AF13" s="866"/>
      <c r="AG13" s="866"/>
      <c r="AH13" s="866"/>
      <c r="AI13" s="866"/>
      <c r="AJ13" s="866"/>
      <c r="AK13" s="866"/>
      <c r="AL13" s="866"/>
      <c r="AM13" s="866"/>
      <c r="AN13" s="866"/>
      <c r="AO13" s="866"/>
      <c r="AP13" s="866"/>
      <c r="AQ13" s="866"/>
      <c r="AR13" s="866"/>
      <c r="AS13" s="866"/>
      <c r="AT13" s="866"/>
      <c r="AU13" s="104"/>
      <c r="AV13" s="104"/>
      <c r="AW13" s="104"/>
      <c r="AX13" s="104"/>
      <c r="AY13" s="104"/>
      <c r="AZ13" s="104"/>
      <c r="BA13" s="104"/>
      <c r="BB13" s="104"/>
      <c r="BC13" s="104"/>
      <c r="BD13" s="104"/>
      <c r="BE13" s="104"/>
      <c r="BF13" s="104"/>
      <c r="BG13" s="104"/>
      <c r="BH13" s="104"/>
      <c r="BI13" s="104"/>
      <c r="BJ13" s="104"/>
      <c r="BK13" s="104"/>
      <c r="BL13" s="104"/>
      <c r="BM13" s="104"/>
      <c r="BN13" s="211"/>
      <c r="BO13" s="32"/>
      <c r="BP13" s="32"/>
      <c r="BQ13" s="32"/>
      <c r="BR13" s="32"/>
      <c r="BS13" s="32"/>
      <c r="BT13" s="32"/>
      <c r="BU13" s="32"/>
      <c r="BV13" s="32"/>
      <c r="BW13" s="32"/>
      <c r="BX13" s="32"/>
      <c r="BY13" s="32"/>
      <c r="BZ13" s="32"/>
      <c r="CA13" s="32"/>
      <c r="CB13" s="32"/>
      <c r="CC13" s="32"/>
      <c r="CD13" s="32"/>
      <c r="CE13" s="32"/>
      <c r="CF13" s="32"/>
      <c r="CG13" s="32"/>
      <c r="CH13" s="32"/>
      <c r="CI13" s="32"/>
    </row>
    <row r="14" spans="1:87" s="35" customFormat="1" ht="20.100000000000001" customHeight="1">
      <c r="A14" s="212"/>
      <c r="B14" s="183"/>
      <c r="C14" s="183"/>
      <c r="D14" s="183"/>
      <c r="E14" s="215"/>
      <c r="F14" s="215"/>
      <c r="G14" s="215"/>
      <c r="H14" s="215"/>
      <c r="I14" s="215"/>
      <c r="K14" s="104"/>
      <c r="L14" s="866" t="s">
        <v>303</v>
      </c>
      <c r="M14" s="866"/>
      <c r="N14" s="866"/>
      <c r="O14" s="866"/>
      <c r="P14" s="866"/>
      <c r="Q14" s="866"/>
      <c r="R14" s="866"/>
      <c r="S14" s="866"/>
      <c r="T14" s="866"/>
      <c r="U14" s="866"/>
      <c r="V14" s="866"/>
      <c r="W14" s="866"/>
      <c r="X14" s="866"/>
      <c r="Y14" s="866"/>
      <c r="Z14" s="866"/>
      <c r="AA14" s="866"/>
      <c r="AB14" s="866"/>
      <c r="AC14" s="866"/>
      <c r="AD14" s="866"/>
      <c r="AE14" s="866"/>
      <c r="AF14" s="866"/>
      <c r="AG14" s="866"/>
      <c r="AH14" s="866"/>
      <c r="AI14" s="866"/>
      <c r="AJ14" s="866"/>
      <c r="AK14" s="866"/>
      <c r="AL14" s="866"/>
      <c r="AM14" s="866"/>
      <c r="AN14" s="866"/>
      <c r="AO14" s="866"/>
      <c r="AP14" s="866"/>
      <c r="AQ14" s="866"/>
      <c r="AR14" s="866"/>
      <c r="AS14" s="866"/>
      <c r="AT14" s="866"/>
      <c r="AU14" s="104"/>
      <c r="AV14" s="104"/>
      <c r="AW14" s="104"/>
      <c r="AX14" s="104"/>
      <c r="AY14" s="104"/>
      <c r="AZ14" s="104"/>
      <c r="BA14" s="104"/>
      <c r="BB14" s="104"/>
      <c r="BC14" s="104"/>
      <c r="BD14" s="104"/>
      <c r="BE14" s="104"/>
      <c r="BF14" s="104"/>
      <c r="BG14" s="104"/>
      <c r="BH14" s="104"/>
      <c r="BI14" s="104"/>
      <c r="BJ14" s="104"/>
      <c r="BK14" s="104"/>
      <c r="BL14" s="104"/>
      <c r="BM14" s="104"/>
      <c r="BN14" s="211"/>
      <c r="BO14" s="32"/>
      <c r="BP14" s="32"/>
      <c r="BQ14" s="32"/>
      <c r="BR14" s="32"/>
      <c r="BS14" s="32"/>
      <c r="BT14" s="32"/>
      <c r="BU14" s="32"/>
      <c r="BV14" s="32"/>
      <c r="BW14" s="32"/>
      <c r="BX14" s="32"/>
      <c r="BY14" s="32"/>
      <c r="BZ14" s="32"/>
      <c r="CA14" s="32"/>
      <c r="CB14" s="32"/>
      <c r="CC14" s="32"/>
      <c r="CD14" s="32"/>
      <c r="CE14" s="32"/>
      <c r="CF14" s="32"/>
      <c r="CG14" s="32"/>
      <c r="CH14" s="32"/>
      <c r="CI14" s="32"/>
    </row>
    <row r="15" spans="1:87" s="35" customFormat="1" ht="20.100000000000001" customHeight="1">
      <c r="A15" s="566"/>
      <c r="B15" s="567"/>
      <c r="C15" s="567"/>
      <c r="D15" s="567"/>
      <c r="E15" s="565"/>
      <c r="F15" s="565"/>
      <c r="G15" s="565"/>
      <c r="H15" s="880">
        <v>4.0999999999999996</v>
      </c>
      <c r="I15" s="880"/>
      <c r="J15" s="880"/>
      <c r="K15" s="104"/>
      <c r="L15" s="866" t="s">
        <v>741</v>
      </c>
      <c r="M15" s="866"/>
      <c r="N15" s="866"/>
      <c r="O15" s="866"/>
      <c r="P15" s="866"/>
      <c r="Q15" s="866"/>
      <c r="R15" s="866"/>
      <c r="S15" s="866"/>
      <c r="T15" s="866"/>
      <c r="U15" s="866"/>
      <c r="V15" s="866"/>
      <c r="W15" s="866"/>
      <c r="X15" s="866"/>
      <c r="Y15" s="866"/>
      <c r="Z15" s="866"/>
      <c r="AA15" s="866"/>
      <c r="AB15" s="866"/>
      <c r="AC15" s="866"/>
      <c r="AD15" s="866"/>
      <c r="AE15" s="866"/>
      <c r="AF15" s="866"/>
      <c r="AG15" s="866"/>
      <c r="AH15" s="866"/>
      <c r="AI15" s="866"/>
      <c r="AJ15" s="866"/>
      <c r="AK15" s="866"/>
      <c r="AL15" s="866"/>
      <c r="AM15" s="866"/>
      <c r="AN15" s="866"/>
      <c r="AO15" s="866"/>
      <c r="AP15" s="866"/>
      <c r="AQ15" s="866"/>
      <c r="AR15" s="866"/>
      <c r="AS15" s="866"/>
      <c r="AT15" s="866"/>
      <c r="AU15" s="104"/>
      <c r="AV15" s="104"/>
      <c r="AW15" s="104"/>
      <c r="AX15" s="104"/>
      <c r="AY15" s="104"/>
      <c r="AZ15" s="104"/>
      <c r="BA15" s="104"/>
      <c r="BB15" s="104"/>
      <c r="BC15" s="104"/>
      <c r="BD15" s="104"/>
      <c r="BE15" s="104"/>
      <c r="BF15" s="104"/>
      <c r="BG15" s="104"/>
      <c r="BH15" s="104"/>
      <c r="BI15" s="104"/>
      <c r="BJ15" s="104"/>
      <c r="BK15" s="104"/>
      <c r="BL15" s="104"/>
      <c r="BM15" s="104"/>
      <c r="BN15" s="211"/>
      <c r="BO15" s="32"/>
      <c r="BP15" s="32"/>
      <c r="BQ15" s="32"/>
      <c r="BR15" s="32"/>
      <c r="BS15" s="32"/>
      <c r="BT15" s="32"/>
      <c r="BU15" s="32"/>
      <c r="BV15" s="32"/>
      <c r="BW15" s="32"/>
      <c r="BX15" s="32"/>
      <c r="BY15" s="32"/>
      <c r="BZ15" s="32"/>
      <c r="CA15" s="32"/>
      <c r="CB15" s="32"/>
      <c r="CC15" s="32"/>
      <c r="CD15" s="32"/>
      <c r="CE15" s="32"/>
      <c r="CF15" s="32"/>
      <c r="CG15" s="32"/>
      <c r="CH15" s="32"/>
      <c r="CI15" s="32"/>
    </row>
    <row r="16" spans="1:87" s="35" customFormat="1" ht="20.100000000000001" customHeight="1">
      <c r="A16" s="566"/>
      <c r="B16" s="567"/>
      <c r="C16" s="567"/>
      <c r="D16" s="567"/>
      <c r="E16" s="565"/>
      <c r="F16" s="565"/>
      <c r="G16" s="565"/>
      <c r="H16" s="880">
        <v>4.12</v>
      </c>
      <c r="I16" s="880"/>
      <c r="J16" s="880"/>
      <c r="K16" s="104"/>
      <c r="L16" s="866" t="s">
        <v>742</v>
      </c>
      <c r="M16" s="866"/>
      <c r="N16" s="866"/>
      <c r="O16" s="866"/>
      <c r="P16" s="866"/>
      <c r="Q16" s="866"/>
      <c r="R16" s="866"/>
      <c r="S16" s="866"/>
      <c r="T16" s="866"/>
      <c r="U16" s="866"/>
      <c r="V16" s="866"/>
      <c r="W16" s="866"/>
      <c r="X16" s="866"/>
      <c r="Y16" s="866"/>
      <c r="Z16" s="866"/>
      <c r="AA16" s="866"/>
      <c r="AB16" s="866"/>
      <c r="AC16" s="866"/>
      <c r="AD16" s="866"/>
      <c r="AE16" s="866"/>
      <c r="AF16" s="866"/>
      <c r="AG16" s="866"/>
      <c r="AH16" s="866"/>
      <c r="AI16" s="866"/>
      <c r="AJ16" s="866"/>
      <c r="AK16" s="866"/>
      <c r="AL16" s="866"/>
      <c r="AM16" s="866"/>
      <c r="AN16" s="866"/>
      <c r="AO16" s="866"/>
      <c r="AP16" s="866"/>
      <c r="AQ16" s="866"/>
      <c r="AR16" s="866"/>
      <c r="AS16" s="866"/>
      <c r="AT16" s="866"/>
      <c r="AU16" s="104"/>
      <c r="AV16" s="104"/>
      <c r="AW16" s="104"/>
      <c r="AX16" s="104"/>
      <c r="AY16" s="104"/>
      <c r="AZ16" s="104"/>
      <c r="BA16" s="104"/>
      <c r="BB16" s="104"/>
      <c r="BC16" s="104"/>
      <c r="BD16" s="104"/>
      <c r="BE16" s="104"/>
      <c r="BF16" s="104"/>
      <c r="BG16" s="104"/>
      <c r="BH16" s="104"/>
      <c r="BI16" s="104"/>
      <c r="BJ16" s="104"/>
      <c r="BK16" s="104"/>
      <c r="BL16" s="104"/>
      <c r="BM16" s="104"/>
      <c r="BN16" s="211"/>
      <c r="BO16" s="32"/>
      <c r="BP16" s="32"/>
      <c r="BQ16" s="32"/>
      <c r="BR16" s="32"/>
      <c r="BS16" s="32"/>
      <c r="BT16" s="32"/>
      <c r="BU16" s="32"/>
      <c r="BV16" s="32"/>
      <c r="BW16" s="32"/>
      <c r="BX16" s="32"/>
      <c r="BY16" s="32"/>
      <c r="BZ16" s="32"/>
      <c r="CA16" s="32"/>
      <c r="CB16" s="32"/>
      <c r="CC16" s="32"/>
      <c r="CD16" s="32"/>
      <c r="CE16" s="32"/>
      <c r="CF16" s="32"/>
      <c r="CG16" s="32"/>
      <c r="CH16" s="32"/>
      <c r="CI16" s="32"/>
    </row>
    <row r="17" spans="1:87" s="35" customFormat="1" ht="20.100000000000001" customHeight="1">
      <c r="A17" s="862"/>
      <c r="B17" s="863"/>
      <c r="C17" s="863"/>
      <c r="D17" s="863"/>
      <c r="E17" s="216">
        <v>4</v>
      </c>
      <c r="F17" s="865">
        <v>5</v>
      </c>
      <c r="G17" s="865"/>
      <c r="H17" s="865"/>
      <c r="I17" s="216"/>
      <c r="K17" s="104"/>
      <c r="L17" s="864" t="s">
        <v>21</v>
      </c>
      <c r="M17" s="864"/>
      <c r="N17" s="864"/>
      <c r="O17" s="864"/>
      <c r="P17" s="864"/>
      <c r="Q17" s="864"/>
      <c r="R17" s="864"/>
      <c r="S17" s="864"/>
      <c r="T17" s="864"/>
      <c r="U17" s="864"/>
      <c r="V17" s="864"/>
      <c r="W17" s="864"/>
      <c r="X17" s="864"/>
      <c r="Y17" s="864"/>
      <c r="Z17" s="864"/>
      <c r="AA17" s="864"/>
      <c r="AB17" s="864"/>
      <c r="AC17" s="864"/>
      <c r="AD17" s="864"/>
      <c r="AE17" s="864"/>
      <c r="AF17" s="864"/>
      <c r="AG17" s="864"/>
      <c r="AH17" s="864"/>
      <c r="AI17" s="864"/>
      <c r="AJ17" s="864"/>
      <c r="AK17" s="864"/>
      <c r="AL17" s="864"/>
      <c r="AM17" s="864"/>
      <c r="AN17" s="864"/>
      <c r="AO17" s="864"/>
      <c r="AP17" s="864"/>
      <c r="AQ17" s="864"/>
      <c r="AR17" s="864"/>
      <c r="AS17" s="864"/>
      <c r="AT17" s="864"/>
      <c r="AU17" s="104"/>
      <c r="AV17" s="104"/>
      <c r="AW17" s="104"/>
      <c r="AX17" s="104"/>
      <c r="AY17" s="104"/>
      <c r="AZ17" s="104"/>
      <c r="BA17" s="104"/>
      <c r="BB17" s="104"/>
      <c r="BC17" s="104"/>
      <c r="BD17" s="104"/>
      <c r="BE17" s="104"/>
      <c r="BF17" s="104"/>
      <c r="BG17" s="104"/>
      <c r="BH17" s="104"/>
      <c r="BI17" s="104"/>
      <c r="BJ17" s="104"/>
      <c r="BK17" s="104"/>
      <c r="BL17" s="104"/>
      <c r="BM17" s="104"/>
      <c r="BN17" s="211"/>
      <c r="BO17" s="32"/>
      <c r="BP17" s="32"/>
      <c r="BQ17" s="32"/>
      <c r="BR17" s="32"/>
      <c r="BS17" s="32"/>
      <c r="BT17" s="32"/>
      <c r="BU17" s="32"/>
      <c r="BV17" s="32"/>
      <c r="BW17" s="32"/>
      <c r="BX17" s="32"/>
      <c r="BY17" s="32"/>
      <c r="BZ17" s="32"/>
      <c r="CA17" s="32"/>
      <c r="CB17" s="32"/>
      <c r="CC17" s="32"/>
      <c r="CD17" s="32"/>
      <c r="CE17" s="32"/>
      <c r="CF17" s="32"/>
      <c r="CG17" s="32"/>
      <c r="CH17" s="32"/>
      <c r="CI17" s="32"/>
    </row>
    <row r="18" spans="1:87" s="35" customFormat="1" ht="20.100000000000001" customHeight="1">
      <c r="A18" s="212"/>
      <c r="B18" s="183"/>
      <c r="C18" s="183"/>
      <c r="D18" s="183"/>
      <c r="E18" s="215"/>
      <c r="F18" s="215"/>
      <c r="G18" s="215"/>
      <c r="H18" s="215"/>
      <c r="I18" s="215"/>
      <c r="K18" s="104"/>
      <c r="L18" s="866" t="s">
        <v>304</v>
      </c>
      <c r="M18" s="866"/>
      <c r="N18" s="866"/>
      <c r="O18" s="866"/>
      <c r="P18" s="866"/>
      <c r="Q18" s="866"/>
      <c r="R18" s="866"/>
      <c r="S18" s="866"/>
      <c r="T18" s="866"/>
      <c r="U18" s="866"/>
      <c r="V18" s="866"/>
      <c r="W18" s="866"/>
      <c r="X18" s="866"/>
      <c r="Y18" s="866"/>
      <c r="Z18" s="866"/>
      <c r="AA18" s="866"/>
      <c r="AB18" s="866"/>
      <c r="AC18" s="866"/>
      <c r="AD18" s="866"/>
      <c r="AE18" s="866"/>
      <c r="AF18" s="866"/>
      <c r="AG18" s="866"/>
      <c r="AH18" s="866"/>
      <c r="AI18" s="866"/>
      <c r="AJ18" s="866"/>
      <c r="AK18" s="866"/>
      <c r="AL18" s="866"/>
      <c r="AM18" s="866"/>
      <c r="AN18" s="866"/>
      <c r="AO18" s="866"/>
      <c r="AP18" s="866"/>
      <c r="AQ18" s="866"/>
      <c r="AR18" s="866"/>
      <c r="AS18" s="866"/>
      <c r="AT18" s="866"/>
      <c r="AU18" s="104"/>
      <c r="AV18" s="104"/>
      <c r="AW18" s="104"/>
      <c r="AX18" s="104"/>
      <c r="AY18" s="104"/>
      <c r="AZ18" s="104"/>
      <c r="BA18" s="104"/>
      <c r="BB18" s="104"/>
      <c r="BC18" s="104"/>
      <c r="BD18" s="104"/>
      <c r="BE18" s="104"/>
      <c r="BF18" s="104"/>
      <c r="BG18" s="104"/>
      <c r="BH18" s="104"/>
      <c r="BI18" s="104"/>
      <c r="BJ18" s="104"/>
      <c r="BK18" s="104"/>
      <c r="BL18" s="104"/>
      <c r="BM18" s="104"/>
      <c r="BN18" s="211"/>
      <c r="BO18" s="32"/>
      <c r="BP18" s="32"/>
      <c r="BQ18" s="32"/>
      <c r="BR18" s="32"/>
      <c r="BS18" s="32"/>
      <c r="BT18" s="32"/>
      <c r="BU18" s="32"/>
      <c r="BV18" s="32"/>
      <c r="BW18" s="32"/>
      <c r="BX18" s="32"/>
      <c r="BY18" s="32"/>
      <c r="BZ18" s="32"/>
      <c r="CA18" s="32"/>
      <c r="CB18" s="32"/>
      <c r="CC18" s="32"/>
      <c r="CD18" s="32"/>
      <c r="CE18" s="32"/>
      <c r="CF18" s="32"/>
      <c r="CG18" s="32"/>
      <c r="CH18" s="32"/>
      <c r="CI18" s="32"/>
    </row>
    <row r="19" spans="1:87" s="35" customFormat="1" ht="20.100000000000001" customHeight="1">
      <c r="A19" s="212"/>
      <c r="B19" s="183"/>
      <c r="C19" s="183"/>
      <c r="D19" s="183"/>
      <c r="E19" s="215"/>
      <c r="F19" s="215"/>
      <c r="G19" s="215"/>
      <c r="H19" s="215"/>
      <c r="I19" s="215"/>
      <c r="K19" s="104"/>
      <c r="L19" s="866" t="s">
        <v>305</v>
      </c>
      <c r="M19" s="866"/>
      <c r="N19" s="866"/>
      <c r="O19" s="866"/>
      <c r="P19" s="866"/>
      <c r="Q19" s="866"/>
      <c r="R19" s="866"/>
      <c r="S19" s="866"/>
      <c r="T19" s="866"/>
      <c r="U19" s="866"/>
      <c r="V19" s="866"/>
      <c r="W19" s="866"/>
      <c r="X19" s="866"/>
      <c r="Y19" s="866"/>
      <c r="Z19" s="866"/>
      <c r="AA19" s="866"/>
      <c r="AB19" s="866"/>
      <c r="AC19" s="866"/>
      <c r="AD19" s="866"/>
      <c r="AE19" s="866"/>
      <c r="AF19" s="866"/>
      <c r="AG19" s="866"/>
      <c r="AH19" s="866"/>
      <c r="AI19" s="866"/>
      <c r="AJ19" s="866"/>
      <c r="AK19" s="866"/>
      <c r="AL19" s="866"/>
      <c r="AM19" s="866"/>
      <c r="AN19" s="866"/>
      <c r="AO19" s="866"/>
      <c r="AP19" s="866"/>
      <c r="AQ19" s="866"/>
      <c r="AR19" s="866"/>
      <c r="AS19" s="866"/>
      <c r="AT19" s="866"/>
      <c r="AU19" s="104"/>
      <c r="AV19" s="104"/>
      <c r="AW19" s="104"/>
      <c r="AX19" s="104"/>
      <c r="AY19" s="104"/>
      <c r="AZ19" s="104"/>
      <c r="BA19" s="104"/>
      <c r="BB19" s="104"/>
      <c r="BC19" s="104"/>
      <c r="BD19" s="104"/>
      <c r="BE19" s="104"/>
      <c r="BF19" s="104"/>
      <c r="BG19" s="104"/>
      <c r="BH19" s="104"/>
      <c r="BI19" s="104"/>
      <c r="BJ19" s="104"/>
      <c r="BK19" s="104"/>
      <c r="BL19" s="104"/>
      <c r="BM19" s="104"/>
      <c r="BN19" s="211"/>
      <c r="BO19" s="32"/>
      <c r="BP19" s="32"/>
      <c r="BQ19" s="32"/>
      <c r="BR19" s="32"/>
      <c r="BS19" s="32"/>
      <c r="BT19" s="32"/>
      <c r="BU19" s="32"/>
      <c r="BV19" s="32"/>
      <c r="BW19" s="32"/>
      <c r="BX19" s="32"/>
      <c r="BY19" s="32"/>
      <c r="BZ19" s="32"/>
      <c r="CA19" s="32"/>
      <c r="CB19" s="32"/>
      <c r="CC19" s="32"/>
      <c r="CD19" s="32"/>
      <c r="CE19" s="32"/>
      <c r="CF19" s="32"/>
      <c r="CG19" s="32"/>
      <c r="CH19" s="32"/>
      <c r="CI19" s="32"/>
    </row>
    <row r="20" spans="1:87" s="35" customFormat="1" ht="20.100000000000001" customHeight="1">
      <c r="A20" s="212"/>
      <c r="B20" s="183"/>
      <c r="C20" s="183"/>
      <c r="D20" s="183"/>
      <c r="E20" s="215"/>
      <c r="F20" s="215"/>
      <c r="G20" s="215"/>
      <c r="H20" s="215"/>
      <c r="I20" s="215"/>
      <c r="K20" s="104"/>
      <c r="L20" s="866" t="s">
        <v>306</v>
      </c>
      <c r="M20" s="866"/>
      <c r="N20" s="866"/>
      <c r="O20" s="866"/>
      <c r="P20" s="866"/>
      <c r="Q20" s="866"/>
      <c r="R20" s="866"/>
      <c r="S20" s="866"/>
      <c r="T20" s="866"/>
      <c r="U20" s="866"/>
      <c r="V20" s="866"/>
      <c r="W20" s="866"/>
      <c r="X20" s="866"/>
      <c r="Y20" s="866"/>
      <c r="Z20" s="866"/>
      <c r="AA20" s="866"/>
      <c r="AB20" s="866"/>
      <c r="AC20" s="866"/>
      <c r="AD20" s="866"/>
      <c r="AE20" s="866"/>
      <c r="AF20" s="866"/>
      <c r="AG20" s="866"/>
      <c r="AH20" s="866"/>
      <c r="AI20" s="866"/>
      <c r="AJ20" s="866"/>
      <c r="AK20" s="866"/>
      <c r="AL20" s="866"/>
      <c r="AM20" s="866"/>
      <c r="AN20" s="866"/>
      <c r="AO20" s="866"/>
      <c r="AP20" s="866"/>
      <c r="AQ20" s="866"/>
      <c r="AR20" s="866"/>
      <c r="AS20" s="866"/>
      <c r="AT20" s="866"/>
      <c r="AU20" s="104"/>
      <c r="AV20" s="104"/>
      <c r="AW20" s="104"/>
      <c r="AX20" s="104"/>
      <c r="AY20" s="104"/>
      <c r="AZ20" s="104"/>
      <c r="BA20" s="104"/>
      <c r="BB20" s="104"/>
      <c r="BC20" s="104"/>
      <c r="BD20" s="104"/>
      <c r="BE20" s="104"/>
      <c r="BF20" s="104"/>
      <c r="BG20" s="104"/>
      <c r="BH20" s="104"/>
      <c r="BI20" s="104"/>
      <c r="BJ20" s="104"/>
      <c r="BK20" s="104"/>
      <c r="BL20" s="104"/>
      <c r="BM20" s="104"/>
      <c r="BN20" s="211"/>
      <c r="BO20" s="32"/>
      <c r="BP20" s="32"/>
      <c r="BQ20" s="32"/>
      <c r="BR20" s="32"/>
      <c r="BS20" s="32"/>
      <c r="BT20" s="32"/>
      <c r="BU20" s="32"/>
      <c r="BV20" s="32"/>
      <c r="BW20" s="32"/>
      <c r="BX20" s="32"/>
      <c r="BY20" s="32"/>
      <c r="BZ20" s="32"/>
      <c r="CA20" s="32"/>
      <c r="CB20" s="32"/>
      <c r="CC20" s="32"/>
      <c r="CD20" s="32"/>
      <c r="CE20" s="32"/>
      <c r="CF20" s="32"/>
      <c r="CG20" s="32"/>
      <c r="CH20" s="32"/>
      <c r="CI20" s="32"/>
    </row>
    <row r="21" spans="1:87" s="35" customFormat="1" ht="20.100000000000001" customHeight="1">
      <c r="A21" s="212"/>
      <c r="B21" s="183"/>
      <c r="C21" s="183"/>
      <c r="D21" s="183"/>
      <c r="E21" s="216">
        <v>5</v>
      </c>
      <c r="F21" s="865">
        <v>6</v>
      </c>
      <c r="G21" s="865"/>
      <c r="H21" s="865"/>
      <c r="I21" s="216"/>
      <c r="K21" s="104"/>
      <c r="L21" s="864" t="s">
        <v>240</v>
      </c>
      <c r="M21" s="864"/>
      <c r="N21" s="864"/>
      <c r="O21" s="864"/>
      <c r="P21" s="864"/>
      <c r="Q21" s="864"/>
      <c r="R21" s="864"/>
      <c r="S21" s="864"/>
      <c r="T21" s="864"/>
      <c r="U21" s="864"/>
      <c r="V21" s="864"/>
      <c r="W21" s="864"/>
      <c r="X21" s="864"/>
      <c r="Y21" s="864"/>
      <c r="Z21" s="864"/>
      <c r="AA21" s="864"/>
      <c r="AB21" s="864"/>
      <c r="AC21" s="864"/>
      <c r="AD21" s="864"/>
      <c r="AE21" s="864"/>
      <c r="AF21" s="864"/>
      <c r="AG21" s="864"/>
      <c r="AH21" s="864"/>
      <c r="AI21" s="864"/>
      <c r="AJ21" s="864"/>
      <c r="AK21" s="864"/>
      <c r="AL21" s="864"/>
      <c r="AM21" s="864"/>
      <c r="AN21" s="864"/>
      <c r="AO21" s="864"/>
      <c r="AP21" s="864"/>
      <c r="AQ21" s="864"/>
      <c r="AR21" s="864"/>
      <c r="AS21" s="864"/>
      <c r="AT21" s="864"/>
      <c r="AU21" s="104"/>
      <c r="AV21" s="104"/>
      <c r="AW21" s="104"/>
      <c r="AX21" s="104"/>
      <c r="AY21" s="104"/>
      <c r="AZ21" s="104"/>
      <c r="BA21" s="104"/>
      <c r="BB21" s="104"/>
      <c r="BC21" s="104"/>
      <c r="BD21" s="104"/>
      <c r="BE21" s="104"/>
      <c r="BF21" s="104"/>
      <c r="BG21" s="104"/>
      <c r="BH21" s="104"/>
      <c r="BI21" s="104"/>
      <c r="BJ21" s="104"/>
      <c r="BK21" s="104"/>
      <c r="BL21" s="104"/>
      <c r="BM21" s="104"/>
      <c r="BN21" s="211"/>
      <c r="BO21" s="32"/>
      <c r="BP21" s="32"/>
      <c r="BQ21" s="32"/>
      <c r="BR21" s="32"/>
      <c r="BS21" s="32"/>
      <c r="BT21" s="32"/>
      <c r="BU21" s="32"/>
      <c r="BV21" s="32"/>
      <c r="BW21" s="32"/>
      <c r="BX21" s="32"/>
      <c r="BY21" s="32"/>
      <c r="BZ21" s="32"/>
      <c r="CA21" s="32"/>
      <c r="CB21" s="32"/>
      <c r="CC21" s="32"/>
      <c r="CD21" s="32"/>
      <c r="CE21" s="32"/>
      <c r="CF21" s="32"/>
      <c r="CG21" s="32"/>
      <c r="CH21" s="32"/>
      <c r="CI21" s="32"/>
    </row>
    <row r="22" spans="1:87" s="35" customFormat="1" ht="20.100000000000001" customHeight="1">
      <c r="A22" s="212"/>
      <c r="B22" s="183"/>
      <c r="C22" s="183"/>
      <c r="D22" s="183"/>
      <c r="E22" s="215"/>
      <c r="F22" s="215"/>
      <c r="G22" s="215"/>
      <c r="H22" s="215"/>
      <c r="I22" s="215"/>
      <c r="K22" s="104"/>
      <c r="L22" s="866" t="s">
        <v>743</v>
      </c>
      <c r="M22" s="866"/>
      <c r="N22" s="866"/>
      <c r="O22" s="866"/>
      <c r="P22" s="866"/>
      <c r="Q22" s="866"/>
      <c r="R22" s="866"/>
      <c r="S22" s="866"/>
      <c r="T22" s="866"/>
      <c r="U22" s="866"/>
      <c r="V22" s="866"/>
      <c r="W22" s="866"/>
      <c r="X22" s="866"/>
      <c r="Y22" s="866"/>
      <c r="Z22" s="866"/>
      <c r="AA22" s="866"/>
      <c r="AB22" s="866"/>
      <c r="AC22" s="866"/>
      <c r="AD22" s="866"/>
      <c r="AE22" s="866"/>
      <c r="AF22" s="866"/>
      <c r="AG22" s="866"/>
      <c r="AH22" s="866"/>
      <c r="AI22" s="866"/>
      <c r="AJ22" s="866"/>
      <c r="AK22" s="866"/>
      <c r="AL22" s="866"/>
      <c r="AM22" s="866"/>
      <c r="AN22" s="866"/>
      <c r="AO22" s="866"/>
      <c r="AP22" s="866"/>
      <c r="AQ22" s="866"/>
      <c r="AR22" s="866"/>
      <c r="AS22" s="866"/>
      <c r="AT22" s="866"/>
      <c r="AU22" s="104"/>
      <c r="AV22" s="104"/>
      <c r="AW22" s="104"/>
      <c r="AX22" s="104"/>
      <c r="AY22" s="104"/>
      <c r="AZ22" s="104"/>
      <c r="BA22" s="104"/>
      <c r="BB22" s="104"/>
      <c r="BC22" s="104"/>
      <c r="BD22" s="104"/>
      <c r="BE22" s="104"/>
      <c r="BF22" s="104"/>
      <c r="BG22" s="104"/>
      <c r="BH22" s="104"/>
      <c r="BI22" s="104"/>
      <c r="BJ22" s="104"/>
      <c r="BK22" s="104"/>
      <c r="BL22" s="104"/>
      <c r="BM22" s="104"/>
      <c r="BN22" s="211"/>
      <c r="BO22" s="32"/>
      <c r="BP22" s="32"/>
      <c r="BQ22" s="32"/>
      <c r="BR22" s="32"/>
      <c r="BS22" s="32"/>
      <c r="BT22" s="32"/>
      <c r="BU22" s="32"/>
      <c r="BV22" s="32"/>
      <c r="BW22" s="32"/>
      <c r="BX22" s="32"/>
      <c r="BY22" s="32"/>
      <c r="BZ22" s="32"/>
      <c r="CA22" s="32"/>
      <c r="CB22" s="32"/>
      <c r="CC22" s="32"/>
      <c r="CD22" s="32"/>
      <c r="CE22" s="32"/>
      <c r="CF22" s="32"/>
      <c r="CG22" s="32"/>
      <c r="CH22" s="32"/>
      <c r="CI22" s="32"/>
    </row>
    <row r="23" spans="1:87" s="35" customFormat="1" ht="20.100000000000001" customHeight="1">
      <c r="A23" s="212"/>
      <c r="B23" s="183"/>
      <c r="C23" s="183"/>
      <c r="D23" s="183"/>
      <c r="E23" s="215"/>
      <c r="F23" s="215"/>
      <c r="G23" s="215"/>
      <c r="H23" s="215"/>
      <c r="I23" s="215"/>
      <c r="K23" s="104"/>
      <c r="L23" s="866" t="s">
        <v>744</v>
      </c>
      <c r="M23" s="866"/>
      <c r="N23" s="866"/>
      <c r="O23" s="866"/>
      <c r="P23" s="866"/>
      <c r="Q23" s="866"/>
      <c r="R23" s="866"/>
      <c r="S23" s="866"/>
      <c r="T23" s="866"/>
      <c r="U23" s="866"/>
      <c r="V23" s="866"/>
      <c r="W23" s="866"/>
      <c r="X23" s="866"/>
      <c r="Y23" s="866"/>
      <c r="Z23" s="866"/>
      <c r="AA23" s="866"/>
      <c r="AB23" s="866"/>
      <c r="AC23" s="866"/>
      <c r="AD23" s="866"/>
      <c r="AE23" s="866"/>
      <c r="AF23" s="866"/>
      <c r="AG23" s="866"/>
      <c r="AH23" s="866"/>
      <c r="AI23" s="866"/>
      <c r="AJ23" s="866"/>
      <c r="AK23" s="866"/>
      <c r="AL23" s="866"/>
      <c r="AM23" s="866"/>
      <c r="AN23" s="866"/>
      <c r="AO23" s="866"/>
      <c r="AP23" s="866"/>
      <c r="AQ23" s="866"/>
      <c r="AR23" s="866"/>
      <c r="AS23" s="866"/>
      <c r="AT23" s="866"/>
      <c r="AU23" s="104"/>
      <c r="AV23" s="104"/>
      <c r="AW23" s="104"/>
      <c r="AX23" s="104"/>
      <c r="AY23" s="104"/>
      <c r="AZ23" s="104"/>
      <c r="BA23" s="104"/>
      <c r="BB23" s="104"/>
      <c r="BC23" s="104"/>
      <c r="BD23" s="104"/>
      <c r="BE23" s="104"/>
      <c r="BF23" s="104"/>
      <c r="BG23" s="104"/>
      <c r="BH23" s="104"/>
      <c r="BI23" s="104"/>
      <c r="BJ23" s="104"/>
      <c r="BK23" s="104"/>
      <c r="BL23" s="104"/>
      <c r="BM23" s="104"/>
      <c r="BN23" s="211"/>
      <c r="BO23" s="32"/>
      <c r="BP23" s="32"/>
      <c r="BQ23" s="32"/>
      <c r="BR23" s="32"/>
      <c r="BS23" s="32"/>
      <c r="BT23" s="32"/>
      <c r="BU23" s="32"/>
      <c r="BV23" s="32"/>
      <c r="BW23" s="32"/>
      <c r="BX23" s="32"/>
      <c r="BY23" s="32"/>
      <c r="BZ23" s="32"/>
      <c r="CA23" s="32"/>
      <c r="CB23" s="32"/>
      <c r="CC23" s="32"/>
      <c r="CD23" s="32"/>
      <c r="CE23" s="32"/>
      <c r="CF23" s="32"/>
      <c r="CG23" s="32"/>
      <c r="CH23" s="32"/>
      <c r="CI23" s="32"/>
    </row>
    <row r="24" spans="1:87" s="35" customFormat="1" ht="20.100000000000001" hidden="1" customHeight="1">
      <c r="A24" s="212"/>
      <c r="B24" s="183"/>
      <c r="C24" s="183"/>
      <c r="D24" s="183"/>
      <c r="E24" s="215"/>
      <c r="F24" s="215"/>
      <c r="G24" s="215"/>
      <c r="H24" s="215"/>
      <c r="I24" s="215"/>
      <c r="K24" s="104"/>
      <c r="L24" s="866" t="s">
        <v>403</v>
      </c>
      <c r="M24" s="866"/>
      <c r="N24" s="866"/>
      <c r="O24" s="866"/>
      <c r="P24" s="866"/>
      <c r="Q24" s="866"/>
      <c r="R24" s="866"/>
      <c r="S24" s="866"/>
      <c r="T24" s="866"/>
      <c r="U24" s="866"/>
      <c r="V24" s="866"/>
      <c r="W24" s="866"/>
      <c r="X24" s="866"/>
      <c r="Y24" s="866"/>
      <c r="Z24" s="866"/>
      <c r="AA24" s="866"/>
      <c r="AB24" s="866"/>
      <c r="AC24" s="866"/>
      <c r="AD24" s="866"/>
      <c r="AE24" s="866"/>
      <c r="AF24" s="866"/>
      <c r="AG24" s="866"/>
      <c r="AH24" s="866"/>
      <c r="AI24" s="866"/>
      <c r="AJ24" s="866"/>
      <c r="AK24" s="866"/>
      <c r="AL24" s="866"/>
      <c r="AM24" s="866"/>
      <c r="AN24" s="866"/>
      <c r="AO24" s="866"/>
      <c r="AP24" s="866"/>
      <c r="AQ24" s="866"/>
      <c r="AR24" s="866"/>
      <c r="AS24" s="866"/>
      <c r="AT24" s="866"/>
      <c r="AU24" s="104"/>
      <c r="AV24" s="104"/>
      <c r="AW24" s="104"/>
      <c r="AX24" s="104"/>
      <c r="AY24" s="104"/>
      <c r="AZ24" s="104"/>
      <c r="BA24" s="104"/>
      <c r="BB24" s="104"/>
      <c r="BC24" s="104"/>
      <c r="BD24" s="104"/>
      <c r="BE24" s="104"/>
      <c r="BF24" s="104"/>
      <c r="BG24" s="104"/>
      <c r="BH24" s="104"/>
      <c r="BI24" s="104"/>
      <c r="BJ24" s="104"/>
      <c r="BK24" s="104"/>
      <c r="BL24" s="104"/>
      <c r="BM24" s="104"/>
      <c r="BN24" s="211"/>
      <c r="BO24" s="32"/>
      <c r="BP24" s="32"/>
      <c r="BQ24" s="32"/>
      <c r="BR24" s="32"/>
      <c r="BS24" s="32"/>
      <c r="BT24" s="32"/>
      <c r="BU24" s="32"/>
      <c r="BV24" s="32"/>
      <c r="BW24" s="32"/>
      <c r="BX24" s="32"/>
      <c r="BY24" s="32"/>
      <c r="BZ24" s="32"/>
      <c r="CA24" s="32"/>
      <c r="CB24" s="32"/>
      <c r="CC24" s="32"/>
      <c r="CD24" s="32"/>
      <c r="CE24" s="32"/>
      <c r="CF24" s="32"/>
      <c r="CG24" s="32"/>
      <c r="CH24" s="32"/>
      <c r="CI24" s="32"/>
    </row>
    <row r="25" spans="1:87" s="35" customFormat="1" ht="20.100000000000001" customHeight="1">
      <c r="A25" s="212"/>
      <c r="B25" s="183"/>
      <c r="C25" s="183"/>
      <c r="D25" s="183"/>
      <c r="E25" s="216"/>
      <c r="F25" s="216"/>
      <c r="G25" s="216"/>
      <c r="H25" s="216"/>
      <c r="I25" s="216"/>
      <c r="K25" s="104"/>
      <c r="L25" s="866" t="s">
        <v>420</v>
      </c>
      <c r="M25" s="866"/>
      <c r="N25" s="866"/>
      <c r="O25" s="866"/>
      <c r="P25" s="866"/>
      <c r="Q25" s="866"/>
      <c r="R25" s="866"/>
      <c r="S25" s="866"/>
      <c r="T25" s="866"/>
      <c r="U25" s="866"/>
      <c r="V25" s="866"/>
      <c r="W25" s="866"/>
      <c r="X25" s="866"/>
      <c r="Y25" s="866"/>
      <c r="Z25" s="866"/>
      <c r="AA25" s="866"/>
      <c r="AB25" s="866"/>
      <c r="AC25" s="866"/>
      <c r="AD25" s="866"/>
      <c r="AE25" s="866"/>
      <c r="AF25" s="866"/>
      <c r="AG25" s="866"/>
      <c r="AH25" s="866"/>
      <c r="AI25" s="866"/>
      <c r="AJ25" s="866"/>
      <c r="AK25" s="866"/>
      <c r="AL25" s="866"/>
      <c r="AM25" s="866"/>
      <c r="AN25" s="866"/>
      <c r="AO25" s="866"/>
      <c r="AP25" s="866"/>
      <c r="AQ25" s="866"/>
      <c r="AR25" s="866"/>
      <c r="AS25" s="866"/>
      <c r="AT25" s="866"/>
      <c r="AU25" s="104"/>
      <c r="AV25" s="104"/>
      <c r="AW25" s="104"/>
      <c r="AX25" s="104"/>
      <c r="AY25" s="104"/>
      <c r="AZ25" s="104"/>
      <c r="BA25" s="104"/>
      <c r="BB25" s="104"/>
      <c r="BC25" s="104"/>
      <c r="BD25" s="104"/>
      <c r="BE25" s="104"/>
      <c r="BF25" s="104"/>
      <c r="BG25" s="104"/>
      <c r="BH25" s="104"/>
      <c r="BI25" s="104"/>
      <c r="BJ25" s="104"/>
      <c r="BK25" s="104"/>
      <c r="BL25" s="104"/>
      <c r="BM25" s="104"/>
      <c r="BN25" s="211"/>
      <c r="BO25" s="32"/>
      <c r="BP25" s="32"/>
      <c r="BQ25" s="32"/>
      <c r="BR25" s="32"/>
      <c r="BS25" s="32"/>
      <c r="BT25" s="32"/>
      <c r="BU25" s="32"/>
      <c r="BV25" s="32"/>
      <c r="BW25" s="32"/>
      <c r="BX25" s="32"/>
      <c r="BY25" s="32"/>
      <c r="BZ25" s="32"/>
      <c r="CA25" s="32"/>
      <c r="CB25" s="32"/>
      <c r="CC25" s="32"/>
      <c r="CD25" s="32"/>
      <c r="CE25" s="32"/>
      <c r="CF25" s="32"/>
      <c r="CG25" s="32"/>
      <c r="CH25" s="32"/>
      <c r="CI25" s="32"/>
    </row>
    <row r="26" spans="1:87" s="35" customFormat="1" ht="20.100000000000001" customHeight="1">
      <c r="A26" s="212"/>
      <c r="B26" s="183"/>
      <c r="C26" s="183"/>
      <c r="D26" s="183"/>
      <c r="E26" s="216">
        <v>6</v>
      </c>
      <c r="F26" s="865">
        <v>7</v>
      </c>
      <c r="G26" s="865"/>
      <c r="H26" s="865"/>
      <c r="I26" s="216"/>
      <c r="K26" s="104"/>
      <c r="L26" s="864" t="s">
        <v>0</v>
      </c>
      <c r="M26" s="864"/>
      <c r="N26" s="864"/>
      <c r="O26" s="864"/>
      <c r="P26" s="864"/>
      <c r="Q26" s="864"/>
      <c r="R26" s="864"/>
      <c r="S26" s="864"/>
      <c r="T26" s="864"/>
      <c r="U26" s="864"/>
      <c r="V26" s="864"/>
      <c r="W26" s="864"/>
      <c r="X26" s="864"/>
      <c r="Y26" s="864"/>
      <c r="Z26" s="864"/>
      <c r="AA26" s="864"/>
      <c r="AB26" s="864"/>
      <c r="AC26" s="864"/>
      <c r="AD26" s="864"/>
      <c r="AE26" s="864"/>
      <c r="AF26" s="864"/>
      <c r="AG26" s="864"/>
      <c r="AH26" s="864"/>
      <c r="AI26" s="864"/>
      <c r="AJ26" s="864"/>
      <c r="AK26" s="864"/>
      <c r="AL26" s="864"/>
      <c r="AM26" s="864"/>
      <c r="AN26" s="864"/>
      <c r="AO26" s="864"/>
      <c r="AP26" s="864"/>
      <c r="AQ26" s="864"/>
      <c r="AR26" s="864"/>
      <c r="AS26" s="864"/>
      <c r="AT26" s="864"/>
      <c r="AU26" s="104"/>
      <c r="AV26" s="104"/>
      <c r="AW26" s="104"/>
      <c r="AX26" s="104"/>
      <c r="AY26" s="104"/>
      <c r="AZ26" s="104"/>
      <c r="BA26" s="104"/>
      <c r="BB26" s="104"/>
      <c r="BC26" s="104"/>
      <c r="BD26" s="104"/>
      <c r="BE26" s="104"/>
      <c r="BF26" s="104"/>
      <c r="BG26" s="104"/>
      <c r="BH26" s="104"/>
      <c r="BI26" s="104"/>
      <c r="BJ26" s="104"/>
      <c r="BK26" s="104"/>
      <c r="BL26" s="104"/>
      <c r="BM26" s="104"/>
      <c r="BN26" s="211"/>
      <c r="BO26" s="32"/>
      <c r="BP26" s="32"/>
      <c r="BQ26" s="32"/>
      <c r="BR26" s="32"/>
      <c r="BS26" s="32"/>
      <c r="BT26" s="32"/>
      <c r="BU26" s="32"/>
      <c r="BV26" s="32"/>
      <c r="BW26" s="32"/>
      <c r="BX26" s="32"/>
      <c r="BY26" s="32"/>
      <c r="BZ26" s="32"/>
      <c r="CA26" s="32"/>
      <c r="CB26" s="32"/>
      <c r="CC26" s="32"/>
      <c r="CD26" s="32"/>
      <c r="CE26" s="32"/>
      <c r="CF26" s="32"/>
      <c r="CG26" s="32"/>
      <c r="CH26" s="32"/>
      <c r="CI26" s="32"/>
    </row>
    <row r="27" spans="1:87" s="35" customFormat="1" ht="20.100000000000001" customHeight="1">
      <c r="A27" s="212"/>
      <c r="B27" s="183"/>
      <c r="C27" s="183"/>
      <c r="D27" s="183"/>
      <c r="E27" s="215"/>
      <c r="F27" s="215"/>
      <c r="G27" s="215"/>
      <c r="H27" s="880">
        <v>7.1</v>
      </c>
      <c r="I27" s="880"/>
      <c r="J27" s="880"/>
      <c r="K27" s="104"/>
      <c r="L27" s="881" t="s">
        <v>322</v>
      </c>
      <c r="M27" s="881"/>
      <c r="N27" s="881"/>
      <c r="O27" s="881"/>
      <c r="P27" s="881"/>
      <c r="Q27" s="881"/>
      <c r="R27" s="881"/>
      <c r="S27" s="881"/>
      <c r="T27" s="881"/>
      <c r="U27" s="881"/>
      <c r="V27" s="881"/>
      <c r="W27" s="881"/>
      <c r="X27" s="881"/>
      <c r="Y27" s="881"/>
      <c r="Z27" s="881"/>
      <c r="AA27" s="881"/>
      <c r="AB27" s="881"/>
      <c r="AC27" s="881"/>
      <c r="AD27" s="881"/>
      <c r="AE27" s="881"/>
      <c r="AF27" s="881"/>
      <c r="AG27" s="881"/>
      <c r="AH27" s="881"/>
      <c r="AI27" s="881"/>
      <c r="AJ27" s="881"/>
      <c r="AK27" s="881"/>
      <c r="AL27" s="881"/>
      <c r="AM27" s="881"/>
      <c r="AN27" s="881"/>
      <c r="AO27" s="881"/>
      <c r="AP27" s="881"/>
      <c r="AQ27" s="881"/>
      <c r="AR27" s="881"/>
      <c r="AS27" s="881"/>
      <c r="AT27" s="881"/>
      <c r="AU27" s="104"/>
      <c r="AV27" s="104"/>
      <c r="AW27" s="104"/>
      <c r="AX27" s="104"/>
      <c r="AY27" s="104"/>
      <c r="AZ27" s="104"/>
      <c r="BA27" s="104"/>
      <c r="BB27" s="104"/>
      <c r="BC27" s="104"/>
      <c r="BD27" s="104"/>
      <c r="BE27" s="104"/>
      <c r="BF27" s="104"/>
      <c r="BG27" s="104"/>
      <c r="BH27" s="104"/>
      <c r="BI27" s="104"/>
      <c r="BJ27" s="104"/>
      <c r="BK27" s="104"/>
      <c r="BL27" s="104"/>
      <c r="BM27" s="104"/>
      <c r="BN27" s="211"/>
      <c r="BO27" s="32"/>
      <c r="BP27" s="32"/>
      <c r="BQ27" s="32"/>
      <c r="BR27" s="32"/>
      <c r="BS27" s="32"/>
      <c r="BT27" s="32"/>
      <c r="BU27" s="32"/>
      <c r="BV27" s="32"/>
      <c r="BW27" s="32"/>
      <c r="BX27" s="32"/>
      <c r="BY27" s="32"/>
      <c r="BZ27" s="32"/>
      <c r="CA27" s="32"/>
      <c r="CB27" s="32"/>
      <c r="CC27" s="32"/>
      <c r="CD27" s="32"/>
      <c r="CE27" s="32"/>
      <c r="CF27" s="32"/>
      <c r="CG27" s="32"/>
      <c r="CH27" s="32"/>
      <c r="CI27" s="32"/>
    </row>
    <row r="28" spans="1:87" s="35" customFormat="1" ht="20.100000000000001" customHeight="1">
      <c r="A28" s="212"/>
      <c r="B28" s="183"/>
      <c r="C28" s="183"/>
      <c r="D28" s="183"/>
      <c r="E28" s="215"/>
      <c r="F28" s="215"/>
      <c r="G28" s="215"/>
      <c r="H28" s="880">
        <v>7.2</v>
      </c>
      <c r="I28" s="880"/>
      <c r="J28" s="880"/>
      <c r="K28" s="104"/>
      <c r="L28" s="881" t="s">
        <v>307</v>
      </c>
      <c r="M28" s="881"/>
      <c r="N28" s="881"/>
      <c r="O28" s="881"/>
      <c r="P28" s="881"/>
      <c r="Q28" s="881"/>
      <c r="R28" s="881"/>
      <c r="S28" s="881"/>
      <c r="T28" s="881"/>
      <c r="U28" s="881"/>
      <c r="V28" s="881"/>
      <c r="W28" s="881"/>
      <c r="X28" s="881"/>
      <c r="Y28" s="881"/>
      <c r="Z28" s="881"/>
      <c r="AA28" s="881"/>
      <c r="AB28" s="881"/>
      <c r="AC28" s="881"/>
      <c r="AD28" s="881"/>
      <c r="AE28" s="881"/>
      <c r="AF28" s="881"/>
      <c r="AG28" s="881"/>
      <c r="AH28" s="881"/>
      <c r="AI28" s="881"/>
      <c r="AJ28" s="881"/>
      <c r="AK28" s="881"/>
      <c r="AL28" s="881"/>
      <c r="AM28" s="881"/>
      <c r="AN28" s="881"/>
      <c r="AO28" s="881"/>
      <c r="AP28" s="881"/>
      <c r="AQ28" s="881"/>
      <c r="AR28" s="881"/>
      <c r="AS28" s="881"/>
      <c r="AT28" s="881"/>
      <c r="AU28" s="104"/>
      <c r="AV28" s="104"/>
      <c r="AW28" s="104"/>
      <c r="AX28" s="104"/>
      <c r="AY28" s="104"/>
      <c r="AZ28" s="104"/>
      <c r="BA28" s="104"/>
      <c r="BB28" s="104"/>
      <c r="BC28" s="104"/>
      <c r="BD28" s="104"/>
      <c r="BE28" s="104"/>
      <c r="BF28" s="104"/>
      <c r="BG28" s="104"/>
      <c r="BH28" s="104"/>
      <c r="BI28" s="104"/>
      <c r="BJ28" s="104"/>
      <c r="BK28" s="104"/>
      <c r="BL28" s="104"/>
      <c r="BM28" s="104"/>
      <c r="BN28" s="211"/>
      <c r="BO28" s="32"/>
      <c r="BP28" s="32"/>
      <c r="BQ28" s="32"/>
      <c r="BR28" s="32"/>
      <c r="BS28" s="32"/>
      <c r="BT28" s="32"/>
      <c r="BU28" s="32"/>
      <c r="BV28" s="32"/>
      <c r="BW28" s="32"/>
      <c r="BX28" s="32"/>
      <c r="BY28" s="32"/>
      <c r="BZ28" s="32"/>
      <c r="CA28" s="32"/>
      <c r="CB28" s="32"/>
      <c r="CC28" s="32"/>
      <c r="CD28" s="32"/>
      <c r="CE28" s="32"/>
      <c r="CF28" s="32"/>
      <c r="CG28" s="32"/>
      <c r="CH28" s="32"/>
      <c r="CI28" s="32"/>
    </row>
    <row r="29" spans="1:87" s="35" customFormat="1" ht="20.100000000000001" customHeight="1">
      <c r="A29" s="566"/>
      <c r="B29" s="567"/>
      <c r="C29" s="567"/>
      <c r="D29" s="567"/>
      <c r="E29" s="565"/>
      <c r="F29" s="565"/>
      <c r="G29" s="565"/>
      <c r="H29" s="880">
        <v>7.3</v>
      </c>
      <c r="I29" s="880"/>
      <c r="J29" s="880"/>
      <c r="K29" s="104"/>
      <c r="L29" s="881" t="s">
        <v>745</v>
      </c>
      <c r="M29" s="881"/>
      <c r="N29" s="881"/>
      <c r="O29" s="881"/>
      <c r="P29" s="881"/>
      <c r="Q29" s="881"/>
      <c r="R29" s="881"/>
      <c r="S29" s="881"/>
      <c r="T29" s="881"/>
      <c r="U29" s="881"/>
      <c r="V29" s="881"/>
      <c r="W29" s="881"/>
      <c r="X29" s="881"/>
      <c r="Y29" s="881"/>
      <c r="Z29" s="881"/>
      <c r="AA29" s="881"/>
      <c r="AB29" s="881"/>
      <c r="AC29" s="881"/>
      <c r="AD29" s="881"/>
      <c r="AE29" s="881"/>
      <c r="AF29" s="881"/>
      <c r="AG29" s="881"/>
      <c r="AH29" s="881"/>
      <c r="AI29" s="881"/>
      <c r="AJ29" s="881"/>
      <c r="AK29" s="881"/>
      <c r="AL29" s="881"/>
      <c r="AM29" s="881"/>
      <c r="AN29" s="881"/>
      <c r="AO29" s="881"/>
      <c r="AP29" s="881"/>
      <c r="AQ29" s="881"/>
      <c r="AR29" s="881"/>
      <c r="AS29" s="881"/>
      <c r="AT29" s="881"/>
      <c r="AU29" s="104"/>
      <c r="AV29" s="104"/>
      <c r="AW29" s="104"/>
      <c r="AX29" s="104"/>
      <c r="AY29" s="104"/>
      <c r="AZ29" s="104"/>
      <c r="BA29" s="104"/>
      <c r="BB29" s="104"/>
      <c r="BC29" s="104"/>
      <c r="BD29" s="104"/>
      <c r="BE29" s="104"/>
      <c r="BF29" s="104"/>
      <c r="BG29" s="104"/>
      <c r="BH29" s="104"/>
      <c r="BI29" s="104"/>
      <c r="BJ29" s="104"/>
      <c r="BK29" s="104"/>
      <c r="BL29" s="104"/>
      <c r="BM29" s="104"/>
      <c r="BN29" s="211"/>
      <c r="BO29" s="32"/>
      <c r="BP29" s="32"/>
      <c r="BQ29" s="32"/>
      <c r="BR29" s="32"/>
      <c r="BS29" s="32"/>
      <c r="BT29" s="32"/>
      <c r="BU29" s="32"/>
      <c r="BV29" s="32"/>
      <c r="BW29" s="32"/>
      <c r="BX29" s="32"/>
      <c r="BY29" s="32"/>
      <c r="BZ29" s="32"/>
      <c r="CA29" s="32"/>
      <c r="CB29" s="32"/>
      <c r="CC29" s="32"/>
      <c r="CD29" s="32"/>
      <c r="CE29" s="32"/>
      <c r="CF29" s="32"/>
      <c r="CG29" s="32"/>
      <c r="CH29" s="32"/>
      <c r="CI29" s="32"/>
    </row>
    <row r="30" spans="1:87" s="35" customFormat="1" ht="20.100000000000001" customHeight="1">
      <c r="A30" s="566"/>
      <c r="B30" s="567"/>
      <c r="C30" s="567"/>
      <c r="D30" s="567"/>
      <c r="E30" s="565"/>
      <c r="F30" s="565"/>
      <c r="G30" s="565"/>
      <c r="H30" s="880">
        <v>7.4</v>
      </c>
      <c r="I30" s="880"/>
      <c r="J30" s="880"/>
      <c r="K30" s="104"/>
      <c r="L30" s="881" t="s">
        <v>746</v>
      </c>
      <c r="M30" s="881"/>
      <c r="N30" s="881"/>
      <c r="O30" s="881"/>
      <c r="P30" s="881"/>
      <c r="Q30" s="881"/>
      <c r="R30" s="881"/>
      <c r="S30" s="881"/>
      <c r="T30" s="881"/>
      <c r="U30" s="881"/>
      <c r="V30" s="881"/>
      <c r="W30" s="881"/>
      <c r="X30" s="881"/>
      <c r="Y30" s="881"/>
      <c r="Z30" s="881"/>
      <c r="AA30" s="881"/>
      <c r="AB30" s="881"/>
      <c r="AC30" s="881"/>
      <c r="AD30" s="881"/>
      <c r="AE30" s="881"/>
      <c r="AF30" s="881"/>
      <c r="AG30" s="881"/>
      <c r="AH30" s="881"/>
      <c r="AI30" s="881"/>
      <c r="AJ30" s="881"/>
      <c r="AK30" s="881"/>
      <c r="AL30" s="881"/>
      <c r="AM30" s="881"/>
      <c r="AN30" s="881"/>
      <c r="AO30" s="881"/>
      <c r="AP30" s="881"/>
      <c r="AQ30" s="881"/>
      <c r="AR30" s="881"/>
      <c r="AS30" s="881"/>
      <c r="AT30" s="881"/>
      <c r="AU30" s="104"/>
      <c r="AV30" s="104"/>
      <c r="AW30" s="104"/>
      <c r="AX30" s="104"/>
      <c r="AY30" s="104"/>
      <c r="AZ30" s="104"/>
      <c r="BA30" s="104"/>
      <c r="BB30" s="104"/>
      <c r="BC30" s="104"/>
      <c r="BD30" s="104"/>
      <c r="BE30" s="104"/>
      <c r="BF30" s="104"/>
      <c r="BG30" s="104"/>
      <c r="BH30" s="104"/>
      <c r="BI30" s="104"/>
      <c r="BJ30" s="104"/>
      <c r="BK30" s="104"/>
      <c r="BL30" s="104"/>
      <c r="BM30" s="104"/>
      <c r="BN30" s="211"/>
      <c r="BO30" s="32"/>
      <c r="BP30" s="32"/>
      <c r="BQ30" s="32"/>
      <c r="BR30" s="32"/>
      <c r="BS30" s="32"/>
      <c r="BT30" s="32"/>
      <c r="BU30" s="32"/>
      <c r="BV30" s="32"/>
      <c r="BW30" s="32"/>
      <c r="BX30" s="32"/>
      <c r="BY30" s="32"/>
      <c r="BZ30" s="32"/>
      <c r="CA30" s="32"/>
      <c r="CB30" s="32"/>
      <c r="CC30" s="32"/>
      <c r="CD30" s="32"/>
      <c r="CE30" s="32"/>
      <c r="CF30" s="32"/>
      <c r="CG30" s="32"/>
      <c r="CH30" s="32"/>
      <c r="CI30" s="32"/>
    </row>
    <row r="31" spans="1:87" s="35" customFormat="1" ht="20.100000000000001" customHeight="1">
      <c r="A31" s="212"/>
      <c r="B31" s="183"/>
      <c r="C31" s="183"/>
      <c r="D31" s="183"/>
      <c r="E31" s="216">
        <v>7</v>
      </c>
      <c r="F31" s="865">
        <v>8</v>
      </c>
      <c r="G31" s="865"/>
      <c r="H31" s="865"/>
      <c r="I31" s="216"/>
      <c r="K31" s="104"/>
      <c r="L31" s="864" t="s">
        <v>23</v>
      </c>
      <c r="M31" s="864"/>
      <c r="N31" s="864"/>
      <c r="O31" s="864"/>
      <c r="P31" s="864"/>
      <c r="Q31" s="864"/>
      <c r="R31" s="864"/>
      <c r="S31" s="864"/>
      <c r="T31" s="864"/>
      <c r="U31" s="864"/>
      <c r="V31" s="864"/>
      <c r="W31" s="864"/>
      <c r="X31" s="864"/>
      <c r="Y31" s="864"/>
      <c r="Z31" s="864"/>
      <c r="AA31" s="864"/>
      <c r="AB31" s="864"/>
      <c r="AC31" s="864"/>
      <c r="AD31" s="864"/>
      <c r="AE31" s="864"/>
      <c r="AF31" s="864"/>
      <c r="AG31" s="864"/>
      <c r="AH31" s="864"/>
      <c r="AI31" s="864"/>
      <c r="AJ31" s="864"/>
      <c r="AK31" s="864"/>
      <c r="AL31" s="864"/>
      <c r="AM31" s="864"/>
      <c r="AN31" s="864"/>
      <c r="AO31" s="864"/>
      <c r="AP31" s="864"/>
      <c r="AQ31" s="864"/>
      <c r="AR31" s="864"/>
      <c r="AS31" s="864"/>
      <c r="AT31" s="864"/>
      <c r="AU31" s="104"/>
      <c r="AV31" s="104"/>
      <c r="AW31" s="104"/>
      <c r="AX31" s="104"/>
      <c r="AY31" s="104"/>
      <c r="AZ31" s="104"/>
      <c r="BA31" s="104"/>
      <c r="BB31" s="104"/>
      <c r="BC31" s="104"/>
      <c r="BD31" s="104"/>
      <c r="BE31" s="104"/>
      <c r="BF31" s="104"/>
      <c r="BG31" s="104"/>
      <c r="BH31" s="104"/>
      <c r="BI31" s="104"/>
      <c r="BJ31" s="104"/>
      <c r="BK31" s="104"/>
      <c r="BL31" s="104"/>
      <c r="BM31" s="104"/>
      <c r="BN31" s="211"/>
      <c r="BO31" s="32"/>
      <c r="BP31" s="32"/>
      <c r="BQ31" s="32"/>
      <c r="BR31" s="32"/>
      <c r="BS31" s="32"/>
      <c r="BT31" s="32"/>
      <c r="BU31" s="32"/>
      <c r="BV31" s="32"/>
      <c r="BW31" s="32"/>
      <c r="BX31" s="32"/>
      <c r="BY31" s="32"/>
      <c r="BZ31" s="32"/>
      <c r="CA31" s="32"/>
      <c r="CB31" s="32"/>
      <c r="CC31" s="32"/>
      <c r="CD31" s="32"/>
      <c r="CE31" s="32"/>
      <c r="CF31" s="32"/>
      <c r="CG31" s="32"/>
      <c r="CH31" s="32"/>
      <c r="CI31" s="32"/>
    </row>
    <row r="32" spans="1:87" s="35" customFormat="1" ht="20.100000000000001" customHeight="1">
      <c r="A32" s="212"/>
      <c r="B32" s="183"/>
      <c r="C32" s="183"/>
      <c r="D32" s="183"/>
      <c r="E32" s="215"/>
      <c r="F32" s="215"/>
      <c r="G32" s="215"/>
      <c r="H32" s="215"/>
      <c r="I32" s="215"/>
      <c r="K32" s="104"/>
      <c r="L32" s="881" t="s">
        <v>308</v>
      </c>
      <c r="M32" s="881"/>
      <c r="N32" s="881"/>
      <c r="O32" s="881"/>
      <c r="P32" s="881"/>
      <c r="Q32" s="881"/>
      <c r="R32" s="881"/>
      <c r="S32" s="881"/>
      <c r="T32" s="881"/>
      <c r="U32" s="881"/>
      <c r="V32" s="881"/>
      <c r="W32" s="881"/>
      <c r="X32" s="881"/>
      <c r="Y32" s="881"/>
      <c r="Z32" s="881"/>
      <c r="AA32" s="881"/>
      <c r="AB32" s="881"/>
      <c r="AC32" s="881"/>
      <c r="AD32" s="881"/>
      <c r="AE32" s="881"/>
      <c r="AF32" s="881"/>
      <c r="AG32" s="881"/>
      <c r="AH32" s="881"/>
      <c r="AI32" s="881"/>
      <c r="AJ32" s="881"/>
      <c r="AK32" s="881"/>
      <c r="AL32" s="881"/>
      <c r="AM32" s="881"/>
      <c r="AN32" s="881"/>
      <c r="AO32" s="881"/>
      <c r="AP32" s="881"/>
      <c r="AQ32" s="881"/>
      <c r="AR32" s="881"/>
      <c r="AS32" s="881"/>
      <c r="AT32" s="881"/>
      <c r="AU32" s="104"/>
      <c r="AV32" s="104"/>
      <c r="AW32" s="104"/>
      <c r="AX32" s="104"/>
      <c r="AY32" s="104"/>
      <c r="AZ32" s="104"/>
      <c r="BA32" s="104"/>
      <c r="BB32" s="104"/>
      <c r="BC32" s="104"/>
      <c r="BD32" s="104"/>
      <c r="BE32" s="104"/>
      <c r="BF32" s="104"/>
      <c r="BG32" s="104"/>
      <c r="BH32" s="104"/>
      <c r="BI32" s="104"/>
      <c r="BJ32" s="104"/>
      <c r="BK32" s="104"/>
      <c r="BL32" s="104"/>
      <c r="BM32" s="104"/>
      <c r="BN32" s="211"/>
      <c r="BO32" s="32"/>
      <c r="BP32" s="32"/>
      <c r="BQ32" s="32"/>
      <c r="BR32" s="32"/>
      <c r="BS32" s="32"/>
      <c r="BT32" s="32"/>
      <c r="BU32" s="32"/>
      <c r="BV32" s="32"/>
      <c r="BW32" s="32"/>
      <c r="BX32" s="32"/>
      <c r="BY32" s="32"/>
      <c r="BZ32" s="32"/>
      <c r="CA32" s="32"/>
      <c r="CB32" s="32"/>
      <c r="CC32" s="32"/>
      <c r="CD32" s="32"/>
      <c r="CE32" s="32"/>
      <c r="CF32" s="32"/>
      <c r="CG32" s="32"/>
      <c r="CH32" s="32"/>
      <c r="CI32" s="32"/>
    </row>
    <row r="33" spans="1:87" s="35" customFormat="1" ht="20.100000000000001" customHeight="1">
      <c r="A33" s="212"/>
      <c r="B33" s="183"/>
      <c r="C33" s="183"/>
      <c r="D33" s="183"/>
      <c r="E33" s="215"/>
      <c r="F33" s="215"/>
      <c r="G33" s="215"/>
      <c r="H33" s="215"/>
      <c r="I33" s="215"/>
      <c r="K33" s="104"/>
      <c r="L33" s="881" t="s">
        <v>309</v>
      </c>
      <c r="M33" s="881"/>
      <c r="N33" s="881"/>
      <c r="O33" s="881"/>
      <c r="P33" s="881"/>
      <c r="Q33" s="881"/>
      <c r="R33" s="881"/>
      <c r="S33" s="881"/>
      <c r="T33" s="881"/>
      <c r="U33" s="881"/>
      <c r="V33" s="881"/>
      <c r="W33" s="881"/>
      <c r="X33" s="881"/>
      <c r="Y33" s="881"/>
      <c r="Z33" s="881"/>
      <c r="AA33" s="881"/>
      <c r="AB33" s="881"/>
      <c r="AC33" s="881"/>
      <c r="AD33" s="881"/>
      <c r="AE33" s="881"/>
      <c r="AF33" s="881"/>
      <c r="AG33" s="881"/>
      <c r="AH33" s="881"/>
      <c r="AI33" s="881"/>
      <c r="AJ33" s="881"/>
      <c r="AK33" s="881"/>
      <c r="AL33" s="881"/>
      <c r="AM33" s="881"/>
      <c r="AN33" s="881"/>
      <c r="AO33" s="881"/>
      <c r="AP33" s="881"/>
      <c r="AQ33" s="881"/>
      <c r="AR33" s="881"/>
      <c r="AS33" s="881"/>
      <c r="AT33" s="881"/>
      <c r="AU33" s="104"/>
      <c r="AV33" s="104"/>
      <c r="AW33" s="104"/>
      <c r="AX33" s="104"/>
      <c r="AY33" s="104"/>
      <c r="AZ33" s="104"/>
      <c r="BA33" s="104"/>
      <c r="BB33" s="104"/>
      <c r="BC33" s="104"/>
      <c r="BD33" s="104"/>
      <c r="BE33" s="104"/>
      <c r="BF33" s="104"/>
      <c r="BG33" s="104"/>
      <c r="BH33" s="104"/>
      <c r="BI33" s="104"/>
      <c r="BJ33" s="104"/>
      <c r="BK33" s="104"/>
      <c r="BL33" s="104"/>
      <c r="BM33" s="104"/>
      <c r="BN33" s="211"/>
      <c r="BO33" s="32"/>
      <c r="BP33" s="32"/>
      <c r="BQ33" s="32"/>
      <c r="BR33" s="32"/>
      <c r="BS33" s="32"/>
      <c r="BT33" s="32"/>
      <c r="BU33" s="32"/>
      <c r="BV33" s="32"/>
      <c r="BW33" s="32"/>
      <c r="BX33" s="32"/>
      <c r="BY33" s="32"/>
      <c r="BZ33" s="32"/>
      <c r="CA33" s="32"/>
      <c r="CB33" s="32"/>
      <c r="CC33" s="32"/>
      <c r="CD33" s="32"/>
      <c r="CE33" s="32"/>
      <c r="CF33" s="32"/>
      <c r="CG33" s="32"/>
      <c r="CH33" s="32"/>
      <c r="CI33" s="32"/>
    </row>
    <row r="34" spans="1:87" s="35" customFormat="1" ht="20.100000000000001" customHeight="1">
      <c r="A34" s="862"/>
      <c r="B34" s="863"/>
      <c r="C34" s="863"/>
      <c r="D34" s="863"/>
      <c r="E34" s="216">
        <v>8</v>
      </c>
      <c r="F34" s="865">
        <v>9</v>
      </c>
      <c r="G34" s="865"/>
      <c r="H34" s="865"/>
      <c r="I34" s="216"/>
      <c r="K34" s="104"/>
      <c r="L34" s="864" t="s">
        <v>404</v>
      </c>
      <c r="M34" s="864"/>
      <c r="N34" s="864"/>
      <c r="O34" s="864"/>
      <c r="P34" s="864"/>
      <c r="Q34" s="864"/>
      <c r="R34" s="864"/>
      <c r="S34" s="864"/>
      <c r="T34" s="864"/>
      <c r="U34" s="864"/>
      <c r="V34" s="864"/>
      <c r="W34" s="864"/>
      <c r="X34" s="864"/>
      <c r="Y34" s="864"/>
      <c r="Z34" s="864"/>
      <c r="AA34" s="864"/>
      <c r="AB34" s="864"/>
      <c r="AC34" s="864"/>
      <c r="AD34" s="864"/>
      <c r="AE34" s="864"/>
      <c r="AF34" s="864"/>
      <c r="AG34" s="864"/>
      <c r="AH34" s="864"/>
      <c r="AI34" s="864"/>
      <c r="AJ34" s="864"/>
      <c r="AK34" s="864"/>
      <c r="AL34" s="864"/>
      <c r="AM34" s="864"/>
      <c r="AN34" s="864"/>
      <c r="AO34" s="864"/>
      <c r="AP34" s="864"/>
      <c r="AQ34" s="864"/>
      <c r="AR34" s="864"/>
      <c r="AS34" s="864"/>
      <c r="AT34" s="864"/>
      <c r="AU34" s="104"/>
      <c r="AV34" s="104"/>
      <c r="AW34" s="104"/>
      <c r="AX34" s="104"/>
      <c r="AY34" s="104"/>
      <c r="AZ34" s="104"/>
      <c r="BA34" s="104"/>
      <c r="BB34" s="104"/>
      <c r="BC34" s="104"/>
      <c r="BD34" s="104"/>
      <c r="BE34" s="104"/>
      <c r="BF34" s="104"/>
      <c r="BG34" s="104"/>
      <c r="BH34" s="104"/>
      <c r="BI34" s="104"/>
      <c r="BJ34" s="104"/>
      <c r="BK34" s="104"/>
      <c r="BL34" s="104"/>
      <c r="BM34" s="104"/>
      <c r="BN34" s="211"/>
      <c r="BO34" s="32"/>
      <c r="BP34" s="32"/>
      <c r="BQ34" s="32"/>
      <c r="BR34" s="32"/>
      <c r="BS34" s="32"/>
      <c r="BT34" s="32"/>
      <c r="BU34" s="32"/>
      <c r="BV34" s="32"/>
      <c r="BW34" s="32"/>
      <c r="BX34" s="32"/>
      <c r="BY34" s="32"/>
      <c r="BZ34" s="32"/>
      <c r="CA34" s="32"/>
      <c r="CB34" s="32"/>
      <c r="CC34" s="32"/>
      <c r="CD34" s="32"/>
      <c r="CE34" s="32"/>
      <c r="CF34" s="32"/>
      <c r="CG34" s="32"/>
      <c r="CH34" s="32"/>
      <c r="CI34" s="32"/>
    </row>
    <row r="35" spans="1:87" s="35" customFormat="1" ht="20.100000000000001" customHeight="1">
      <c r="A35" s="209"/>
      <c r="B35" s="103"/>
      <c r="C35" s="101"/>
      <c r="D35" s="101"/>
      <c r="E35" s="104"/>
      <c r="F35" s="104"/>
      <c r="G35" s="104"/>
      <c r="H35" s="104"/>
      <c r="I35" s="104"/>
      <c r="K35" s="104"/>
      <c r="L35" s="881" t="s">
        <v>310</v>
      </c>
      <c r="M35" s="881"/>
      <c r="N35" s="881"/>
      <c r="O35" s="881"/>
      <c r="P35" s="881"/>
      <c r="Q35" s="881"/>
      <c r="R35" s="881"/>
      <c r="S35" s="881"/>
      <c r="T35" s="881"/>
      <c r="U35" s="881"/>
      <c r="V35" s="881"/>
      <c r="W35" s="881"/>
      <c r="X35" s="881"/>
      <c r="Y35" s="881"/>
      <c r="Z35" s="881"/>
      <c r="AA35" s="881"/>
      <c r="AB35" s="881"/>
      <c r="AC35" s="881"/>
      <c r="AD35" s="881"/>
      <c r="AE35" s="881"/>
      <c r="AF35" s="881"/>
      <c r="AG35" s="881"/>
      <c r="AH35" s="881"/>
      <c r="AI35" s="881"/>
      <c r="AJ35" s="881"/>
      <c r="AK35" s="881"/>
      <c r="AL35" s="881"/>
      <c r="AM35" s="881"/>
      <c r="AN35" s="881"/>
      <c r="AO35" s="881"/>
      <c r="AP35" s="881"/>
      <c r="AQ35" s="881"/>
      <c r="AR35" s="881"/>
      <c r="AS35" s="881"/>
      <c r="AT35" s="881"/>
      <c r="AU35" s="104"/>
      <c r="AV35" s="104"/>
      <c r="AW35" s="104"/>
      <c r="AX35" s="104"/>
      <c r="AY35" s="104"/>
      <c r="AZ35" s="104"/>
      <c r="BA35" s="104"/>
      <c r="BB35" s="104"/>
      <c r="BC35" s="104"/>
      <c r="BD35" s="104"/>
      <c r="BE35" s="104"/>
      <c r="BF35" s="104"/>
      <c r="BG35" s="104"/>
      <c r="BH35" s="104"/>
      <c r="BI35" s="104"/>
      <c r="BJ35" s="104"/>
      <c r="BK35" s="104"/>
      <c r="BL35" s="104"/>
      <c r="BM35" s="104"/>
      <c r="BN35" s="211"/>
      <c r="BO35" s="32"/>
      <c r="BP35" s="32"/>
      <c r="BQ35" s="32"/>
      <c r="BR35" s="32"/>
      <c r="BS35" s="32"/>
      <c r="BT35" s="32"/>
      <c r="BU35" s="32"/>
      <c r="BV35" s="32"/>
      <c r="BW35" s="32"/>
      <c r="BX35" s="32"/>
      <c r="BY35" s="32"/>
      <c r="BZ35" s="32"/>
      <c r="CA35" s="32"/>
      <c r="CB35" s="32"/>
      <c r="CC35" s="32"/>
      <c r="CD35" s="32"/>
      <c r="CE35" s="32"/>
      <c r="CF35" s="32"/>
      <c r="CG35" s="32"/>
      <c r="CH35" s="32"/>
      <c r="CI35" s="32"/>
    </row>
    <row r="36" spans="1:87" s="35" customFormat="1" ht="20.100000000000001" customHeight="1">
      <c r="A36" s="209"/>
      <c r="B36" s="103"/>
      <c r="C36" s="101"/>
      <c r="D36" s="101"/>
      <c r="E36" s="104"/>
      <c r="F36" s="104"/>
      <c r="G36" s="104"/>
      <c r="H36" s="104"/>
      <c r="I36" s="104"/>
      <c r="K36" s="104"/>
      <c r="L36" s="881" t="s">
        <v>323</v>
      </c>
      <c r="M36" s="881"/>
      <c r="N36" s="881"/>
      <c r="O36" s="881"/>
      <c r="P36" s="881"/>
      <c r="Q36" s="881"/>
      <c r="R36" s="881"/>
      <c r="S36" s="881"/>
      <c r="T36" s="881"/>
      <c r="U36" s="881"/>
      <c r="V36" s="881"/>
      <c r="W36" s="881"/>
      <c r="X36" s="881"/>
      <c r="Y36" s="881"/>
      <c r="Z36" s="881"/>
      <c r="AA36" s="881"/>
      <c r="AB36" s="881"/>
      <c r="AC36" s="881"/>
      <c r="AD36" s="881"/>
      <c r="AE36" s="881"/>
      <c r="AF36" s="881"/>
      <c r="AG36" s="881"/>
      <c r="AH36" s="881"/>
      <c r="AI36" s="881"/>
      <c r="AJ36" s="881"/>
      <c r="AK36" s="881"/>
      <c r="AL36" s="881"/>
      <c r="AM36" s="881"/>
      <c r="AN36" s="881"/>
      <c r="AO36" s="881"/>
      <c r="AP36" s="881"/>
      <c r="AQ36" s="881"/>
      <c r="AR36" s="881"/>
      <c r="AS36" s="881"/>
      <c r="AT36" s="881"/>
      <c r="AU36" s="881"/>
      <c r="AV36" s="881"/>
      <c r="AW36" s="881"/>
      <c r="AX36" s="881"/>
      <c r="AY36" s="881"/>
      <c r="AZ36" s="881"/>
      <c r="BA36" s="881"/>
      <c r="BB36" s="881"/>
      <c r="BC36" s="881"/>
      <c r="BD36" s="881"/>
      <c r="BE36" s="881"/>
      <c r="BF36" s="881"/>
      <c r="BG36" s="881"/>
      <c r="BH36" s="881"/>
      <c r="BI36" s="881"/>
      <c r="BJ36" s="881"/>
      <c r="BK36" s="881"/>
      <c r="BL36" s="104"/>
      <c r="BM36" s="104"/>
      <c r="BN36" s="211"/>
      <c r="BO36" s="32"/>
      <c r="BP36" s="32"/>
      <c r="BQ36" s="32"/>
      <c r="BR36" s="32"/>
      <c r="BS36" s="32"/>
      <c r="BT36" s="32"/>
      <c r="BU36" s="32"/>
      <c r="BV36" s="32"/>
      <c r="BW36" s="32"/>
      <c r="BX36" s="32"/>
      <c r="BY36" s="32"/>
      <c r="BZ36" s="32"/>
      <c r="CA36" s="32"/>
      <c r="CB36" s="32"/>
      <c r="CC36" s="32"/>
      <c r="CD36" s="32"/>
      <c r="CE36" s="32"/>
      <c r="CF36" s="32"/>
      <c r="CG36" s="32"/>
      <c r="CH36" s="32"/>
      <c r="CI36" s="32"/>
    </row>
    <row r="37" spans="1:87" s="35" customFormat="1" ht="20.100000000000001" customHeight="1">
      <c r="A37" s="862"/>
      <c r="B37" s="863"/>
      <c r="C37" s="863"/>
      <c r="D37" s="863"/>
      <c r="E37" s="216">
        <v>9</v>
      </c>
      <c r="F37" s="865">
        <v>10</v>
      </c>
      <c r="G37" s="865"/>
      <c r="H37" s="865"/>
      <c r="I37" s="216"/>
      <c r="K37" s="104"/>
      <c r="L37" s="864" t="s">
        <v>11</v>
      </c>
      <c r="M37" s="864"/>
      <c r="N37" s="864"/>
      <c r="O37" s="864"/>
      <c r="P37" s="864"/>
      <c r="Q37" s="864"/>
      <c r="R37" s="864"/>
      <c r="S37" s="864"/>
      <c r="T37" s="864"/>
      <c r="U37" s="864"/>
      <c r="V37" s="864"/>
      <c r="W37" s="864"/>
      <c r="X37" s="864"/>
      <c r="Y37" s="864"/>
      <c r="Z37" s="864"/>
      <c r="AA37" s="864"/>
      <c r="AB37" s="864"/>
      <c r="AC37" s="864"/>
      <c r="AD37" s="864"/>
      <c r="AE37" s="864"/>
      <c r="AF37" s="864"/>
      <c r="AG37" s="864"/>
      <c r="AH37" s="864"/>
      <c r="AI37" s="864"/>
      <c r="AJ37" s="864"/>
      <c r="AK37" s="864"/>
      <c r="AL37" s="864"/>
      <c r="AM37" s="864"/>
      <c r="AN37" s="864"/>
      <c r="AO37" s="864"/>
      <c r="AP37" s="864"/>
      <c r="AQ37" s="864"/>
      <c r="AR37" s="864"/>
      <c r="AS37" s="864"/>
      <c r="AT37" s="864"/>
      <c r="AU37" s="104"/>
      <c r="AV37" s="104"/>
      <c r="AW37" s="104"/>
      <c r="AX37" s="104"/>
      <c r="AY37" s="104"/>
      <c r="AZ37" s="104"/>
      <c r="BA37" s="104"/>
      <c r="BB37" s="104"/>
      <c r="BC37" s="104"/>
      <c r="BD37" s="104"/>
      <c r="BE37" s="104"/>
      <c r="BF37" s="104"/>
      <c r="BG37" s="104"/>
      <c r="BH37" s="104"/>
      <c r="BI37" s="104"/>
      <c r="BJ37" s="104"/>
      <c r="BK37" s="104"/>
      <c r="BL37" s="104"/>
      <c r="BM37" s="104"/>
      <c r="BN37" s="211"/>
      <c r="BO37" s="32"/>
      <c r="BP37" s="32"/>
      <c r="BQ37" s="32"/>
      <c r="BR37" s="32"/>
      <c r="BS37" s="32"/>
      <c r="BT37" s="32"/>
      <c r="BU37" s="32"/>
      <c r="BV37" s="32"/>
      <c r="BW37" s="32"/>
      <c r="BX37" s="32"/>
      <c r="BY37" s="32"/>
      <c r="BZ37" s="32"/>
      <c r="CA37" s="32"/>
      <c r="CB37" s="32"/>
      <c r="CC37" s="32"/>
      <c r="CD37" s="32"/>
      <c r="CE37" s="32"/>
      <c r="CF37" s="32"/>
      <c r="CG37" s="32"/>
      <c r="CH37" s="32"/>
      <c r="CI37" s="32"/>
    </row>
    <row r="38" spans="1:87" s="35" customFormat="1" ht="20.100000000000001" customHeight="1">
      <c r="A38" s="209"/>
      <c r="B38" s="103"/>
      <c r="C38" s="101"/>
      <c r="D38" s="101"/>
      <c r="E38" s="104"/>
      <c r="F38" s="104"/>
      <c r="G38" s="104"/>
      <c r="H38" s="104"/>
      <c r="I38" s="104"/>
      <c r="K38" s="104"/>
      <c r="L38" s="881" t="s">
        <v>324</v>
      </c>
      <c r="M38" s="881"/>
      <c r="N38" s="881"/>
      <c r="O38" s="881"/>
      <c r="P38" s="881"/>
      <c r="Q38" s="881"/>
      <c r="R38" s="881"/>
      <c r="S38" s="881"/>
      <c r="T38" s="881"/>
      <c r="U38" s="881"/>
      <c r="V38" s="881"/>
      <c r="W38" s="881"/>
      <c r="X38" s="881"/>
      <c r="Y38" s="881"/>
      <c r="Z38" s="881"/>
      <c r="AA38" s="881"/>
      <c r="AB38" s="881"/>
      <c r="AC38" s="881"/>
      <c r="AD38" s="881"/>
      <c r="AE38" s="881"/>
      <c r="AF38" s="881"/>
      <c r="AG38" s="881"/>
      <c r="AH38" s="881"/>
      <c r="AI38" s="881"/>
      <c r="AJ38" s="881"/>
      <c r="AK38" s="881"/>
      <c r="AL38" s="881"/>
      <c r="AM38" s="881"/>
      <c r="AN38" s="881"/>
      <c r="AO38" s="881"/>
      <c r="AP38" s="881"/>
      <c r="AQ38" s="881"/>
      <c r="AR38" s="881"/>
      <c r="AS38" s="881"/>
      <c r="AT38" s="881"/>
      <c r="AU38" s="104"/>
      <c r="AV38" s="104"/>
      <c r="AW38" s="104"/>
      <c r="AX38" s="104"/>
      <c r="AY38" s="104"/>
      <c r="AZ38" s="104"/>
      <c r="BA38" s="104"/>
      <c r="BB38" s="104"/>
      <c r="BC38" s="104"/>
      <c r="BD38" s="104"/>
      <c r="BE38" s="104"/>
      <c r="BF38" s="104"/>
      <c r="BG38" s="104"/>
      <c r="BH38" s="104"/>
      <c r="BI38" s="104"/>
      <c r="BJ38" s="104"/>
      <c r="BK38" s="104"/>
      <c r="BL38" s="104"/>
      <c r="BM38" s="104"/>
      <c r="BN38" s="211"/>
      <c r="BO38" s="32"/>
      <c r="BP38" s="32"/>
      <c r="BQ38" s="32"/>
      <c r="BR38" s="32"/>
      <c r="BS38" s="32"/>
      <c r="BT38" s="32"/>
      <c r="BU38" s="32"/>
      <c r="BV38" s="32"/>
      <c r="BW38" s="32"/>
      <c r="BX38" s="32"/>
      <c r="BY38" s="32"/>
      <c r="BZ38" s="32"/>
      <c r="CA38" s="32"/>
      <c r="CB38" s="32"/>
      <c r="CC38" s="32"/>
      <c r="CD38" s="32"/>
      <c r="CE38" s="32"/>
      <c r="CF38" s="32"/>
      <c r="CG38" s="32"/>
      <c r="CH38" s="32"/>
      <c r="CI38" s="32"/>
    </row>
    <row r="39" spans="1:87" s="35" customFormat="1" ht="20.100000000000001" customHeight="1">
      <c r="A39" s="209"/>
      <c r="B39" s="103"/>
      <c r="C39" s="101"/>
      <c r="D39" s="101"/>
      <c r="E39" s="104"/>
      <c r="F39" s="104"/>
      <c r="G39" s="104"/>
      <c r="H39" s="104"/>
      <c r="I39" s="104"/>
      <c r="K39" s="104"/>
      <c r="L39" s="214" t="s">
        <v>311</v>
      </c>
      <c r="M39" s="214"/>
      <c r="N39" s="214"/>
      <c r="O39" s="214"/>
      <c r="P39" s="214"/>
      <c r="Q39" s="214"/>
      <c r="R39" s="214"/>
      <c r="S39" s="214"/>
      <c r="T39" s="214"/>
      <c r="U39" s="214"/>
      <c r="V39" s="214"/>
      <c r="W39" s="214"/>
      <c r="X39" s="214"/>
      <c r="Y39" s="214"/>
      <c r="Z39" s="214"/>
      <c r="AA39" s="214"/>
      <c r="AB39" s="214"/>
      <c r="AC39" s="214"/>
      <c r="AD39" s="214"/>
      <c r="AE39" s="214"/>
      <c r="AF39" s="214"/>
      <c r="AG39" s="214"/>
      <c r="AH39" s="214"/>
      <c r="AI39" s="214"/>
      <c r="AJ39" s="214"/>
      <c r="AK39" s="214"/>
      <c r="AL39" s="214"/>
      <c r="AM39" s="214"/>
      <c r="AN39" s="214"/>
      <c r="AO39" s="214"/>
      <c r="AP39" s="214"/>
      <c r="AQ39" s="214"/>
      <c r="AR39" s="214"/>
      <c r="AS39" s="214"/>
      <c r="AT39" s="214"/>
      <c r="AU39" s="104"/>
      <c r="AV39" s="104"/>
      <c r="AW39" s="104"/>
      <c r="AX39" s="104"/>
      <c r="AY39" s="104"/>
      <c r="AZ39" s="104"/>
      <c r="BA39" s="104"/>
      <c r="BB39" s="104"/>
      <c r="BC39" s="104"/>
      <c r="BD39" s="104"/>
      <c r="BE39" s="104"/>
      <c r="BF39" s="104"/>
      <c r="BG39" s="104"/>
      <c r="BH39" s="104"/>
      <c r="BI39" s="104"/>
      <c r="BJ39" s="104"/>
      <c r="BK39" s="104"/>
      <c r="BL39" s="104"/>
      <c r="BM39" s="104"/>
      <c r="BN39" s="211"/>
      <c r="BO39" s="32"/>
      <c r="BP39" s="32"/>
      <c r="BQ39" s="32"/>
      <c r="BR39" s="32"/>
      <c r="BS39" s="32"/>
      <c r="BT39" s="32"/>
      <c r="BU39" s="32"/>
      <c r="BV39" s="32"/>
      <c r="BW39" s="32"/>
      <c r="BX39" s="32"/>
      <c r="BY39" s="32"/>
      <c r="BZ39" s="32"/>
      <c r="CA39" s="32"/>
      <c r="CB39" s="32"/>
      <c r="CC39" s="32"/>
      <c r="CD39" s="32"/>
      <c r="CE39" s="32"/>
      <c r="CF39" s="32"/>
      <c r="CG39" s="32"/>
      <c r="CH39" s="32"/>
      <c r="CI39" s="32"/>
    </row>
    <row r="40" spans="1:87" s="35" customFormat="1" ht="20.100000000000001" customHeight="1">
      <c r="A40" s="862"/>
      <c r="B40" s="863"/>
      <c r="C40" s="863"/>
      <c r="D40" s="863"/>
      <c r="E40" s="216"/>
      <c r="F40" s="216"/>
      <c r="G40" s="216"/>
      <c r="H40" s="216"/>
      <c r="I40" s="216"/>
      <c r="K40" s="104"/>
      <c r="L40" s="864" t="s">
        <v>312</v>
      </c>
      <c r="M40" s="864"/>
      <c r="N40" s="864"/>
      <c r="O40" s="864"/>
      <c r="P40" s="864"/>
      <c r="Q40" s="864"/>
      <c r="R40" s="864"/>
      <c r="S40" s="864"/>
      <c r="T40" s="864"/>
      <c r="U40" s="864"/>
      <c r="V40" s="864"/>
      <c r="W40" s="864"/>
      <c r="X40" s="864"/>
      <c r="Y40" s="864"/>
      <c r="Z40" s="864"/>
      <c r="AA40" s="864"/>
      <c r="AB40" s="864"/>
      <c r="AC40" s="864"/>
      <c r="AD40" s="864"/>
      <c r="AE40" s="864"/>
      <c r="AF40" s="864"/>
      <c r="AG40" s="864"/>
      <c r="AH40" s="864"/>
      <c r="AI40" s="864"/>
      <c r="AJ40" s="864"/>
      <c r="AK40" s="864"/>
      <c r="AL40" s="864"/>
      <c r="AM40" s="864"/>
      <c r="AN40" s="864"/>
      <c r="AO40" s="864"/>
      <c r="AP40" s="864"/>
      <c r="AQ40" s="864"/>
      <c r="AR40" s="864"/>
      <c r="AS40" s="864"/>
      <c r="AT40" s="864"/>
      <c r="AU40" s="104"/>
      <c r="AV40" s="104"/>
      <c r="AW40" s="104"/>
      <c r="AX40" s="104"/>
      <c r="AY40" s="104"/>
      <c r="AZ40" s="104"/>
      <c r="BA40" s="104"/>
      <c r="BB40" s="104"/>
      <c r="BC40" s="104"/>
      <c r="BD40" s="104"/>
      <c r="BE40" s="104"/>
      <c r="BF40" s="104"/>
      <c r="BG40" s="104"/>
      <c r="BH40" s="104"/>
      <c r="BI40" s="104"/>
      <c r="BJ40" s="104"/>
      <c r="BK40" s="104"/>
      <c r="BL40" s="104"/>
      <c r="BM40" s="104"/>
      <c r="BN40" s="211"/>
      <c r="BO40" s="32"/>
      <c r="BP40" s="32"/>
      <c r="BQ40" s="32"/>
      <c r="BR40" s="32"/>
      <c r="BS40" s="32"/>
      <c r="BT40" s="32"/>
      <c r="BU40" s="32"/>
      <c r="BV40" s="32"/>
      <c r="BW40" s="32"/>
      <c r="BX40" s="32"/>
      <c r="BY40" s="32"/>
      <c r="BZ40" s="32"/>
      <c r="CA40" s="32"/>
      <c r="CB40" s="32"/>
      <c r="CC40" s="32"/>
      <c r="CD40" s="32"/>
      <c r="CE40" s="32"/>
      <c r="CF40" s="32"/>
      <c r="CG40" s="32"/>
      <c r="CH40" s="32"/>
      <c r="CI40" s="32"/>
    </row>
    <row r="41" spans="1:87" s="35" customFormat="1" ht="20.100000000000001" customHeight="1">
      <c r="A41" s="862"/>
      <c r="B41" s="863"/>
      <c r="C41" s="863"/>
      <c r="D41" s="863"/>
      <c r="E41" s="216">
        <v>10</v>
      </c>
      <c r="F41" s="865">
        <v>11</v>
      </c>
      <c r="G41" s="865"/>
      <c r="H41" s="865"/>
      <c r="I41" s="216"/>
      <c r="K41" s="104"/>
      <c r="L41" s="864" t="s">
        <v>422</v>
      </c>
      <c r="M41" s="864"/>
      <c r="N41" s="864"/>
      <c r="O41" s="864"/>
      <c r="P41" s="864"/>
      <c r="Q41" s="864"/>
      <c r="R41" s="864"/>
      <c r="S41" s="864"/>
      <c r="T41" s="864"/>
      <c r="U41" s="864"/>
      <c r="V41" s="864"/>
      <c r="W41" s="864"/>
      <c r="X41" s="864"/>
      <c r="Y41" s="864"/>
      <c r="Z41" s="864"/>
      <c r="AA41" s="864"/>
      <c r="AB41" s="864"/>
      <c r="AC41" s="864"/>
      <c r="AD41" s="864"/>
      <c r="AE41" s="864"/>
      <c r="AF41" s="864"/>
      <c r="AG41" s="864"/>
      <c r="AH41" s="864"/>
      <c r="AI41" s="864"/>
      <c r="AJ41" s="864"/>
      <c r="AK41" s="864"/>
      <c r="AL41" s="864"/>
      <c r="AM41" s="864"/>
      <c r="AN41" s="864"/>
      <c r="AO41" s="864"/>
      <c r="AP41" s="864"/>
      <c r="AQ41" s="864"/>
      <c r="AR41" s="864"/>
      <c r="AS41" s="864"/>
      <c r="AT41" s="864"/>
      <c r="AU41" s="104"/>
      <c r="AV41" s="104"/>
      <c r="AW41" s="104"/>
      <c r="AX41" s="104"/>
      <c r="AY41" s="104"/>
      <c r="AZ41" s="104"/>
      <c r="BA41" s="104"/>
      <c r="BB41" s="104"/>
      <c r="BC41" s="104"/>
      <c r="BD41" s="104"/>
      <c r="BE41" s="104"/>
      <c r="BF41" s="104"/>
      <c r="BG41" s="104"/>
      <c r="BH41" s="104"/>
      <c r="BI41" s="104"/>
      <c r="BJ41" s="104"/>
      <c r="BK41" s="104"/>
      <c r="BL41" s="104"/>
      <c r="BM41" s="104"/>
      <c r="BN41" s="211"/>
      <c r="BO41" s="32"/>
      <c r="BP41" s="32"/>
      <c r="BQ41" s="32"/>
      <c r="BR41" s="32"/>
      <c r="BS41" s="32"/>
      <c r="BT41" s="32"/>
      <c r="BU41" s="32"/>
      <c r="BV41" s="32"/>
      <c r="BW41" s="32"/>
      <c r="BX41" s="32"/>
      <c r="BY41" s="32"/>
      <c r="BZ41" s="32"/>
      <c r="CA41" s="32"/>
      <c r="CB41" s="32"/>
      <c r="CC41" s="32"/>
      <c r="CD41" s="32"/>
      <c r="CE41" s="32"/>
      <c r="CF41" s="32"/>
      <c r="CG41" s="32"/>
      <c r="CH41" s="32"/>
      <c r="CI41" s="32"/>
    </row>
    <row r="42" spans="1:87" s="35" customFormat="1" ht="20.100000000000001" customHeight="1">
      <c r="A42" s="862"/>
      <c r="B42" s="863"/>
      <c r="C42" s="863"/>
      <c r="D42" s="863"/>
      <c r="E42" s="216">
        <v>11</v>
      </c>
      <c r="F42" s="865">
        <v>12</v>
      </c>
      <c r="G42" s="865"/>
      <c r="H42" s="865"/>
      <c r="I42" s="216"/>
      <c r="K42" s="104"/>
      <c r="L42" s="864" t="s">
        <v>423</v>
      </c>
      <c r="M42" s="864"/>
      <c r="N42" s="864"/>
      <c r="O42" s="864"/>
      <c r="P42" s="864"/>
      <c r="Q42" s="864"/>
      <c r="R42" s="864"/>
      <c r="S42" s="864"/>
      <c r="T42" s="864"/>
      <c r="U42" s="864"/>
      <c r="V42" s="864"/>
      <c r="W42" s="864"/>
      <c r="X42" s="864"/>
      <c r="Y42" s="864"/>
      <c r="Z42" s="864"/>
      <c r="AA42" s="864"/>
      <c r="AB42" s="864"/>
      <c r="AC42" s="864"/>
      <c r="AD42" s="864"/>
      <c r="AE42" s="864"/>
      <c r="AF42" s="864"/>
      <c r="AG42" s="864"/>
      <c r="AH42" s="864"/>
      <c r="AI42" s="864"/>
      <c r="AJ42" s="864"/>
      <c r="AK42" s="864"/>
      <c r="AL42" s="864"/>
      <c r="AM42" s="864"/>
      <c r="AN42" s="864"/>
      <c r="AO42" s="864"/>
      <c r="AP42" s="864"/>
      <c r="AQ42" s="864"/>
      <c r="AR42" s="864"/>
      <c r="AS42" s="864"/>
      <c r="AT42" s="864"/>
      <c r="AU42" s="104"/>
      <c r="AV42" s="104"/>
      <c r="AW42" s="104"/>
      <c r="AX42" s="104"/>
      <c r="AY42" s="104"/>
      <c r="AZ42" s="104"/>
      <c r="BA42" s="104"/>
      <c r="BB42" s="104"/>
      <c r="BC42" s="104"/>
      <c r="BD42" s="104"/>
      <c r="BE42" s="104"/>
      <c r="BF42" s="104"/>
      <c r="BG42" s="104"/>
      <c r="BH42" s="104"/>
      <c r="BI42" s="104"/>
      <c r="BJ42" s="104"/>
      <c r="BK42" s="104"/>
      <c r="BL42" s="104"/>
      <c r="BM42" s="104"/>
      <c r="BN42" s="211"/>
      <c r="BO42" s="32"/>
      <c r="BP42" s="32"/>
      <c r="BQ42" s="32"/>
      <c r="BR42" s="32"/>
      <c r="BS42" s="32"/>
      <c r="BT42" s="32"/>
      <c r="BU42" s="32"/>
      <c r="BV42" s="32"/>
      <c r="BW42" s="32"/>
      <c r="BX42" s="32"/>
      <c r="BY42" s="32"/>
      <c r="BZ42" s="32"/>
      <c r="CA42" s="32"/>
      <c r="CB42" s="32"/>
      <c r="CC42" s="32"/>
      <c r="CD42" s="32"/>
      <c r="CE42" s="32"/>
      <c r="CF42" s="32"/>
      <c r="CG42" s="32"/>
      <c r="CH42" s="32"/>
      <c r="CI42" s="32"/>
    </row>
    <row r="43" spans="1:87" s="35" customFormat="1" ht="20.100000000000001" customHeight="1">
      <c r="A43" s="862"/>
      <c r="B43" s="863"/>
      <c r="C43" s="863"/>
      <c r="D43" s="863"/>
      <c r="E43" s="216">
        <v>12</v>
      </c>
      <c r="F43" s="865">
        <v>13</v>
      </c>
      <c r="G43" s="865"/>
      <c r="H43" s="865"/>
      <c r="I43" s="216"/>
      <c r="K43" s="104"/>
      <c r="L43" s="864" t="s">
        <v>720</v>
      </c>
      <c r="M43" s="864"/>
      <c r="N43" s="864"/>
      <c r="O43" s="864"/>
      <c r="P43" s="864"/>
      <c r="Q43" s="864"/>
      <c r="R43" s="864"/>
      <c r="S43" s="864"/>
      <c r="T43" s="864"/>
      <c r="U43" s="864"/>
      <c r="V43" s="864"/>
      <c r="W43" s="864"/>
      <c r="X43" s="864"/>
      <c r="Y43" s="864"/>
      <c r="Z43" s="864"/>
      <c r="AA43" s="864"/>
      <c r="AB43" s="864"/>
      <c r="AC43" s="864"/>
      <c r="AD43" s="864"/>
      <c r="AE43" s="864"/>
      <c r="AF43" s="864"/>
      <c r="AG43" s="864"/>
      <c r="AH43" s="864"/>
      <c r="AI43" s="864"/>
      <c r="AJ43" s="864"/>
      <c r="AK43" s="864"/>
      <c r="AL43" s="864"/>
      <c r="AM43" s="864"/>
      <c r="AN43" s="864"/>
      <c r="AO43" s="864"/>
      <c r="AP43" s="864"/>
      <c r="AQ43" s="864"/>
      <c r="AR43" s="864"/>
      <c r="AS43" s="864"/>
      <c r="AT43" s="864"/>
      <c r="AU43" s="104"/>
      <c r="AV43" s="104"/>
      <c r="AW43" s="104"/>
      <c r="AX43" s="104"/>
      <c r="AY43" s="104"/>
      <c r="AZ43" s="104"/>
      <c r="BA43" s="104"/>
      <c r="BB43" s="104"/>
      <c r="BC43" s="104"/>
      <c r="BD43" s="104"/>
      <c r="BE43" s="104"/>
      <c r="BF43" s="104"/>
      <c r="BG43" s="104"/>
      <c r="BH43" s="104"/>
      <c r="BI43" s="104"/>
      <c r="BJ43" s="104"/>
      <c r="BK43" s="104"/>
      <c r="BL43" s="104"/>
      <c r="BM43" s="104"/>
      <c r="BN43" s="211"/>
      <c r="BO43" s="32"/>
      <c r="BP43" s="32"/>
      <c r="BQ43" s="32"/>
      <c r="BR43" s="32"/>
      <c r="BS43" s="32"/>
      <c r="BT43" s="32"/>
      <c r="BU43" s="32"/>
      <c r="BV43" s="32"/>
      <c r="BW43" s="32"/>
      <c r="BX43" s="32"/>
      <c r="BY43" s="32"/>
      <c r="BZ43" s="32"/>
      <c r="CA43" s="32"/>
      <c r="CB43" s="32"/>
      <c r="CC43" s="32"/>
      <c r="CD43" s="32"/>
      <c r="CE43" s="32"/>
      <c r="CF43" s="32"/>
      <c r="CG43" s="32"/>
      <c r="CH43" s="32"/>
      <c r="CI43" s="32"/>
    </row>
    <row r="44" spans="1:87" s="35" customFormat="1" ht="20.100000000000001" customHeight="1">
      <c r="A44" s="862"/>
      <c r="B44" s="863"/>
      <c r="C44" s="863"/>
      <c r="D44" s="863"/>
      <c r="E44" s="216">
        <v>13</v>
      </c>
      <c r="F44" s="865">
        <v>14</v>
      </c>
      <c r="G44" s="865"/>
      <c r="H44" s="865"/>
      <c r="I44" s="216"/>
      <c r="K44" s="104"/>
      <c r="L44" s="864" t="s">
        <v>421</v>
      </c>
      <c r="M44" s="864"/>
      <c r="N44" s="864"/>
      <c r="O44" s="864"/>
      <c r="P44" s="864"/>
      <c r="Q44" s="864"/>
      <c r="R44" s="864"/>
      <c r="S44" s="864"/>
      <c r="T44" s="864"/>
      <c r="U44" s="864"/>
      <c r="V44" s="864"/>
      <c r="W44" s="864"/>
      <c r="X44" s="864"/>
      <c r="Y44" s="864"/>
      <c r="Z44" s="864"/>
      <c r="AA44" s="864"/>
      <c r="AB44" s="864"/>
      <c r="AC44" s="864"/>
      <c r="AD44" s="864"/>
      <c r="AE44" s="864"/>
      <c r="AF44" s="864"/>
      <c r="AG44" s="864"/>
      <c r="AH44" s="864"/>
      <c r="AI44" s="864"/>
      <c r="AJ44" s="864"/>
      <c r="AK44" s="864"/>
      <c r="AL44" s="864"/>
      <c r="AM44" s="864"/>
      <c r="AN44" s="864"/>
      <c r="AO44" s="864"/>
      <c r="AP44" s="864"/>
      <c r="AQ44" s="864"/>
      <c r="AR44" s="864"/>
      <c r="AS44" s="864"/>
      <c r="AT44" s="864"/>
      <c r="AU44" s="104"/>
      <c r="AV44" s="104"/>
      <c r="AW44" s="104"/>
      <c r="AX44" s="104"/>
      <c r="AY44" s="104"/>
      <c r="AZ44" s="104"/>
      <c r="BA44" s="104"/>
      <c r="BB44" s="104"/>
      <c r="BC44" s="104"/>
      <c r="BD44" s="104"/>
      <c r="BE44" s="104"/>
      <c r="BF44" s="104"/>
      <c r="BG44" s="104"/>
      <c r="BH44" s="104"/>
      <c r="BI44" s="104"/>
      <c r="BJ44" s="104"/>
      <c r="BK44" s="104"/>
      <c r="BL44" s="104"/>
      <c r="BM44" s="104"/>
      <c r="BN44" s="211"/>
      <c r="BO44" s="32"/>
      <c r="BP44" s="32"/>
      <c r="BQ44" s="32"/>
      <c r="BR44" s="32"/>
      <c r="BS44" s="32"/>
      <c r="BT44" s="32"/>
      <c r="BU44" s="32"/>
      <c r="BV44" s="32"/>
      <c r="BW44" s="32"/>
      <c r="BX44" s="32"/>
      <c r="BY44" s="32"/>
      <c r="BZ44" s="32"/>
      <c r="CA44" s="32"/>
      <c r="CB44" s="32"/>
      <c r="CC44" s="32"/>
      <c r="CD44" s="32"/>
      <c r="CE44" s="32"/>
      <c r="CF44" s="32"/>
      <c r="CG44" s="32"/>
      <c r="CH44" s="32"/>
      <c r="CI44" s="32"/>
    </row>
    <row r="45" spans="1:87" s="10" customFormat="1" ht="15" customHeight="1">
      <c r="C45" s="26"/>
      <c r="D45" s="26"/>
      <c r="T45" s="26"/>
      <c r="AN45" s="26"/>
      <c r="BN45" s="26"/>
    </row>
    <row r="46" spans="1:87" s="10" customFormat="1" ht="15" customHeight="1">
      <c r="C46" s="26"/>
      <c r="D46" s="26"/>
      <c r="T46" s="26"/>
      <c r="AN46" s="26"/>
      <c r="BN46" s="26"/>
    </row>
    <row r="47" spans="1:87" s="10" customFormat="1" ht="15" customHeight="1">
      <c r="C47" s="26"/>
      <c r="D47" s="26"/>
      <c r="T47" s="26"/>
      <c r="AN47" s="26"/>
      <c r="BN47" s="26"/>
    </row>
    <row r="48" spans="1:87" s="10" customFormat="1" ht="15" customHeight="1">
      <c r="C48" s="26"/>
      <c r="D48" s="26"/>
      <c r="T48" s="26"/>
      <c r="AN48" s="26"/>
      <c r="BN48" s="26"/>
    </row>
    <row r="49" spans="3:66" s="10" customFormat="1" ht="15" customHeight="1">
      <c r="C49" s="26"/>
      <c r="D49" s="26"/>
      <c r="T49" s="26"/>
      <c r="AN49" s="26"/>
      <c r="BN49" s="26"/>
    </row>
    <row r="50" spans="3:66" s="10" customFormat="1" ht="15" customHeight="1">
      <c r="C50" s="26"/>
      <c r="D50" s="26"/>
      <c r="T50" s="26"/>
      <c r="AN50" s="26"/>
      <c r="BN50" s="26"/>
    </row>
    <row r="51" spans="3:66" s="10" customFormat="1" ht="15" customHeight="1">
      <c r="C51" s="26"/>
      <c r="D51" s="26"/>
      <c r="T51" s="26"/>
      <c r="AN51" s="26"/>
      <c r="BN51" s="26"/>
    </row>
    <row r="52" spans="3:66" s="10" customFormat="1" ht="15" customHeight="1">
      <c r="C52" s="26"/>
      <c r="D52" s="26"/>
      <c r="T52" s="26"/>
      <c r="AN52" s="26"/>
      <c r="BN52" s="26"/>
    </row>
    <row r="53" spans="3:66" s="10" customFormat="1" ht="15" customHeight="1">
      <c r="C53" s="26"/>
      <c r="D53" s="26"/>
      <c r="T53" s="26"/>
      <c r="AN53" s="26"/>
      <c r="BN53" s="26"/>
    </row>
    <row r="54" spans="3:66" s="10" customFormat="1" ht="15" customHeight="1">
      <c r="C54" s="26"/>
      <c r="D54" s="26"/>
      <c r="T54" s="26"/>
      <c r="AN54" s="26"/>
      <c r="BN54" s="26"/>
    </row>
  </sheetData>
  <mergeCells count="70">
    <mergeCell ref="H15:J15"/>
    <mergeCell ref="H16:J16"/>
    <mergeCell ref="L16:AT16"/>
    <mergeCell ref="L27:AT27"/>
    <mergeCell ref="H27:J27"/>
    <mergeCell ref="F21:H21"/>
    <mergeCell ref="F26:H26"/>
    <mergeCell ref="L36:BK36"/>
    <mergeCell ref="H28:J28"/>
    <mergeCell ref="H29:J29"/>
    <mergeCell ref="L38:AT38"/>
    <mergeCell ref="L44:AT44"/>
    <mergeCell ref="F37:H37"/>
    <mergeCell ref="L32:AT32"/>
    <mergeCell ref="L33:AT33"/>
    <mergeCell ref="L35:AT35"/>
    <mergeCell ref="L37:AT37"/>
    <mergeCell ref="A34:D34"/>
    <mergeCell ref="L34:AT34"/>
    <mergeCell ref="L25:AT25"/>
    <mergeCell ref="L26:AT26"/>
    <mergeCell ref="L31:AT31"/>
    <mergeCell ref="F31:H31"/>
    <mergeCell ref="F34:H34"/>
    <mergeCell ref="H30:J30"/>
    <mergeCell ref="L28:AT28"/>
    <mergeCell ref="L29:AT29"/>
    <mergeCell ref="L30:AT30"/>
    <mergeCell ref="A12:D12"/>
    <mergeCell ref="L12:AT12"/>
    <mergeCell ref="L13:AT13"/>
    <mergeCell ref="L24:AT24"/>
    <mergeCell ref="L15:AT15"/>
    <mergeCell ref="A17:D17"/>
    <mergeCell ref="L17:AT17"/>
    <mergeCell ref="L18:AT18"/>
    <mergeCell ref="L19:AT19"/>
    <mergeCell ref="L20:AT20"/>
    <mergeCell ref="L21:AT21"/>
    <mergeCell ref="L22:AT22"/>
    <mergeCell ref="L23:AT23"/>
    <mergeCell ref="L14:AT14"/>
    <mergeCell ref="F12:H12"/>
    <mergeCell ref="F17:H17"/>
    <mergeCell ref="L11:AT11"/>
    <mergeCell ref="A1:H3"/>
    <mergeCell ref="I1:BN3"/>
    <mergeCell ref="L6:AT6"/>
    <mergeCell ref="L5:AT5"/>
    <mergeCell ref="F5:H5"/>
    <mergeCell ref="F6:H6"/>
    <mergeCell ref="L7:AT7"/>
    <mergeCell ref="L8:AT8"/>
    <mergeCell ref="L9:AT9"/>
    <mergeCell ref="L10:AT10"/>
    <mergeCell ref="F9:H9"/>
    <mergeCell ref="A37:D37"/>
    <mergeCell ref="A40:D40"/>
    <mergeCell ref="A41:D41"/>
    <mergeCell ref="A42:D42"/>
    <mergeCell ref="A43:D43"/>
    <mergeCell ref="A44:D44"/>
    <mergeCell ref="L41:AT41"/>
    <mergeCell ref="L42:AT42"/>
    <mergeCell ref="L43:AT43"/>
    <mergeCell ref="L40:AT40"/>
    <mergeCell ref="F41:H41"/>
    <mergeCell ref="F42:H42"/>
    <mergeCell ref="F43:H43"/>
    <mergeCell ref="F44:H44"/>
  </mergeCells>
  <printOptions horizontalCentered="1"/>
  <pageMargins left="0.1" right="0.1" top="0.25" bottom="0.25" header="0.3" footer="0.3"/>
  <pageSetup paperSize="9" scale="89" orientation="portrait" r:id="rId1"/>
</worksheet>
</file>

<file path=xl/worksheets/sheet4.xml><?xml version="1.0" encoding="utf-8"?>
<worksheet xmlns="http://schemas.openxmlformats.org/spreadsheetml/2006/main" xmlns:r="http://schemas.openxmlformats.org/officeDocument/2006/relationships">
  <sheetPr>
    <tabColor theme="4" tint="0.39997558519241921"/>
  </sheetPr>
  <dimension ref="A1:G94"/>
  <sheetViews>
    <sheetView view="pageBreakPreview" topLeftCell="A46" zoomScale="91" zoomScaleNormal="100" zoomScaleSheetLayoutView="91" workbookViewId="0">
      <selection activeCell="A93" sqref="A93:E93"/>
    </sheetView>
  </sheetViews>
  <sheetFormatPr defaultRowHeight="15"/>
  <cols>
    <col min="1" max="5" width="27.28515625" customWidth="1"/>
    <col min="7" max="7" width="13.7109375" bestFit="1" customWidth="1"/>
  </cols>
  <sheetData>
    <row r="1" spans="1:5" ht="45.75" customHeight="1" thickBot="1">
      <c r="A1" s="903" t="s">
        <v>684</v>
      </c>
      <c r="B1" s="904"/>
      <c r="C1" s="904"/>
      <c r="D1" s="904"/>
      <c r="E1" s="554"/>
    </row>
    <row r="2" spans="1:5" ht="30.75" customHeight="1" thickBot="1">
      <c r="A2" s="905" t="s">
        <v>685</v>
      </c>
      <c r="B2" s="906"/>
      <c r="C2" s="906"/>
      <c r="D2" s="559" t="s">
        <v>686</v>
      </c>
      <c r="E2" s="560" t="s">
        <v>687</v>
      </c>
    </row>
    <row r="3" spans="1:5" ht="47.25" customHeight="1" thickBot="1">
      <c r="A3" s="905" t="s">
        <v>688</v>
      </c>
      <c r="B3" s="906"/>
      <c r="C3" s="906"/>
      <c r="D3" s="612" t="s">
        <v>719</v>
      </c>
      <c r="E3" s="611">
        <f>+'Cover '!T11</f>
        <v>42460</v>
      </c>
    </row>
    <row r="4" spans="1:5">
      <c r="A4" s="907"/>
      <c r="B4" s="908"/>
      <c r="C4" s="908"/>
      <c r="D4" s="908"/>
      <c r="E4" s="909"/>
    </row>
    <row r="5" spans="1:5">
      <c r="A5" s="891" t="s">
        <v>27</v>
      </c>
      <c r="B5" s="892"/>
      <c r="C5" s="892"/>
      <c r="D5" s="892"/>
      <c r="E5" s="893"/>
    </row>
    <row r="6" spans="1:5">
      <c r="A6" s="882"/>
      <c r="B6" s="883"/>
      <c r="C6" s="883"/>
      <c r="D6" s="883"/>
      <c r="E6" s="884"/>
    </row>
    <row r="7" spans="1:5" ht="57.75" customHeight="1">
      <c r="A7" s="888" t="s">
        <v>689</v>
      </c>
      <c r="B7" s="889"/>
      <c r="C7" s="889"/>
      <c r="D7" s="889"/>
      <c r="E7" s="890"/>
    </row>
    <row r="8" spans="1:5">
      <c r="A8" s="882"/>
      <c r="B8" s="883"/>
      <c r="C8" s="883"/>
      <c r="D8" s="883"/>
      <c r="E8" s="884"/>
    </row>
    <row r="9" spans="1:5">
      <c r="A9" s="891" t="s">
        <v>690</v>
      </c>
      <c r="B9" s="892"/>
      <c r="C9" s="892"/>
      <c r="D9" s="892"/>
      <c r="E9" s="893"/>
    </row>
    <row r="10" spans="1:5">
      <c r="A10" s="894"/>
      <c r="B10" s="895"/>
      <c r="C10" s="895"/>
      <c r="D10" s="895"/>
      <c r="E10" s="896"/>
    </row>
    <row r="11" spans="1:5" ht="27" customHeight="1">
      <c r="A11" s="894" t="s">
        <v>757</v>
      </c>
      <c r="B11" s="895"/>
      <c r="C11" s="895"/>
      <c r="D11" s="895"/>
      <c r="E11" s="896"/>
    </row>
    <row r="12" spans="1:5" ht="27" customHeight="1">
      <c r="A12" s="894" t="s">
        <v>756</v>
      </c>
      <c r="B12" s="895"/>
      <c r="C12" s="895"/>
      <c r="D12" s="895"/>
      <c r="E12" s="896"/>
    </row>
    <row r="13" spans="1:5" ht="40.5" customHeight="1">
      <c r="A13" s="894" t="s">
        <v>758</v>
      </c>
      <c r="B13" s="895"/>
      <c r="C13" s="895"/>
      <c r="D13" s="895"/>
      <c r="E13" s="896"/>
    </row>
    <row r="14" spans="1:5">
      <c r="A14" s="897"/>
      <c r="B14" s="898"/>
      <c r="C14" s="898"/>
      <c r="D14" s="898"/>
      <c r="E14" s="899"/>
    </row>
    <row r="15" spans="1:5">
      <c r="A15" s="891" t="s">
        <v>691</v>
      </c>
      <c r="B15" s="892"/>
      <c r="C15" s="892"/>
      <c r="D15" s="892"/>
      <c r="E15" s="893"/>
    </row>
    <row r="16" spans="1:5">
      <c r="A16" s="900"/>
      <c r="B16" s="901"/>
      <c r="C16" s="901"/>
      <c r="D16" s="901"/>
      <c r="E16" s="902"/>
    </row>
    <row r="17" spans="1:5" ht="27" customHeight="1">
      <c r="A17" s="885" t="s">
        <v>692</v>
      </c>
      <c r="B17" s="886"/>
      <c r="C17" s="886"/>
      <c r="D17" s="886"/>
      <c r="E17" s="887"/>
    </row>
    <row r="18" spans="1:5">
      <c r="A18" s="885"/>
      <c r="B18" s="886"/>
      <c r="C18" s="886"/>
      <c r="D18" s="886"/>
      <c r="E18" s="887"/>
    </row>
    <row r="19" spans="1:5" ht="20.25" customHeight="1">
      <c r="A19" s="910" t="s">
        <v>763</v>
      </c>
      <c r="B19" s="911"/>
      <c r="C19" s="911"/>
      <c r="D19" s="911"/>
      <c r="E19" s="912"/>
    </row>
    <row r="20" spans="1:5" ht="20.25" customHeight="1">
      <c r="A20" s="910" t="s">
        <v>759</v>
      </c>
      <c r="B20" s="911"/>
      <c r="C20" s="911"/>
      <c r="D20" s="911"/>
      <c r="E20" s="912"/>
    </row>
    <row r="21" spans="1:5" ht="20.25" customHeight="1">
      <c r="A21" s="910" t="s">
        <v>764</v>
      </c>
      <c r="B21" s="911"/>
      <c r="C21" s="911"/>
      <c r="D21" s="911"/>
      <c r="E21" s="912"/>
    </row>
    <row r="22" spans="1:5" ht="20.25" customHeight="1">
      <c r="A22" s="910" t="s">
        <v>760</v>
      </c>
      <c r="B22" s="911"/>
      <c r="C22" s="911"/>
      <c r="D22" s="911"/>
      <c r="E22" s="912"/>
    </row>
    <row r="23" spans="1:5" ht="27" customHeight="1">
      <c r="A23" s="910" t="s">
        <v>747</v>
      </c>
      <c r="B23" s="911"/>
      <c r="C23" s="911"/>
      <c r="D23" s="911"/>
      <c r="E23" s="912"/>
    </row>
    <row r="24" spans="1:5" ht="27" customHeight="1">
      <c r="A24" s="910" t="s">
        <v>761</v>
      </c>
      <c r="B24" s="911"/>
      <c r="C24" s="911"/>
      <c r="D24" s="911"/>
      <c r="E24" s="912"/>
    </row>
    <row r="25" spans="1:5" ht="27" customHeight="1">
      <c r="A25" s="910" t="s">
        <v>765</v>
      </c>
      <c r="B25" s="911"/>
      <c r="C25" s="911"/>
      <c r="D25" s="911"/>
      <c r="E25" s="912"/>
    </row>
    <row r="26" spans="1:5" ht="27" customHeight="1">
      <c r="A26" s="910" t="s">
        <v>762</v>
      </c>
      <c r="B26" s="911"/>
      <c r="C26" s="911"/>
      <c r="D26" s="911"/>
      <c r="E26" s="912"/>
    </row>
    <row r="27" spans="1:5">
      <c r="A27" s="919"/>
      <c r="B27" s="920"/>
      <c r="C27" s="920"/>
      <c r="D27" s="920"/>
      <c r="E27" s="921"/>
    </row>
    <row r="28" spans="1:5">
      <c r="A28" s="922" t="s">
        <v>693</v>
      </c>
      <c r="B28" s="923"/>
      <c r="C28" s="923"/>
      <c r="D28" s="923"/>
      <c r="E28" s="924"/>
    </row>
    <row r="29" spans="1:5">
      <c r="A29" s="925"/>
      <c r="B29" s="926"/>
      <c r="C29" s="926"/>
      <c r="D29" s="926"/>
      <c r="E29" s="927"/>
    </row>
    <row r="30" spans="1:5" ht="34.5" customHeight="1">
      <c r="A30" s="885" t="s">
        <v>753</v>
      </c>
      <c r="B30" s="886"/>
      <c r="C30" s="886"/>
      <c r="D30" s="886"/>
      <c r="E30" s="887"/>
    </row>
    <row r="31" spans="1:5">
      <c r="A31" s="885"/>
      <c r="B31" s="886"/>
      <c r="C31" s="886"/>
      <c r="D31" s="886"/>
      <c r="E31" s="887"/>
    </row>
    <row r="32" spans="1:5">
      <c r="A32" s="916" t="s">
        <v>694</v>
      </c>
      <c r="B32" s="917"/>
      <c r="C32" s="917"/>
      <c r="D32" s="917"/>
      <c r="E32" s="918"/>
    </row>
    <row r="33" spans="1:5">
      <c r="A33" s="930"/>
      <c r="B33" s="931"/>
      <c r="C33" s="931"/>
      <c r="D33" s="931"/>
      <c r="E33" s="932"/>
    </row>
    <row r="34" spans="1:5" ht="27.75" customHeight="1">
      <c r="A34" s="885" t="s">
        <v>766</v>
      </c>
      <c r="B34" s="886"/>
      <c r="C34" s="886"/>
      <c r="D34" s="886"/>
      <c r="E34" s="887"/>
    </row>
    <row r="35" spans="1:5">
      <c r="A35" s="891" t="s">
        <v>695</v>
      </c>
      <c r="B35" s="892"/>
      <c r="C35" s="892"/>
      <c r="D35" s="892"/>
      <c r="E35" s="893"/>
    </row>
    <row r="36" spans="1:5">
      <c r="A36" s="882"/>
      <c r="B36" s="883"/>
      <c r="C36" s="883"/>
      <c r="D36" s="883"/>
      <c r="E36" s="884"/>
    </row>
    <row r="37" spans="1:5" ht="18" customHeight="1">
      <c r="A37" s="928" t="s">
        <v>735</v>
      </c>
      <c r="B37" s="929"/>
      <c r="C37" s="607">
        <f>+'5-QA-QC'!K28</f>
        <v>29</v>
      </c>
      <c r="D37" s="605"/>
      <c r="E37" s="606"/>
    </row>
    <row r="38" spans="1:5" ht="24" hidden="1" customHeight="1">
      <c r="A38" s="928" t="s">
        <v>736</v>
      </c>
      <c r="B38" s="929"/>
      <c r="C38" s="605"/>
      <c r="D38" s="605"/>
      <c r="E38" s="606"/>
    </row>
    <row r="39" spans="1:5" ht="18" customHeight="1" thickBot="1">
      <c r="A39" s="556"/>
      <c r="B39" s="557"/>
      <c r="C39" s="557"/>
      <c r="D39" s="557"/>
      <c r="E39" s="558"/>
    </row>
    <row r="40" spans="1:5">
      <c r="A40" s="913"/>
      <c r="B40" s="914"/>
      <c r="C40" s="914"/>
      <c r="D40" s="914"/>
      <c r="E40" s="915"/>
    </row>
    <row r="41" spans="1:5">
      <c r="A41" s="916" t="s">
        <v>696</v>
      </c>
      <c r="B41" s="917"/>
      <c r="C41" s="917"/>
      <c r="D41" s="917"/>
      <c r="E41" s="918"/>
    </row>
    <row r="42" spans="1:5">
      <c r="A42" s="938"/>
      <c r="B42" s="939"/>
      <c r="C42" s="939"/>
      <c r="D42" s="939"/>
      <c r="E42" s="940"/>
    </row>
    <row r="43" spans="1:5" ht="15.75" thickBot="1">
      <c r="A43" s="938" t="s">
        <v>697</v>
      </c>
      <c r="B43" s="939"/>
      <c r="C43" s="939"/>
      <c r="D43" s="939"/>
      <c r="E43" s="940"/>
    </row>
    <row r="44" spans="1:5">
      <c r="A44" s="933" t="s">
        <v>698</v>
      </c>
      <c r="B44" s="933" t="s">
        <v>699</v>
      </c>
      <c r="C44" s="935" t="s">
        <v>591</v>
      </c>
      <c r="D44" s="933" t="s">
        <v>12</v>
      </c>
      <c r="E44" s="555"/>
    </row>
    <row r="45" spans="1:5" ht="15.75" thickBot="1">
      <c r="A45" s="934"/>
      <c r="B45" s="934"/>
      <c r="C45" s="936"/>
      <c r="D45" s="937"/>
      <c r="E45" s="555"/>
    </row>
    <row r="46" spans="1:5" ht="21" customHeight="1" thickBot="1">
      <c r="A46" s="551" t="s">
        <v>700</v>
      </c>
      <c r="B46" s="552">
        <v>1</v>
      </c>
      <c r="C46" s="552">
        <v>0.98880000000000001</v>
      </c>
      <c r="D46" s="552">
        <f>+C46-B46</f>
        <v>-1.1199999999999988E-2</v>
      </c>
      <c r="E46" s="555"/>
    </row>
    <row r="47" spans="1:5" ht="21" customHeight="1" thickBot="1">
      <c r="A47" s="551" t="s">
        <v>701</v>
      </c>
      <c r="B47" s="552">
        <v>1</v>
      </c>
      <c r="C47" s="552">
        <v>0.98180000000000001</v>
      </c>
      <c r="D47" s="552">
        <f t="shared" ref="D47:D56" si="0">+C47-B47</f>
        <v>-1.8199999999999994E-2</v>
      </c>
      <c r="E47" s="555"/>
    </row>
    <row r="48" spans="1:5" ht="21" customHeight="1" thickBot="1">
      <c r="A48" s="551" t="s">
        <v>702</v>
      </c>
      <c r="B48" s="552">
        <v>1</v>
      </c>
      <c r="C48" s="552">
        <v>0.98460000000000003</v>
      </c>
      <c r="D48" s="552">
        <f t="shared" si="0"/>
        <v>-1.5399999999999969E-2</v>
      </c>
      <c r="E48" s="555"/>
    </row>
    <row r="49" spans="1:7" ht="21" customHeight="1" thickBot="1">
      <c r="A49" s="551" t="s">
        <v>703</v>
      </c>
      <c r="B49" s="552">
        <v>1</v>
      </c>
      <c r="C49" s="552">
        <v>0.98770000000000002</v>
      </c>
      <c r="D49" s="552">
        <f t="shared" si="0"/>
        <v>-1.2299999999999978E-2</v>
      </c>
      <c r="E49" s="555"/>
    </row>
    <row r="50" spans="1:7" ht="21" customHeight="1" thickBot="1">
      <c r="A50" s="551" t="s">
        <v>704</v>
      </c>
      <c r="B50" s="552">
        <v>1</v>
      </c>
      <c r="C50" s="552">
        <v>0.98429999999999995</v>
      </c>
      <c r="D50" s="552">
        <f t="shared" si="0"/>
        <v>-1.5700000000000047E-2</v>
      </c>
      <c r="E50" s="555"/>
    </row>
    <row r="51" spans="1:7" ht="21" customHeight="1" thickBot="1">
      <c r="A51" s="551" t="s">
        <v>705</v>
      </c>
      <c r="B51" s="552">
        <v>1</v>
      </c>
      <c r="C51" s="552">
        <v>0.98819999999999997</v>
      </c>
      <c r="D51" s="552">
        <f t="shared" si="0"/>
        <v>-1.1800000000000033E-2</v>
      </c>
      <c r="E51" s="555"/>
    </row>
    <row r="52" spans="1:7" ht="21" customHeight="1" thickBot="1">
      <c r="A52" s="551" t="s">
        <v>706</v>
      </c>
      <c r="B52" s="552">
        <v>1</v>
      </c>
      <c r="C52" s="552">
        <v>0.95430000000000004</v>
      </c>
      <c r="D52" s="552">
        <f t="shared" si="0"/>
        <v>-4.5699999999999963E-2</v>
      </c>
      <c r="E52" s="555"/>
    </row>
    <row r="53" spans="1:7" ht="21" customHeight="1" thickBot="1">
      <c r="A53" s="551" t="s">
        <v>707</v>
      </c>
      <c r="B53" s="552">
        <v>1</v>
      </c>
      <c r="C53" s="552">
        <v>0.97770000000000001</v>
      </c>
      <c r="D53" s="552">
        <f t="shared" si="0"/>
        <v>-2.2299999999999986E-2</v>
      </c>
      <c r="E53" s="555"/>
    </row>
    <row r="54" spans="1:7" ht="21" customHeight="1" thickBot="1">
      <c r="A54" s="551" t="s">
        <v>708</v>
      </c>
      <c r="B54" s="552">
        <v>1</v>
      </c>
      <c r="C54" s="552">
        <v>0.99129999999999996</v>
      </c>
      <c r="D54" s="552">
        <f t="shared" si="0"/>
        <v>-8.700000000000041E-3</v>
      </c>
      <c r="E54" s="555"/>
    </row>
    <row r="55" spans="1:7" ht="21" customHeight="1" thickBot="1">
      <c r="A55" s="551" t="s">
        <v>217</v>
      </c>
      <c r="B55" s="552">
        <v>1</v>
      </c>
      <c r="C55" s="552">
        <v>0.99570000000000003</v>
      </c>
      <c r="D55" s="552">
        <f t="shared" si="0"/>
        <v>-4.2999999999999705E-3</v>
      </c>
      <c r="E55" s="555"/>
    </row>
    <row r="56" spans="1:7" ht="21" customHeight="1" thickBot="1">
      <c r="A56" s="553" t="s">
        <v>709</v>
      </c>
      <c r="B56" s="552">
        <v>1</v>
      </c>
      <c r="C56" s="552">
        <v>0.98370000000000002</v>
      </c>
      <c r="D56" s="552">
        <f t="shared" si="0"/>
        <v>-1.6299999999999981E-2</v>
      </c>
      <c r="E56" s="555"/>
    </row>
    <row r="57" spans="1:7" ht="7.5" customHeight="1">
      <c r="A57" s="619"/>
      <c r="B57" s="620"/>
      <c r="C57" s="620"/>
      <c r="D57" s="620"/>
      <c r="E57" s="555"/>
    </row>
    <row r="58" spans="1:7" ht="14.25" customHeight="1" thickBot="1">
      <c r="A58" s="621" t="s">
        <v>750</v>
      </c>
      <c r="B58" s="620"/>
      <c r="C58" s="620"/>
      <c r="D58" s="620"/>
      <c r="E58" s="555"/>
    </row>
    <row r="59" spans="1:7">
      <c r="A59" s="933" t="s">
        <v>752</v>
      </c>
      <c r="B59" s="933" t="s">
        <v>699</v>
      </c>
      <c r="C59" s="935" t="s">
        <v>591</v>
      </c>
      <c r="D59" s="933" t="s">
        <v>12</v>
      </c>
      <c r="E59" s="555"/>
    </row>
    <row r="60" spans="1:7" ht="21" customHeight="1" thickBot="1">
      <c r="A60" s="934"/>
      <c r="B60" s="934"/>
      <c r="C60" s="936"/>
      <c r="D60" s="937"/>
      <c r="E60" s="555"/>
    </row>
    <row r="61" spans="1:7" ht="15.75" thickBot="1">
      <c r="A61" s="551" t="s">
        <v>751</v>
      </c>
      <c r="B61" s="552">
        <v>1</v>
      </c>
      <c r="C61" s="552">
        <v>0.24</v>
      </c>
      <c r="D61" s="552">
        <f>+C61-B61</f>
        <v>-0.76</v>
      </c>
      <c r="E61" s="555"/>
    </row>
    <row r="62" spans="1:7">
      <c r="A62" s="622"/>
      <c r="B62" s="620"/>
      <c r="C62" s="620"/>
      <c r="D62" s="620"/>
      <c r="E62" s="555"/>
    </row>
    <row r="63" spans="1:7">
      <c r="A63" s="916" t="s">
        <v>710</v>
      </c>
      <c r="B63" s="917"/>
      <c r="C63" s="917"/>
      <c r="D63" s="917"/>
      <c r="E63" s="918"/>
    </row>
    <row r="64" spans="1:7">
      <c r="A64" s="941"/>
      <c r="B64" s="942"/>
      <c r="C64" s="942"/>
      <c r="D64" s="942"/>
      <c r="E64" s="943"/>
      <c r="G64" s="296"/>
    </row>
    <row r="65" spans="1:5" ht="27.75" customHeight="1">
      <c r="A65" s="950" t="s">
        <v>737</v>
      </c>
      <c r="B65" s="951"/>
      <c r="C65" s="610">
        <f>+'7.1-Payment-Detail'!D19</f>
        <v>40992023.643333338</v>
      </c>
      <c r="D65" s="569"/>
      <c r="E65" s="570"/>
    </row>
    <row r="66" spans="1:5">
      <c r="A66" s="941"/>
      <c r="B66" s="942"/>
      <c r="C66" s="942"/>
      <c r="D66" s="942"/>
      <c r="E66" s="943"/>
    </row>
    <row r="67" spans="1:5">
      <c r="A67" s="916" t="s">
        <v>711</v>
      </c>
      <c r="B67" s="917"/>
      <c r="C67" s="917"/>
      <c r="D67" s="917"/>
      <c r="E67" s="918"/>
    </row>
    <row r="68" spans="1:5">
      <c r="A68" s="888"/>
      <c r="B68" s="889"/>
      <c r="C68" s="889"/>
      <c r="D68" s="889"/>
      <c r="E68" s="890"/>
    </row>
    <row r="69" spans="1:5">
      <c r="A69" s="888" t="s">
        <v>712</v>
      </c>
      <c r="B69" s="889"/>
      <c r="C69" s="889"/>
      <c r="D69" s="889"/>
      <c r="E69" s="890"/>
    </row>
    <row r="70" spans="1:5">
      <c r="A70" s="947"/>
      <c r="B70" s="948"/>
      <c r="C70" s="948"/>
      <c r="D70" s="948"/>
      <c r="E70" s="949"/>
    </row>
    <row r="71" spans="1:5">
      <c r="A71" s="916" t="s">
        <v>713</v>
      </c>
      <c r="B71" s="917"/>
      <c r="C71" s="917"/>
      <c r="D71" s="917"/>
      <c r="E71" s="918"/>
    </row>
    <row r="72" spans="1:5">
      <c r="A72" s="941"/>
      <c r="B72" s="942"/>
      <c r="C72" s="942"/>
      <c r="D72" s="942"/>
      <c r="E72" s="943"/>
    </row>
    <row r="73" spans="1:5" ht="40.5" customHeight="1">
      <c r="A73" s="961" t="s">
        <v>806</v>
      </c>
      <c r="B73" s="962"/>
      <c r="C73" s="962"/>
      <c r="D73" s="962"/>
      <c r="E73" s="963"/>
    </row>
    <row r="74" spans="1:5" ht="27" customHeight="1">
      <c r="A74" s="958" t="s">
        <v>755</v>
      </c>
      <c r="B74" s="959"/>
      <c r="C74" s="959"/>
      <c r="D74" s="959"/>
      <c r="E74" s="960"/>
    </row>
    <row r="75" spans="1:5">
      <c r="A75" s="941"/>
      <c r="B75" s="942"/>
      <c r="C75" s="942"/>
      <c r="D75" s="942"/>
      <c r="E75" s="943"/>
    </row>
    <row r="76" spans="1:5">
      <c r="A76" s="891" t="s">
        <v>714</v>
      </c>
      <c r="B76" s="892"/>
      <c r="C76" s="892"/>
      <c r="D76" s="892"/>
      <c r="E76" s="893"/>
    </row>
    <row r="77" spans="1:5" ht="15" customHeight="1">
      <c r="A77" s="568" t="s">
        <v>738</v>
      </c>
      <c r="B77" s="608">
        <f>+'10-Resources'!X11</f>
        <v>10</v>
      </c>
      <c r="C77" s="569"/>
      <c r="D77" s="569"/>
      <c r="E77" s="570"/>
    </row>
    <row r="78" spans="1:5" ht="15" customHeight="1">
      <c r="A78" s="568" t="s">
        <v>739</v>
      </c>
      <c r="B78" s="608">
        <f>+'10-Resources'!X16+'10-Resources'!X17</f>
        <v>155</v>
      </c>
      <c r="C78" s="569"/>
      <c r="D78" s="569"/>
      <c r="E78" s="570"/>
    </row>
    <row r="79" spans="1:5">
      <c r="A79" s="944"/>
      <c r="B79" s="945"/>
      <c r="C79" s="945"/>
      <c r="D79" s="945"/>
      <c r="E79" s="946"/>
    </row>
    <row r="80" spans="1:5">
      <c r="A80" s="916" t="s">
        <v>715</v>
      </c>
      <c r="B80" s="917"/>
      <c r="C80" s="917"/>
      <c r="D80" s="917"/>
      <c r="E80" s="918"/>
    </row>
    <row r="81" spans="1:5">
      <c r="A81" s="925"/>
      <c r="B81" s="926"/>
      <c r="C81" s="926"/>
      <c r="D81" s="926"/>
      <c r="E81" s="927"/>
    </row>
    <row r="82" spans="1:5">
      <c r="A82" s="947"/>
      <c r="B82" s="948"/>
      <c r="C82" s="948"/>
      <c r="D82" s="948"/>
      <c r="E82" s="949"/>
    </row>
    <row r="83" spans="1:5">
      <c r="A83" s="916" t="s">
        <v>716</v>
      </c>
      <c r="B83" s="917"/>
      <c r="C83" s="917"/>
      <c r="D83" s="917"/>
      <c r="E83" s="918"/>
    </row>
    <row r="84" spans="1:5">
      <c r="A84" s="925"/>
      <c r="B84" s="926"/>
      <c r="C84" s="926"/>
      <c r="D84" s="926"/>
      <c r="E84" s="927"/>
    </row>
    <row r="85" spans="1:5" ht="27.75" customHeight="1">
      <c r="A85" s="950" t="s">
        <v>740</v>
      </c>
      <c r="B85" s="951"/>
      <c r="C85" s="609">
        <f>+'12-Store'!BA15</f>
        <v>1230269.3399999999</v>
      </c>
      <c r="D85" s="569"/>
      <c r="E85" s="570"/>
    </row>
    <row r="86" spans="1:5">
      <c r="A86" s="925"/>
      <c r="B86" s="926"/>
      <c r="C86" s="926"/>
      <c r="D86" s="926"/>
      <c r="E86" s="927"/>
    </row>
    <row r="87" spans="1:5">
      <c r="A87" s="891" t="s">
        <v>717</v>
      </c>
      <c r="B87" s="892"/>
      <c r="C87" s="892"/>
      <c r="D87" s="892"/>
      <c r="E87" s="893"/>
    </row>
    <row r="88" spans="1:5">
      <c r="A88" s="925"/>
      <c r="B88" s="926"/>
      <c r="C88" s="926"/>
      <c r="D88" s="926"/>
      <c r="E88" s="927"/>
    </row>
    <row r="89" spans="1:5" ht="54" customHeight="1">
      <c r="A89" s="925" t="s">
        <v>807</v>
      </c>
      <c r="B89" s="926"/>
      <c r="C89" s="926"/>
      <c r="D89" s="926"/>
      <c r="E89" s="927"/>
    </row>
    <row r="90" spans="1:5">
      <c r="A90" s="955"/>
      <c r="B90" s="956"/>
      <c r="C90" s="956"/>
      <c r="D90" s="956"/>
      <c r="E90" s="957"/>
    </row>
    <row r="91" spans="1:5">
      <c r="A91" s="891" t="s">
        <v>718</v>
      </c>
      <c r="B91" s="892"/>
      <c r="C91" s="892"/>
      <c r="D91" s="892"/>
      <c r="E91" s="893"/>
    </row>
    <row r="92" spans="1:5">
      <c r="A92" s="925"/>
      <c r="B92" s="926"/>
      <c r="C92" s="926"/>
      <c r="D92" s="926"/>
      <c r="E92" s="927"/>
    </row>
    <row r="93" spans="1:5" ht="24" customHeight="1">
      <c r="A93" s="925" t="s">
        <v>808</v>
      </c>
      <c r="B93" s="926"/>
      <c r="C93" s="926"/>
      <c r="D93" s="926"/>
      <c r="E93" s="927"/>
    </row>
    <row r="94" spans="1:5" ht="12.75" customHeight="1" thickBot="1">
      <c r="A94" s="952"/>
      <c r="B94" s="953"/>
      <c r="C94" s="953"/>
      <c r="D94" s="953"/>
      <c r="E94" s="954"/>
    </row>
  </sheetData>
  <mergeCells count="80">
    <mergeCell ref="A74:E74"/>
    <mergeCell ref="A73:E73"/>
    <mergeCell ref="A63:E63"/>
    <mergeCell ref="A70:E70"/>
    <mergeCell ref="A71:E71"/>
    <mergeCell ref="A72:E72"/>
    <mergeCell ref="A65:B65"/>
    <mergeCell ref="A64:E64"/>
    <mergeCell ref="A66:E66"/>
    <mergeCell ref="A67:E67"/>
    <mergeCell ref="A68:E68"/>
    <mergeCell ref="A69:E69"/>
    <mergeCell ref="A94:E94"/>
    <mergeCell ref="A93:E93"/>
    <mergeCell ref="A87:E87"/>
    <mergeCell ref="A88:E88"/>
    <mergeCell ref="A89:E89"/>
    <mergeCell ref="A90:E90"/>
    <mergeCell ref="A91:E91"/>
    <mergeCell ref="A92:E92"/>
    <mergeCell ref="A86:E86"/>
    <mergeCell ref="A75:E75"/>
    <mergeCell ref="A76:E76"/>
    <mergeCell ref="A79:E79"/>
    <mergeCell ref="A80:E80"/>
    <mergeCell ref="A81:E81"/>
    <mergeCell ref="A82:E82"/>
    <mergeCell ref="A83:E83"/>
    <mergeCell ref="A84:E84"/>
    <mergeCell ref="A85:B85"/>
    <mergeCell ref="A59:A60"/>
    <mergeCell ref="B59:B60"/>
    <mergeCell ref="C59:C60"/>
    <mergeCell ref="D59:D60"/>
    <mergeCell ref="A41:E41"/>
    <mergeCell ref="A42:E42"/>
    <mergeCell ref="A43:E43"/>
    <mergeCell ref="A44:A45"/>
    <mergeCell ref="B44:B45"/>
    <mergeCell ref="C44:C45"/>
    <mergeCell ref="D44:D45"/>
    <mergeCell ref="A37:B37"/>
    <mergeCell ref="A38:B38"/>
    <mergeCell ref="A33:E33"/>
    <mergeCell ref="A34:E34"/>
    <mergeCell ref="A35:E35"/>
    <mergeCell ref="A19:E19"/>
    <mergeCell ref="A20:E20"/>
    <mergeCell ref="A21:E21"/>
    <mergeCell ref="A36:E36"/>
    <mergeCell ref="A40:E40"/>
    <mergeCell ref="A32:E32"/>
    <mergeCell ref="A22:E22"/>
    <mergeCell ref="A23:E23"/>
    <mergeCell ref="A24:E24"/>
    <mergeCell ref="A25:E25"/>
    <mergeCell ref="A26:E26"/>
    <mergeCell ref="A27:E27"/>
    <mergeCell ref="A28:E28"/>
    <mergeCell ref="A29:E29"/>
    <mergeCell ref="A30:E30"/>
    <mergeCell ref="A31:E31"/>
    <mergeCell ref="A1:D1"/>
    <mergeCell ref="A2:C2"/>
    <mergeCell ref="A3:C3"/>
    <mergeCell ref="A4:E4"/>
    <mergeCell ref="A5:E5"/>
    <mergeCell ref="A6:E6"/>
    <mergeCell ref="A18:E18"/>
    <mergeCell ref="A7:E7"/>
    <mergeCell ref="A8:E8"/>
    <mergeCell ref="A9:E9"/>
    <mergeCell ref="A10:E10"/>
    <mergeCell ref="A11:E11"/>
    <mergeCell ref="A12:E12"/>
    <mergeCell ref="A13:E13"/>
    <mergeCell ref="A14:E14"/>
    <mergeCell ref="A15:E15"/>
    <mergeCell ref="A16:E16"/>
    <mergeCell ref="A17:E17"/>
  </mergeCells>
  <printOptions horizontalCentered="1"/>
  <pageMargins left="0.25" right="0.25" top="0.75" bottom="0.75" header="0.3" footer="0.3"/>
  <pageSetup paperSize="9" scale="72" fitToHeight="2" orientation="portrait" verticalDpi="1200" r:id="rId1"/>
  <rowBreaks count="1" manualBreakCount="1">
    <brk id="39" max="4" man="1"/>
  </rowBreaks>
</worksheet>
</file>

<file path=xl/worksheets/sheet5.xml><?xml version="1.0" encoding="utf-8"?>
<worksheet xmlns="http://schemas.openxmlformats.org/spreadsheetml/2006/main" xmlns:r="http://schemas.openxmlformats.org/officeDocument/2006/relationships">
  <sheetPr>
    <tabColor theme="4" tint="0.39997558519241921"/>
    <pageSetUpPr fitToPage="1"/>
  </sheetPr>
  <dimension ref="A1:CY51"/>
  <sheetViews>
    <sheetView view="pageBreakPreview" zoomScaleSheetLayoutView="100" workbookViewId="0">
      <selection activeCell="AN56" sqref="AN56"/>
    </sheetView>
  </sheetViews>
  <sheetFormatPr defaultRowHeight="15"/>
  <cols>
    <col min="1" max="2" width="1.7109375" style="10" customWidth="1"/>
    <col min="3" max="4" width="1.7109375" style="26" customWidth="1"/>
    <col min="5" max="8" width="1.7109375" style="10" customWidth="1"/>
    <col min="9" max="9" width="2" style="10" customWidth="1"/>
    <col min="10" max="19" width="1.7109375" style="10" customWidth="1"/>
    <col min="20" max="20" width="1.7109375" style="26" customWidth="1"/>
    <col min="21" max="39" width="1.7109375" style="10" customWidth="1"/>
    <col min="40" max="40" width="1.7109375" style="26" customWidth="1"/>
    <col min="41" max="59" width="1.7109375" style="10" customWidth="1"/>
    <col min="60" max="60" width="1.7109375" style="26" customWidth="1"/>
    <col min="61" max="80" width="1.7109375" style="10" customWidth="1"/>
    <col min="81" max="81" width="1.7109375" style="26" customWidth="1"/>
    <col min="82" max="98" width="1.7109375" style="10" customWidth="1"/>
    <col min="99" max="99" width="2.140625" style="10" customWidth="1"/>
    <col min="100" max="102" width="1.7109375" style="10" customWidth="1"/>
  </cols>
  <sheetData>
    <row r="1" spans="1:102" s="10" customFormat="1" ht="24.95" customHeight="1">
      <c r="A1" s="1057"/>
      <c r="B1" s="1057"/>
      <c r="C1" s="1057"/>
      <c r="D1" s="1057"/>
      <c r="E1" s="1057"/>
      <c r="F1" s="1057"/>
      <c r="G1" s="1057"/>
      <c r="H1" s="1057"/>
      <c r="I1" s="1044" t="s">
        <v>479</v>
      </c>
      <c r="J1" s="1045"/>
      <c r="K1" s="1045"/>
      <c r="L1" s="1045"/>
      <c r="M1" s="1045"/>
      <c r="N1" s="1045"/>
      <c r="O1" s="1045"/>
      <c r="P1" s="1045"/>
      <c r="Q1" s="1045"/>
      <c r="R1" s="1045"/>
      <c r="S1" s="1045"/>
      <c r="T1" s="1045"/>
      <c r="U1" s="1045"/>
      <c r="V1" s="1045"/>
      <c r="W1" s="1045"/>
      <c r="X1" s="1045"/>
      <c r="Y1" s="1045"/>
      <c r="Z1" s="1045"/>
      <c r="AA1" s="1045"/>
      <c r="AB1" s="1045"/>
      <c r="AC1" s="1045"/>
      <c r="AD1" s="1045"/>
      <c r="AE1" s="1045"/>
      <c r="AF1" s="1045"/>
      <c r="AG1" s="1045"/>
      <c r="AH1" s="1045"/>
      <c r="AI1" s="1045"/>
      <c r="AJ1" s="1045"/>
      <c r="AK1" s="1045"/>
      <c r="AL1" s="1045"/>
      <c r="AM1" s="1045"/>
      <c r="AN1" s="1045"/>
      <c r="AO1" s="1045"/>
      <c r="AP1" s="1045"/>
      <c r="AQ1" s="1045"/>
      <c r="AR1" s="1045"/>
      <c r="AS1" s="1045"/>
      <c r="AT1" s="1045"/>
      <c r="AU1" s="1045"/>
      <c r="AV1" s="1045"/>
      <c r="AW1" s="1045"/>
      <c r="AX1" s="1045"/>
      <c r="AY1" s="1045"/>
      <c r="AZ1" s="1045"/>
      <c r="BA1" s="1045"/>
      <c r="BB1" s="1045"/>
      <c r="BC1" s="1045"/>
      <c r="BD1" s="1045"/>
      <c r="BE1" s="1045"/>
      <c r="BF1" s="1045"/>
      <c r="BG1" s="1045"/>
      <c r="BH1" s="1045"/>
      <c r="BI1" s="1043" t="s">
        <v>237</v>
      </c>
      <c r="BJ1" s="1043"/>
      <c r="BK1" s="1043"/>
      <c r="BL1" s="1043"/>
      <c r="BM1" s="1043"/>
      <c r="BN1" s="1043"/>
      <c r="BO1" s="1060" t="s">
        <v>405</v>
      </c>
      <c r="BP1" s="1060"/>
      <c r="BQ1" s="1060"/>
      <c r="BR1" s="1060"/>
      <c r="BS1" s="1060"/>
      <c r="BT1" s="1060"/>
      <c r="BU1" s="1060"/>
      <c r="BV1" s="1060"/>
      <c r="BW1" s="1060"/>
      <c r="BX1" s="1060"/>
      <c r="BY1" s="1060"/>
      <c r="BZ1" s="1060"/>
      <c r="CA1" s="1060"/>
      <c r="CB1" s="1060"/>
      <c r="CC1" s="1060"/>
    </row>
    <row r="2" spans="1:102" s="10" customFormat="1" ht="24.95" customHeight="1">
      <c r="A2" s="1058"/>
      <c r="B2" s="1058"/>
      <c r="C2" s="1058"/>
      <c r="D2" s="1058"/>
      <c r="E2" s="1058"/>
      <c r="F2" s="1058"/>
      <c r="G2" s="1058"/>
      <c r="H2" s="1058"/>
      <c r="I2" s="1046"/>
      <c r="J2" s="1046"/>
      <c r="K2" s="1046"/>
      <c r="L2" s="1046"/>
      <c r="M2" s="1046"/>
      <c r="N2" s="1046"/>
      <c r="O2" s="1046"/>
      <c r="P2" s="1046"/>
      <c r="Q2" s="1046"/>
      <c r="R2" s="1046"/>
      <c r="S2" s="1046"/>
      <c r="T2" s="1046"/>
      <c r="U2" s="1046"/>
      <c r="V2" s="1046"/>
      <c r="W2" s="1046"/>
      <c r="X2" s="1046"/>
      <c r="Y2" s="1046"/>
      <c r="Z2" s="1046"/>
      <c r="AA2" s="1046"/>
      <c r="AB2" s="1046"/>
      <c r="AC2" s="1046"/>
      <c r="AD2" s="1046"/>
      <c r="AE2" s="1046"/>
      <c r="AF2" s="1046"/>
      <c r="AG2" s="1046"/>
      <c r="AH2" s="1046"/>
      <c r="AI2" s="1046"/>
      <c r="AJ2" s="1046"/>
      <c r="AK2" s="1046"/>
      <c r="AL2" s="1046"/>
      <c r="AM2" s="1046"/>
      <c r="AN2" s="1046"/>
      <c r="AO2" s="1046"/>
      <c r="AP2" s="1046"/>
      <c r="AQ2" s="1046"/>
      <c r="AR2" s="1046"/>
      <c r="AS2" s="1046"/>
      <c r="AT2" s="1046"/>
      <c r="AU2" s="1046"/>
      <c r="AV2" s="1046"/>
      <c r="AW2" s="1046"/>
      <c r="AX2" s="1046"/>
      <c r="AY2" s="1046"/>
      <c r="AZ2" s="1046"/>
      <c r="BA2" s="1046"/>
      <c r="BB2" s="1046"/>
      <c r="BC2" s="1046"/>
      <c r="BD2" s="1046"/>
      <c r="BE2" s="1046"/>
      <c r="BF2" s="1046"/>
      <c r="BG2" s="1046"/>
      <c r="BH2" s="1046"/>
      <c r="BI2" s="1043" t="s">
        <v>235</v>
      </c>
      <c r="BJ2" s="1043"/>
      <c r="BK2" s="1043" t="s">
        <v>235</v>
      </c>
      <c r="BL2" s="1043"/>
      <c r="BM2" s="1043"/>
      <c r="BN2" s="1043"/>
      <c r="BO2" s="1061">
        <v>0</v>
      </c>
      <c r="BP2" s="1061"/>
      <c r="BQ2" s="1061"/>
      <c r="BR2" s="1061"/>
      <c r="BS2" s="1061"/>
      <c r="BT2" s="1061"/>
      <c r="BU2" s="1061"/>
      <c r="BV2" s="1061"/>
      <c r="BW2" s="1061"/>
      <c r="BX2" s="1061"/>
      <c r="BY2" s="1061"/>
      <c r="BZ2" s="1061"/>
      <c r="CA2" s="1061"/>
      <c r="CB2" s="1061"/>
      <c r="CC2" s="1061"/>
    </row>
    <row r="3" spans="1:102" s="10" customFormat="1" ht="24.95" customHeight="1">
      <c r="A3" s="1059"/>
      <c r="B3" s="1059"/>
      <c r="C3" s="1059"/>
      <c r="D3" s="1059"/>
      <c r="E3" s="1059"/>
      <c r="F3" s="1059"/>
      <c r="G3" s="1059"/>
      <c r="H3" s="1059"/>
      <c r="I3" s="1047"/>
      <c r="J3" s="1047"/>
      <c r="K3" s="1047"/>
      <c r="L3" s="1047"/>
      <c r="M3" s="1047"/>
      <c r="N3" s="1047"/>
      <c r="O3" s="1047"/>
      <c r="P3" s="1047"/>
      <c r="Q3" s="1047"/>
      <c r="R3" s="1047"/>
      <c r="S3" s="1047"/>
      <c r="T3" s="1047"/>
      <c r="U3" s="1047"/>
      <c r="V3" s="1047"/>
      <c r="W3" s="1047"/>
      <c r="X3" s="1047"/>
      <c r="Y3" s="1047"/>
      <c r="Z3" s="1047"/>
      <c r="AA3" s="1047"/>
      <c r="AB3" s="1047"/>
      <c r="AC3" s="1047"/>
      <c r="AD3" s="1047"/>
      <c r="AE3" s="1047"/>
      <c r="AF3" s="1047"/>
      <c r="AG3" s="1047"/>
      <c r="AH3" s="1047"/>
      <c r="AI3" s="1047"/>
      <c r="AJ3" s="1047"/>
      <c r="AK3" s="1047"/>
      <c r="AL3" s="1047"/>
      <c r="AM3" s="1047"/>
      <c r="AN3" s="1047"/>
      <c r="AO3" s="1047"/>
      <c r="AP3" s="1047"/>
      <c r="AQ3" s="1047"/>
      <c r="AR3" s="1047"/>
      <c r="AS3" s="1047"/>
      <c r="AT3" s="1047"/>
      <c r="AU3" s="1047"/>
      <c r="AV3" s="1047"/>
      <c r="AW3" s="1047"/>
      <c r="AX3" s="1047"/>
      <c r="AY3" s="1047"/>
      <c r="AZ3" s="1047"/>
      <c r="BA3" s="1047"/>
      <c r="BB3" s="1047"/>
      <c r="BC3" s="1047"/>
      <c r="BD3" s="1047"/>
      <c r="BE3" s="1047"/>
      <c r="BF3" s="1047"/>
      <c r="BG3" s="1047"/>
      <c r="BH3" s="1047"/>
      <c r="BI3" s="1043" t="s">
        <v>236</v>
      </c>
      <c r="BJ3" s="1043"/>
      <c r="BK3" s="1043"/>
      <c r="BL3" s="1043"/>
      <c r="BM3" s="1043"/>
      <c r="BN3" s="1043"/>
      <c r="BO3" s="1062">
        <f>+'Cover '!T11</f>
        <v>42460</v>
      </c>
      <c r="BP3" s="1063"/>
      <c r="BQ3" s="1063"/>
      <c r="BR3" s="1063"/>
      <c r="BS3" s="1063"/>
      <c r="BT3" s="1063"/>
      <c r="BU3" s="1063"/>
      <c r="BV3" s="1063"/>
      <c r="BW3" s="1063"/>
      <c r="BX3" s="1063"/>
      <c r="BY3" s="1063"/>
      <c r="BZ3" s="1063"/>
      <c r="CA3" s="1063"/>
      <c r="CB3" s="1063"/>
      <c r="CC3" s="1064"/>
    </row>
    <row r="4" spans="1:102" s="10" customFormat="1" ht="15" customHeight="1">
      <c r="A4" s="1026"/>
      <c r="B4" s="1027"/>
      <c r="C4" s="1027"/>
      <c r="D4" s="1027"/>
      <c r="E4" s="1027"/>
      <c r="F4" s="1027"/>
      <c r="G4" s="1027"/>
      <c r="H4" s="1027"/>
      <c r="I4" s="1027"/>
      <c r="J4" s="1027"/>
      <c r="K4" s="1027"/>
      <c r="L4" s="1027"/>
      <c r="M4" s="1027"/>
      <c r="N4" s="1027"/>
      <c r="O4" s="1027"/>
      <c r="P4" s="1027"/>
      <c r="Q4" s="1027"/>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c r="AX4" s="1027"/>
      <c r="AY4" s="1027"/>
      <c r="AZ4" s="1027"/>
      <c r="BA4" s="1027"/>
      <c r="BB4" s="1027"/>
      <c r="BC4" s="1027"/>
      <c r="BD4" s="1027"/>
      <c r="BE4" s="1027"/>
      <c r="BF4" s="1027"/>
      <c r="BG4" s="1027"/>
      <c r="BH4" s="1027"/>
      <c r="BI4" s="1027"/>
      <c r="BJ4" s="1027"/>
      <c r="BK4" s="1027"/>
      <c r="BL4" s="1027"/>
      <c r="BM4" s="1027"/>
      <c r="BN4" s="1027"/>
      <c r="BO4" s="1027"/>
      <c r="BP4" s="1027"/>
      <c r="BQ4" s="1027"/>
      <c r="BR4" s="1027"/>
      <c r="BS4" s="1027"/>
      <c r="BT4" s="1027"/>
      <c r="BU4" s="1027"/>
      <c r="BV4" s="1027"/>
      <c r="BW4" s="1027"/>
      <c r="BX4" s="1027"/>
      <c r="BY4" s="1027"/>
      <c r="BZ4" s="1027"/>
      <c r="CA4" s="1027"/>
      <c r="CB4" s="1027"/>
      <c r="CC4" s="1028"/>
    </row>
    <row r="5" spans="1:102" s="10" customFormat="1" ht="15" customHeight="1">
      <c r="A5" s="1048" t="s">
        <v>27</v>
      </c>
      <c r="B5" s="1049"/>
      <c r="C5" s="1049"/>
      <c r="D5" s="1049"/>
      <c r="E5" s="1049"/>
      <c r="F5" s="1049"/>
      <c r="G5" s="1049"/>
      <c r="H5" s="1049"/>
      <c r="I5" s="1049"/>
      <c r="J5" s="1049"/>
      <c r="K5" s="1049"/>
      <c r="L5" s="1049"/>
      <c r="M5" s="1049"/>
      <c r="N5" s="1049"/>
      <c r="O5" s="1049"/>
      <c r="P5" s="1049"/>
      <c r="Q5" s="1049"/>
      <c r="R5" s="1049"/>
      <c r="S5" s="1049"/>
      <c r="T5" s="1049"/>
      <c r="U5" s="1049"/>
      <c r="V5" s="1049"/>
      <c r="W5" s="1049"/>
      <c r="X5" s="1049"/>
      <c r="Y5" s="1049"/>
      <c r="Z5" s="1049"/>
      <c r="AA5" s="1049"/>
      <c r="AB5" s="1049"/>
      <c r="AC5" s="1049"/>
      <c r="AD5" s="1049"/>
      <c r="AE5" s="1049"/>
      <c r="AF5" s="1049"/>
      <c r="AG5" s="1049"/>
      <c r="AH5" s="1049"/>
      <c r="AI5" s="1049"/>
      <c r="AJ5" s="1049"/>
      <c r="AK5" s="1049"/>
      <c r="AL5" s="1049"/>
      <c r="AM5" s="1049"/>
      <c r="AN5" s="1049"/>
      <c r="AO5" s="1049"/>
      <c r="AP5" s="1049"/>
      <c r="AQ5" s="1049"/>
      <c r="AR5" s="1049"/>
      <c r="AS5" s="1049"/>
      <c r="AT5" s="1049"/>
      <c r="AU5" s="1049"/>
      <c r="AV5" s="1049"/>
      <c r="AW5" s="1049"/>
      <c r="AX5" s="1049"/>
      <c r="AY5" s="1049"/>
      <c r="AZ5" s="1049"/>
      <c r="BA5" s="1049"/>
      <c r="BB5" s="1049"/>
      <c r="BC5" s="1049"/>
      <c r="BD5" s="1049"/>
      <c r="BE5" s="1049"/>
      <c r="BF5" s="1049"/>
      <c r="BG5" s="1049"/>
      <c r="BH5" s="1049"/>
      <c r="BI5" s="1049"/>
      <c r="BJ5" s="1049"/>
      <c r="BK5" s="1049"/>
      <c r="BL5" s="1049"/>
      <c r="BM5" s="1049"/>
      <c r="BN5" s="1049"/>
      <c r="BO5" s="1049"/>
      <c r="BP5" s="1049"/>
      <c r="BQ5" s="1049"/>
      <c r="BR5" s="1049"/>
      <c r="BS5" s="1049"/>
      <c r="BT5" s="1049"/>
      <c r="BU5" s="1049"/>
      <c r="BV5" s="1049"/>
      <c r="BW5" s="1049"/>
      <c r="BX5" s="1049"/>
      <c r="BY5" s="1049"/>
      <c r="BZ5" s="1049"/>
      <c r="CA5" s="1049"/>
      <c r="CB5" s="1049"/>
      <c r="CC5" s="1050"/>
    </row>
    <row r="6" spans="1:102" s="10" customFormat="1" ht="15" customHeight="1">
      <c r="A6" s="1051"/>
      <c r="B6" s="1052"/>
      <c r="C6" s="1052"/>
      <c r="D6" s="1052"/>
      <c r="E6" s="1052"/>
      <c r="F6" s="1052"/>
      <c r="G6" s="1052"/>
      <c r="H6" s="1052"/>
      <c r="I6" s="1052"/>
      <c r="J6" s="1052"/>
      <c r="K6" s="1052"/>
      <c r="L6" s="1052"/>
      <c r="M6" s="1052"/>
      <c r="N6" s="1052"/>
      <c r="O6" s="1052"/>
      <c r="P6" s="1052"/>
      <c r="Q6" s="1052"/>
      <c r="R6" s="1052"/>
      <c r="S6" s="1052"/>
      <c r="T6" s="1052"/>
      <c r="U6" s="1052"/>
      <c r="V6" s="1052"/>
      <c r="W6" s="1052"/>
      <c r="X6" s="1052"/>
      <c r="Y6" s="1052"/>
      <c r="Z6" s="1052"/>
      <c r="AA6" s="1052"/>
      <c r="AB6" s="1052"/>
      <c r="AC6" s="1052"/>
      <c r="AD6" s="1052"/>
      <c r="AE6" s="1052"/>
      <c r="AF6" s="1052"/>
      <c r="AG6" s="1052"/>
      <c r="AH6" s="1052"/>
      <c r="AI6" s="1052"/>
      <c r="AJ6" s="1052"/>
      <c r="AK6" s="1052"/>
      <c r="AL6" s="1052"/>
      <c r="AM6" s="1052"/>
      <c r="AN6" s="1052"/>
      <c r="AO6" s="1052"/>
      <c r="AP6" s="1052"/>
      <c r="AQ6" s="1052"/>
      <c r="AR6" s="1052"/>
      <c r="AS6" s="1052"/>
      <c r="AT6" s="1052"/>
      <c r="AU6" s="1052"/>
      <c r="AV6" s="1052"/>
      <c r="AW6" s="1052"/>
      <c r="AX6" s="1052"/>
      <c r="AY6" s="1052"/>
      <c r="AZ6" s="1052"/>
      <c r="BA6" s="1052"/>
      <c r="BB6" s="1052"/>
      <c r="BC6" s="1052"/>
      <c r="BD6" s="1052"/>
      <c r="BE6" s="1052"/>
      <c r="BF6" s="1052"/>
      <c r="BG6" s="1052"/>
      <c r="BH6" s="1052"/>
      <c r="BI6" s="1052"/>
      <c r="BJ6" s="1052"/>
      <c r="BK6" s="1052"/>
      <c r="BL6" s="1052"/>
      <c r="BM6" s="1052"/>
      <c r="BN6" s="1052"/>
      <c r="BO6" s="1052"/>
      <c r="BP6" s="1052"/>
      <c r="BQ6" s="1052"/>
      <c r="BR6" s="1052"/>
      <c r="BS6" s="1052"/>
      <c r="BT6" s="1052"/>
      <c r="BU6" s="1052"/>
      <c r="BV6" s="1052"/>
      <c r="BW6" s="1052"/>
      <c r="BX6" s="1052"/>
      <c r="BY6" s="1052"/>
      <c r="BZ6" s="1052"/>
      <c r="CA6" s="1052"/>
      <c r="CB6" s="1052"/>
      <c r="CC6" s="1053"/>
    </row>
    <row r="7" spans="1:102" s="10" customFormat="1" ht="15" customHeight="1">
      <c r="A7" s="1054"/>
      <c r="B7" s="1055"/>
      <c r="C7" s="1055"/>
      <c r="D7" s="1055"/>
      <c r="E7" s="1055"/>
      <c r="F7" s="1055"/>
      <c r="G7" s="1055"/>
      <c r="H7" s="1055"/>
      <c r="I7" s="1055"/>
      <c r="J7" s="1055"/>
      <c r="K7" s="1055"/>
      <c r="L7" s="1055"/>
      <c r="M7" s="1055"/>
      <c r="N7" s="1055"/>
      <c r="O7" s="1055"/>
      <c r="P7" s="1055"/>
      <c r="Q7" s="1055"/>
      <c r="R7" s="1055"/>
      <c r="S7" s="1055"/>
      <c r="T7" s="1055"/>
      <c r="U7" s="1055"/>
      <c r="V7" s="1055"/>
      <c r="W7" s="1055"/>
      <c r="X7" s="1055"/>
      <c r="Y7" s="1055"/>
      <c r="Z7" s="1055"/>
      <c r="AA7" s="1055"/>
      <c r="AB7" s="1055"/>
      <c r="AC7" s="1055"/>
      <c r="AD7" s="1055"/>
      <c r="AE7" s="1055"/>
      <c r="AF7" s="1055"/>
      <c r="AG7" s="1055"/>
      <c r="AH7" s="1055"/>
      <c r="AI7" s="1055"/>
      <c r="AJ7" s="1055"/>
      <c r="AK7" s="1055"/>
      <c r="AL7" s="1055"/>
      <c r="AM7" s="1055"/>
      <c r="AN7" s="1055"/>
      <c r="AO7" s="1055"/>
      <c r="AP7" s="1055"/>
      <c r="AQ7" s="1055"/>
      <c r="AR7" s="1055"/>
      <c r="AS7" s="1055"/>
      <c r="AT7" s="1055"/>
      <c r="AU7" s="1055"/>
      <c r="AV7" s="1055"/>
      <c r="AW7" s="1055"/>
      <c r="AX7" s="1055"/>
      <c r="AY7" s="1055"/>
      <c r="AZ7" s="1055"/>
      <c r="BA7" s="1055"/>
      <c r="BB7" s="1055"/>
      <c r="BC7" s="1055"/>
      <c r="BD7" s="1055"/>
      <c r="BE7" s="1055"/>
      <c r="BF7" s="1055"/>
      <c r="BG7" s="1055"/>
      <c r="BH7" s="1055"/>
      <c r="BI7" s="1055"/>
      <c r="BJ7" s="1055"/>
      <c r="BK7" s="1055"/>
      <c r="BL7" s="1055"/>
      <c r="BM7" s="1055"/>
      <c r="BN7" s="1055"/>
      <c r="BO7" s="1055"/>
      <c r="BP7" s="1055"/>
      <c r="BQ7" s="1055"/>
      <c r="BR7" s="1055"/>
      <c r="BS7" s="1055"/>
      <c r="BT7" s="1055"/>
      <c r="BU7" s="1055"/>
      <c r="BV7" s="1055"/>
      <c r="BW7" s="1055"/>
      <c r="BX7" s="1055"/>
      <c r="BY7" s="1055"/>
      <c r="BZ7" s="1055"/>
      <c r="CA7" s="1055"/>
      <c r="CB7" s="1055"/>
      <c r="CC7" s="1056"/>
    </row>
    <row r="8" spans="1:102" s="35" customFormat="1" ht="30" customHeight="1">
      <c r="A8" s="1017" t="s">
        <v>238</v>
      </c>
      <c r="B8" s="1018"/>
      <c r="C8" s="1018"/>
      <c r="D8" s="1018"/>
      <c r="E8" s="1018"/>
      <c r="F8" s="1018"/>
      <c r="G8" s="1018"/>
      <c r="H8" s="1018"/>
      <c r="I8" s="1018"/>
      <c r="J8" s="1018"/>
      <c r="K8" s="1018"/>
      <c r="L8" s="1018"/>
      <c r="M8" s="1018"/>
      <c r="N8" s="1018"/>
      <c r="O8" s="1018"/>
      <c r="P8" s="1018"/>
      <c r="Q8" s="1018"/>
      <c r="R8" s="1018"/>
      <c r="S8" s="1018"/>
      <c r="T8" s="1018"/>
      <c r="U8" s="1018"/>
      <c r="V8" s="1018"/>
      <c r="W8" s="1018"/>
      <c r="X8" s="1018"/>
      <c r="Y8" s="1018"/>
      <c r="Z8" s="1018"/>
      <c r="AA8" s="1018"/>
      <c r="AB8" s="1018"/>
      <c r="AC8" s="1018"/>
      <c r="AD8" s="1018"/>
      <c r="AE8" s="1018"/>
      <c r="AF8" s="1018"/>
      <c r="AG8" s="1018"/>
      <c r="AH8" s="1018"/>
      <c r="AI8" s="1018"/>
      <c r="AJ8" s="1018"/>
      <c r="AK8" s="1018"/>
      <c r="AL8" s="1018"/>
      <c r="AM8" s="1018"/>
      <c r="AN8" s="1018"/>
      <c r="AO8" s="1018"/>
      <c r="AP8" s="1018"/>
      <c r="AQ8" s="1018"/>
      <c r="AR8" s="1018"/>
      <c r="AS8" s="1018"/>
      <c r="AT8" s="1018"/>
      <c r="AU8" s="1018"/>
      <c r="AV8" s="1018"/>
      <c r="AW8" s="1018"/>
      <c r="AX8" s="1018"/>
      <c r="AY8" s="1018"/>
      <c r="AZ8" s="1018"/>
      <c r="BA8" s="1018"/>
      <c r="BB8" s="1018"/>
      <c r="BC8" s="1018"/>
      <c r="BD8" s="1018"/>
      <c r="BE8" s="1018"/>
      <c r="BF8" s="1018"/>
      <c r="BG8" s="1018"/>
      <c r="BH8" s="1018"/>
      <c r="BI8" s="1018"/>
      <c r="BJ8" s="1018"/>
      <c r="BK8" s="1018"/>
      <c r="BL8" s="1018"/>
      <c r="BM8" s="1018"/>
      <c r="BN8" s="1018"/>
      <c r="BO8" s="1018"/>
      <c r="BP8" s="1018"/>
      <c r="BQ8" s="1018"/>
      <c r="BR8" s="1018"/>
      <c r="BS8" s="1018"/>
      <c r="BT8" s="1018"/>
      <c r="BU8" s="1018"/>
      <c r="BV8" s="1018"/>
      <c r="BW8" s="1018"/>
      <c r="BX8" s="1018"/>
      <c r="BY8" s="1018"/>
      <c r="BZ8" s="1018"/>
      <c r="CA8" s="1018"/>
      <c r="CB8" s="1018"/>
      <c r="CC8" s="1019"/>
      <c r="CD8" s="32"/>
      <c r="CE8" s="32"/>
      <c r="CF8" s="32"/>
      <c r="CG8" s="32"/>
      <c r="CH8" s="32"/>
      <c r="CI8" s="32"/>
      <c r="CJ8" s="32"/>
      <c r="CK8" s="32"/>
      <c r="CL8" s="32"/>
      <c r="CM8" s="32"/>
      <c r="CN8" s="32"/>
      <c r="CO8" s="32"/>
      <c r="CP8" s="32"/>
      <c r="CQ8" s="32"/>
      <c r="CR8" s="32"/>
      <c r="CS8" s="32"/>
      <c r="CT8" s="32"/>
      <c r="CU8" s="32"/>
      <c r="CV8" s="32"/>
      <c r="CW8" s="32"/>
      <c r="CX8" s="32"/>
    </row>
    <row r="9" spans="1:102" ht="9.9499999999999993" customHeight="1">
      <c r="A9" s="1039"/>
      <c r="B9" s="1040"/>
      <c r="C9" s="1040"/>
      <c r="D9" s="1040"/>
      <c r="E9" s="1040"/>
      <c r="F9" s="1040"/>
      <c r="G9" s="1040"/>
      <c r="H9" s="1040"/>
      <c r="I9" s="1040"/>
      <c r="J9" s="1040"/>
      <c r="K9" s="1040"/>
      <c r="L9" s="1040"/>
      <c r="M9" s="1040"/>
      <c r="N9" s="1040"/>
      <c r="O9" s="1040"/>
      <c r="P9" s="1040"/>
      <c r="Q9" s="1040"/>
      <c r="R9" s="1040"/>
      <c r="S9" s="1040"/>
      <c r="T9" s="1040"/>
      <c r="U9" s="1040"/>
      <c r="V9" s="1040"/>
      <c r="W9" s="1040"/>
      <c r="X9" s="1040"/>
      <c r="Y9" s="1040"/>
      <c r="Z9" s="1040"/>
      <c r="AA9" s="1040"/>
      <c r="AB9" s="1040"/>
      <c r="AC9" s="1040"/>
      <c r="AD9" s="1040"/>
      <c r="AE9" s="1040"/>
      <c r="AF9" s="1040"/>
      <c r="AG9" s="1040"/>
      <c r="AH9" s="1040"/>
      <c r="AI9" s="1040"/>
      <c r="AJ9" s="1040"/>
      <c r="AK9" s="1040"/>
      <c r="AL9" s="1040"/>
      <c r="AM9" s="1040"/>
      <c r="AN9" s="1040"/>
      <c r="AO9" s="1040"/>
      <c r="AP9" s="1040"/>
      <c r="AQ9" s="1040"/>
      <c r="AR9" s="1040"/>
      <c r="AS9" s="1040"/>
      <c r="AT9" s="1040"/>
      <c r="AU9" s="1040"/>
      <c r="AV9" s="1040"/>
      <c r="AW9" s="1040"/>
      <c r="AX9" s="1040"/>
      <c r="AY9" s="1040"/>
      <c r="AZ9" s="1040"/>
      <c r="BA9" s="1040"/>
      <c r="BB9" s="1040"/>
      <c r="BC9" s="1040"/>
      <c r="BD9" s="1040"/>
      <c r="BE9" s="1040"/>
      <c r="BF9" s="1040"/>
      <c r="BG9" s="1040"/>
      <c r="BH9" s="1040"/>
      <c r="BI9" s="1040"/>
      <c r="BJ9" s="1040"/>
      <c r="BK9" s="1040"/>
      <c r="BL9" s="1040"/>
      <c r="BM9" s="1040"/>
      <c r="BN9" s="1040"/>
      <c r="BO9" s="1040"/>
      <c r="BP9" s="1040"/>
      <c r="BQ9" s="1040"/>
      <c r="BR9" s="1040"/>
      <c r="BS9" s="1040"/>
      <c r="BT9" s="1040"/>
      <c r="BU9" s="1040"/>
      <c r="BV9" s="1040"/>
      <c r="BW9" s="1040"/>
      <c r="BX9" s="1040"/>
      <c r="BY9" s="1040"/>
      <c r="BZ9" s="1040"/>
      <c r="CA9" s="1040"/>
      <c r="CB9" s="1040"/>
      <c r="CC9" s="1041"/>
    </row>
    <row r="10" spans="1:102" ht="24.95" customHeight="1">
      <c r="A10" s="1066" t="s">
        <v>38</v>
      </c>
      <c r="B10" s="1031"/>
      <c r="C10" s="1031"/>
      <c r="D10" s="1031"/>
      <c r="E10" s="1031"/>
      <c r="F10" s="1031"/>
      <c r="G10" s="1031"/>
      <c r="H10" s="1031"/>
      <c r="I10" s="1031"/>
      <c r="J10" s="1031"/>
      <c r="K10" s="1031"/>
      <c r="L10" s="1031"/>
      <c r="M10" s="1031"/>
      <c r="N10" s="1031"/>
      <c r="O10" s="1031"/>
      <c r="P10" s="1031"/>
      <c r="Q10" s="1031" t="s">
        <v>41</v>
      </c>
      <c r="R10" s="1031"/>
      <c r="S10" s="1031"/>
      <c r="T10" s="1031"/>
      <c r="U10" s="1031" t="s">
        <v>39</v>
      </c>
      <c r="V10" s="1031"/>
      <c r="W10" s="1031"/>
      <c r="X10" s="1031"/>
      <c r="Y10" s="1031"/>
      <c r="Z10" s="1031"/>
      <c r="AA10" s="1031"/>
      <c r="AB10" s="1031"/>
      <c r="AC10" s="1031"/>
      <c r="AD10" s="1031"/>
      <c r="AE10" s="1031"/>
      <c r="AF10" s="1031"/>
      <c r="AG10" s="1031" t="s">
        <v>40</v>
      </c>
      <c r="AH10" s="1031"/>
      <c r="AI10" s="1031"/>
      <c r="AJ10" s="1031"/>
      <c r="AK10" s="1031"/>
      <c r="AL10" s="1031"/>
      <c r="AM10" s="1031"/>
      <c r="AN10" s="1031"/>
      <c r="AO10" s="1031"/>
      <c r="AP10" s="1031"/>
      <c r="AQ10" s="1031"/>
      <c r="AR10" s="1031"/>
      <c r="AS10" s="1031"/>
      <c r="AT10" s="1031" t="s">
        <v>141</v>
      </c>
      <c r="AU10" s="1031"/>
      <c r="AV10" s="1031"/>
      <c r="AW10" s="1031"/>
      <c r="AX10" s="1031"/>
      <c r="AY10" s="1031"/>
      <c r="AZ10" s="1031"/>
      <c r="BA10" s="1031"/>
      <c r="BB10" s="1031"/>
      <c r="BC10" s="1031"/>
      <c r="BD10" s="1031"/>
      <c r="BE10" s="1031"/>
      <c r="BF10" s="1031"/>
      <c r="BG10" s="1031"/>
      <c r="BH10" s="1031"/>
      <c r="BI10" s="1031"/>
      <c r="BJ10" s="1031"/>
      <c r="BK10" s="1031" t="s">
        <v>142</v>
      </c>
      <c r="BL10" s="1031"/>
      <c r="BM10" s="1031"/>
      <c r="BN10" s="1031"/>
      <c r="BO10" s="1031"/>
      <c r="BP10" s="1031"/>
      <c r="BQ10" s="1031"/>
      <c r="BR10" s="1031"/>
      <c r="BS10" s="1031"/>
      <c r="BT10" s="1031"/>
      <c r="BU10" s="1031"/>
      <c r="BV10" s="1031"/>
      <c r="BW10" s="1031"/>
      <c r="BX10" s="1031"/>
      <c r="BY10" s="1031"/>
      <c r="BZ10" s="1031"/>
      <c r="CA10" s="1031"/>
      <c r="CB10" s="1031"/>
      <c r="CC10" s="1042"/>
    </row>
    <row r="11" spans="1:102" s="77" customFormat="1" ht="27.95" customHeight="1">
      <c r="A11" s="1008" t="s">
        <v>338</v>
      </c>
      <c r="B11" s="1009"/>
      <c r="C11" s="1009"/>
      <c r="D11" s="1009"/>
      <c r="E11" s="1009"/>
      <c r="F11" s="1009"/>
      <c r="G11" s="1009"/>
      <c r="H11" s="1009"/>
      <c r="I11" s="1009"/>
      <c r="J11" s="1009"/>
      <c r="K11" s="1009"/>
      <c r="L11" s="1009"/>
      <c r="M11" s="1009"/>
      <c r="N11" s="1009"/>
      <c r="O11" s="1009"/>
      <c r="P11" s="1009"/>
      <c r="Q11" s="1032">
        <v>1</v>
      </c>
      <c r="R11" s="1032"/>
      <c r="S11" s="1032"/>
      <c r="T11" s="1032"/>
      <c r="U11" s="1033" t="s">
        <v>2</v>
      </c>
      <c r="V11" s="1033"/>
      <c r="W11" s="1033"/>
      <c r="X11" s="1033"/>
      <c r="Y11" s="1033"/>
      <c r="Z11" s="1033"/>
      <c r="AA11" s="1033"/>
      <c r="AB11" s="1033"/>
      <c r="AC11" s="1033"/>
      <c r="AD11" s="1033"/>
      <c r="AE11" s="1033"/>
      <c r="AF11" s="1033"/>
      <c r="AG11" s="1034">
        <v>42086</v>
      </c>
      <c r="AH11" s="1034"/>
      <c r="AI11" s="1034"/>
      <c r="AJ11" s="1034"/>
      <c r="AK11" s="1034"/>
      <c r="AL11" s="1034"/>
      <c r="AM11" s="1034"/>
      <c r="AN11" s="1034"/>
      <c r="AO11" s="1034"/>
      <c r="AP11" s="1034"/>
      <c r="AQ11" s="1034"/>
      <c r="AR11" s="1034"/>
      <c r="AS11" s="1034"/>
      <c r="AT11" s="1035">
        <v>42338</v>
      </c>
      <c r="AU11" s="1036"/>
      <c r="AV11" s="1036"/>
      <c r="AW11" s="1036"/>
      <c r="AX11" s="1036"/>
      <c r="AY11" s="1036"/>
      <c r="AZ11" s="1036"/>
      <c r="BA11" s="1036"/>
      <c r="BB11" s="1036"/>
      <c r="BC11" s="1036"/>
      <c r="BD11" s="1036"/>
      <c r="BE11" s="1036"/>
      <c r="BF11" s="1036"/>
      <c r="BG11" s="1036"/>
      <c r="BH11" s="1036"/>
      <c r="BI11" s="1036"/>
      <c r="BJ11" s="1037"/>
      <c r="BK11" s="1012"/>
      <c r="BL11" s="1012"/>
      <c r="BM11" s="1012"/>
      <c r="BN11" s="1012"/>
      <c r="BO11" s="1012"/>
      <c r="BP11" s="1012"/>
      <c r="BQ11" s="1012"/>
      <c r="BR11" s="1012"/>
      <c r="BS11" s="1012"/>
      <c r="BT11" s="1012"/>
      <c r="BU11" s="1012"/>
      <c r="BV11" s="1012"/>
      <c r="BW11" s="1012"/>
      <c r="BX11" s="1012"/>
      <c r="BY11" s="1012"/>
      <c r="BZ11" s="1012"/>
      <c r="CA11" s="1012"/>
      <c r="CB11" s="1012"/>
      <c r="CC11" s="1038"/>
      <c r="CD11" s="26"/>
      <c r="CE11" s="26"/>
      <c r="CF11" s="26"/>
      <c r="CG11" s="26"/>
      <c r="CH11" s="26"/>
      <c r="CI11" s="26"/>
      <c r="CJ11" s="26"/>
      <c r="CK11" s="26"/>
      <c r="CL11" s="26"/>
      <c r="CM11" s="26"/>
      <c r="CN11" s="26"/>
      <c r="CO11" s="26"/>
      <c r="CP11" s="26"/>
      <c r="CQ11" s="26"/>
      <c r="CR11" s="26"/>
      <c r="CS11" s="26"/>
      <c r="CT11" s="26"/>
      <c r="CU11" s="26"/>
      <c r="CV11" s="26"/>
      <c r="CW11" s="26"/>
      <c r="CX11" s="26"/>
    </row>
    <row r="12" spans="1:102" s="77" customFormat="1" ht="27.95" customHeight="1">
      <c r="A12" s="1008" t="s">
        <v>436</v>
      </c>
      <c r="B12" s="1009"/>
      <c r="C12" s="1009"/>
      <c r="D12" s="1009"/>
      <c r="E12" s="1009"/>
      <c r="F12" s="1009"/>
      <c r="G12" s="1009"/>
      <c r="H12" s="1009"/>
      <c r="I12" s="1009"/>
      <c r="J12" s="1009"/>
      <c r="K12" s="1009"/>
      <c r="L12" s="1009"/>
      <c r="M12" s="1009"/>
      <c r="N12" s="1009"/>
      <c r="O12" s="1009"/>
      <c r="P12" s="1009"/>
      <c r="Q12" s="1032">
        <v>2</v>
      </c>
      <c r="R12" s="1032"/>
      <c r="S12" s="1032"/>
      <c r="T12" s="1032"/>
      <c r="U12" s="1010" t="s">
        <v>16</v>
      </c>
      <c r="V12" s="1010"/>
      <c r="W12" s="1010"/>
      <c r="X12" s="1010"/>
      <c r="Y12" s="1010"/>
      <c r="Z12" s="1010"/>
      <c r="AA12" s="1010"/>
      <c r="AB12" s="1010"/>
      <c r="AC12" s="1010"/>
      <c r="AD12" s="1010"/>
      <c r="AE12" s="1010"/>
      <c r="AF12" s="1010"/>
      <c r="AG12" s="1034">
        <v>42086</v>
      </c>
      <c r="AH12" s="1034"/>
      <c r="AI12" s="1034"/>
      <c r="AJ12" s="1034"/>
      <c r="AK12" s="1034"/>
      <c r="AL12" s="1034"/>
      <c r="AM12" s="1034"/>
      <c r="AN12" s="1034"/>
      <c r="AO12" s="1034"/>
      <c r="AP12" s="1034"/>
      <c r="AQ12" s="1034"/>
      <c r="AR12" s="1034"/>
      <c r="AS12" s="1034"/>
      <c r="AT12" s="1035">
        <v>42424</v>
      </c>
      <c r="AU12" s="1036"/>
      <c r="AV12" s="1036"/>
      <c r="AW12" s="1036"/>
      <c r="AX12" s="1036"/>
      <c r="AY12" s="1036"/>
      <c r="AZ12" s="1036"/>
      <c r="BA12" s="1036"/>
      <c r="BB12" s="1036"/>
      <c r="BC12" s="1036"/>
      <c r="BD12" s="1036"/>
      <c r="BE12" s="1036"/>
      <c r="BF12" s="1036"/>
      <c r="BG12" s="1036"/>
      <c r="BH12" s="1036"/>
      <c r="BI12" s="1036"/>
      <c r="BJ12" s="1037"/>
      <c r="BK12" s="1035">
        <v>42518</v>
      </c>
      <c r="BL12" s="1036"/>
      <c r="BM12" s="1036"/>
      <c r="BN12" s="1036"/>
      <c r="BO12" s="1036"/>
      <c r="BP12" s="1036"/>
      <c r="BQ12" s="1036"/>
      <c r="BR12" s="1036"/>
      <c r="BS12" s="1036"/>
      <c r="BT12" s="1036"/>
      <c r="BU12" s="1036"/>
      <c r="BV12" s="1036"/>
      <c r="BW12" s="1036"/>
      <c r="BX12" s="1036"/>
      <c r="BY12" s="1036"/>
      <c r="BZ12" s="1036"/>
      <c r="CA12" s="1036"/>
      <c r="CB12" s="1036"/>
      <c r="CC12" s="1065"/>
      <c r="CD12" s="26"/>
      <c r="CE12" s="26"/>
      <c r="CF12" s="26"/>
      <c r="CG12" s="26"/>
      <c r="CH12" s="26"/>
      <c r="CI12" s="26"/>
      <c r="CJ12" s="26"/>
      <c r="CK12" s="26"/>
      <c r="CL12" s="26"/>
      <c r="CM12" s="26"/>
      <c r="CN12" s="26"/>
      <c r="CO12" s="26"/>
      <c r="CP12" s="26"/>
      <c r="CQ12" s="26"/>
      <c r="CR12" s="26"/>
      <c r="CS12" s="26"/>
      <c r="CT12" s="26"/>
      <c r="CU12" s="26"/>
      <c r="CV12" s="26"/>
      <c r="CW12" s="26"/>
      <c r="CX12" s="26"/>
    </row>
    <row r="13" spans="1:102" s="77" customFormat="1" ht="27.95" customHeight="1">
      <c r="A13" s="1008"/>
      <c r="B13" s="1009"/>
      <c r="C13" s="1009"/>
      <c r="D13" s="1009"/>
      <c r="E13" s="1009"/>
      <c r="F13" s="1009"/>
      <c r="G13" s="1009"/>
      <c r="H13" s="1009"/>
      <c r="I13" s="1009"/>
      <c r="J13" s="1009"/>
      <c r="K13" s="1009"/>
      <c r="L13" s="1009"/>
      <c r="M13" s="1009"/>
      <c r="N13" s="1009"/>
      <c r="O13" s="1009"/>
      <c r="P13" s="1009"/>
      <c r="Q13" s="1010"/>
      <c r="R13" s="1010"/>
      <c r="S13" s="1010"/>
      <c r="T13" s="1010"/>
      <c r="U13" s="1011"/>
      <c r="V13" s="1011"/>
      <c r="W13" s="1011"/>
      <c r="X13" s="1011"/>
      <c r="Y13" s="1011"/>
      <c r="Z13" s="1011"/>
      <c r="AA13" s="1011"/>
      <c r="AB13" s="1011"/>
      <c r="AC13" s="1011"/>
      <c r="AD13" s="1011"/>
      <c r="AE13" s="1011"/>
      <c r="AF13" s="1011"/>
      <c r="AG13" s="1012"/>
      <c r="AH13" s="1012"/>
      <c r="AI13" s="1012"/>
      <c r="AJ13" s="1012"/>
      <c r="AK13" s="1012"/>
      <c r="AL13" s="1012"/>
      <c r="AM13" s="1012"/>
      <c r="AN13" s="1012"/>
      <c r="AO13" s="1012"/>
      <c r="AP13" s="1012"/>
      <c r="AQ13" s="1012"/>
      <c r="AR13" s="1012"/>
      <c r="AS13" s="1012"/>
      <c r="AT13" s="1012"/>
      <c r="AU13" s="1012"/>
      <c r="AV13" s="1012"/>
      <c r="AW13" s="1012"/>
      <c r="AX13" s="1012"/>
      <c r="AY13" s="1012"/>
      <c r="AZ13" s="1012"/>
      <c r="BA13" s="1012"/>
      <c r="BB13" s="1012"/>
      <c r="BC13" s="1012"/>
      <c r="BD13" s="1012"/>
      <c r="BE13" s="1012"/>
      <c r="BF13" s="1012"/>
      <c r="BG13" s="1012"/>
      <c r="BH13" s="1012"/>
      <c r="BI13" s="1012"/>
      <c r="BJ13" s="1012"/>
      <c r="BK13" s="1012"/>
      <c r="BL13" s="1012"/>
      <c r="BM13" s="1012"/>
      <c r="BN13" s="1012"/>
      <c r="BO13" s="1012"/>
      <c r="BP13" s="1012"/>
      <c r="BQ13" s="1012"/>
      <c r="BR13" s="1012"/>
      <c r="BS13" s="1012"/>
      <c r="BT13" s="1012"/>
      <c r="BU13" s="1012"/>
      <c r="BV13" s="1012"/>
      <c r="BW13" s="1012"/>
      <c r="BX13" s="1012"/>
      <c r="BY13" s="1012"/>
      <c r="BZ13" s="1012"/>
      <c r="CA13" s="1012"/>
      <c r="CB13" s="1012"/>
      <c r="CC13" s="1038"/>
      <c r="CD13" s="26"/>
      <c r="CE13" s="26"/>
      <c r="CF13" s="26"/>
      <c r="CG13" s="26"/>
      <c r="CH13" s="26"/>
      <c r="CI13" s="26"/>
      <c r="CJ13" s="26"/>
      <c r="CK13" s="26"/>
      <c r="CL13" s="26"/>
      <c r="CM13" s="26"/>
      <c r="CN13" s="26"/>
      <c r="CO13" s="26"/>
      <c r="CP13" s="26"/>
      <c r="CQ13" s="26"/>
      <c r="CR13" s="26"/>
      <c r="CS13" s="26"/>
      <c r="CT13" s="26"/>
      <c r="CU13" s="26"/>
      <c r="CV13" s="26"/>
      <c r="CW13" s="26"/>
      <c r="CX13" s="26"/>
    </row>
    <row r="14" spans="1:102" s="26" customFormat="1" ht="27.95" customHeight="1">
      <c r="A14" s="1008" t="s">
        <v>357</v>
      </c>
      <c r="B14" s="1009"/>
      <c r="C14" s="1009"/>
      <c r="D14" s="1009"/>
      <c r="E14" s="1009"/>
      <c r="F14" s="1009"/>
      <c r="G14" s="1009"/>
      <c r="H14" s="1009"/>
      <c r="I14" s="1009"/>
      <c r="J14" s="1009"/>
      <c r="K14" s="1009"/>
      <c r="L14" s="1009"/>
      <c r="M14" s="1009"/>
      <c r="N14" s="1009"/>
      <c r="O14" s="1009"/>
      <c r="P14" s="1009"/>
      <c r="Q14" s="1010"/>
      <c r="R14" s="1010"/>
      <c r="S14" s="1010"/>
      <c r="T14" s="1010"/>
      <c r="U14" s="1011"/>
      <c r="V14" s="1011"/>
      <c r="W14" s="1011"/>
      <c r="X14" s="1011"/>
      <c r="Y14" s="1011"/>
      <c r="Z14" s="1011"/>
      <c r="AA14" s="1011"/>
      <c r="AB14" s="1011"/>
      <c r="AC14" s="1011"/>
      <c r="AD14" s="1011"/>
      <c r="AE14" s="1011"/>
      <c r="AF14" s="1011"/>
      <c r="AG14" s="1081"/>
      <c r="AH14" s="1081"/>
      <c r="AI14" s="1081"/>
      <c r="AJ14" s="1081"/>
      <c r="AK14" s="1081"/>
      <c r="AL14" s="1081"/>
      <c r="AM14" s="1081"/>
      <c r="AN14" s="1081"/>
      <c r="AO14" s="1081"/>
      <c r="AP14" s="1081"/>
      <c r="AQ14" s="1081"/>
      <c r="AR14" s="1081"/>
      <c r="AS14" s="1081"/>
      <c r="AT14" s="1073" t="s">
        <v>805</v>
      </c>
      <c r="AU14" s="1074"/>
      <c r="AV14" s="1074"/>
      <c r="AW14" s="1074"/>
      <c r="AX14" s="1074"/>
      <c r="AY14" s="1074"/>
      <c r="AZ14" s="1074"/>
      <c r="BA14" s="1074"/>
      <c r="BB14" s="1074"/>
      <c r="BC14" s="1074"/>
      <c r="BD14" s="1074"/>
      <c r="BE14" s="1074"/>
      <c r="BF14" s="1074"/>
      <c r="BG14" s="1074"/>
      <c r="BH14" s="1074"/>
      <c r="BI14" s="1074"/>
      <c r="BJ14" s="1074"/>
      <c r="BK14" s="1074"/>
      <c r="BL14" s="1074"/>
      <c r="BM14" s="1074"/>
      <c r="BN14" s="1074"/>
      <c r="BO14" s="1074"/>
      <c r="BP14" s="1074"/>
      <c r="BQ14" s="1074"/>
      <c r="BR14" s="1074"/>
      <c r="BS14" s="1074"/>
      <c r="BT14" s="1074"/>
      <c r="BU14" s="1074"/>
      <c r="BV14" s="1074"/>
      <c r="BW14" s="1074"/>
      <c r="BX14" s="1074"/>
      <c r="BY14" s="1074"/>
      <c r="BZ14" s="1074"/>
      <c r="CA14" s="1074"/>
      <c r="CB14" s="1074"/>
      <c r="CC14" s="1075"/>
    </row>
    <row r="15" spans="1:102" s="26" customFormat="1" ht="27.95" customHeight="1">
      <c r="A15" s="1008"/>
      <c r="B15" s="1009"/>
      <c r="C15" s="1009"/>
      <c r="D15" s="1009"/>
      <c r="E15" s="1009"/>
      <c r="F15" s="1009"/>
      <c r="G15" s="1009"/>
      <c r="H15" s="1009"/>
      <c r="I15" s="1009"/>
      <c r="J15" s="1009"/>
      <c r="K15" s="1009"/>
      <c r="L15" s="1009"/>
      <c r="M15" s="1009"/>
      <c r="N15" s="1009"/>
      <c r="O15" s="1009"/>
      <c r="P15" s="1009"/>
      <c r="Q15" s="1010"/>
      <c r="R15" s="1010"/>
      <c r="S15" s="1010"/>
      <c r="T15" s="1010"/>
      <c r="U15" s="1011"/>
      <c r="V15" s="1011"/>
      <c r="W15" s="1011"/>
      <c r="X15" s="1011"/>
      <c r="Y15" s="1011"/>
      <c r="Z15" s="1011"/>
      <c r="AA15" s="1011"/>
      <c r="AB15" s="1011"/>
      <c r="AC15" s="1011"/>
      <c r="AD15" s="1011"/>
      <c r="AE15" s="1011"/>
      <c r="AF15" s="1011"/>
      <c r="AG15" s="1012"/>
      <c r="AH15" s="1012"/>
      <c r="AI15" s="1012"/>
      <c r="AJ15" s="1012"/>
      <c r="AK15" s="1012"/>
      <c r="AL15" s="1012"/>
      <c r="AM15" s="1012"/>
      <c r="AN15" s="1012"/>
      <c r="AO15" s="1012"/>
      <c r="AP15" s="1012"/>
      <c r="AQ15" s="1012"/>
      <c r="AR15" s="1012"/>
      <c r="AS15" s="1012"/>
      <c r="AT15" s="1012"/>
      <c r="AU15" s="1012"/>
      <c r="AV15" s="1012"/>
      <c r="AW15" s="1012"/>
      <c r="AX15" s="1012"/>
      <c r="AY15" s="1012"/>
      <c r="AZ15" s="1012"/>
      <c r="BA15" s="1012"/>
      <c r="BB15" s="1012"/>
      <c r="BC15" s="1012"/>
      <c r="BD15" s="1012"/>
      <c r="BE15" s="1012"/>
      <c r="BF15" s="1012"/>
      <c r="BG15" s="1012"/>
      <c r="BH15" s="1012"/>
      <c r="BI15" s="1012"/>
      <c r="BJ15" s="1012"/>
      <c r="BK15" s="1012"/>
      <c r="BL15" s="1012"/>
      <c r="BM15" s="1012"/>
      <c r="BN15" s="1012"/>
      <c r="BO15" s="1012"/>
      <c r="BP15" s="1012"/>
      <c r="BQ15" s="1012"/>
      <c r="BR15" s="1012"/>
      <c r="BS15" s="1012"/>
      <c r="BT15" s="1012"/>
      <c r="BU15" s="1012"/>
      <c r="BV15" s="1012"/>
      <c r="BW15" s="1012"/>
      <c r="BX15" s="1012"/>
      <c r="BY15" s="1012"/>
      <c r="BZ15" s="1012"/>
      <c r="CA15" s="1012"/>
      <c r="CB15" s="1012"/>
      <c r="CC15" s="1038"/>
    </row>
    <row r="16" spans="1:102" s="26" customFormat="1" ht="27.95" customHeight="1">
      <c r="A16" s="1076" t="s">
        <v>42</v>
      </c>
      <c r="B16" s="1077"/>
      <c r="C16" s="1077"/>
      <c r="D16" s="1077"/>
      <c r="E16" s="1077"/>
      <c r="F16" s="1077"/>
      <c r="G16" s="1077"/>
      <c r="H16" s="1077"/>
      <c r="I16" s="1077"/>
      <c r="J16" s="1077"/>
      <c r="K16" s="1077"/>
      <c r="L16" s="1077"/>
      <c r="M16" s="1077"/>
      <c r="N16" s="1077"/>
      <c r="O16" s="1077"/>
      <c r="P16" s="1077"/>
      <c r="Q16" s="1077"/>
      <c r="R16" s="1077"/>
      <c r="S16" s="1077"/>
      <c r="T16" s="1077"/>
      <c r="U16" s="1077"/>
      <c r="V16" s="1077"/>
      <c r="W16" s="1077"/>
      <c r="X16" s="1077"/>
      <c r="Y16" s="1077"/>
      <c r="Z16" s="1077"/>
      <c r="AA16" s="1077"/>
      <c r="AB16" s="1077"/>
      <c r="AC16" s="1077"/>
      <c r="AD16" s="1077"/>
      <c r="AE16" s="1077"/>
      <c r="AF16" s="1077"/>
      <c r="AG16" s="1077"/>
      <c r="AH16" s="1077"/>
      <c r="AI16" s="1077"/>
      <c r="AJ16" s="1077"/>
      <c r="AK16" s="1077"/>
      <c r="AL16" s="1077"/>
      <c r="AM16" s="1077"/>
      <c r="AN16" s="1077"/>
      <c r="AO16" s="1077"/>
      <c r="AP16" s="1077"/>
      <c r="AQ16" s="1077"/>
      <c r="AR16" s="1077"/>
      <c r="AS16" s="1077"/>
      <c r="AT16" s="1077"/>
      <c r="AU16" s="1077"/>
      <c r="AV16" s="1077"/>
      <c r="AW16" s="1077"/>
      <c r="AX16" s="1077"/>
      <c r="AY16" s="1077"/>
      <c r="AZ16" s="1077"/>
      <c r="BA16" s="1077"/>
      <c r="BB16" s="1077"/>
      <c r="BC16" s="1077"/>
      <c r="BD16" s="1077"/>
      <c r="BE16" s="1077"/>
      <c r="BF16" s="1077"/>
      <c r="BG16" s="1077"/>
      <c r="BH16" s="1077"/>
      <c r="BI16" s="1077"/>
      <c r="BJ16" s="1077"/>
      <c r="BK16" s="1077"/>
      <c r="BL16" s="1077"/>
      <c r="BM16" s="1077"/>
      <c r="BN16" s="1077"/>
      <c r="BO16" s="1077"/>
      <c r="BP16" s="1077"/>
      <c r="BQ16" s="1077"/>
      <c r="BR16" s="1077"/>
      <c r="BS16" s="1077"/>
      <c r="BT16" s="1077"/>
      <c r="BU16" s="1077"/>
      <c r="BV16" s="1077"/>
      <c r="BW16" s="1077"/>
      <c r="BX16" s="1077"/>
      <c r="BY16" s="1077"/>
      <c r="BZ16" s="1077"/>
      <c r="CA16" s="1077"/>
      <c r="CB16" s="1077"/>
      <c r="CC16" s="1078"/>
    </row>
    <row r="17" spans="1:103" s="10" customFormat="1" ht="15" customHeight="1">
      <c r="A17" s="1026"/>
      <c r="B17" s="1027"/>
      <c r="C17" s="1027"/>
      <c r="D17" s="1027"/>
      <c r="E17" s="1027"/>
      <c r="F17" s="1027"/>
      <c r="G17" s="1027"/>
      <c r="H17" s="1027"/>
      <c r="I17" s="1027"/>
      <c r="J17" s="1027"/>
      <c r="K17" s="1027"/>
      <c r="L17" s="1027"/>
      <c r="M17" s="1027"/>
      <c r="N17" s="1027"/>
      <c r="O17" s="1027"/>
      <c r="P17" s="1027"/>
      <c r="Q17" s="1027"/>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c r="AX17" s="1027"/>
      <c r="AY17" s="1027"/>
      <c r="AZ17" s="1027"/>
      <c r="BA17" s="1027"/>
      <c r="BB17" s="1027"/>
      <c r="BC17" s="1027"/>
      <c r="BD17" s="1027"/>
      <c r="BE17" s="1027"/>
      <c r="BF17" s="1027"/>
      <c r="BG17" s="1027"/>
      <c r="BH17" s="1027"/>
      <c r="BI17" s="1027"/>
      <c r="BJ17" s="1027"/>
      <c r="BK17" s="1027"/>
      <c r="BL17" s="1027"/>
      <c r="BM17" s="1027"/>
      <c r="BN17" s="1027"/>
      <c r="BO17" s="1027"/>
      <c r="BP17" s="1027"/>
      <c r="BQ17" s="1027"/>
      <c r="BR17" s="1027"/>
      <c r="BS17" s="1027"/>
      <c r="BT17" s="1027"/>
      <c r="BU17" s="1027"/>
      <c r="BV17" s="1027"/>
      <c r="BW17" s="1027"/>
      <c r="BX17" s="1027"/>
      <c r="BY17" s="1027"/>
      <c r="BZ17" s="1027"/>
      <c r="CA17" s="1027"/>
      <c r="CB17" s="1027"/>
      <c r="CC17" s="1028"/>
    </row>
    <row r="18" spans="1:103" s="10" customFormat="1" ht="30" customHeight="1">
      <c r="A18" s="1017" t="s">
        <v>239</v>
      </c>
      <c r="B18" s="1018"/>
      <c r="C18" s="1018"/>
      <c r="D18" s="1018"/>
      <c r="E18" s="1018"/>
      <c r="F18" s="1018"/>
      <c r="G18" s="1018"/>
      <c r="H18" s="1018"/>
      <c r="I18" s="1018"/>
      <c r="J18" s="1018"/>
      <c r="K18" s="1018"/>
      <c r="L18" s="1018"/>
      <c r="M18" s="1018"/>
      <c r="N18" s="1018"/>
      <c r="O18" s="1018"/>
      <c r="P18" s="1018"/>
      <c r="Q18" s="1018"/>
      <c r="R18" s="1018"/>
      <c r="S18" s="1018"/>
      <c r="T18" s="1018"/>
      <c r="U18" s="1018"/>
      <c r="V18" s="1018"/>
      <c r="W18" s="1018"/>
      <c r="X18" s="1018"/>
      <c r="Y18" s="1018"/>
      <c r="Z18" s="1018"/>
      <c r="AA18" s="1018"/>
      <c r="AB18" s="1018"/>
      <c r="AC18" s="1018"/>
      <c r="AD18" s="1018"/>
      <c r="AE18" s="1018"/>
      <c r="AF18" s="1018"/>
      <c r="AG18" s="1018"/>
      <c r="AH18" s="1018"/>
      <c r="AI18" s="1018"/>
      <c r="AJ18" s="1018"/>
      <c r="AK18" s="1018"/>
      <c r="AL18" s="1018"/>
      <c r="AM18" s="1018"/>
      <c r="AN18" s="1018"/>
      <c r="AO18" s="1018"/>
      <c r="AP18" s="1018"/>
      <c r="AQ18" s="1018"/>
      <c r="AR18" s="1018"/>
      <c r="AS18" s="1018"/>
      <c r="AT18" s="1018"/>
      <c r="AU18" s="1018"/>
      <c r="AV18" s="1018"/>
      <c r="AW18" s="1018"/>
      <c r="AX18" s="1018"/>
      <c r="AY18" s="1018"/>
      <c r="AZ18" s="1018"/>
      <c r="BA18" s="1018"/>
      <c r="BB18" s="1018"/>
      <c r="BC18" s="1018"/>
      <c r="BD18" s="1018"/>
      <c r="BE18" s="1018"/>
      <c r="BF18" s="1018"/>
      <c r="BG18" s="1018"/>
      <c r="BH18" s="1018"/>
      <c r="BI18" s="1018"/>
      <c r="BJ18" s="1018"/>
      <c r="BK18" s="1018"/>
      <c r="BL18" s="1018"/>
      <c r="BM18" s="1018"/>
      <c r="BN18" s="1018"/>
      <c r="BO18" s="1018"/>
      <c r="BP18" s="1018"/>
      <c r="BQ18" s="1018"/>
      <c r="BR18" s="1018"/>
      <c r="BS18" s="1018"/>
      <c r="BT18" s="1018"/>
      <c r="BU18" s="1018"/>
      <c r="BV18" s="1018"/>
      <c r="BW18" s="1018"/>
      <c r="BX18" s="1018"/>
      <c r="BY18" s="1018"/>
      <c r="BZ18" s="1018"/>
      <c r="CA18" s="1018"/>
      <c r="CB18" s="1018"/>
      <c r="CC18" s="1019"/>
    </row>
    <row r="19" spans="1:103" s="10" customFormat="1" ht="9.9499999999999993" customHeight="1">
      <c r="A19" s="1039"/>
      <c r="B19" s="1040"/>
      <c r="C19" s="1040"/>
      <c r="D19" s="1040"/>
      <c r="E19" s="1040"/>
      <c r="F19" s="1040"/>
      <c r="G19" s="1040"/>
      <c r="H19" s="1040"/>
      <c r="I19" s="1040"/>
      <c r="J19" s="1040"/>
      <c r="K19" s="1040"/>
      <c r="L19" s="1040"/>
      <c r="M19" s="1040"/>
      <c r="N19" s="1040"/>
      <c r="O19" s="1040"/>
      <c r="P19" s="1040"/>
      <c r="Q19" s="1040"/>
      <c r="R19" s="1040"/>
      <c r="S19" s="1040"/>
      <c r="T19" s="1040"/>
      <c r="U19" s="1040"/>
      <c r="V19" s="1040"/>
      <c r="W19" s="1040"/>
      <c r="X19" s="1040"/>
      <c r="Y19" s="1040"/>
      <c r="Z19" s="1040"/>
      <c r="AA19" s="1040"/>
      <c r="AB19" s="1040"/>
      <c r="AC19" s="1040"/>
      <c r="AD19" s="1040"/>
      <c r="AE19" s="1040"/>
      <c r="AF19" s="1040"/>
      <c r="AG19" s="1040"/>
      <c r="AH19" s="1040"/>
      <c r="AI19" s="1040"/>
      <c r="AJ19" s="1040"/>
      <c r="AK19" s="1040"/>
      <c r="AL19" s="1040"/>
      <c r="AM19" s="1040"/>
      <c r="AN19" s="1040"/>
      <c r="AO19" s="1040"/>
      <c r="AP19" s="1040"/>
      <c r="AQ19" s="1040"/>
      <c r="AR19" s="1040"/>
      <c r="AS19" s="1040"/>
      <c r="AT19" s="1040"/>
      <c r="AU19" s="1040"/>
      <c r="AV19" s="1040"/>
      <c r="AW19" s="1040"/>
      <c r="AX19" s="1040"/>
      <c r="AY19" s="1040"/>
      <c r="AZ19" s="1040"/>
      <c r="BA19" s="1040"/>
      <c r="BB19" s="1040"/>
      <c r="BC19" s="1040"/>
      <c r="BD19" s="1040"/>
      <c r="BE19" s="1040"/>
      <c r="BF19" s="1040"/>
      <c r="BG19" s="1040"/>
      <c r="BH19" s="1040"/>
      <c r="BI19" s="1040"/>
      <c r="BJ19" s="1040"/>
      <c r="BK19" s="1040"/>
      <c r="BL19" s="1040"/>
      <c r="BM19" s="1040"/>
      <c r="BN19" s="1040"/>
      <c r="BO19" s="1040"/>
      <c r="BP19" s="1040"/>
      <c r="BQ19" s="1040"/>
      <c r="BR19" s="1040"/>
      <c r="BS19" s="1040"/>
      <c r="BT19" s="1040"/>
      <c r="BU19" s="1040"/>
      <c r="BV19" s="1040"/>
      <c r="BW19" s="1040"/>
      <c r="BX19" s="1040"/>
      <c r="BY19" s="1040"/>
      <c r="BZ19" s="1040"/>
      <c r="CA19" s="1040"/>
      <c r="CB19" s="1040"/>
      <c r="CC19" s="1041"/>
    </row>
    <row r="20" spans="1:103" s="10" customFormat="1" ht="24.95" customHeight="1">
      <c r="A20" s="1066" t="s">
        <v>44</v>
      </c>
      <c r="B20" s="1031"/>
      <c r="C20" s="1031"/>
      <c r="D20" s="1031"/>
      <c r="E20" s="1031"/>
      <c r="F20" s="1031"/>
      <c r="G20" s="1031"/>
      <c r="H20" s="1031"/>
      <c r="I20" s="1031"/>
      <c r="J20" s="1031"/>
      <c r="K20" s="1031"/>
      <c r="L20" s="1031"/>
      <c r="M20" s="1031"/>
      <c r="N20" s="1031"/>
      <c r="O20" s="1031"/>
      <c r="P20" s="1031"/>
      <c r="Q20" s="1021" t="s">
        <v>533</v>
      </c>
      <c r="R20" s="1021"/>
      <c r="S20" s="1021"/>
      <c r="T20" s="1021"/>
      <c r="U20" s="1021"/>
      <c r="V20" s="1021"/>
      <c r="W20" s="1021"/>
      <c r="X20" s="1021"/>
      <c r="Y20" s="1021"/>
      <c r="Z20" s="1015" t="s">
        <v>1</v>
      </c>
      <c r="AA20" s="1015"/>
      <c r="AB20" s="1015"/>
      <c r="AC20" s="1015"/>
      <c r="AD20" s="1015"/>
      <c r="AE20" s="1015"/>
      <c r="AF20" s="1015"/>
      <c r="AG20" s="1015"/>
      <c r="AH20" s="1015"/>
      <c r="AI20" s="1015"/>
      <c r="AJ20" s="1015" t="s">
        <v>14</v>
      </c>
      <c r="AK20" s="1015"/>
      <c r="AL20" s="1015"/>
      <c r="AM20" s="1015"/>
      <c r="AN20" s="1015"/>
      <c r="AO20" s="1015"/>
      <c r="AP20" s="1015"/>
      <c r="AQ20" s="1015"/>
      <c r="AR20" s="1015"/>
      <c r="AS20" s="1015"/>
      <c r="AT20" s="1023" t="s">
        <v>12</v>
      </c>
      <c r="AU20" s="1024"/>
      <c r="AV20" s="1024"/>
      <c r="AW20" s="1024"/>
      <c r="AX20" s="1024"/>
      <c r="AY20" s="1024"/>
      <c r="AZ20" s="1024"/>
      <c r="BA20" s="1024"/>
      <c r="BB20" s="1024"/>
      <c r="BC20" s="1024"/>
      <c r="BD20" s="1024"/>
      <c r="BE20" s="1024"/>
      <c r="BF20" s="1024"/>
      <c r="BG20" s="1024"/>
      <c r="BH20" s="1024"/>
      <c r="BI20" s="1024"/>
      <c r="BJ20" s="1024"/>
      <c r="BK20" s="1024"/>
      <c r="BL20" s="1024"/>
      <c r="BM20" s="1024"/>
      <c r="BN20" s="1024"/>
      <c r="BO20" s="1024"/>
      <c r="BP20" s="1024"/>
      <c r="BQ20" s="1024"/>
      <c r="BR20" s="1024"/>
      <c r="BS20" s="1024"/>
      <c r="BT20" s="1024"/>
      <c r="BU20" s="1024"/>
      <c r="BV20" s="1024"/>
      <c r="BW20" s="1024"/>
      <c r="BX20" s="1024"/>
      <c r="BY20" s="1024"/>
      <c r="BZ20" s="1024"/>
      <c r="CA20" s="1024"/>
      <c r="CB20" s="1024"/>
      <c r="CC20" s="1025"/>
    </row>
    <row r="21" spans="1:103" s="10" customFormat="1" ht="24.95" customHeight="1">
      <c r="A21" s="1079"/>
      <c r="B21" s="1080"/>
      <c r="C21" s="1080"/>
      <c r="D21" s="1080"/>
      <c r="E21" s="1080"/>
      <c r="F21" s="1080"/>
      <c r="G21" s="1080"/>
      <c r="H21" s="1080"/>
      <c r="I21" s="1080"/>
      <c r="J21" s="1080"/>
      <c r="K21" s="1080"/>
      <c r="L21" s="1080"/>
      <c r="M21" s="1080"/>
      <c r="N21" s="1080"/>
      <c r="O21" s="1080"/>
      <c r="P21" s="1080"/>
      <c r="Q21" s="1022"/>
      <c r="R21" s="1022"/>
      <c r="S21" s="1022"/>
      <c r="T21" s="1022"/>
      <c r="U21" s="1022"/>
      <c r="V21" s="1022"/>
      <c r="W21" s="1022"/>
      <c r="X21" s="1022"/>
      <c r="Y21" s="1022"/>
      <c r="Z21" s="1016"/>
      <c r="AA21" s="1016"/>
      <c r="AB21" s="1016"/>
      <c r="AC21" s="1016"/>
      <c r="AD21" s="1016"/>
      <c r="AE21" s="1016"/>
      <c r="AF21" s="1016"/>
      <c r="AG21" s="1016"/>
      <c r="AH21" s="1016"/>
      <c r="AI21" s="1016"/>
      <c r="AJ21" s="1016"/>
      <c r="AK21" s="1016"/>
      <c r="AL21" s="1016"/>
      <c r="AM21" s="1016"/>
      <c r="AN21" s="1016"/>
      <c r="AO21" s="1016"/>
      <c r="AP21" s="1016"/>
      <c r="AQ21" s="1016"/>
      <c r="AR21" s="1016"/>
      <c r="AS21" s="1016"/>
      <c r="AT21" s="1013" t="s">
        <v>8</v>
      </c>
      <c r="AU21" s="1014"/>
      <c r="AV21" s="1014"/>
      <c r="AW21" s="1014"/>
      <c r="AX21" s="1014"/>
      <c r="AY21" s="1014"/>
      <c r="AZ21" s="1014"/>
      <c r="BA21" s="1014"/>
      <c r="BB21" s="1014" t="s">
        <v>203</v>
      </c>
      <c r="BC21" s="1014"/>
      <c r="BD21" s="1014"/>
      <c r="BE21" s="1014"/>
      <c r="BF21" s="1014"/>
      <c r="BG21" s="1014"/>
      <c r="BH21" s="1014"/>
      <c r="BI21" s="1014"/>
      <c r="BJ21" s="1014"/>
      <c r="BK21" s="1014" t="s">
        <v>204</v>
      </c>
      <c r="BL21" s="1014"/>
      <c r="BM21" s="1014"/>
      <c r="BN21" s="1014"/>
      <c r="BO21" s="1014"/>
      <c r="BP21" s="1014"/>
      <c r="BQ21" s="1014"/>
      <c r="BR21" s="1014"/>
      <c r="BS21" s="1083"/>
      <c r="BT21" s="1013" t="s">
        <v>240</v>
      </c>
      <c r="BU21" s="1014"/>
      <c r="BV21" s="1014"/>
      <c r="BW21" s="1014"/>
      <c r="BX21" s="1014"/>
      <c r="BY21" s="1014"/>
      <c r="BZ21" s="1014"/>
      <c r="CA21" s="1014"/>
      <c r="CB21" s="1014"/>
      <c r="CC21" s="1020"/>
    </row>
    <row r="22" spans="1:103" s="26" customFormat="1" ht="27.95" customHeight="1">
      <c r="A22" s="996" t="s">
        <v>241</v>
      </c>
      <c r="B22" s="997"/>
      <c r="C22" s="997"/>
      <c r="D22" s="997"/>
      <c r="E22" s="997"/>
      <c r="F22" s="997"/>
      <c r="G22" s="997"/>
      <c r="H22" s="998"/>
      <c r="I22" s="987">
        <v>42400</v>
      </c>
      <c r="J22" s="988"/>
      <c r="K22" s="988"/>
      <c r="L22" s="988"/>
      <c r="M22" s="988"/>
      <c r="N22" s="988"/>
      <c r="O22" s="988"/>
      <c r="P22" s="989"/>
      <c r="Q22" s="1005" t="s">
        <v>534</v>
      </c>
      <c r="R22" s="1005"/>
      <c r="S22" s="1005"/>
      <c r="T22" s="1005"/>
      <c r="U22" s="1005"/>
      <c r="V22" s="1005"/>
      <c r="W22" s="1005"/>
      <c r="X22" s="1005"/>
      <c r="Y22" s="1005"/>
      <c r="Z22" s="965">
        <v>1</v>
      </c>
      <c r="AA22" s="966"/>
      <c r="AB22" s="966"/>
      <c r="AC22" s="966"/>
      <c r="AD22" s="966"/>
      <c r="AE22" s="966"/>
      <c r="AF22" s="966"/>
      <c r="AG22" s="966"/>
      <c r="AH22" s="966"/>
      <c r="AI22" s="967"/>
      <c r="AJ22" s="964">
        <v>0.92879999999999996</v>
      </c>
      <c r="AK22" s="964"/>
      <c r="AL22" s="964" t="e">
        <v>#VALUE!</v>
      </c>
      <c r="AM22" s="964"/>
      <c r="AN22" s="964"/>
      <c r="AO22" s="964"/>
      <c r="AP22" s="964"/>
      <c r="AQ22" s="964"/>
      <c r="AR22" s="964"/>
      <c r="AS22" s="964"/>
      <c r="AT22" s="971">
        <f>AJ22-Z22</f>
        <v>-7.1200000000000041E-2</v>
      </c>
      <c r="AU22" s="971"/>
      <c r="AV22" s="971"/>
      <c r="AW22" s="971"/>
      <c r="AX22" s="971"/>
      <c r="AY22" s="971"/>
      <c r="AZ22" s="971"/>
      <c r="BA22" s="971"/>
      <c r="BB22" s="1029">
        <v>0</v>
      </c>
      <c r="BC22" s="1029"/>
      <c r="BD22" s="1029"/>
      <c r="BE22" s="1029"/>
      <c r="BF22" s="1029"/>
      <c r="BG22" s="1029"/>
      <c r="BH22" s="1029">
        <f>97.17%-92.81%</f>
        <v>4.3599999999999972E-2</v>
      </c>
      <c r="BI22" s="1029"/>
      <c r="BJ22" s="1029"/>
      <c r="BK22" s="971">
        <f>99.98%-100%</f>
        <v>-1.9999999999997797E-4</v>
      </c>
      <c r="BL22" s="971"/>
      <c r="BM22" s="971"/>
      <c r="BN22" s="971"/>
      <c r="BO22" s="971"/>
      <c r="BP22" s="971"/>
      <c r="BQ22" s="971"/>
      <c r="BR22" s="971"/>
      <c r="BS22" s="971"/>
      <c r="BT22" s="971">
        <f>95.88%-100%</f>
        <v>-4.1200000000000014E-2</v>
      </c>
      <c r="BU22" s="971"/>
      <c r="BV22" s="971"/>
      <c r="BW22" s="971"/>
      <c r="BX22" s="971"/>
      <c r="BY22" s="971"/>
      <c r="BZ22" s="971"/>
      <c r="CA22" s="971"/>
      <c r="CB22" s="971"/>
      <c r="CC22" s="1082"/>
    </row>
    <row r="23" spans="1:103" s="26" customFormat="1" ht="27.95" customHeight="1">
      <c r="A23" s="1002"/>
      <c r="B23" s="1003"/>
      <c r="C23" s="1003"/>
      <c r="D23" s="1003"/>
      <c r="E23" s="1003"/>
      <c r="F23" s="1003"/>
      <c r="G23" s="1003"/>
      <c r="H23" s="1004"/>
      <c r="I23" s="990"/>
      <c r="J23" s="991"/>
      <c r="K23" s="991"/>
      <c r="L23" s="991"/>
      <c r="M23" s="991"/>
      <c r="N23" s="991"/>
      <c r="O23" s="991"/>
      <c r="P23" s="992"/>
      <c r="Q23" s="964" t="s">
        <v>535</v>
      </c>
      <c r="R23" s="964"/>
      <c r="S23" s="964"/>
      <c r="T23" s="964"/>
      <c r="U23" s="964"/>
      <c r="V23" s="964"/>
      <c r="W23" s="964"/>
      <c r="X23" s="964"/>
      <c r="Y23" s="964"/>
      <c r="Z23" s="968"/>
      <c r="AA23" s="969"/>
      <c r="AB23" s="969"/>
      <c r="AC23" s="969"/>
      <c r="AD23" s="969"/>
      <c r="AE23" s="969"/>
      <c r="AF23" s="969"/>
      <c r="AG23" s="969"/>
      <c r="AH23" s="969"/>
      <c r="AI23" s="970"/>
      <c r="AJ23" s="964">
        <v>0.85809999999999997</v>
      </c>
      <c r="AK23" s="964"/>
      <c r="AL23" s="964"/>
      <c r="AM23" s="964"/>
      <c r="AN23" s="964"/>
      <c r="AO23" s="964"/>
      <c r="AP23" s="964"/>
      <c r="AQ23" s="964"/>
      <c r="AR23" s="964"/>
      <c r="AS23" s="964"/>
      <c r="AT23" s="971">
        <f>AJ23-Z22</f>
        <v>-0.14190000000000003</v>
      </c>
      <c r="AU23" s="971"/>
      <c r="AV23" s="971"/>
      <c r="AW23" s="971"/>
      <c r="AX23" s="971"/>
      <c r="AY23" s="971"/>
      <c r="AZ23" s="971"/>
      <c r="BA23" s="971"/>
      <c r="BB23" s="981"/>
      <c r="BC23" s="981"/>
      <c r="BD23" s="981"/>
      <c r="BE23" s="981"/>
      <c r="BF23" s="981"/>
      <c r="BG23" s="981"/>
      <c r="BH23" s="981"/>
      <c r="BI23" s="981"/>
      <c r="BJ23" s="981"/>
      <c r="BK23" s="981"/>
      <c r="BL23" s="981"/>
      <c r="BM23" s="981"/>
      <c r="BN23" s="981"/>
      <c r="BO23" s="981"/>
      <c r="BP23" s="981"/>
      <c r="BQ23" s="981"/>
      <c r="BR23" s="981"/>
      <c r="BS23" s="981"/>
      <c r="BT23" s="981"/>
      <c r="BU23" s="981"/>
      <c r="BV23" s="981"/>
      <c r="BW23" s="981"/>
      <c r="BX23" s="981"/>
      <c r="BY23" s="981"/>
      <c r="BZ23" s="981"/>
      <c r="CA23" s="981"/>
      <c r="CB23" s="981"/>
      <c r="CC23" s="982"/>
    </row>
    <row r="24" spans="1:103" s="26" customFormat="1" ht="27.95" customHeight="1">
      <c r="A24" s="996" t="s">
        <v>144</v>
      </c>
      <c r="B24" s="997"/>
      <c r="C24" s="997"/>
      <c r="D24" s="997"/>
      <c r="E24" s="997"/>
      <c r="F24" s="997"/>
      <c r="G24" s="997"/>
      <c r="H24" s="998"/>
      <c r="I24" s="987">
        <v>42429</v>
      </c>
      <c r="J24" s="988"/>
      <c r="K24" s="988"/>
      <c r="L24" s="988"/>
      <c r="M24" s="988"/>
      <c r="N24" s="988"/>
      <c r="O24" s="988"/>
      <c r="P24" s="989"/>
      <c r="Q24" s="1005" t="s">
        <v>534</v>
      </c>
      <c r="R24" s="1005"/>
      <c r="S24" s="1005"/>
      <c r="T24" s="1005"/>
      <c r="U24" s="1005"/>
      <c r="V24" s="1005"/>
      <c r="W24" s="1005"/>
      <c r="X24" s="1005"/>
      <c r="Y24" s="1005"/>
      <c r="Z24" s="965">
        <v>1</v>
      </c>
      <c r="AA24" s="966"/>
      <c r="AB24" s="966"/>
      <c r="AC24" s="966"/>
      <c r="AD24" s="966"/>
      <c r="AE24" s="966"/>
      <c r="AF24" s="966"/>
      <c r="AG24" s="966"/>
      <c r="AH24" s="966"/>
      <c r="AI24" s="967"/>
      <c r="AJ24" s="964">
        <v>0.94950000000000001</v>
      </c>
      <c r="AK24" s="964"/>
      <c r="AL24" s="964" t="e">
        <f>AB24-Q24</f>
        <v>#VALUE!</v>
      </c>
      <c r="AM24" s="964"/>
      <c r="AN24" s="964"/>
      <c r="AO24" s="964"/>
      <c r="AP24" s="964"/>
      <c r="AQ24" s="964"/>
      <c r="AR24" s="964"/>
      <c r="AS24" s="964"/>
      <c r="AT24" s="971">
        <f>AJ24-Z24</f>
        <v>-5.0499999999999989E-2</v>
      </c>
      <c r="AU24" s="971"/>
      <c r="AV24" s="971"/>
      <c r="AW24" s="971"/>
      <c r="AX24" s="971"/>
      <c r="AY24" s="971"/>
      <c r="AZ24" s="971"/>
      <c r="BA24" s="971"/>
      <c r="BB24" s="1029">
        <f>100%-100%</f>
        <v>0</v>
      </c>
      <c r="BC24" s="1029"/>
      <c r="BD24" s="1029"/>
      <c r="BE24" s="1029"/>
      <c r="BF24" s="1029"/>
      <c r="BG24" s="1029"/>
      <c r="BH24" s="1030">
        <f>97.17%-92.81%</f>
        <v>4.3599999999999972E-2</v>
      </c>
      <c r="BI24" s="1029"/>
      <c r="BJ24" s="1029"/>
      <c r="BK24" s="971">
        <v>0</v>
      </c>
      <c r="BL24" s="971"/>
      <c r="BM24" s="971"/>
      <c r="BN24" s="971"/>
      <c r="BO24" s="971"/>
      <c r="BP24" s="971"/>
      <c r="BQ24" s="971"/>
      <c r="BR24" s="971"/>
      <c r="BS24" s="971"/>
      <c r="BT24" s="971">
        <f>98.37%-100%</f>
        <v>-1.6299999999999981E-2</v>
      </c>
      <c r="BU24" s="971"/>
      <c r="BV24" s="971"/>
      <c r="BW24" s="971"/>
      <c r="BX24" s="971"/>
      <c r="BY24" s="971"/>
      <c r="BZ24" s="971"/>
      <c r="CA24" s="971"/>
      <c r="CB24" s="971"/>
      <c r="CC24" s="1082"/>
    </row>
    <row r="25" spans="1:103" s="26" customFormat="1" ht="27.95" customHeight="1">
      <c r="A25" s="1002"/>
      <c r="B25" s="1003"/>
      <c r="C25" s="1003"/>
      <c r="D25" s="1003"/>
      <c r="E25" s="1003"/>
      <c r="F25" s="1003"/>
      <c r="G25" s="1003"/>
      <c r="H25" s="1004"/>
      <c r="I25" s="990"/>
      <c r="J25" s="991"/>
      <c r="K25" s="991"/>
      <c r="L25" s="991"/>
      <c r="M25" s="991"/>
      <c r="N25" s="991"/>
      <c r="O25" s="991"/>
      <c r="P25" s="992"/>
      <c r="Q25" s="964" t="s">
        <v>535</v>
      </c>
      <c r="R25" s="964"/>
      <c r="S25" s="964"/>
      <c r="T25" s="964"/>
      <c r="U25" s="964"/>
      <c r="V25" s="964"/>
      <c r="W25" s="964"/>
      <c r="X25" s="964"/>
      <c r="Y25" s="964"/>
      <c r="Z25" s="968"/>
      <c r="AA25" s="969"/>
      <c r="AB25" s="969"/>
      <c r="AC25" s="969"/>
      <c r="AD25" s="969"/>
      <c r="AE25" s="969"/>
      <c r="AF25" s="969"/>
      <c r="AG25" s="969"/>
      <c r="AH25" s="969"/>
      <c r="AI25" s="970"/>
      <c r="AJ25" s="964">
        <v>0.9</v>
      </c>
      <c r="AK25" s="964"/>
      <c r="AL25" s="964"/>
      <c r="AM25" s="964"/>
      <c r="AN25" s="964"/>
      <c r="AO25" s="964"/>
      <c r="AP25" s="964"/>
      <c r="AQ25" s="964"/>
      <c r="AR25" s="964"/>
      <c r="AS25" s="964"/>
      <c r="AT25" s="971">
        <f>AJ25-Z24</f>
        <v>-9.9999999999999978E-2</v>
      </c>
      <c r="AU25" s="971"/>
      <c r="AV25" s="971"/>
      <c r="AW25" s="971"/>
      <c r="AX25" s="971"/>
      <c r="AY25" s="971"/>
      <c r="AZ25" s="971"/>
      <c r="BA25" s="971"/>
      <c r="BB25" s="981"/>
      <c r="BC25" s="981"/>
      <c r="BD25" s="981"/>
      <c r="BE25" s="981"/>
      <c r="BF25" s="981"/>
      <c r="BG25" s="981"/>
      <c r="BH25" s="981"/>
      <c r="BI25" s="981"/>
      <c r="BJ25" s="981"/>
      <c r="BK25" s="981"/>
      <c r="BL25" s="981"/>
      <c r="BM25" s="981"/>
      <c r="BN25" s="981"/>
      <c r="BO25" s="981"/>
      <c r="BP25" s="981"/>
      <c r="BQ25" s="981"/>
      <c r="BR25" s="981"/>
      <c r="BS25" s="981"/>
      <c r="BT25" s="981"/>
      <c r="BU25" s="981"/>
      <c r="BV25" s="981"/>
      <c r="BW25" s="981"/>
      <c r="BX25" s="981"/>
      <c r="BY25" s="981"/>
      <c r="BZ25" s="981"/>
      <c r="CA25" s="981"/>
      <c r="CB25" s="981"/>
      <c r="CC25" s="982"/>
      <c r="CY25" s="618"/>
    </row>
    <row r="26" spans="1:103" s="26" customFormat="1" ht="27.95" customHeight="1">
      <c r="A26" s="996" t="s">
        <v>145</v>
      </c>
      <c r="B26" s="997"/>
      <c r="C26" s="997"/>
      <c r="D26" s="997"/>
      <c r="E26" s="997"/>
      <c r="F26" s="997"/>
      <c r="G26" s="997"/>
      <c r="H26" s="998"/>
      <c r="I26" s="987">
        <v>42459</v>
      </c>
      <c r="J26" s="988"/>
      <c r="K26" s="988"/>
      <c r="L26" s="988"/>
      <c r="M26" s="988"/>
      <c r="N26" s="988"/>
      <c r="O26" s="988"/>
      <c r="P26" s="989"/>
      <c r="Q26" s="1005" t="s">
        <v>534</v>
      </c>
      <c r="R26" s="1005"/>
      <c r="S26" s="1005"/>
      <c r="T26" s="1005"/>
      <c r="U26" s="1005"/>
      <c r="V26" s="1005"/>
      <c r="W26" s="1005"/>
      <c r="X26" s="1005"/>
      <c r="Y26" s="1005"/>
      <c r="Z26" s="965">
        <v>1</v>
      </c>
      <c r="AA26" s="966"/>
      <c r="AB26" s="966"/>
      <c r="AC26" s="966"/>
      <c r="AD26" s="966"/>
      <c r="AE26" s="966"/>
      <c r="AF26" s="966"/>
      <c r="AG26" s="966"/>
      <c r="AH26" s="966"/>
      <c r="AI26" s="967"/>
      <c r="AJ26" s="981"/>
      <c r="AK26" s="981"/>
      <c r="AL26" s="981"/>
      <c r="AM26" s="981"/>
      <c r="AN26" s="981"/>
      <c r="AO26" s="981"/>
      <c r="AP26" s="981"/>
      <c r="AQ26" s="981"/>
      <c r="AR26" s="981"/>
      <c r="AS26" s="981"/>
      <c r="AT26" s="981"/>
      <c r="AU26" s="981"/>
      <c r="AV26" s="981"/>
      <c r="AW26" s="981"/>
      <c r="AX26" s="981"/>
      <c r="AY26" s="981"/>
      <c r="AZ26" s="981"/>
      <c r="BA26" s="981"/>
      <c r="BB26" s="981"/>
      <c r="BC26" s="981"/>
      <c r="BD26" s="981"/>
      <c r="BE26" s="981"/>
      <c r="BF26" s="981"/>
      <c r="BG26" s="981"/>
      <c r="BH26" s="981"/>
      <c r="BI26" s="981"/>
      <c r="BJ26" s="981"/>
      <c r="BK26" s="981"/>
      <c r="BL26" s="981"/>
      <c r="BM26" s="981"/>
      <c r="BN26" s="981"/>
      <c r="BO26" s="981"/>
      <c r="BP26" s="981"/>
      <c r="BQ26" s="981"/>
      <c r="BR26" s="981"/>
      <c r="BS26" s="981"/>
      <c r="BT26" s="981"/>
      <c r="BU26" s="981"/>
      <c r="BV26" s="981"/>
      <c r="BW26" s="981"/>
      <c r="BX26" s="981"/>
      <c r="BY26" s="981"/>
      <c r="BZ26" s="981"/>
      <c r="CA26" s="981"/>
      <c r="CB26" s="981"/>
      <c r="CC26" s="982"/>
    </row>
    <row r="27" spans="1:103" s="26" customFormat="1" ht="27.95" customHeight="1">
      <c r="A27" s="999"/>
      <c r="B27" s="1000"/>
      <c r="C27" s="1000"/>
      <c r="D27" s="1000"/>
      <c r="E27" s="1000"/>
      <c r="F27" s="1000"/>
      <c r="G27" s="1000"/>
      <c r="H27" s="1001"/>
      <c r="I27" s="993"/>
      <c r="J27" s="994"/>
      <c r="K27" s="994"/>
      <c r="L27" s="994"/>
      <c r="M27" s="994"/>
      <c r="N27" s="994"/>
      <c r="O27" s="994"/>
      <c r="P27" s="995"/>
      <c r="Q27" s="986" t="s">
        <v>535</v>
      </c>
      <c r="R27" s="986"/>
      <c r="S27" s="986"/>
      <c r="T27" s="986"/>
      <c r="U27" s="986"/>
      <c r="V27" s="986"/>
      <c r="W27" s="986"/>
      <c r="X27" s="986"/>
      <c r="Y27" s="986"/>
      <c r="Z27" s="983"/>
      <c r="AA27" s="984"/>
      <c r="AB27" s="984"/>
      <c r="AC27" s="984"/>
      <c r="AD27" s="984"/>
      <c r="AE27" s="984"/>
      <c r="AF27" s="984"/>
      <c r="AG27" s="984"/>
      <c r="AH27" s="984"/>
      <c r="AI27" s="985"/>
      <c r="AJ27" s="1006"/>
      <c r="AK27" s="1006"/>
      <c r="AL27" s="1006"/>
      <c r="AM27" s="1006"/>
      <c r="AN27" s="1006"/>
      <c r="AO27" s="1006"/>
      <c r="AP27" s="1006"/>
      <c r="AQ27" s="1006"/>
      <c r="AR27" s="1006"/>
      <c r="AS27" s="1006"/>
      <c r="AT27" s="1006"/>
      <c r="AU27" s="1006"/>
      <c r="AV27" s="1006"/>
      <c r="AW27" s="1006"/>
      <c r="AX27" s="1006"/>
      <c r="AY27" s="1006"/>
      <c r="AZ27" s="1006"/>
      <c r="BA27" s="1006"/>
      <c r="BB27" s="1006"/>
      <c r="BC27" s="1006"/>
      <c r="BD27" s="1006"/>
      <c r="BE27" s="1006"/>
      <c r="BF27" s="1006"/>
      <c r="BG27" s="1006"/>
      <c r="BH27" s="1006"/>
      <c r="BI27" s="1006"/>
      <c r="BJ27" s="1006"/>
      <c r="BK27" s="1006"/>
      <c r="BL27" s="1006"/>
      <c r="BM27" s="1006"/>
      <c r="BN27" s="1006"/>
      <c r="BO27" s="1006"/>
      <c r="BP27" s="1006"/>
      <c r="BQ27" s="1006"/>
      <c r="BR27" s="1006"/>
      <c r="BS27" s="1006"/>
      <c r="BT27" s="1006"/>
      <c r="BU27" s="1006"/>
      <c r="BV27" s="1006"/>
      <c r="BW27" s="1006"/>
      <c r="BX27" s="1006"/>
      <c r="BY27" s="1006"/>
      <c r="BZ27" s="1006"/>
      <c r="CA27" s="1006"/>
      <c r="CB27" s="1006"/>
      <c r="CC27" s="1007"/>
    </row>
    <row r="28" spans="1:103" s="46" customFormat="1" ht="15" customHeight="1">
      <c r="A28" s="1026"/>
      <c r="B28" s="1027"/>
      <c r="C28" s="1027"/>
      <c r="D28" s="1027"/>
      <c r="E28" s="1027"/>
      <c r="F28" s="1027"/>
      <c r="G28" s="1027"/>
      <c r="H28" s="1027"/>
      <c r="I28" s="1027"/>
      <c r="J28" s="1027"/>
      <c r="K28" s="1027"/>
      <c r="L28" s="1027"/>
      <c r="M28" s="1027"/>
      <c r="N28" s="1027"/>
      <c r="O28" s="1027"/>
      <c r="P28" s="1027"/>
      <c r="Q28" s="1027"/>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c r="AX28" s="1027"/>
      <c r="AY28" s="1027"/>
      <c r="AZ28" s="1027"/>
      <c r="BA28" s="1027"/>
      <c r="BB28" s="1027"/>
      <c r="BC28" s="1027"/>
      <c r="BD28" s="1027"/>
      <c r="BE28" s="1027"/>
      <c r="BF28" s="1027"/>
      <c r="BG28" s="1027"/>
      <c r="BH28" s="1027"/>
      <c r="BI28" s="1027"/>
      <c r="BJ28" s="1027"/>
      <c r="BK28" s="1027"/>
      <c r="BL28" s="1027"/>
      <c r="BM28" s="1027"/>
      <c r="BN28" s="1027"/>
      <c r="BO28" s="1027"/>
      <c r="BP28" s="1027"/>
      <c r="BQ28" s="1027"/>
      <c r="BR28" s="1027"/>
      <c r="BS28" s="1027"/>
      <c r="BT28" s="1027"/>
      <c r="BU28" s="1027"/>
      <c r="BV28" s="1027"/>
      <c r="BW28" s="1027"/>
      <c r="BX28" s="1027"/>
      <c r="BY28" s="1027"/>
      <c r="BZ28" s="1027"/>
      <c r="CA28" s="1027"/>
      <c r="CB28" s="1027"/>
      <c r="CC28" s="1028"/>
    </row>
    <row r="29" spans="1:103" s="46" customFormat="1" ht="30" customHeight="1">
      <c r="A29" s="1017" t="s">
        <v>62</v>
      </c>
      <c r="B29" s="1018"/>
      <c r="C29" s="1018"/>
      <c r="D29" s="1018"/>
      <c r="E29" s="1018"/>
      <c r="F29" s="1018"/>
      <c r="G29" s="1018"/>
      <c r="H29" s="1018"/>
      <c r="I29" s="1018"/>
      <c r="J29" s="1018"/>
      <c r="K29" s="1018"/>
      <c r="L29" s="1018"/>
      <c r="M29" s="1018"/>
      <c r="N29" s="1018"/>
      <c r="O29" s="1018"/>
      <c r="P29" s="1018"/>
      <c r="Q29" s="1018"/>
      <c r="R29" s="1018"/>
      <c r="S29" s="1018"/>
      <c r="T29" s="1018"/>
      <c r="U29" s="1018"/>
      <c r="V29" s="1018"/>
      <c r="W29" s="1018"/>
      <c r="X29" s="1018"/>
      <c r="Y29" s="1018"/>
      <c r="Z29" s="1018"/>
      <c r="AA29" s="1018"/>
      <c r="AB29" s="1018"/>
      <c r="AC29" s="1018"/>
      <c r="AD29" s="1018"/>
      <c r="AE29" s="1018"/>
      <c r="AF29" s="1018"/>
      <c r="AG29" s="1018"/>
      <c r="AH29" s="1018"/>
      <c r="AI29" s="1018"/>
      <c r="AJ29" s="1018"/>
      <c r="AK29" s="1018"/>
      <c r="AL29" s="1018"/>
      <c r="AM29" s="1018"/>
      <c r="AN29" s="1018"/>
      <c r="AO29" s="1018"/>
      <c r="AP29" s="1018"/>
      <c r="AQ29" s="1018"/>
      <c r="AR29" s="1018"/>
      <c r="AS29" s="1018"/>
      <c r="AT29" s="1018"/>
      <c r="AU29" s="1018"/>
      <c r="AV29" s="1018"/>
      <c r="AW29" s="1018"/>
      <c r="AX29" s="1018"/>
      <c r="AY29" s="1018"/>
      <c r="AZ29" s="1018"/>
      <c r="BA29" s="1018"/>
      <c r="BB29" s="1018"/>
      <c r="BC29" s="1018"/>
      <c r="BD29" s="1018"/>
      <c r="BE29" s="1018"/>
      <c r="BF29" s="1018"/>
      <c r="BG29" s="1018"/>
      <c r="BH29" s="1018"/>
      <c r="BI29" s="1018"/>
      <c r="BJ29" s="1018"/>
      <c r="BK29" s="1018"/>
      <c r="BL29" s="1018"/>
      <c r="BM29" s="1018"/>
      <c r="BN29" s="1018"/>
      <c r="BO29" s="1018"/>
      <c r="BP29" s="1018"/>
      <c r="BQ29" s="1018"/>
      <c r="BR29" s="1018"/>
      <c r="BS29" s="1018"/>
      <c r="BT29" s="1018"/>
      <c r="BU29" s="1018"/>
      <c r="BV29" s="1018"/>
      <c r="BW29" s="1018"/>
      <c r="BX29" s="1018"/>
      <c r="BY29" s="1018"/>
      <c r="BZ29" s="1018"/>
      <c r="CA29" s="1018"/>
      <c r="CB29" s="1018"/>
      <c r="CC29" s="1019"/>
    </row>
    <row r="30" spans="1:103" s="15" customFormat="1" ht="9.9499999999999993" customHeight="1">
      <c r="A30" s="1039"/>
      <c r="B30" s="1040"/>
      <c r="C30" s="1040"/>
      <c r="D30" s="1040"/>
      <c r="E30" s="1040"/>
      <c r="F30" s="1040"/>
      <c r="G30" s="1040"/>
      <c r="H30" s="1040"/>
      <c r="I30" s="1040"/>
      <c r="J30" s="1040"/>
      <c r="K30" s="1040"/>
      <c r="L30" s="1040"/>
      <c r="M30" s="1040"/>
      <c r="N30" s="1040"/>
      <c r="O30" s="1040"/>
      <c r="P30" s="1040"/>
      <c r="Q30" s="1040"/>
      <c r="R30" s="1040"/>
      <c r="S30" s="1040"/>
      <c r="T30" s="1040"/>
      <c r="U30" s="1040"/>
      <c r="V30" s="1040"/>
      <c r="W30" s="1040"/>
      <c r="X30" s="1040"/>
      <c r="Y30" s="1040"/>
      <c r="Z30" s="1040"/>
      <c r="AA30" s="1040"/>
      <c r="AB30" s="1040"/>
      <c r="AC30" s="1040"/>
      <c r="AD30" s="1040"/>
      <c r="AE30" s="1040"/>
      <c r="AF30" s="1040"/>
      <c r="AG30" s="1040"/>
      <c r="AH30" s="1040"/>
      <c r="AI30" s="1040"/>
      <c r="AJ30" s="1040"/>
      <c r="AK30" s="1040"/>
      <c r="AL30" s="1040"/>
      <c r="AM30" s="1040"/>
      <c r="AN30" s="1040"/>
      <c r="AO30" s="1040"/>
      <c r="AP30" s="1040"/>
      <c r="AQ30" s="1040"/>
      <c r="AR30" s="1040"/>
      <c r="AS30" s="1040"/>
      <c r="AT30" s="1040"/>
      <c r="AU30" s="1040"/>
      <c r="AV30" s="1040"/>
      <c r="AW30" s="1040"/>
      <c r="AX30" s="1040"/>
      <c r="AY30" s="1040"/>
      <c r="AZ30" s="1040"/>
      <c r="BA30" s="1040"/>
      <c r="BB30" s="1040"/>
      <c r="BC30" s="1040"/>
      <c r="BD30" s="1040"/>
      <c r="BE30" s="1040"/>
      <c r="BF30" s="1040"/>
      <c r="BG30" s="1040"/>
      <c r="BH30" s="1040"/>
      <c r="BI30" s="1040"/>
      <c r="BJ30" s="1040"/>
      <c r="BK30" s="1040"/>
      <c r="BL30" s="1040"/>
      <c r="BM30" s="1040"/>
      <c r="BN30" s="1040"/>
      <c r="BO30" s="1040"/>
      <c r="BP30" s="1040"/>
      <c r="BQ30" s="1040"/>
      <c r="BR30" s="1040"/>
      <c r="BS30" s="1040"/>
      <c r="BT30" s="1040"/>
      <c r="BU30" s="1040"/>
      <c r="BV30" s="1040"/>
      <c r="BW30" s="1040"/>
      <c r="BX30" s="1040"/>
      <c r="BY30" s="1040"/>
      <c r="BZ30" s="1040"/>
      <c r="CA30" s="1040"/>
      <c r="CB30" s="1040"/>
      <c r="CC30" s="1041"/>
    </row>
    <row r="31" spans="1:103" s="26" customFormat="1" ht="27.95" customHeight="1">
      <c r="A31" s="975"/>
      <c r="B31" s="976"/>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976"/>
      <c r="AI31" s="976"/>
      <c r="AJ31" s="976"/>
      <c r="AK31" s="976"/>
      <c r="AL31" s="976"/>
      <c r="AM31" s="976"/>
      <c r="AN31" s="976"/>
      <c r="AO31" s="976"/>
      <c r="AP31" s="976"/>
      <c r="AQ31" s="976"/>
      <c r="AR31" s="976"/>
      <c r="AS31" s="976"/>
      <c r="AT31" s="976"/>
      <c r="AU31" s="976"/>
      <c r="AV31" s="976"/>
      <c r="AW31" s="976"/>
      <c r="AX31" s="976"/>
      <c r="AY31" s="976"/>
      <c r="AZ31" s="976"/>
      <c r="BA31" s="976"/>
      <c r="BB31" s="976"/>
      <c r="BC31" s="976"/>
      <c r="BD31" s="976"/>
      <c r="BE31" s="976"/>
      <c r="BF31" s="976"/>
      <c r="BG31" s="976"/>
      <c r="BH31" s="976"/>
      <c r="BI31" s="976"/>
      <c r="BJ31" s="976"/>
      <c r="BK31" s="976"/>
      <c r="BL31" s="976"/>
      <c r="BM31" s="976"/>
      <c r="BN31" s="976"/>
      <c r="BO31" s="976"/>
      <c r="BP31" s="976"/>
      <c r="BQ31" s="976"/>
      <c r="BR31" s="976"/>
      <c r="BS31" s="976"/>
      <c r="BT31" s="976"/>
      <c r="BU31" s="976"/>
      <c r="BV31" s="976"/>
      <c r="BW31" s="976"/>
      <c r="BX31" s="976"/>
      <c r="BY31" s="976"/>
      <c r="BZ31" s="976"/>
      <c r="CA31" s="976"/>
      <c r="CB31" s="976"/>
      <c r="CC31" s="977"/>
    </row>
    <row r="32" spans="1:103" s="26" customFormat="1" ht="27.95" customHeight="1">
      <c r="A32" s="978"/>
      <c r="B32" s="979"/>
      <c r="C32" s="979"/>
      <c r="D32" s="979"/>
      <c r="E32" s="979"/>
      <c r="F32" s="979"/>
      <c r="G32" s="979"/>
      <c r="H32" s="979"/>
      <c r="I32" s="979"/>
      <c r="J32" s="979"/>
      <c r="K32" s="979"/>
      <c r="L32" s="979"/>
      <c r="M32" s="979"/>
      <c r="N32" s="979"/>
      <c r="O32" s="979"/>
      <c r="P32" s="979"/>
      <c r="Q32" s="979"/>
      <c r="R32" s="979"/>
      <c r="S32" s="979"/>
      <c r="T32" s="979"/>
      <c r="U32" s="979"/>
      <c r="V32" s="979"/>
      <c r="W32" s="979"/>
      <c r="X32" s="979"/>
      <c r="Y32" s="979"/>
      <c r="Z32" s="979"/>
      <c r="AA32" s="979"/>
      <c r="AB32" s="979"/>
      <c r="AC32" s="979"/>
      <c r="AD32" s="979"/>
      <c r="AE32" s="979"/>
      <c r="AF32" s="979"/>
      <c r="AG32" s="979"/>
      <c r="AH32" s="979"/>
      <c r="AI32" s="979"/>
      <c r="AJ32" s="979"/>
      <c r="AK32" s="979"/>
      <c r="AL32" s="979"/>
      <c r="AM32" s="979"/>
      <c r="AN32" s="979"/>
      <c r="AO32" s="979"/>
      <c r="AP32" s="979"/>
      <c r="AQ32" s="979"/>
      <c r="AR32" s="979"/>
      <c r="AS32" s="979"/>
      <c r="AT32" s="979"/>
      <c r="AU32" s="979"/>
      <c r="AV32" s="979"/>
      <c r="AW32" s="979"/>
      <c r="AX32" s="979"/>
      <c r="AY32" s="979"/>
      <c r="AZ32" s="979"/>
      <c r="BA32" s="979"/>
      <c r="BB32" s="979"/>
      <c r="BC32" s="979"/>
      <c r="BD32" s="979"/>
      <c r="BE32" s="979"/>
      <c r="BF32" s="979"/>
      <c r="BG32" s="979"/>
      <c r="BH32" s="979"/>
      <c r="BI32" s="979"/>
      <c r="BJ32" s="979"/>
      <c r="BK32" s="979"/>
      <c r="BL32" s="979"/>
      <c r="BM32" s="979"/>
      <c r="BN32" s="979"/>
      <c r="BO32" s="979"/>
      <c r="BP32" s="979"/>
      <c r="BQ32" s="979"/>
      <c r="BR32" s="979"/>
      <c r="BS32" s="979"/>
      <c r="BT32" s="979"/>
      <c r="BU32" s="979"/>
      <c r="BV32" s="979"/>
      <c r="BW32" s="979"/>
      <c r="BX32" s="979"/>
      <c r="BY32" s="979"/>
      <c r="BZ32" s="979"/>
      <c r="CA32" s="979"/>
      <c r="CB32" s="979"/>
      <c r="CC32" s="980"/>
    </row>
    <row r="33" spans="1:81" s="26" customFormat="1" ht="27.95" customHeight="1">
      <c r="A33" s="972"/>
      <c r="B33" s="973"/>
      <c r="C33" s="973"/>
      <c r="D33" s="973"/>
      <c r="E33" s="973"/>
      <c r="F33" s="973"/>
      <c r="G33" s="973"/>
      <c r="H33" s="973"/>
      <c r="I33" s="973"/>
      <c r="J33" s="973"/>
      <c r="K33" s="973"/>
      <c r="L33" s="973"/>
      <c r="M33" s="973"/>
      <c r="N33" s="973"/>
      <c r="O33" s="973"/>
      <c r="P33" s="973"/>
      <c r="Q33" s="973"/>
      <c r="R33" s="973"/>
      <c r="S33" s="973"/>
      <c r="T33" s="973"/>
      <c r="U33" s="973"/>
      <c r="V33" s="973"/>
      <c r="W33" s="973"/>
      <c r="X33" s="973"/>
      <c r="Y33" s="973"/>
      <c r="Z33" s="973"/>
      <c r="AA33" s="973"/>
      <c r="AB33" s="973"/>
      <c r="AC33" s="973"/>
      <c r="AD33" s="973"/>
      <c r="AE33" s="973"/>
      <c r="AF33" s="973"/>
      <c r="AG33" s="973"/>
      <c r="AH33" s="973"/>
      <c r="AI33" s="973"/>
      <c r="AJ33" s="973"/>
      <c r="AK33" s="973"/>
      <c r="AL33" s="973"/>
      <c r="AM33" s="973"/>
      <c r="AN33" s="973"/>
      <c r="AO33" s="973"/>
      <c r="AP33" s="973"/>
      <c r="AQ33" s="973"/>
      <c r="AR33" s="973"/>
      <c r="AS33" s="973"/>
      <c r="AT33" s="973"/>
      <c r="AU33" s="973"/>
      <c r="AV33" s="973"/>
      <c r="AW33" s="973"/>
      <c r="AX33" s="973"/>
      <c r="AY33" s="973"/>
      <c r="AZ33" s="973"/>
      <c r="BA33" s="973"/>
      <c r="BB33" s="973"/>
      <c r="BC33" s="973"/>
      <c r="BD33" s="973"/>
      <c r="BE33" s="973"/>
      <c r="BF33" s="973"/>
      <c r="BG33" s="973"/>
      <c r="BH33" s="973"/>
      <c r="BI33" s="973"/>
      <c r="BJ33" s="973"/>
      <c r="BK33" s="973"/>
      <c r="BL33" s="973"/>
      <c r="BM33" s="973"/>
      <c r="BN33" s="973"/>
      <c r="BO33" s="973"/>
      <c r="BP33" s="973"/>
      <c r="BQ33" s="973"/>
      <c r="BR33" s="973"/>
      <c r="BS33" s="973"/>
      <c r="BT33" s="973"/>
      <c r="BU33" s="973"/>
      <c r="BV33" s="973"/>
      <c r="BW33" s="973"/>
      <c r="BX33" s="973"/>
      <c r="BY33" s="973"/>
      <c r="BZ33" s="973"/>
      <c r="CA33" s="973"/>
      <c r="CB33" s="973"/>
      <c r="CC33" s="974"/>
    </row>
    <row r="34" spans="1:81" s="26" customFormat="1" ht="27.95" customHeight="1">
      <c r="A34" s="1070"/>
      <c r="B34" s="1071"/>
      <c r="C34" s="1071"/>
      <c r="D34" s="1071"/>
      <c r="E34" s="1071"/>
      <c r="F34" s="1071"/>
      <c r="G34" s="1071"/>
      <c r="H34" s="1071"/>
      <c r="I34" s="1071"/>
      <c r="J34" s="1071"/>
      <c r="K34" s="1071"/>
      <c r="L34" s="1071"/>
      <c r="M34" s="1071"/>
      <c r="N34" s="1071"/>
      <c r="O34" s="1071"/>
      <c r="P34" s="1071"/>
      <c r="Q34" s="1071"/>
      <c r="R34" s="1071"/>
      <c r="S34" s="1071"/>
      <c r="T34" s="1071"/>
      <c r="U34" s="1071"/>
      <c r="V34" s="1071"/>
      <c r="W34" s="1071"/>
      <c r="X34" s="1071"/>
      <c r="Y34" s="1071"/>
      <c r="Z34" s="1071"/>
      <c r="AA34" s="1071"/>
      <c r="AB34" s="1071"/>
      <c r="AC34" s="1071"/>
      <c r="AD34" s="1071"/>
      <c r="AE34" s="1071"/>
      <c r="AF34" s="1071"/>
      <c r="AG34" s="1071"/>
      <c r="AH34" s="1071"/>
      <c r="AI34" s="1071"/>
      <c r="AJ34" s="1071"/>
      <c r="AK34" s="1071"/>
      <c r="AL34" s="1071"/>
      <c r="AM34" s="1071"/>
      <c r="AN34" s="1071"/>
      <c r="AO34" s="1071"/>
      <c r="AP34" s="1071"/>
      <c r="AQ34" s="1071"/>
      <c r="AR34" s="1071"/>
      <c r="AS34" s="1071"/>
      <c r="AT34" s="1071"/>
      <c r="AU34" s="1071"/>
      <c r="AV34" s="1071"/>
      <c r="AW34" s="1071"/>
      <c r="AX34" s="1071"/>
      <c r="AY34" s="1071"/>
      <c r="AZ34" s="1071"/>
      <c r="BA34" s="1071"/>
      <c r="BB34" s="1071"/>
      <c r="BC34" s="1071"/>
      <c r="BD34" s="1071"/>
      <c r="BE34" s="1071"/>
      <c r="BF34" s="1071"/>
      <c r="BG34" s="1071"/>
      <c r="BH34" s="1071"/>
      <c r="BI34" s="1071"/>
      <c r="BJ34" s="1071"/>
      <c r="BK34" s="1071"/>
      <c r="BL34" s="1071"/>
      <c r="BM34" s="1071"/>
      <c r="BN34" s="1071"/>
      <c r="BO34" s="1071"/>
      <c r="BP34" s="1071"/>
      <c r="BQ34" s="1071"/>
      <c r="BR34" s="1071"/>
      <c r="BS34" s="1071"/>
      <c r="BT34" s="1071"/>
      <c r="BU34" s="1071"/>
      <c r="BV34" s="1071"/>
      <c r="BW34" s="1071"/>
      <c r="BX34" s="1071"/>
      <c r="BY34" s="1071"/>
      <c r="BZ34" s="1071"/>
      <c r="CA34" s="1071"/>
      <c r="CB34" s="1071"/>
      <c r="CC34" s="1072"/>
    </row>
    <row r="35" spans="1:81" s="26" customFormat="1" ht="27.95" customHeight="1">
      <c r="A35" s="1070"/>
      <c r="B35" s="1071"/>
      <c r="C35" s="1071"/>
      <c r="D35" s="1071"/>
      <c r="E35" s="1071"/>
      <c r="F35" s="1071"/>
      <c r="G35" s="1071"/>
      <c r="H35" s="1071"/>
      <c r="I35" s="1071"/>
      <c r="J35" s="1071"/>
      <c r="K35" s="1071"/>
      <c r="L35" s="1071"/>
      <c r="M35" s="1071"/>
      <c r="N35" s="1071"/>
      <c r="O35" s="1071"/>
      <c r="P35" s="1071"/>
      <c r="Q35" s="1071"/>
      <c r="R35" s="1071"/>
      <c r="S35" s="1071"/>
      <c r="T35" s="1071"/>
      <c r="U35" s="1071"/>
      <c r="V35" s="1071"/>
      <c r="W35" s="1071"/>
      <c r="X35" s="1071"/>
      <c r="Y35" s="1071"/>
      <c r="Z35" s="1071"/>
      <c r="AA35" s="1071"/>
      <c r="AB35" s="1071"/>
      <c r="AC35" s="1071"/>
      <c r="AD35" s="1071"/>
      <c r="AE35" s="1071"/>
      <c r="AF35" s="1071"/>
      <c r="AG35" s="1071"/>
      <c r="AH35" s="1071"/>
      <c r="AI35" s="1071"/>
      <c r="AJ35" s="1071"/>
      <c r="AK35" s="1071"/>
      <c r="AL35" s="1071"/>
      <c r="AM35" s="1071"/>
      <c r="AN35" s="1071"/>
      <c r="AO35" s="1071"/>
      <c r="AP35" s="1071"/>
      <c r="AQ35" s="1071"/>
      <c r="AR35" s="1071"/>
      <c r="AS35" s="1071"/>
      <c r="AT35" s="1071"/>
      <c r="AU35" s="1071"/>
      <c r="AV35" s="1071"/>
      <c r="AW35" s="1071"/>
      <c r="AX35" s="1071"/>
      <c r="AY35" s="1071"/>
      <c r="AZ35" s="1071"/>
      <c r="BA35" s="1071"/>
      <c r="BB35" s="1071"/>
      <c r="BC35" s="1071"/>
      <c r="BD35" s="1071"/>
      <c r="BE35" s="1071"/>
      <c r="BF35" s="1071"/>
      <c r="BG35" s="1071"/>
      <c r="BH35" s="1071"/>
      <c r="BI35" s="1071"/>
      <c r="BJ35" s="1071"/>
      <c r="BK35" s="1071"/>
      <c r="BL35" s="1071"/>
      <c r="BM35" s="1071"/>
      <c r="BN35" s="1071"/>
      <c r="BO35" s="1071"/>
      <c r="BP35" s="1071"/>
      <c r="BQ35" s="1071"/>
      <c r="BR35" s="1071"/>
      <c r="BS35" s="1071"/>
      <c r="BT35" s="1071"/>
      <c r="BU35" s="1071"/>
      <c r="BV35" s="1071"/>
      <c r="BW35" s="1071"/>
      <c r="BX35" s="1071"/>
      <c r="BY35" s="1071"/>
      <c r="BZ35" s="1071"/>
      <c r="CA35" s="1071"/>
      <c r="CB35" s="1071"/>
      <c r="CC35" s="1072"/>
    </row>
    <row r="36" spans="1:81" s="26" customFormat="1" ht="27.95" customHeight="1">
      <c r="A36" s="1067"/>
      <c r="B36" s="1068"/>
      <c r="C36" s="1068"/>
      <c r="D36" s="1068"/>
      <c r="E36" s="1068"/>
      <c r="F36" s="1068"/>
      <c r="G36" s="1068"/>
      <c r="H36" s="1068"/>
      <c r="I36" s="1068"/>
      <c r="J36" s="1068"/>
      <c r="K36" s="1068"/>
      <c r="L36" s="1068"/>
      <c r="M36" s="1068"/>
      <c r="N36" s="1068"/>
      <c r="O36" s="1068"/>
      <c r="P36" s="1068"/>
      <c r="Q36" s="1068"/>
      <c r="R36" s="1068"/>
      <c r="S36" s="1068"/>
      <c r="T36" s="1068"/>
      <c r="U36" s="1068"/>
      <c r="V36" s="1068"/>
      <c r="W36" s="1068"/>
      <c r="X36" s="1068"/>
      <c r="Y36" s="1068"/>
      <c r="Z36" s="1068"/>
      <c r="AA36" s="1068"/>
      <c r="AB36" s="1068"/>
      <c r="AC36" s="1068"/>
      <c r="AD36" s="1068"/>
      <c r="AE36" s="1068"/>
      <c r="AF36" s="1068"/>
      <c r="AG36" s="1068"/>
      <c r="AH36" s="1068"/>
      <c r="AI36" s="1068"/>
      <c r="AJ36" s="1068"/>
      <c r="AK36" s="1068"/>
      <c r="AL36" s="1068"/>
      <c r="AM36" s="1068"/>
      <c r="AN36" s="1068"/>
      <c r="AO36" s="1068"/>
      <c r="AP36" s="1068"/>
      <c r="AQ36" s="1068"/>
      <c r="AR36" s="1068"/>
      <c r="AS36" s="1068"/>
      <c r="AT36" s="1068"/>
      <c r="AU36" s="1068"/>
      <c r="AV36" s="1068"/>
      <c r="AW36" s="1068"/>
      <c r="AX36" s="1068"/>
      <c r="AY36" s="1068"/>
      <c r="AZ36" s="1068"/>
      <c r="BA36" s="1068"/>
      <c r="BB36" s="1068"/>
      <c r="BC36" s="1068"/>
      <c r="BD36" s="1068"/>
      <c r="BE36" s="1068"/>
      <c r="BF36" s="1068"/>
      <c r="BG36" s="1068"/>
      <c r="BH36" s="1068"/>
      <c r="BI36" s="1068"/>
      <c r="BJ36" s="1068"/>
      <c r="BK36" s="1068"/>
      <c r="BL36" s="1068"/>
      <c r="BM36" s="1068"/>
      <c r="BN36" s="1068"/>
      <c r="BO36" s="1068"/>
      <c r="BP36" s="1068"/>
      <c r="BQ36" s="1068"/>
      <c r="BR36" s="1068"/>
      <c r="BS36" s="1068"/>
      <c r="BT36" s="1068"/>
      <c r="BU36" s="1068"/>
      <c r="BV36" s="1068"/>
      <c r="BW36" s="1068"/>
      <c r="BX36" s="1068"/>
      <c r="BY36" s="1068"/>
      <c r="BZ36" s="1068"/>
      <c r="CA36" s="1068"/>
      <c r="CB36" s="1068"/>
      <c r="CC36" s="1069"/>
    </row>
    <row r="37" spans="1:81" s="10" customFormat="1" ht="15" customHeight="1">
      <c r="B37" s="3"/>
      <c r="C37" s="26"/>
      <c r="D37" s="26"/>
      <c r="T37" s="26"/>
      <c r="AN37" s="26"/>
      <c r="BH37" s="26"/>
      <c r="CC37" s="26"/>
    </row>
    <row r="38" spans="1:81" ht="15" customHeight="1"/>
    <row r="39" spans="1:81" ht="15" customHeight="1"/>
    <row r="40" spans="1:81" ht="15" customHeight="1"/>
    <row r="41" spans="1:81" ht="15" customHeight="1"/>
    <row r="42" spans="1:81" ht="15" customHeight="1"/>
    <row r="43" spans="1:81" ht="15" customHeight="1"/>
    <row r="44" spans="1:81" ht="15" customHeight="1"/>
    <row r="45" spans="1:81" ht="15" customHeight="1"/>
    <row r="46" spans="1:81" ht="15" customHeight="1"/>
    <row r="47" spans="1:81" ht="15" customHeight="1"/>
    <row r="48" spans="1:81" ht="15" customHeight="1"/>
    <row r="49" ht="15" customHeight="1"/>
    <row r="50" ht="15" customHeight="1"/>
    <row r="51" ht="15" customHeight="1"/>
  </sheetData>
  <mergeCells count="114">
    <mergeCell ref="A36:CC36"/>
    <mergeCell ref="A35:CC35"/>
    <mergeCell ref="A29:CC29"/>
    <mergeCell ref="A30:CC30"/>
    <mergeCell ref="A34:CC34"/>
    <mergeCell ref="A28:CC28"/>
    <mergeCell ref="AT14:CC14"/>
    <mergeCell ref="A19:CC19"/>
    <mergeCell ref="A16:CC16"/>
    <mergeCell ref="A20:P21"/>
    <mergeCell ref="A14:P14"/>
    <mergeCell ref="Q14:T14"/>
    <mergeCell ref="U14:AF14"/>
    <mergeCell ref="AG14:AS14"/>
    <mergeCell ref="BK15:CC15"/>
    <mergeCell ref="BT24:CC24"/>
    <mergeCell ref="BK23:BS23"/>
    <mergeCell ref="A22:H23"/>
    <mergeCell ref="I22:P23"/>
    <mergeCell ref="BT22:CC22"/>
    <mergeCell ref="BT23:CC23"/>
    <mergeCell ref="BK21:BS21"/>
    <mergeCell ref="BK22:BS22"/>
    <mergeCell ref="Q22:Y22"/>
    <mergeCell ref="Q12:T12"/>
    <mergeCell ref="U12:AF12"/>
    <mergeCell ref="AG12:AS12"/>
    <mergeCell ref="AT12:BJ12"/>
    <mergeCell ref="BK13:CC13"/>
    <mergeCell ref="A8:CC8"/>
    <mergeCell ref="A9:CC9"/>
    <mergeCell ref="BK10:CC10"/>
    <mergeCell ref="BI1:BN1"/>
    <mergeCell ref="BI2:BN2"/>
    <mergeCell ref="BI3:BN3"/>
    <mergeCell ref="I1:BH3"/>
    <mergeCell ref="A4:CC4"/>
    <mergeCell ref="A5:CC6"/>
    <mergeCell ref="A7:CC7"/>
    <mergeCell ref="A1:H3"/>
    <mergeCell ref="BO1:CC1"/>
    <mergeCell ref="BO2:CC2"/>
    <mergeCell ref="BO3:CC3"/>
    <mergeCell ref="A12:P12"/>
    <mergeCell ref="BK12:CC12"/>
    <mergeCell ref="AT13:BJ13"/>
    <mergeCell ref="BK11:CC11"/>
    <mergeCell ref="A10:P10"/>
    <mergeCell ref="Q10:T10"/>
    <mergeCell ref="U10:AF10"/>
    <mergeCell ref="AG10:AS10"/>
    <mergeCell ref="AT10:BJ10"/>
    <mergeCell ref="A11:P11"/>
    <mergeCell ref="Q11:T11"/>
    <mergeCell ref="U11:AF11"/>
    <mergeCell ref="AG11:AS11"/>
    <mergeCell ref="AT11:BJ11"/>
    <mergeCell ref="A13:P13"/>
    <mergeCell ref="Q13:T13"/>
    <mergeCell ref="U13:AF13"/>
    <mergeCell ref="AG13:AS13"/>
    <mergeCell ref="AT21:BA21"/>
    <mergeCell ref="AT22:BA22"/>
    <mergeCell ref="AT23:BA23"/>
    <mergeCell ref="AT24:BA24"/>
    <mergeCell ref="Z20:AI21"/>
    <mergeCell ref="Q15:T15"/>
    <mergeCell ref="U15:AF15"/>
    <mergeCell ref="AG15:AS15"/>
    <mergeCell ref="AT15:BJ15"/>
    <mergeCell ref="A18:CC18"/>
    <mergeCell ref="BT21:CC21"/>
    <mergeCell ref="AJ20:AS21"/>
    <mergeCell ref="Q20:Y21"/>
    <mergeCell ref="AT20:CC20"/>
    <mergeCell ref="A15:P15"/>
    <mergeCell ref="A17:CC17"/>
    <mergeCell ref="BB21:BJ21"/>
    <mergeCell ref="BB22:BJ22"/>
    <mergeCell ref="BB23:BJ23"/>
    <mergeCell ref="BB24:BJ24"/>
    <mergeCell ref="Q23:Y23"/>
    <mergeCell ref="Q24:Y24"/>
    <mergeCell ref="Q25:Y25"/>
    <mergeCell ref="Q26:Y26"/>
    <mergeCell ref="BT27:CC27"/>
    <mergeCell ref="BK27:BS27"/>
    <mergeCell ref="BB27:BJ27"/>
    <mergeCell ref="AT27:BA27"/>
    <mergeCell ref="AJ27:AS27"/>
    <mergeCell ref="AJ22:AS22"/>
    <mergeCell ref="AJ23:AS23"/>
    <mergeCell ref="AJ24:AS24"/>
    <mergeCell ref="Z22:AI23"/>
    <mergeCell ref="BK24:BS24"/>
    <mergeCell ref="A33:CC33"/>
    <mergeCell ref="A31:CC32"/>
    <mergeCell ref="BT25:CC25"/>
    <mergeCell ref="AJ26:AS26"/>
    <mergeCell ref="AT26:BA26"/>
    <mergeCell ref="BB26:BJ26"/>
    <mergeCell ref="BK26:BS26"/>
    <mergeCell ref="BT26:CC26"/>
    <mergeCell ref="Z24:AI25"/>
    <mergeCell ref="Z26:AI27"/>
    <mergeCell ref="AJ25:AS25"/>
    <mergeCell ref="AT25:BA25"/>
    <mergeCell ref="BB25:BJ25"/>
    <mergeCell ref="BK25:BS25"/>
    <mergeCell ref="Q27:Y27"/>
    <mergeCell ref="I24:P25"/>
    <mergeCell ref="I26:P27"/>
    <mergeCell ref="A26:H27"/>
    <mergeCell ref="A24:H25"/>
  </mergeCells>
  <printOptions horizontalCentered="1"/>
  <pageMargins left="0.6" right="0.25" top="0.75" bottom="0.5" header="0.3" footer="0.3"/>
  <pageSetup paperSize="9" scale="67" orientation="portrait" r:id="rId1"/>
</worksheet>
</file>

<file path=xl/worksheets/sheet6.xml><?xml version="1.0" encoding="utf-8"?>
<worksheet xmlns="http://schemas.openxmlformats.org/spreadsheetml/2006/main" xmlns:r="http://schemas.openxmlformats.org/officeDocument/2006/relationships">
  <sheetPr>
    <tabColor theme="4" tint="0.39997558519241921"/>
    <pageSetUpPr fitToPage="1"/>
  </sheetPr>
  <dimension ref="A1:L35"/>
  <sheetViews>
    <sheetView view="pageBreakPreview" zoomScale="80" zoomScaleSheetLayoutView="80" workbookViewId="0">
      <selection activeCell="G14" sqref="G14"/>
    </sheetView>
  </sheetViews>
  <sheetFormatPr defaultRowHeight="15"/>
  <cols>
    <col min="1" max="1" width="15.85546875" customWidth="1"/>
    <col min="2" max="2" width="12.7109375" customWidth="1"/>
    <col min="3" max="3" width="13.140625" bestFit="1" customWidth="1"/>
    <col min="4" max="8" width="12.7109375" customWidth="1"/>
    <col min="9" max="9" width="26" customWidth="1"/>
    <col min="10" max="10" width="1.7109375" customWidth="1"/>
  </cols>
  <sheetData>
    <row r="1" spans="1:9" ht="24.95" customHeight="1">
      <c r="A1" s="1095"/>
      <c r="B1" s="1096" t="s">
        <v>480</v>
      </c>
      <c r="C1" s="1097"/>
      <c r="D1" s="1097"/>
      <c r="E1" s="1097"/>
      <c r="F1" s="1097"/>
      <c r="G1" s="1098"/>
      <c r="H1" s="51" t="s">
        <v>237</v>
      </c>
      <c r="I1" s="52" t="s">
        <v>406</v>
      </c>
    </row>
    <row r="2" spans="1:9" ht="24.95" customHeight="1">
      <c r="A2" s="1095"/>
      <c r="B2" s="1099"/>
      <c r="C2" s="1100"/>
      <c r="D2" s="1100"/>
      <c r="E2" s="1100"/>
      <c r="F2" s="1100"/>
      <c r="G2" s="1101"/>
      <c r="H2" s="51" t="s">
        <v>235</v>
      </c>
      <c r="I2" s="52">
        <v>0</v>
      </c>
    </row>
    <row r="3" spans="1:9" ht="24.95" customHeight="1">
      <c r="A3" s="1095"/>
      <c r="B3" s="1102"/>
      <c r="C3" s="1103"/>
      <c r="D3" s="1103"/>
      <c r="E3" s="1103"/>
      <c r="F3" s="1103"/>
      <c r="G3" s="1104"/>
      <c r="H3" s="51" t="s">
        <v>236</v>
      </c>
      <c r="I3" s="55">
        <f>+'Cover '!T11</f>
        <v>42460</v>
      </c>
    </row>
    <row r="4" spans="1:9" ht="24.95" customHeight="1">
      <c r="A4" s="1106"/>
      <c r="B4" s="1107"/>
      <c r="C4" s="1107"/>
      <c r="D4" s="1107"/>
      <c r="E4" s="1107"/>
      <c r="F4" s="1107"/>
      <c r="G4" s="1107"/>
      <c r="H4" s="1107"/>
      <c r="I4" s="1108"/>
    </row>
    <row r="5" spans="1:9" ht="21.75" customHeight="1">
      <c r="A5" s="76" t="s">
        <v>242</v>
      </c>
      <c r="B5" s="1105">
        <f>I3</f>
        <v>42460</v>
      </c>
      <c r="C5" s="1105"/>
      <c r="D5" s="1105"/>
      <c r="E5" s="53"/>
      <c r="F5" s="53"/>
      <c r="G5" s="53"/>
      <c r="H5" s="53"/>
      <c r="I5" s="54"/>
    </row>
    <row r="6" spans="1:9" ht="21.95" customHeight="1">
      <c r="A6" s="1114" t="s">
        <v>276</v>
      </c>
      <c r="B6" s="1115"/>
      <c r="C6" s="1115"/>
      <c r="D6" s="1115"/>
      <c r="E6" s="1115"/>
      <c r="F6" s="1115"/>
      <c r="G6" s="1115"/>
      <c r="H6" s="1115"/>
      <c r="I6" s="1116"/>
    </row>
    <row r="7" spans="1:9" ht="15" customHeight="1">
      <c r="A7" s="1109"/>
      <c r="B7" s="1110"/>
      <c r="C7" s="1110"/>
      <c r="D7" s="1110"/>
      <c r="E7" s="1110"/>
      <c r="F7" s="1110"/>
      <c r="G7" s="1110"/>
      <c r="H7" s="1110"/>
      <c r="I7" s="1111"/>
    </row>
    <row r="8" spans="1:9" s="77" customFormat="1" ht="45">
      <c r="A8" s="48" t="s">
        <v>126</v>
      </c>
      <c r="B8" s="49" t="s">
        <v>205</v>
      </c>
      <c r="C8" s="49" t="s">
        <v>536</v>
      </c>
      <c r="D8" s="49" t="s">
        <v>206</v>
      </c>
      <c r="E8" s="49" t="s">
        <v>2</v>
      </c>
      <c r="F8" s="49" t="s">
        <v>210</v>
      </c>
      <c r="G8" s="49" t="s">
        <v>211</v>
      </c>
      <c r="H8" s="49" t="s">
        <v>212</v>
      </c>
      <c r="I8" s="50" t="s">
        <v>62</v>
      </c>
    </row>
    <row r="9" spans="1:9" s="77" customFormat="1" ht="24.95" customHeight="1">
      <c r="A9" s="78" t="s">
        <v>209</v>
      </c>
      <c r="B9" s="79">
        <v>190</v>
      </c>
      <c r="C9" s="79">
        <v>0</v>
      </c>
      <c r="D9" s="79">
        <f>+E9+F9+G9</f>
        <v>190</v>
      </c>
      <c r="E9" s="79">
        <f>+B9</f>
        <v>190</v>
      </c>
      <c r="F9" s="79">
        <v>0</v>
      </c>
      <c r="G9" s="79">
        <v>0</v>
      </c>
      <c r="H9" s="79">
        <f>+B9-D9</f>
        <v>0</v>
      </c>
      <c r="I9" s="82"/>
    </row>
    <row r="10" spans="1:9" s="77" customFormat="1" ht="24.95" customHeight="1">
      <c r="A10" s="80" t="s">
        <v>46</v>
      </c>
      <c r="B10" s="81">
        <v>39</v>
      </c>
      <c r="C10" s="81">
        <v>0</v>
      </c>
      <c r="D10" s="81">
        <f t="shared" ref="D10:D16" si="0">+E10+F10+G10</f>
        <v>39</v>
      </c>
      <c r="E10" s="79">
        <f t="shared" ref="E10:E16" si="1">+B10</f>
        <v>39</v>
      </c>
      <c r="F10" s="79">
        <v>0</v>
      </c>
      <c r="G10" s="79">
        <v>0</v>
      </c>
      <c r="H10" s="79">
        <f t="shared" ref="H10:H16" si="2">+B10-D10</f>
        <v>0</v>
      </c>
      <c r="I10" s="82"/>
    </row>
    <row r="11" spans="1:9" s="77" customFormat="1" ht="24.95" customHeight="1">
      <c r="A11" s="80" t="s">
        <v>207</v>
      </c>
      <c r="B11" s="81">
        <v>97</v>
      </c>
      <c r="C11" s="81">
        <v>0</v>
      </c>
      <c r="D11" s="81">
        <f t="shared" si="0"/>
        <v>97</v>
      </c>
      <c r="E11" s="79">
        <f t="shared" si="1"/>
        <v>97</v>
      </c>
      <c r="F11" s="79">
        <v>0</v>
      </c>
      <c r="G11" s="79">
        <v>0</v>
      </c>
      <c r="H11" s="79">
        <f t="shared" si="2"/>
        <v>0</v>
      </c>
      <c r="I11" s="82"/>
    </row>
    <row r="12" spans="1:9" s="77" customFormat="1" ht="24.95" customHeight="1">
      <c r="A12" s="80" t="s">
        <v>208</v>
      </c>
      <c r="B12" s="81">
        <v>34</v>
      </c>
      <c r="C12" s="81">
        <v>0</v>
      </c>
      <c r="D12" s="81">
        <f t="shared" si="0"/>
        <v>34</v>
      </c>
      <c r="E12" s="79">
        <f t="shared" si="1"/>
        <v>34</v>
      </c>
      <c r="F12" s="79">
        <v>0</v>
      </c>
      <c r="G12" s="79">
        <v>0</v>
      </c>
      <c r="H12" s="79">
        <f t="shared" si="2"/>
        <v>0</v>
      </c>
      <c r="I12" s="82"/>
    </row>
    <row r="13" spans="1:9" s="77" customFormat="1" ht="24.95" customHeight="1">
      <c r="A13" s="80" t="s">
        <v>342</v>
      </c>
      <c r="B13" s="81">
        <v>25</v>
      </c>
      <c r="C13" s="81">
        <v>0</v>
      </c>
      <c r="D13" s="81">
        <f t="shared" si="0"/>
        <v>25</v>
      </c>
      <c r="E13" s="79">
        <f t="shared" si="1"/>
        <v>25</v>
      </c>
      <c r="F13" s="79">
        <v>0</v>
      </c>
      <c r="G13" s="79">
        <v>0</v>
      </c>
      <c r="H13" s="79">
        <f t="shared" si="2"/>
        <v>0</v>
      </c>
      <c r="I13" s="82"/>
    </row>
    <row r="14" spans="1:9" s="77" customFormat="1" ht="24.95" customHeight="1">
      <c r="A14" s="80" t="s">
        <v>438</v>
      </c>
      <c r="B14" s="81">
        <v>42</v>
      </c>
      <c r="C14" s="81">
        <v>0</v>
      </c>
      <c r="D14" s="81">
        <f t="shared" si="0"/>
        <v>42</v>
      </c>
      <c r="E14" s="79">
        <f t="shared" si="1"/>
        <v>42</v>
      </c>
      <c r="F14" s="79">
        <v>0</v>
      </c>
      <c r="G14" s="79">
        <v>0</v>
      </c>
      <c r="H14" s="79">
        <f t="shared" si="2"/>
        <v>0</v>
      </c>
      <c r="I14" s="82"/>
    </row>
    <row r="15" spans="1:9" s="77" customFormat="1" ht="24.95" customHeight="1">
      <c r="A15" s="80" t="s">
        <v>439</v>
      </c>
      <c r="B15" s="81">
        <v>35</v>
      </c>
      <c r="C15" s="81">
        <v>0</v>
      </c>
      <c r="D15" s="81">
        <f t="shared" si="0"/>
        <v>35</v>
      </c>
      <c r="E15" s="79">
        <f t="shared" si="1"/>
        <v>35</v>
      </c>
      <c r="F15" s="79">
        <v>0</v>
      </c>
      <c r="G15" s="79">
        <v>0</v>
      </c>
      <c r="H15" s="79">
        <f t="shared" si="2"/>
        <v>0</v>
      </c>
      <c r="I15" s="82"/>
    </row>
    <row r="16" spans="1:9" s="77" customFormat="1" ht="24.95" customHeight="1">
      <c r="A16" s="80" t="s">
        <v>217</v>
      </c>
      <c r="B16" s="81">
        <v>52</v>
      </c>
      <c r="C16" s="81">
        <v>0</v>
      </c>
      <c r="D16" s="81">
        <f t="shared" si="0"/>
        <v>52</v>
      </c>
      <c r="E16" s="79">
        <f t="shared" si="1"/>
        <v>52</v>
      </c>
      <c r="F16" s="81">
        <v>0</v>
      </c>
      <c r="G16" s="81">
        <v>0</v>
      </c>
      <c r="H16" s="81">
        <f t="shared" si="2"/>
        <v>0</v>
      </c>
      <c r="I16" s="82"/>
    </row>
    <row r="17" spans="1:12" s="77" customFormat="1" ht="24.95" customHeight="1">
      <c r="A17" s="80"/>
      <c r="B17" s="81"/>
      <c r="C17" s="81"/>
      <c r="D17" s="81"/>
      <c r="E17" s="81"/>
      <c r="F17" s="81"/>
      <c r="G17" s="81"/>
      <c r="H17" s="81"/>
      <c r="I17" s="82"/>
    </row>
    <row r="18" spans="1:12" s="77" customFormat="1" ht="24.95" customHeight="1">
      <c r="A18" s="80"/>
      <c r="B18" s="81"/>
      <c r="C18" s="81"/>
      <c r="D18" s="81"/>
      <c r="E18" s="81"/>
      <c r="F18" s="81"/>
      <c r="G18" s="81"/>
      <c r="H18" s="81"/>
      <c r="I18" s="82"/>
    </row>
    <row r="19" spans="1:12" s="77" customFormat="1" ht="24.95" customHeight="1">
      <c r="A19" s="80"/>
      <c r="B19" s="81"/>
      <c r="C19" s="81"/>
      <c r="D19" s="81"/>
      <c r="E19" s="81"/>
      <c r="F19" s="81"/>
      <c r="G19" s="81"/>
      <c r="H19" s="81"/>
      <c r="I19" s="82"/>
    </row>
    <row r="20" spans="1:12" ht="24.95" customHeight="1">
      <c r="A20" s="56" t="s">
        <v>8</v>
      </c>
      <c r="B20" s="57">
        <f>SUM(B9:B19)</f>
        <v>514</v>
      </c>
      <c r="C20" s="57">
        <f t="shared" ref="C20:H20" si="3">SUM(C9:C19)</f>
        <v>0</v>
      </c>
      <c r="D20" s="57">
        <f t="shared" si="3"/>
        <v>514</v>
      </c>
      <c r="E20" s="57">
        <f t="shared" si="3"/>
        <v>514</v>
      </c>
      <c r="F20" s="57">
        <f t="shared" si="3"/>
        <v>0</v>
      </c>
      <c r="G20" s="57">
        <f t="shared" si="3"/>
        <v>0</v>
      </c>
      <c r="H20" s="57">
        <f t="shared" si="3"/>
        <v>0</v>
      </c>
      <c r="I20" s="58"/>
      <c r="L20">
        <f>+E20/B20</f>
        <v>1</v>
      </c>
    </row>
    <row r="21" spans="1:12" ht="23.25" customHeight="1"/>
    <row r="22" spans="1:12" ht="21.95" customHeight="1">
      <c r="A22" s="1114" t="s">
        <v>325</v>
      </c>
      <c r="B22" s="1115"/>
      <c r="C22" s="1115"/>
      <c r="D22" s="1115"/>
      <c r="E22" s="1115"/>
      <c r="F22" s="1115"/>
      <c r="G22" s="1115"/>
      <c r="H22" s="1115"/>
      <c r="I22" s="1116"/>
    </row>
    <row r="23" spans="1:12">
      <c r="A23" s="70"/>
      <c r="B23" s="70"/>
      <c r="C23" s="71"/>
      <c r="D23" s="70"/>
      <c r="E23" s="70"/>
      <c r="F23" s="70"/>
      <c r="G23" s="70"/>
    </row>
    <row r="24" spans="1:12" ht="24.95" customHeight="1">
      <c r="A24" s="95" t="s">
        <v>126</v>
      </c>
      <c r="B24" s="1086" t="s">
        <v>16</v>
      </c>
      <c r="C24" s="1086"/>
      <c r="D24" s="1086"/>
      <c r="E24" s="1087" t="s">
        <v>326</v>
      </c>
      <c r="F24" s="1087"/>
      <c r="G24" s="1087"/>
      <c r="H24" s="1086" t="s">
        <v>216</v>
      </c>
      <c r="I24" s="1086"/>
    </row>
    <row r="25" spans="1:12" ht="24.95" customHeight="1">
      <c r="A25" s="109" t="s">
        <v>327</v>
      </c>
      <c r="B25" s="1088">
        <v>0</v>
      </c>
      <c r="C25" s="1088"/>
      <c r="D25" s="1088"/>
      <c r="E25" s="1088">
        <v>0</v>
      </c>
      <c r="F25" s="1088"/>
      <c r="G25" s="1088"/>
      <c r="H25" s="1112">
        <v>0</v>
      </c>
      <c r="I25" s="1113"/>
    </row>
    <row r="26" spans="1:12" ht="24.95" customHeight="1">
      <c r="A26" s="110" t="s">
        <v>209</v>
      </c>
      <c r="B26" s="1089">
        <v>0</v>
      </c>
      <c r="C26" s="1089"/>
      <c r="D26" s="1089"/>
      <c r="E26" s="1089">
        <v>0</v>
      </c>
      <c r="F26" s="1089"/>
      <c r="G26" s="1089"/>
      <c r="H26" s="1112">
        <f>B26-E26</f>
        <v>0</v>
      </c>
      <c r="I26" s="1113"/>
    </row>
    <row r="27" spans="1:12" ht="24.95" customHeight="1">
      <c r="A27" s="56" t="s">
        <v>8</v>
      </c>
      <c r="B27" s="1118">
        <f>SUM(B25:D26)</f>
        <v>0</v>
      </c>
      <c r="C27" s="1119"/>
      <c r="D27" s="1120"/>
      <c r="E27" s="1118">
        <f>SUM(E25:G26)</f>
        <v>0</v>
      </c>
      <c r="F27" s="1119"/>
      <c r="G27" s="1120"/>
      <c r="H27" s="1118">
        <f>SUM(H25:I26)</f>
        <v>0</v>
      </c>
      <c r="I27" s="1121"/>
    </row>
    <row r="29" spans="1:12" ht="21.95" customHeight="1">
      <c r="A29" s="1114" t="s">
        <v>346</v>
      </c>
      <c r="B29" s="1115"/>
      <c r="C29" s="1115"/>
      <c r="D29" s="1115"/>
      <c r="E29" s="1115"/>
      <c r="F29" s="1115"/>
      <c r="G29" s="1115"/>
      <c r="H29" s="1115"/>
      <c r="I29" s="1116"/>
    </row>
    <row r="30" spans="1:12">
      <c r="A30" s="70"/>
      <c r="B30" s="70"/>
      <c r="C30" s="71"/>
      <c r="D30" s="70"/>
      <c r="E30" s="70"/>
      <c r="F30" s="70"/>
      <c r="G30" s="70"/>
    </row>
    <row r="31" spans="1:12" ht="24.95" customHeight="1">
      <c r="A31" s="117" t="s">
        <v>126</v>
      </c>
      <c r="B31" s="118" t="s">
        <v>347</v>
      </c>
      <c r="C31" s="1086" t="s">
        <v>348</v>
      </c>
      <c r="D31" s="1086"/>
      <c r="E31" s="1087" t="s">
        <v>126</v>
      </c>
      <c r="F31" s="1087"/>
      <c r="G31" s="1087"/>
      <c r="H31" s="1087"/>
      <c r="I31" s="118" t="s">
        <v>39</v>
      </c>
    </row>
    <row r="32" spans="1:12" ht="24.95" customHeight="1">
      <c r="A32" s="1117" t="s">
        <v>327</v>
      </c>
      <c r="B32" s="138"/>
      <c r="C32" s="1088"/>
      <c r="D32" s="1088"/>
      <c r="E32" s="1091"/>
      <c r="F32" s="1091"/>
      <c r="G32" s="1091"/>
      <c r="H32" s="1091"/>
      <c r="I32" s="159"/>
    </row>
    <row r="33" spans="1:9" ht="24.95" customHeight="1">
      <c r="A33" s="1084"/>
      <c r="B33" s="137"/>
      <c r="C33" s="1089"/>
      <c r="D33" s="1089"/>
      <c r="E33" s="1092"/>
      <c r="F33" s="1092"/>
      <c r="G33" s="1092"/>
      <c r="H33" s="1092"/>
      <c r="I33" s="160"/>
    </row>
    <row r="34" spans="1:9" ht="24.95" customHeight="1">
      <c r="A34" s="1084" t="s">
        <v>209</v>
      </c>
      <c r="B34" s="137"/>
      <c r="C34" s="1089"/>
      <c r="D34" s="1089"/>
      <c r="E34" s="1093"/>
      <c r="F34" s="1093"/>
      <c r="G34" s="1093"/>
      <c r="H34" s="1093"/>
      <c r="I34" s="125"/>
    </row>
    <row r="35" spans="1:9" ht="24.95" customHeight="1">
      <c r="A35" s="1085"/>
      <c r="B35" s="139"/>
      <c r="C35" s="1090"/>
      <c r="D35" s="1090"/>
      <c r="E35" s="1094"/>
      <c r="F35" s="1094"/>
      <c r="G35" s="1094"/>
      <c r="H35" s="1094"/>
      <c r="I35" s="126"/>
    </row>
  </sheetData>
  <mergeCells count="32">
    <mergeCell ref="A29:I29"/>
    <mergeCell ref="A32:A33"/>
    <mergeCell ref="B26:D26"/>
    <mergeCell ref="E26:G26"/>
    <mergeCell ref="H26:I26"/>
    <mergeCell ref="B27:D27"/>
    <mergeCell ref="E27:G27"/>
    <mergeCell ref="H27:I27"/>
    <mergeCell ref="B25:D25"/>
    <mergeCell ref="A1:A3"/>
    <mergeCell ref="B1:G3"/>
    <mergeCell ref="B5:D5"/>
    <mergeCell ref="A4:I4"/>
    <mergeCell ref="A7:I7"/>
    <mergeCell ref="E25:G25"/>
    <mergeCell ref="H25:I25"/>
    <mergeCell ref="H24:I24"/>
    <mergeCell ref="A22:I22"/>
    <mergeCell ref="A6:I6"/>
    <mergeCell ref="E24:G24"/>
    <mergeCell ref="B24:D24"/>
    <mergeCell ref="A34:A35"/>
    <mergeCell ref="C31:D31"/>
    <mergeCell ref="E31:H31"/>
    <mergeCell ref="C32:D32"/>
    <mergeCell ref="C33:D33"/>
    <mergeCell ref="C34:D34"/>
    <mergeCell ref="C35:D35"/>
    <mergeCell ref="E32:H32"/>
    <mergeCell ref="E33:H33"/>
    <mergeCell ref="E34:H34"/>
    <mergeCell ref="E35:H35"/>
  </mergeCells>
  <pageMargins left="0.6" right="0.11" top="0.75" bottom="0.5" header="0.3" footer="0.3"/>
  <pageSetup paperSize="9" scale="73" orientation="portrait" r:id="rId1"/>
  <headerFooter>
    <oddFooter>&amp;L          -----------------------
          Project In charge&amp;R --------------------          .       
          Project  Manager        .</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sheetPr>
    <tabColor theme="4" tint="0.39997558519241921"/>
  </sheetPr>
  <dimension ref="A1:BG36"/>
  <sheetViews>
    <sheetView view="pageBreakPreview" zoomScale="90" zoomScaleSheetLayoutView="90" workbookViewId="0">
      <selection activeCell="AX29" sqref="AX29:BG29"/>
    </sheetView>
  </sheetViews>
  <sheetFormatPr defaultRowHeight="15"/>
  <cols>
    <col min="1" max="59" width="1.5703125" customWidth="1"/>
  </cols>
  <sheetData>
    <row r="1" spans="1:59" ht="18" customHeight="1">
      <c r="A1" s="1132"/>
      <c r="B1" s="1132"/>
      <c r="C1" s="1132"/>
      <c r="D1" s="1132"/>
      <c r="E1" s="1132"/>
      <c r="F1" s="1132"/>
      <c r="G1" s="1096" t="s">
        <v>481</v>
      </c>
      <c r="H1" s="1142"/>
      <c r="I1" s="1142"/>
      <c r="J1" s="1142"/>
      <c r="K1" s="1142"/>
      <c r="L1" s="1142"/>
      <c r="M1" s="1142"/>
      <c r="N1" s="1142"/>
      <c r="O1" s="1142"/>
      <c r="P1" s="1142"/>
      <c r="Q1" s="1142"/>
      <c r="R1" s="1142"/>
      <c r="S1" s="1142"/>
      <c r="T1" s="1142"/>
      <c r="U1" s="1142"/>
      <c r="V1" s="1142"/>
      <c r="W1" s="1142"/>
      <c r="X1" s="1142"/>
      <c r="Y1" s="1142"/>
      <c r="Z1" s="1142"/>
      <c r="AA1" s="1142"/>
      <c r="AB1" s="1142"/>
      <c r="AC1" s="1142"/>
      <c r="AD1" s="1142"/>
      <c r="AE1" s="1142"/>
      <c r="AF1" s="1142"/>
      <c r="AG1" s="1142"/>
      <c r="AH1" s="1142"/>
      <c r="AI1" s="1142"/>
      <c r="AJ1" s="1142"/>
      <c r="AK1" s="1142"/>
      <c r="AL1" s="1142"/>
      <c r="AM1" s="1142"/>
      <c r="AN1" s="1142"/>
      <c r="AO1" s="1142"/>
      <c r="AP1" s="1142"/>
      <c r="AQ1" s="1143"/>
      <c r="AR1" s="1139" t="s">
        <v>237</v>
      </c>
      <c r="AS1" s="1140"/>
      <c r="AT1" s="1140"/>
      <c r="AU1" s="1141"/>
      <c r="AV1" s="1133" t="s">
        <v>407</v>
      </c>
      <c r="AW1" s="1134"/>
      <c r="AX1" s="1134"/>
      <c r="AY1" s="1134"/>
      <c r="AZ1" s="1134"/>
      <c r="BA1" s="1134"/>
      <c r="BB1" s="1134"/>
      <c r="BC1" s="1134"/>
      <c r="BD1" s="1134"/>
      <c r="BE1" s="1134"/>
      <c r="BF1" s="1134"/>
      <c r="BG1" s="1135"/>
    </row>
    <row r="2" spans="1:59" ht="18" customHeight="1">
      <c r="A2" s="1058"/>
      <c r="B2" s="1058"/>
      <c r="C2" s="1058"/>
      <c r="D2" s="1058"/>
      <c r="E2" s="1058"/>
      <c r="F2" s="1058"/>
      <c r="G2" s="1144"/>
      <c r="H2" s="1145"/>
      <c r="I2" s="1145"/>
      <c r="J2" s="1145"/>
      <c r="K2" s="1145"/>
      <c r="L2" s="1145"/>
      <c r="M2" s="1145"/>
      <c r="N2" s="1145"/>
      <c r="O2" s="1145"/>
      <c r="P2" s="1145"/>
      <c r="Q2" s="1145"/>
      <c r="R2" s="1145"/>
      <c r="S2" s="1145"/>
      <c r="T2" s="1145"/>
      <c r="U2" s="1145"/>
      <c r="V2" s="1145"/>
      <c r="W2" s="1145"/>
      <c r="X2" s="1145"/>
      <c r="Y2" s="1145"/>
      <c r="Z2" s="1145"/>
      <c r="AA2" s="1145"/>
      <c r="AB2" s="1145"/>
      <c r="AC2" s="1145"/>
      <c r="AD2" s="1145"/>
      <c r="AE2" s="1145"/>
      <c r="AF2" s="1145"/>
      <c r="AG2" s="1145"/>
      <c r="AH2" s="1145"/>
      <c r="AI2" s="1145"/>
      <c r="AJ2" s="1145"/>
      <c r="AK2" s="1145"/>
      <c r="AL2" s="1145"/>
      <c r="AM2" s="1145"/>
      <c r="AN2" s="1145"/>
      <c r="AO2" s="1145"/>
      <c r="AP2" s="1145"/>
      <c r="AQ2" s="1146"/>
      <c r="AR2" s="1139" t="s">
        <v>235</v>
      </c>
      <c r="AS2" s="1140"/>
      <c r="AT2" s="1140"/>
      <c r="AU2" s="1141"/>
      <c r="AV2" s="1133">
        <v>0</v>
      </c>
      <c r="AW2" s="1134"/>
      <c r="AX2" s="1134"/>
      <c r="AY2" s="1134"/>
      <c r="AZ2" s="1134"/>
      <c r="BA2" s="1134"/>
      <c r="BB2" s="1134"/>
      <c r="BC2" s="1134"/>
      <c r="BD2" s="1134"/>
      <c r="BE2" s="1134"/>
      <c r="BF2" s="1134"/>
      <c r="BG2" s="1135"/>
    </row>
    <row r="3" spans="1:59" ht="18" customHeight="1">
      <c r="A3" s="1059"/>
      <c r="B3" s="1059"/>
      <c r="C3" s="1059"/>
      <c r="D3" s="1059"/>
      <c r="E3" s="1059"/>
      <c r="F3" s="1059"/>
      <c r="G3" s="1147"/>
      <c r="H3" s="1148"/>
      <c r="I3" s="1148"/>
      <c r="J3" s="1148"/>
      <c r="K3" s="1148"/>
      <c r="L3" s="1148"/>
      <c r="M3" s="1148"/>
      <c r="N3" s="1148"/>
      <c r="O3" s="1148"/>
      <c r="P3" s="1148"/>
      <c r="Q3" s="1148"/>
      <c r="R3" s="1148"/>
      <c r="S3" s="1148"/>
      <c r="T3" s="1148"/>
      <c r="U3" s="1148"/>
      <c r="V3" s="1148"/>
      <c r="W3" s="1148"/>
      <c r="X3" s="1148"/>
      <c r="Y3" s="1148"/>
      <c r="Z3" s="1148"/>
      <c r="AA3" s="1148"/>
      <c r="AB3" s="1148"/>
      <c r="AC3" s="1148"/>
      <c r="AD3" s="1148"/>
      <c r="AE3" s="1148"/>
      <c r="AF3" s="1148"/>
      <c r="AG3" s="1148"/>
      <c r="AH3" s="1148"/>
      <c r="AI3" s="1148"/>
      <c r="AJ3" s="1148"/>
      <c r="AK3" s="1148"/>
      <c r="AL3" s="1148"/>
      <c r="AM3" s="1148"/>
      <c r="AN3" s="1148"/>
      <c r="AO3" s="1148"/>
      <c r="AP3" s="1148"/>
      <c r="AQ3" s="1149"/>
      <c r="AR3" s="1139" t="s">
        <v>244</v>
      </c>
      <c r="AS3" s="1140"/>
      <c r="AT3" s="1140"/>
      <c r="AU3" s="1141"/>
      <c r="AV3" s="1136">
        <f>+'Cover '!T11</f>
        <v>42460</v>
      </c>
      <c r="AW3" s="1137"/>
      <c r="AX3" s="1137"/>
      <c r="AY3" s="1137"/>
      <c r="AZ3" s="1137"/>
      <c r="BA3" s="1137"/>
      <c r="BB3" s="1137"/>
      <c r="BC3" s="1137"/>
      <c r="BD3" s="1137"/>
      <c r="BE3" s="1137"/>
      <c r="BF3" s="1137"/>
      <c r="BG3" s="1138"/>
    </row>
    <row r="4" spans="1:59">
      <c r="A4" s="1180"/>
      <c r="B4" s="1181"/>
      <c r="C4" s="1181"/>
      <c r="D4" s="1181"/>
      <c r="E4" s="1181"/>
      <c r="F4" s="1181"/>
      <c r="G4" s="1181"/>
      <c r="H4" s="1181"/>
      <c r="I4" s="1181"/>
      <c r="J4" s="1181"/>
      <c r="K4" s="1181"/>
      <c r="L4" s="1181"/>
      <c r="M4" s="1181"/>
      <c r="N4" s="1181"/>
      <c r="O4" s="1181"/>
      <c r="P4" s="1181"/>
      <c r="Q4" s="1181"/>
      <c r="R4" s="1181"/>
      <c r="S4" s="1181"/>
      <c r="T4" s="1181"/>
      <c r="U4" s="1181"/>
      <c r="V4" s="1181"/>
      <c r="W4" s="1181"/>
      <c r="X4" s="1181"/>
      <c r="Y4" s="1181"/>
      <c r="Z4" s="1181"/>
      <c r="AA4" s="1181"/>
      <c r="AB4" s="1181"/>
      <c r="AC4" s="1181"/>
      <c r="AD4" s="1181"/>
      <c r="AE4" s="1181"/>
      <c r="AF4" s="1181"/>
      <c r="AG4" s="1181"/>
      <c r="AH4" s="1181"/>
      <c r="AI4" s="1181"/>
      <c r="AJ4" s="1181"/>
      <c r="AK4" s="1181"/>
      <c r="AL4" s="1181"/>
      <c r="AM4" s="1181"/>
      <c r="AN4" s="1181"/>
      <c r="AO4" s="1181"/>
      <c r="AP4" s="1181"/>
      <c r="AQ4" s="1181"/>
      <c r="AR4" s="1181"/>
      <c r="AS4" s="1181"/>
      <c r="AT4" s="1181"/>
      <c r="AU4" s="1181"/>
      <c r="AV4" s="1181"/>
      <c r="AW4" s="1181"/>
      <c r="AX4" s="1181"/>
      <c r="AY4" s="1181"/>
      <c r="AZ4" s="1181"/>
      <c r="BA4" s="1181"/>
      <c r="BB4" s="1181"/>
      <c r="BC4" s="1181"/>
      <c r="BD4" s="1181"/>
      <c r="BE4" s="1181"/>
      <c r="BF4" s="1181"/>
      <c r="BG4" s="1182"/>
    </row>
    <row r="5" spans="1:59">
      <c r="A5" s="59" t="s">
        <v>242</v>
      </c>
      <c r="B5" s="60"/>
      <c r="C5" s="60"/>
      <c r="D5" s="60"/>
      <c r="E5" s="60"/>
      <c r="F5" s="1122">
        <f>AV3</f>
        <v>42460</v>
      </c>
      <c r="G5" s="1122"/>
      <c r="H5" s="1122"/>
      <c r="I5" s="1122"/>
      <c r="J5" s="1122"/>
      <c r="K5" s="1122"/>
      <c r="L5" s="1122"/>
      <c r="M5" s="1122"/>
      <c r="N5" s="1122"/>
      <c r="O5" s="1122"/>
      <c r="P5" s="1122"/>
      <c r="Q5" s="1122"/>
      <c r="R5" s="1122"/>
      <c r="S5" s="1122"/>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1"/>
    </row>
    <row r="6" spans="1:59" ht="9.9499999999999993" customHeight="1">
      <c r="A6" s="1123"/>
      <c r="B6" s="1124"/>
      <c r="C6" s="1124"/>
      <c r="D6" s="1124"/>
      <c r="E6" s="1124"/>
      <c r="F6" s="1124"/>
      <c r="G6" s="1124"/>
      <c r="H6" s="1124"/>
      <c r="I6" s="1124"/>
      <c r="J6" s="1124"/>
      <c r="K6" s="1124"/>
      <c r="L6" s="1124"/>
      <c r="M6" s="1124"/>
      <c r="N6" s="1124"/>
      <c r="O6" s="1124"/>
      <c r="P6" s="1124"/>
      <c r="Q6" s="1124"/>
      <c r="R6" s="1124"/>
      <c r="S6" s="1124"/>
      <c r="T6" s="1124"/>
      <c r="U6" s="1124"/>
      <c r="V6" s="1124"/>
      <c r="W6" s="1124"/>
      <c r="X6" s="1124"/>
      <c r="Y6" s="1124"/>
      <c r="Z6" s="1124"/>
      <c r="AA6" s="1124"/>
      <c r="AB6" s="1124"/>
      <c r="AC6" s="1124"/>
      <c r="AD6" s="1124"/>
      <c r="AE6" s="1124"/>
      <c r="AF6" s="1124"/>
      <c r="AG6" s="1124"/>
      <c r="AH6" s="1124"/>
      <c r="AI6" s="1124"/>
      <c r="AJ6" s="1124"/>
      <c r="AK6" s="1124"/>
      <c r="AL6" s="1124"/>
      <c r="AM6" s="1124"/>
      <c r="AN6" s="1124"/>
      <c r="AO6" s="1124"/>
      <c r="AP6" s="1124"/>
      <c r="AQ6" s="1124"/>
      <c r="AR6" s="1124"/>
      <c r="AS6" s="1124"/>
      <c r="AT6" s="1124"/>
      <c r="AU6" s="1124"/>
      <c r="AV6" s="1124"/>
      <c r="AW6" s="1124"/>
      <c r="AX6" s="1124"/>
      <c r="AY6" s="1124"/>
      <c r="AZ6" s="1124"/>
      <c r="BA6" s="1124"/>
      <c r="BB6" s="1124"/>
      <c r="BC6" s="1124"/>
      <c r="BD6" s="1124"/>
      <c r="BE6" s="1124"/>
      <c r="BF6" s="1124"/>
      <c r="BG6" s="1125"/>
    </row>
    <row r="7" spans="1:59" ht="20.100000000000001" customHeight="1">
      <c r="A7" s="1183" t="s">
        <v>243</v>
      </c>
      <c r="B7" s="1184"/>
      <c r="C7" s="1184"/>
      <c r="D7" s="1184"/>
      <c r="E7" s="1184"/>
      <c r="F7" s="1184"/>
      <c r="G7" s="1184"/>
      <c r="H7" s="1184"/>
      <c r="I7" s="1184"/>
      <c r="J7" s="1184"/>
      <c r="K7" s="1184"/>
      <c r="L7" s="1184"/>
      <c r="M7" s="1184"/>
      <c r="N7" s="1184"/>
      <c r="O7" s="1184"/>
      <c r="P7" s="1184"/>
      <c r="Q7" s="1184"/>
      <c r="R7" s="1184"/>
      <c r="S7" s="1184"/>
      <c r="T7" s="1184"/>
      <c r="U7" s="1184"/>
      <c r="V7" s="1184"/>
      <c r="W7" s="1184"/>
      <c r="X7" s="1184"/>
      <c r="Y7" s="1184"/>
      <c r="Z7" s="1184"/>
      <c r="AA7" s="1184"/>
      <c r="AB7" s="1184"/>
      <c r="AC7" s="1184"/>
      <c r="AD7" s="1184"/>
      <c r="AE7" s="1184"/>
      <c r="AF7" s="1184"/>
      <c r="AG7" s="1184"/>
      <c r="AH7" s="1184"/>
      <c r="AI7" s="1184"/>
      <c r="AJ7" s="1184"/>
      <c r="AK7" s="1184"/>
      <c r="AL7" s="1184"/>
      <c r="AM7" s="1184"/>
      <c r="AN7" s="1184"/>
      <c r="AO7" s="1184"/>
      <c r="AP7" s="1184"/>
      <c r="AQ7" s="1184"/>
      <c r="AR7" s="1184"/>
      <c r="AS7" s="1184"/>
      <c r="AT7" s="1184"/>
      <c r="AU7" s="1184"/>
      <c r="AV7" s="1184"/>
      <c r="AW7" s="1184"/>
      <c r="AX7" s="1184"/>
      <c r="AY7" s="1184"/>
      <c r="AZ7" s="1184"/>
      <c r="BA7" s="1184"/>
      <c r="BB7" s="1184"/>
      <c r="BC7" s="1184"/>
      <c r="BD7" s="1184"/>
      <c r="BE7" s="1184"/>
      <c r="BF7" s="1184"/>
      <c r="BG7" s="1185"/>
    </row>
    <row r="8" spans="1:59" ht="9.9499999999999993" customHeight="1">
      <c r="A8" s="1123"/>
      <c r="B8" s="1124"/>
      <c r="C8" s="1124"/>
      <c r="D8" s="1124"/>
      <c r="E8" s="1124"/>
      <c r="F8" s="1124"/>
      <c r="G8" s="1124"/>
      <c r="H8" s="1124"/>
      <c r="I8" s="1124"/>
      <c r="J8" s="1124"/>
      <c r="K8" s="1124"/>
      <c r="L8" s="1124"/>
      <c r="M8" s="1124"/>
      <c r="N8" s="1124"/>
      <c r="O8" s="1124"/>
      <c r="P8" s="1124"/>
      <c r="Q8" s="1124"/>
      <c r="R8" s="1124"/>
      <c r="S8" s="1124"/>
      <c r="T8" s="1124"/>
      <c r="U8" s="1124"/>
      <c r="V8" s="1124"/>
      <c r="W8" s="1124"/>
      <c r="X8" s="1124"/>
      <c r="Y8" s="1124"/>
      <c r="Z8" s="1124"/>
      <c r="AA8" s="1124"/>
      <c r="AB8" s="1124"/>
      <c r="AC8" s="1124"/>
      <c r="AD8" s="1124"/>
      <c r="AE8" s="1124"/>
      <c r="AF8" s="1124"/>
      <c r="AG8" s="1124"/>
      <c r="AH8" s="1124"/>
      <c r="AI8" s="1124"/>
      <c r="AJ8" s="1124"/>
      <c r="AK8" s="1124"/>
      <c r="AL8" s="1124"/>
      <c r="AM8" s="1124"/>
      <c r="AN8" s="1124"/>
      <c r="AO8" s="1124"/>
      <c r="AP8" s="1124"/>
      <c r="AQ8" s="1124"/>
      <c r="AR8" s="1124"/>
      <c r="AS8" s="1124"/>
      <c r="AT8" s="1124"/>
      <c r="AU8" s="1124"/>
      <c r="AV8" s="1124"/>
      <c r="AW8" s="1124"/>
      <c r="AX8" s="1124"/>
      <c r="AY8" s="1124"/>
      <c r="AZ8" s="1124"/>
      <c r="BA8" s="1124"/>
      <c r="BB8" s="1124"/>
      <c r="BC8" s="1124"/>
      <c r="BD8" s="1124"/>
      <c r="BE8" s="1124"/>
      <c r="BF8" s="1124"/>
      <c r="BG8" s="1125"/>
    </row>
    <row r="9" spans="1:59" ht="46.5" customHeight="1">
      <c r="A9" s="1155" t="s">
        <v>126</v>
      </c>
      <c r="B9" s="1150"/>
      <c r="C9" s="1150"/>
      <c r="D9" s="1150"/>
      <c r="E9" s="1150"/>
      <c r="F9" s="1150"/>
      <c r="G9" s="1150"/>
      <c r="H9" s="1150"/>
      <c r="I9" s="1150"/>
      <c r="J9" s="1150"/>
      <c r="K9" s="1150" t="s">
        <v>213</v>
      </c>
      <c r="L9" s="1150"/>
      <c r="M9" s="1150"/>
      <c r="N9" s="1150"/>
      <c r="O9" s="1150"/>
      <c r="P9" s="1150"/>
      <c r="Q9" s="1150"/>
      <c r="R9" s="1150" t="s">
        <v>437</v>
      </c>
      <c r="S9" s="1150"/>
      <c r="T9" s="1150"/>
      <c r="U9" s="1150"/>
      <c r="V9" s="1150"/>
      <c r="W9" s="1150"/>
      <c r="X9" s="1150"/>
      <c r="Y9" s="1150" t="s">
        <v>262</v>
      </c>
      <c r="Z9" s="1150"/>
      <c r="AA9" s="1150"/>
      <c r="AB9" s="1150"/>
      <c r="AC9" s="1150"/>
      <c r="AD9" s="1150"/>
      <c r="AE9" s="1150"/>
      <c r="AF9" s="1150" t="s">
        <v>2</v>
      </c>
      <c r="AG9" s="1150"/>
      <c r="AH9" s="1150"/>
      <c r="AI9" s="1150"/>
      <c r="AJ9" s="1150"/>
      <c r="AK9" s="1150"/>
      <c r="AL9" s="1150"/>
      <c r="AM9" s="1150" t="s">
        <v>210</v>
      </c>
      <c r="AN9" s="1150"/>
      <c r="AO9" s="1150"/>
      <c r="AP9" s="1150"/>
      <c r="AQ9" s="1150"/>
      <c r="AR9" s="1150"/>
      <c r="AS9" s="1150"/>
      <c r="AT9" s="1150" t="s">
        <v>211</v>
      </c>
      <c r="AU9" s="1150"/>
      <c r="AV9" s="1150"/>
      <c r="AW9" s="1150"/>
      <c r="AX9" s="1150"/>
      <c r="AY9" s="1150"/>
      <c r="AZ9" s="1150"/>
      <c r="BA9" s="1150" t="s">
        <v>212</v>
      </c>
      <c r="BB9" s="1150"/>
      <c r="BC9" s="1150"/>
      <c r="BD9" s="1150"/>
      <c r="BE9" s="1150"/>
      <c r="BF9" s="1150"/>
      <c r="BG9" s="1151"/>
    </row>
    <row r="10" spans="1:59" s="77" customFormat="1" ht="23.1" customHeight="1">
      <c r="A10" s="1152" t="s">
        <v>46</v>
      </c>
      <c r="B10" s="1153"/>
      <c r="C10" s="1153"/>
      <c r="D10" s="1153"/>
      <c r="E10" s="1153"/>
      <c r="F10" s="1153"/>
      <c r="G10" s="1153"/>
      <c r="H10" s="1153"/>
      <c r="I10" s="1153"/>
      <c r="J10" s="1153"/>
      <c r="K10" s="1154">
        <v>23</v>
      </c>
      <c r="L10" s="1154"/>
      <c r="M10" s="1154"/>
      <c r="N10" s="1154"/>
      <c r="O10" s="1154"/>
      <c r="P10" s="1154"/>
      <c r="Q10" s="1154"/>
      <c r="R10" s="1154">
        <v>0</v>
      </c>
      <c r="S10" s="1154"/>
      <c r="T10" s="1154"/>
      <c r="U10" s="1154"/>
      <c r="V10" s="1154"/>
      <c r="W10" s="1154"/>
      <c r="X10" s="1154"/>
      <c r="Y10" s="1154">
        <v>23</v>
      </c>
      <c r="Z10" s="1154"/>
      <c r="AA10" s="1154"/>
      <c r="AB10" s="1154"/>
      <c r="AC10" s="1154"/>
      <c r="AD10" s="1154"/>
      <c r="AE10" s="1154"/>
      <c r="AF10" s="1154">
        <v>23</v>
      </c>
      <c r="AG10" s="1154"/>
      <c r="AH10" s="1154"/>
      <c r="AI10" s="1154"/>
      <c r="AJ10" s="1154"/>
      <c r="AK10" s="1154"/>
      <c r="AL10" s="1154"/>
      <c r="AM10" s="1154">
        <v>0</v>
      </c>
      <c r="AN10" s="1154"/>
      <c r="AO10" s="1154"/>
      <c r="AP10" s="1154"/>
      <c r="AQ10" s="1154"/>
      <c r="AR10" s="1154"/>
      <c r="AS10" s="1154"/>
      <c r="AT10" s="1154">
        <v>0</v>
      </c>
      <c r="AU10" s="1154"/>
      <c r="AV10" s="1154"/>
      <c r="AW10" s="1154"/>
      <c r="AX10" s="1154"/>
      <c r="AY10" s="1154"/>
      <c r="AZ10" s="1154"/>
      <c r="BA10" s="1154">
        <f>K10-AF10+AM10</f>
        <v>0</v>
      </c>
      <c r="BB10" s="1154"/>
      <c r="BC10" s="1154"/>
      <c r="BD10" s="1154"/>
      <c r="BE10" s="1154"/>
      <c r="BF10" s="1154"/>
      <c r="BG10" s="1156"/>
    </row>
    <row r="11" spans="1:59" s="77" customFormat="1" ht="23.1" customHeight="1">
      <c r="A11" s="1152" t="s">
        <v>207</v>
      </c>
      <c r="B11" s="1153"/>
      <c r="C11" s="1153"/>
      <c r="D11" s="1153"/>
      <c r="E11" s="1153"/>
      <c r="F11" s="1153"/>
      <c r="G11" s="1153"/>
      <c r="H11" s="1153"/>
      <c r="I11" s="1153"/>
      <c r="J11" s="1153"/>
      <c r="K11" s="1154">
        <v>31</v>
      </c>
      <c r="L11" s="1154"/>
      <c r="M11" s="1154"/>
      <c r="N11" s="1154"/>
      <c r="O11" s="1154"/>
      <c r="P11" s="1154"/>
      <c r="Q11" s="1154"/>
      <c r="R11" s="1154">
        <v>0</v>
      </c>
      <c r="S11" s="1154"/>
      <c r="T11" s="1154"/>
      <c r="U11" s="1154"/>
      <c r="V11" s="1154"/>
      <c r="W11" s="1154"/>
      <c r="X11" s="1154"/>
      <c r="Y11" s="1154">
        <v>31</v>
      </c>
      <c r="Z11" s="1154"/>
      <c r="AA11" s="1154"/>
      <c r="AB11" s="1154"/>
      <c r="AC11" s="1154"/>
      <c r="AD11" s="1154"/>
      <c r="AE11" s="1154"/>
      <c r="AF11" s="1154">
        <v>31</v>
      </c>
      <c r="AG11" s="1154"/>
      <c r="AH11" s="1154"/>
      <c r="AI11" s="1154"/>
      <c r="AJ11" s="1154"/>
      <c r="AK11" s="1154"/>
      <c r="AL11" s="1154"/>
      <c r="AM11" s="1154">
        <v>0</v>
      </c>
      <c r="AN11" s="1154"/>
      <c r="AO11" s="1154"/>
      <c r="AP11" s="1154"/>
      <c r="AQ11" s="1154"/>
      <c r="AR11" s="1154"/>
      <c r="AS11" s="1154"/>
      <c r="AT11" s="1154">
        <v>0</v>
      </c>
      <c r="AU11" s="1154"/>
      <c r="AV11" s="1154"/>
      <c r="AW11" s="1154"/>
      <c r="AX11" s="1154"/>
      <c r="AY11" s="1154"/>
      <c r="AZ11" s="1154"/>
      <c r="BA11" s="1154">
        <f>K11-AF11+AM11</f>
        <v>0</v>
      </c>
      <c r="BB11" s="1154"/>
      <c r="BC11" s="1154"/>
      <c r="BD11" s="1154"/>
      <c r="BE11" s="1154"/>
      <c r="BF11" s="1154"/>
      <c r="BG11" s="1156"/>
    </row>
    <row r="12" spans="1:59" s="77" customFormat="1" ht="23.1" customHeight="1">
      <c r="A12" s="1152" t="s">
        <v>208</v>
      </c>
      <c r="B12" s="1153"/>
      <c r="C12" s="1153"/>
      <c r="D12" s="1153"/>
      <c r="E12" s="1153"/>
      <c r="F12" s="1153"/>
      <c r="G12" s="1153"/>
      <c r="H12" s="1153"/>
      <c r="I12" s="1153"/>
      <c r="J12" s="1153"/>
      <c r="K12" s="1154">
        <v>25</v>
      </c>
      <c r="L12" s="1154"/>
      <c r="M12" s="1154"/>
      <c r="N12" s="1154"/>
      <c r="O12" s="1154"/>
      <c r="P12" s="1154"/>
      <c r="Q12" s="1154"/>
      <c r="R12" s="1154">
        <v>0</v>
      </c>
      <c r="S12" s="1154"/>
      <c r="T12" s="1154"/>
      <c r="U12" s="1154"/>
      <c r="V12" s="1154"/>
      <c r="W12" s="1154"/>
      <c r="X12" s="1154"/>
      <c r="Y12" s="1154">
        <v>25</v>
      </c>
      <c r="Z12" s="1154"/>
      <c r="AA12" s="1154"/>
      <c r="AB12" s="1154"/>
      <c r="AC12" s="1154"/>
      <c r="AD12" s="1154"/>
      <c r="AE12" s="1154"/>
      <c r="AF12" s="1154">
        <v>25</v>
      </c>
      <c r="AG12" s="1154"/>
      <c r="AH12" s="1154"/>
      <c r="AI12" s="1154"/>
      <c r="AJ12" s="1154"/>
      <c r="AK12" s="1154"/>
      <c r="AL12" s="1154"/>
      <c r="AM12" s="1154">
        <v>0</v>
      </c>
      <c r="AN12" s="1154"/>
      <c r="AO12" s="1154"/>
      <c r="AP12" s="1154"/>
      <c r="AQ12" s="1154"/>
      <c r="AR12" s="1154"/>
      <c r="AS12" s="1154"/>
      <c r="AT12" s="1154">
        <v>0</v>
      </c>
      <c r="AU12" s="1154"/>
      <c r="AV12" s="1154"/>
      <c r="AW12" s="1154"/>
      <c r="AX12" s="1154"/>
      <c r="AY12" s="1154"/>
      <c r="AZ12" s="1154"/>
      <c r="BA12" s="1154">
        <v>0</v>
      </c>
      <c r="BB12" s="1154"/>
      <c r="BC12" s="1154"/>
      <c r="BD12" s="1154"/>
      <c r="BE12" s="1154"/>
      <c r="BF12" s="1154"/>
      <c r="BG12" s="1156"/>
    </row>
    <row r="13" spans="1:59" s="77" customFormat="1" ht="23.1" customHeight="1">
      <c r="A13" s="1152" t="s">
        <v>209</v>
      </c>
      <c r="B13" s="1153"/>
      <c r="C13" s="1153"/>
      <c r="D13" s="1153"/>
      <c r="E13" s="1153"/>
      <c r="F13" s="1153"/>
      <c r="G13" s="1153"/>
      <c r="H13" s="1153"/>
      <c r="I13" s="1153"/>
      <c r="J13" s="1153"/>
      <c r="K13" s="1154">
        <v>29</v>
      </c>
      <c r="L13" s="1154"/>
      <c r="M13" s="1154"/>
      <c r="N13" s="1154"/>
      <c r="O13" s="1154"/>
      <c r="P13" s="1154"/>
      <c r="Q13" s="1154"/>
      <c r="R13" s="1154">
        <v>0</v>
      </c>
      <c r="S13" s="1154"/>
      <c r="T13" s="1154"/>
      <c r="U13" s="1154"/>
      <c r="V13" s="1154"/>
      <c r="W13" s="1154"/>
      <c r="X13" s="1154"/>
      <c r="Y13" s="1154">
        <v>29</v>
      </c>
      <c r="Z13" s="1154"/>
      <c r="AA13" s="1154"/>
      <c r="AB13" s="1154"/>
      <c r="AC13" s="1154"/>
      <c r="AD13" s="1154"/>
      <c r="AE13" s="1154"/>
      <c r="AF13" s="1154">
        <v>29</v>
      </c>
      <c r="AG13" s="1154"/>
      <c r="AH13" s="1154"/>
      <c r="AI13" s="1154"/>
      <c r="AJ13" s="1154"/>
      <c r="AK13" s="1154"/>
      <c r="AL13" s="1154"/>
      <c r="AM13" s="1154">
        <v>0</v>
      </c>
      <c r="AN13" s="1154"/>
      <c r="AO13" s="1154"/>
      <c r="AP13" s="1154"/>
      <c r="AQ13" s="1154"/>
      <c r="AR13" s="1154"/>
      <c r="AS13" s="1154"/>
      <c r="AT13" s="1154">
        <v>0</v>
      </c>
      <c r="AU13" s="1154"/>
      <c r="AV13" s="1154"/>
      <c r="AW13" s="1154"/>
      <c r="AX13" s="1154"/>
      <c r="AY13" s="1154"/>
      <c r="AZ13" s="1154"/>
      <c r="BA13" s="1154">
        <v>0</v>
      </c>
      <c r="BB13" s="1154"/>
      <c r="BC13" s="1154"/>
      <c r="BD13" s="1154"/>
      <c r="BE13" s="1154"/>
      <c r="BF13" s="1154"/>
      <c r="BG13" s="1156"/>
    </row>
    <row r="14" spans="1:59" s="77" customFormat="1" ht="23.1" customHeight="1">
      <c r="A14" s="1165"/>
      <c r="B14" s="1166"/>
      <c r="C14" s="1166"/>
      <c r="D14" s="1166"/>
      <c r="E14" s="1166"/>
      <c r="F14" s="1166"/>
      <c r="G14" s="1166"/>
      <c r="H14" s="1166"/>
      <c r="I14" s="1166"/>
      <c r="J14" s="1166"/>
      <c r="K14" s="1167"/>
      <c r="L14" s="1167"/>
      <c r="M14" s="1167"/>
      <c r="N14" s="1167"/>
      <c r="O14" s="1167"/>
      <c r="P14" s="1167"/>
      <c r="Q14" s="1167"/>
      <c r="R14" s="1167"/>
      <c r="S14" s="1167"/>
      <c r="T14" s="1167"/>
      <c r="U14" s="1167"/>
      <c r="V14" s="1167"/>
      <c r="W14" s="1167"/>
      <c r="X14" s="1167"/>
      <c r="Y14" s="1167"/>
      <c r="Z14" s="1167"/>
      <c r="AA14" s="1167"/>
      <c r="AB14" s="1167"/>
      <c r="AC14" s="1167"/>
      <c r="AD14" s="1167"/>
      <c r="AE14" s="1167"/>
      <c r="AF14" s="1167"/>
      <c r="AG14" s="1167"/>
      <c r="AH14" s="1167"/>
      <c r="AI14" s="1167"/>
      <c r="AJ14" s="1167"/>
      <c r="AK14" s="1167"/>
      <c r="AL14" s="1167"/>
      <c r="AM14" s="1167"/>
      <c r="AN14" s="1167"/>
      <c r="AO14" s="1167"/>
      <c r="AP14" s="1167"/>
      <c r="AQ14" s="1167"/>
      <c r="AR14" s="1167"/>
      <c r="AS14" s="1167"/>
      <c r="AT14" s="1160"/>
      <c r="AU14" s="1160"/>
      <c r="AV14" s="1160"/>
      <c r="AW14" s="1160"/>
      <c r="AX14" s="1160"/>
      <c r="AY14" s="1160"/>
      <c r="AZ14" s="1160"/>
      <c r="BA14" s="1160"/>
      <c r="BB14" s="1160"/>
      <c r="BC14" s="1160"/>
      <c r="BD14" s="1160"/>
      <c r="BE14" s="1160"/>
      <c r="BF14" s="1160"/>
      <c r="BG14" s="1161"/>
    </row>
    <row r="15" spans="1:59" ht="23.1" customHeight="1">
      <c r="A15" s="1162" t="s">
        <v>8</v>
      </c>
      <c r="B15" s="1163"/>
      <c r="C15" s="1163"/>
      <c r="D15" s="1163"/>
      <c r="E15" s="1163"/>
      <c r="F15" s="1163"/>
      <c r="G15" s="1163"/>
      <c r="H15" s="1163"/>
      <c r="I15" s="1163"/>
      <c r="J15" s="1163"/>
      <c r="K15" s="1164">
        <f>SUM(K10:Q14)</f>
        <v>108</v>
      </c>
      <c r="L15" s="1164"/>
      <c r="M15" s="1164"/>
      <c r="N15" s="1164"/>
      <c r="O15" s="1164"/>
      <c r="P15" s="1164"/>
      <c r="Q15" s="1164"/>
      <c r="R15" s="1164">
        <f>SUM(R10:X14)</f>
        <v>0</v>
      </c>
      <c r="S15" s="1164"/>
      <c r="T15" s="1164"/>
      <c r="U15" s="1164"/>
      <c r="V15" s="1164"/>
      <c r="W15" s="1164"/>
      <c r="X15" s="1164"/>
      <c r="Y15" s="1164">
        <f>SUM(Y10:AE14)</f>
        <v>108</v>
      </c>
      <c r="Z15" s="1164"/>
      <c r="AA15" s="1164"/>
      <c r="AB15" s="1164"/>
      <c r="AC15" s="1164"/>
      <c r="AD15" s="1164"/>
      <c r="AE15" s="1164"/>
      <c r="AF15" s="1164">
        <f>SUM(AF10:AL14)</f>
        <v>108</v>
      </c>
      <c r="AG15" s="1164"/>
      <c r="AH15" s="1164"/>
      <c r="AI15" s="1164"/>
      <c r="AJ15" s="1164"/>
      <c r="AK15" s="1164"/>
      <c r="AL15" s="1164"/>
      <c r="AM15" s="1164">
        <f>SUM(AM10:AS14)</f>
        <v>0</v>
      </c>
      <c r="AN15" s="1164"/>
      <c r="AO15" s="1164"/>
      <c r="AP15" s="1164"/>
      <c r="AQ15" s="1164"/>
      <c r="AR15" s="1164"/>
      <c r="AS15" s="1164"/>
      <c r="AT15" s="1164">
        <f>SUM(AT10:AZ14)</f>
        <v>0</v>
      </c>
      <c r="AU15" s="1164"/>
      <c r="AV15" s="1164"/>
      <c r="AW15" s="1164"/>
      <c r="AX15" s="1164"/>
      <c r="AY15" s="1164"/>
      <c r="AZ15" s="1164"/>
      <c r="BA15" s="1164">
        <f>SUM(BA10:BG14)</f>
        <v>0</v>
      </c>
      <c r="BB15" s="1164"/>
      <c r="BC15" s="1164"/>
      <c r="BD15" s="1164"/>
      <c r="BE15" s="1164"/>
      <c r="BF15" s="1164"/>
      <c r="BG15" s="1164"/>
    </row>
    <row r="16" spans="1:59" ht="9.9499999999999993" customHeight="1">
      <c r="A16" s="1123"/>
      <c r="B16" s="1124"/>
      <c r="C16" s="1124"/>
      <c r="D16" s="1124"/>
      <c r="E16" s="1124"/>
      <c r="F16" s="1124"/>
      <c r="G16" s="1124"/>
      <c r="H16" s="1124"/>
      <c r="I16" s="1124"/>
      <c r="J16" s="1124"/>
      <c r="K16" s="1124"/>
      <c r="L16" s="1124"/>
      <c r="M16" s="1124"/>
      <c r="N16" s="1124"/>
      <c r="O16" s="1124"/>
      <c r="P16" s="1124"/>
      <c r="Q16" s="1124"/>
      <c r="R16" s="1124"/>
      <c r="S16" s="1124"/>
      <c r="T16" s="1124"/>
      <c r="U16" s="1124"/>
      <c r="V16" s="1124"/>
      <c r="W16" s="1124"/>
      <c r="X16" s="1124"/>
      <c r="Y16" s="1124"/>
      <c r="Z16" s="1124"/>
      <c r="AA16" s="1124"/>
      <c r="AB16" s="1124"/>
      <c r="AC16" s="1124"/>
      <c r="AD16" s="1124"/>
      <c r="AE16" s="1124"/>
      <c r="AF16" s="1124"/>
      <c r="AG16" s="1124"/>
      <c r="AH16" s="1124"/>
      <c r="AI16" s="1124"/>
      <c r="AJ16" s="1124"/>
      <c r="AK16" s="1124"/>
      <c r="AL16" s="1124"/>
      <c r="AM16" s="1124"/>
      <c r="AN16" s="1124"/>
      <c r="AO16" s="1124"/>
      <c r="AP16" s="1124"/>
      <c r="AQ16" s="1124"/>
      <c r="AR16" s="1124"/>
      <c r="AS16" s="1124"/>
      <c r="AT16" s="1124"/>
      <c r="AU16" s="1124"/>
      <c r="AV16" s="1124"/>
      <c r="AW16" s="1124"/>
      <c r="AX16" s="1124"/>
      <c r="AY16" s="1124"/>
      <c r="AZ16" s="1124"/>
      <c r="BA16" s="1124"/>
      <c r="BB16" s="1124"/>
      <c r="BC16" s="1124"/>
      <c r="BD16" s="1124"/>
      <c r="BE16" s="1124"/>
      <c r="BF16" s="1124"/>
      <c r="BG16" s="1125"/>
    </row>
    <row r="17" spans="1:59" ht="20.100000000000001" customHeight="1">
      <c r="A17" s="1183" t="s">
        <v>537</v>
      </c>
      <c r="B17" s="1184"/>
      <c r="C17" s="1184"/>
      <c r="D17" s="1184"/>
      <c r="E17" s="1184"/>
      <c r="F17" s="1184"/>
      <c r="G17" s="1184"/>
      <c r="H17" s="1184"/>
      <c r="I17" s="1184"/>
      <c r="J17" s="1184"/>
      <c r="K17" s="1184"/>
      <c r="L17" s="1184"/>
      <c r="M17" s="1184"/>
      <c r="N17" s="1184"/>
      <c r="O17" s="1184"/>
      <c r="P17" s="1184"/>
      <c r="Q17" s="1184"/>
      <c r="R17" s="1184"/>
      <c r="S17" s="1184"/>
      <c r="T17" s="1184"/>
      <c r="U17" s="1184"/>
      <c r="V17" s="1184"/>
      <c r="W17" s="1184"/>
      <c r="X17" s="1184"/>
      <c r="Y17" s="1184"/>
      <c r="Z17" s="1184"/>
      <c r="AA17" s="1184"/>
      <c r="AB17" s="1184"/>
      <c r="AC17" s="1184"/>
      <c r="AD17" s="1184"/>
      <c r="AE17" s="1184"/>
      <c r="AF17" s="1184"/>
      <c r="AG17" s="1184"/>
      <c r="AH17" s="1184"/>
      <c r="AI17" s="1184"/>
      <c r="AJ17" s="1184"/>
      <c r="AK17" s="1184"/>
      <c r="AL17" s="1184"/>
      <c r="AM17" s="1184"/>
      <c r="AN17" s="1184"/>
      <c r="AO17" s="1184"/>
      <c r="AP17" s="1184"/>
      <c r="AQ17" s="1184"/>
      <c r="AR17" s="1184"/>
      <c r="AS17" s="1184"/>
      <c r="AT17" s="1184"/>
      <c r="AU17" s="1184"/>
      <c r="AV17" s="1184"/>
      <c r="AW17" s="1184"/>
      <c r="AX17" s="1184"/>
      <c r="AY17" s="1184"/>
      <c r="AZ17" s="1184"/>
      <c r="BA17" s="1184"/>
      <c r="BB17" s="1184"/>
      <c r="BC17" s="1184"/>
      <c r="BD17" s="1184"/>
      <c r="BE17" s="1184"/>
      <c r="BF17" s="1184"/>
      <c r="BG17" s="1185"/>
    </row>
    <row r="18" spans="1:59" ht="9.9499999999999993" customHeight="1">
      <c r="A18" s="1126"/>
      <c r="B18" s="1127"/>
      <c r="C18" s="1127"/>
      <c r="D18" s="1127"/>
      <c r="E18" s="1127"/>
      <c r="F18" s="1127"/>
      <c r="G18" s="1127"/>
      <c r="H18" s="1127"/>
      <c r="I18" s="1127"/>
      <c r="J18" s="1127"/>
      <c r="K18" s="1127"/>
      <c r="L18" s="1127"/>
      <c r="M18" s="1127"/>
      <c r="N18" s="1127"/>
      <c r="O18" s="1127"/>
      <c r="P18" s="1127"/>
      <c r="Q18" s="1127"/>
      <c r="R18" s="1127"/>
      <c r="S18" s="1127"/>
      <c r="T18" s="1127"/>
      <c r="U18" s="1127"/>
      <c r="V18" s="1127"/>
      <c r="W18" s="1127"/>
      <c r="X18" s="1127"/>
      <c r="Y18" s="1127"/>
      <c r="Z18" s="1127"/>
      <c r="AA18" s="1127"/>
      <c r="AB18" s="1127"/>
      <c r="AC18" s="1127"/>
      <c r="AD18" s="1127"/>
      <c r="AE18" s="1127"/>
      <c r="AF18" s="1127"/>
      <c r="AG18" s="1127"/>
      <c r="AH18" s="1127"/>
      <c r="AI18" s="1127"/>
      <c r="AJ18" s="1127"/>
      <c r="AK18" s="1127"/>
      <c r="AL18" s="1127"/>
      <c r="AM18" s="1127"/>
      <c r="AN18" s="1127"/>
      <c r="AO18" s="1127"/>
      <c r="AP18" s="1127"/>
      <c r="AQ18" s="1127"/>
      <c r="AR18" s="1127"/>
      <c r="AS18" s="1127"/>
      <c r="AT18" s="1127"/>
      <c r="AU18" s="1127"/>
      <c r="AV18" s="1127"/>
      <c r="AW18" s="1127"/>
      <c r="AX18" s="1127"/>
      <c r="AY18" s="1127"/>
      <c r="AZ18" s="1127"/>
      <c r="BA18" s="1127"/>
      <c r="BB18" s="1127"/>
      <c r="BC18" s="1127"/>
      <c r="BD18" s="1127"/>
      <c r="BE18" s="1127"/>
      <c r="BF18" s="1127"/>
      <c r="BG18" s="1128"/>
    </row>
    <row r="19" spans="1:59" ht="52.5" customHeight="1">
      <c r="A19" s="1157" t="s">
        <v>126</v>
      </c>
      <c r="B19" s="1158"/>
      <c r="C19" s="1158"/>
      <c r="D19" s="1158"/>
      <c r="E19" s="1158"/>
      <c r="F19" s="1158"/>
      <c r="G19" s="1158"/>
      <c r="H19" s="1158"/>
      <c r="I19" s="1158"/>
      <c r="J19" s="1158"/>
      <c r="K19" s="1158" t="s">
        <v>721</v>
      </c>
      <c r="L19" s="1158"/>
      <c r="M19" s="1158"/>
      <c r="N19" s="1158"/>
      <c r="O19" s="1158"/>
      <c r="P19" s="1158"/>
      <c r="Q19" s="1158"/>
      <c r="R19" s="1158"/>
      <c r="S19" s="1158"/>
      <c r="T19" s="1158" t="s">
        <v>722</v>
      </c>
      <c r="U19" s="1158"/>
      <c r="V19" s="1158"/>
      <c r="W19" s="1158"/>
      <c r="X19" s="1158"/>
      <c r="Y19" s="1158"/>
      <c r="Z19" s="1158"/>
      <c r="AA19" s="1158"/>
      <c r="AB19" s="1158"/>
      <c r="AC19" s="1158"/>
      <c r="AD19" s="1158" t="s">
        <v>723</v>
      </c>
      <c r="AE19" s="1158"/>
      <c r="AF19" s="1158"/>
      <c r="AG19" s="1158"/>
      <c r="AH19" s="1158"/>
      <c r="AI19" s="1158"/>
      <c r="AJ19" s="1158"/>
      <c r="AK19" s="1158"/>
      <c r="AL19" s="1158"/>
      <c r="AM19" s="1158"/>
      <c r="AN19" s="1158" t="s">
        <v>724</v>
      </c>
      <c r="AO19" s="1158"/>
      <c r="AP19" s="1158"/>
      <c r="AQ19" s="1158"/>
      <c r="AR19" s="1158"/>
      <c r="AS19" s="1158"/>
      <c r="AT19" s="1158"/>
      <c r="AU19" s="1158"/>
      <c r="AV19" s="1158"/>
      <c r="AW19" s="1158"/>
      <c r="AX19" s="1158" t="s">
        <v>683</v>
      </c>
      <c r="AY19" s="1158"/>
      <c r="AZ19" s="1158"/>
      <c r="BA19" s="1158"/>
      <c r="BB19" s="1158"/>
      <c r="BC19" s="1158"/>
      <c r="BD19" s="1158"/>
      <c r="BE19" s="1158"/>
      <c r="BF19" s="1158"/>
      <c r="BG19" s="1159"/>
    </row>
    <row r="20" spans="1:59" s="77" customFormat="1" ht="23.1" customHeight="1">
      <c r="A20" s="1152" t="s">
        <v>46</v>
      </c>
      <c r="B20" s="1153"/>
      <c r="C20" s="1153"/>
      <c r="D20" s="1153"/>
      <c r="E20" s="1153"/>
      <c r="F20" s="1153"/>
      <c r="G20" s="1153"/>
      <c r="H20" s="1153"/>
      <c r="I20" s="1153"/>
      <c r="J20" s="1153"/>
      <c r="K20" s="1170">
        <v>23</v>
      </c>
      <c r="L20" s="1170"/>
      <c r="M20" s="1170"/>
      <c r="N20" s="1170"/>
      <c r="O20" s="1170"/>
      <c r="P20" s="1170"/>
      <c r="Q20" s="1170"/>
      <c r="R20" s="1170"/>
      <c r="S20" s="1170"/>
      <c r="T20" s="1171">
        <v>0</v>
      </c>
      <c r="U20" s="1171"/>
      <c r="V20" s="1171"/>
      <c r="W20" s="1171"/>
      <c r="X20" s="1171"/>
      <c r="Y20" s="1171"/>
      <c r="Z20" s="1171"/>
      <c r="AA20" s="1171"/>
      <c r="AB20" s="1171"/>
      <c r="AC20" s="1171"/>
      <c r="AD20" s="1171">
        <v>0</v>
      </c>
      <c r="AE20" s="1171"/>
      <c r="AF20" s="1171"/>
      <c r="AG20" s="1171"/>
      <c r="AH20" s="1171"/>
      <c r="AI20" s="1171"/>
      <c r="AJ20" s="1171"/>
      <c r="AK20" s="1171"/>
      <c r="AL20" s="1171"/>
      <c r="AM20" s="1171"/>
      <c r="AN20" s="1171">
        <v>0</v>
      </c>
      <c r="AO20" s="1171"/>
      <c r="AP20" s="1171"/>
      <c r="AQ20" s="1171"/>
      <c r="AR20" s="1171"/>
      <c r="AS20" s="1171"/>
      <c r="AT20" s="1171"/>
      <c r="AU20" s="1171"/>
      <c r="AV20" s="1171"/>
      <c r="AW20" s="1171"/>
      <c r="AX20" s="1171">
        <v>0</v>
      </c>
      <c r="AY20" s="1171"/>
      <c r="AZ20" s="1171"/>
      <c r="BA20" s="1171"/>
      <c r="BB20" s="1171"/>
      <c r="BC20" s="1171"/>
      <c r="BD20" s="1171"/>
      <c r="BE20" s="1171"/>
      <c r="BF20" s="1171"/>
      <c r="BG20" s="1176"/>
    </row>
    <row r="21" spans="1:59" s="77" customFormat="1" ht="23.1" customHeight="1">
      <c r="A21" s="1152" t="s">
        <v>207</v>
      </c>
      <c r="B21" s="1153"/>
      <c r="C21" s="1153"/>
      <c r="D21" s="1153"/>
      <c r="E21" s="1153"/>
      <c r="F21" s="1153"/>
      <c r="G21" s="1153"/>
      <c r="H21" s="1153"/>
      <c r="I21" s="1153"/>
      <c r="J21" s="1153"/>
      <c r="K21" s="1168">
        <v>31</v>
      </c>
      <c r="L21" s="1168"/>
      <c r="M21" s="1168"/>
      <c r="N21" s="1168"/>
      <c r="O21" s="1168"/>
      <c r="P21" s="1168"/>
      <c r="Q21" s="1168"/>
      <c r="R21" s="1168"/>
      <c r="S21" s="1168"/>
      <c r="T21" s="1169">
        <v>0</v>
      </c>
      <c r="U21" s="1169"/>
      <c r="V21" s="1169"/>
      <c r="W21" s="1169"/>
      <c r="X21" s="1169"/>
      <c r="Y21" s="1169"/>
      <c r="Z21" s="1169"/>
      <c r="AA21" s="1169"/>
      <c r="AB21" s="1169"/>
      <c r="AC21" s="1169"/>
      <c r="AD21" s="1169">
        <v>0</v>
      </c>
      <c r="AE21" s="1169"/>
      <c r="AF21" s="1169"/>
      <c r="AG21" s="1169"/>
      <c r="AH21" s="1169"/>
      <c r="AI21" s="1169"/>
      <c r="AJ21" s="1169"/>
      <c r="AK21" s="1169"/>
      <c r="AL21" s="1169"/>
      <c r="AM21" s="1169"/>
      <c r="AN21" s="1169">
        <v>0</v>
      </c>
      <c r="AO21" s="1169"/>
      <c r="AP21" s="1169"/>
      <c r="AQ21" s="1169"/>
      <c r="AR21" s="1169"/>
      <c r="AS21" s="1169"/>
      <c r="AT21" s="1169"/>
      <c r="AU21" s="1169"/>
      <c r="AV21" s="1169"/>
      <c r="AW21" s="1169"/>
      <c r="AX21" s="1171">
        <v>0</v>
      </c>
      <c r="AY21" s="1171"/>
      <c r="AZ21" s="1171"/>
      <c r="BA21" s="1171"/>
      <c r="BB21" s="1171"/>
      <c r="BC21" s="1171"/>
      <c r="BD21" s="1171"/>
      <c r="BE21" s="1171"/>
      <c r="BF21" s="1171"/>
      <c r="BG21" s="1176"/>
    </row>
    <row r="22" spans="1:59" s="77" customFormat="1" ht="23.1" customHeight="1">
      <c r="A22" s="1152" t="s">
        <v>208</v>
      </c>
      <c r="B22" s="1153"/>
      <c r="C22" s="1153"/>
      <c r="D22" s="1153"/>
      <c r="E22" s="1153"/>
      <c r="F22" s="1153"/>
      <c r="G22" s="1153"/>
      <c r="H22" s="1153"/>
      <c r="I22" s="1153"/>
      <c r="J22" s="1153"/>
      <c r="K22" s="1168">
        <v>25</v>
      </c>
      <c r="L22" s="1168"/>
      <c r="M22" s="1168"/>
      <c r="N22" s="1168"/>
      <c r="O22" s="1168"/>
      <c r="P22" s="1168"/>
      <c r="Q22" s="1168"/>
      <c r="R22" s="1168"/>
      <c r="S22" s="1168"/>
      <c r="T22" s="1169">
        <v>0</v>
      </c>
      <c r="U22" s="1169"/>
      <c r="V22" s="1169"/>
      <c r="W22" s="1169"/>
      <c r="X22" s="1169"/>
      <c r="Y22" s="1169"/>
      <c r="Z22" s="1169"/>
      <c r="AA22" s="1169"/>
      <c r="AB22" s="1169"/>
      <c r="AC22" s="1169"/>
      <c r="AD22" s="1169">
        <v>0</v>
      </c>
      <c r="AE22" s="1169"/>
      <c r="AF22" s="1169"/>
      <c r="AG22" s="1169"/>
      <c r="AH22" s="1169"/>
      <c r="AI22" s="1169"/>
      <c r="AJ22" s="1169"/>
      <c r="AK22" s="1169"/>
      <c r="AL22" s="1169"/>
      <c r="AM22" s="1169"/>
      <c r="AN22" s="1169">
        <v>0</v>
      </c>
      <c r="AO22" s="1169"/>
      <c r="AP22" s="1169"/>
      <c r="AQ22" s="1169"/>
      <c r="AR22" s="1169"/>
      <c r="AS22" s="1169"/>
      <c r="AT22" s="1169"/>
      <c r="AU22" s="1169"/>
      <c r="AV22" s="1169"/>
      <c r="AW22" s="1169"/>
      <c r="AX22" s="1171">
        <v>0</v>
      </c>
      <c r="AY22" s="1171"/>
      <c r="AZ22" s="1171"/>
      <c r="BA22" s="1171"/>
      <c r="BB22" s="1171"/>
      <c r="BC22" s="1171"/>
      <c r="BD22" s="1171"/>
      <c r="BE22" s="1171"/>
      <c r="BF22" s="1171"/>
      <c r="BG22" s="1176"/>
    </row>
    <row r="23" spans="1:59" s="77" customFormat="1" ht="23.1" customHeight="1">
      <c r="A23" s="1152" t="s">
        <v>209</v>
      </c>
      <c r="B23" s="1153"/>
      <c r="C23" s="1153"/>
      <c r="D23" s="1153"/>
      <c r="E23" s="1153"/>
      <c r="F23" s="1153"/>
      <c r="G23" s="1153"/>
      <c r="H23" s="1153"/>
      <c r="I23" s="1153"/>
      <c r="J23" s="1153"/>
      <c r="K23" s="1168">
        <v>29</v>
      </c>
      <c r="L23" s="1168"/>
      <c r="M23" s="1168"/>
      <c r="N23" s="1168"/>
      <c r="O23" s="1168"/>
      <c r="P23" s="1168"/>
      <c r="Q23" s="1168"/>
      <c r="R23" s="1168"/>
      <c r="S23" s="1168"/>
      <c r="T23" s="1169">
        <v>0</v>
      </c>
      <c r="U23" s="1169"/>
      <c r="V23" s="1169"/>
      <c r="W23" s="1169"/>
      <c r="X23" s="1169"/>
      <c r="Y23" s="1169"/>
      <c r="Z23" s="1169"/>
      <c r="AA23" s="1169"/>
      <c r="AB23" s="1169"/>
      <c r="AC23" s="1169"/>
      <c r="AD23" s="1169">
        <v>0</v>
      </c>
      <c r="AE23" s="1169"/>
      <c r="AF23" s="1169"/>
      <c r="AG23" s="1169"/>
      <c r="AH23" s="1169"/>
      <c r="AI23" s="1169"/>
      <c r="AJ23" s="1169"/>
      <c r="AK23" s="1169"/>
      <c r="AL23" s="1169"/>
      <c r="AM23" s="1169"/>
      <c r="AN23" s="1169">
        <v>0</v>
      </c>
      <c r="AO23" s="1169"/>
      <c r="AP23" s="1169"/>
      <c r="AQ23" s="1169"/>
      <c r="AR23" s="1169"/>
      <c r="AS23" s="1169"/>
      <c r="AT23" s="1169"/>
      <c r="AU23" s="1169"/>
      <c r="AV23" s="1169"/>
      <c r="AW23" s="1169"/>
      <c r="AX23" s="1171">
        <v>0</v>
      </c>
      <c r="AY23" s="1171"/>
      <c r="AZ23" s="1171"/>
      <c r="BA23" s="1171"/>
      <c r="BB23" s="1171"/>
      <c r="BC23" s="1171"/>
      <c r="BD23" s="1171"/>
      <c r="BE23" s="1171"/>
      <c r="BF23" s="1171"/>
      <c r="BG23" s="1176"/>
    </row>
    <row r="24" spans="1:59" s="77" customFormat="1" ht="23.1" customHeight="1">
      <c r="A24" s="1165" t="s">
        <v>424</v>
      </c>
      <c r="B24" s="1166"/>
      <c r="C24" s="1166"/>
      <c r="D24" s="1166"/>
      <c r="E24" s="1166"/>
      <c r="F24" s="1166"/>
      <c r="G24" s="1166"/>
      <c r="H24" s="1166"/>
      <c r="I24" s="1166"/>
      <c r="J24" s="1166"/>
      <c r="K24" s="1174">
        <v>1</v>
      </c>
      <c r="L24" s="1174"/>
      <c r="M24" s="1174"/>
      <c r="N24" s="1174"/>
      <c r="O24" s="1174"/>
      <c r="P24" s="1174"/>
      <c r="Q24" s="1174"/>
      <c r="R24" s="1174"/>
      <c r="S24" s="1174"/>
      <c r="T24" s="1175">
        <v>0</v>
      </c>
      <c r="U24" s="1175"/>
      <c r="V24" s="1175"/>
      <c r="W24" s="1175"/>
      <c r="X24" s="1175"/>
      <c r="Y24" s="1175"/>
      <c r="Z24" s="1175"/>
      <c r="AA24" s="1175"/>
      <c r="AB24" s="1175"/>
      <c r="AC24" s="1175"/>
      <c r="AD24" s="1175">
        <v>0</v>
      </c>
      <c r="AE24" s="1175"/>
      <c r="AF24" s="1175"/>
      <c r="AG24" s="1175"/>
      <c r="AH24" s="1175"/>
      <c r="AI24" s="1175"/>
      <c r="AJ24" s="1175"/>
      <c r="AK24" s="1175"/>
      <c r="AL24" s="1175"/>
      <c r="AM24" s="1175"/>
      <c r="AN24" s="1175">
        <v>0</v>
      </c>
      <c r="AO24" s="1175"/>
      <c r="AP24" s="1175"/>
      <c r="AQ24" s="1175"/>
      <c r="AR24" s="1175"/>
      <c r="AS24" s="1175"/>
      <c r="AT24" s="1175"/>
      <c r="AU24" s="1175"/>
      <c r="AV24" s="1175"/>
      <c r="AW24" s="1175"/>
      <c r="AX24" s="1171">
        <v>0</v>
      </c>
      <c r="AY24" s="1171"/>
      <c r="AZ24" s="1171"/>
      <c r="BA24" s="1171"/>
      <c r="BB24" s="1171"/>
      <c r="BC24" s="1171"/>
      <c r="BD24" s="1171"/>
      <c r="BE24" s="1171"/>
      <c r="BF24" s="1171"/>
      <c r="BG24" s="1171"/>
    </row>
    <row r="25" spans="1:59" ht="23.1" customHeight="1">
      <c r="A25" s="1172" t="s">
        <v>8</v>
      </c>
      <c r="B25" s="1173"/>
      <c r="C25" s="1173"/>
      <c r="D25" s="1173"/>
      <c r="E25" s="1173"/>
      <c r="F25" s="1173"/>
      <c r="G25" s="1173"/>
      <c r="H25" s="1173"/>
      <c r="I25" s="1173"/>
      <c r="J25" s="1173"/>
      <c r="K25" s="1178">
        <f>SUM(K20:S24)</f>
        <v>109</v>
      </c>
      <c r="L25" s="1178"/>
      <c r="M25" s="1178"/>
      <c r="N25" s="1178"/>
      <c r="O25" s="1178"/>
      <c r="P25" s="1178"/>
      <c r="Q25" s="1178"/>
      <c r="R25" s="1178"/>
      <c r="S25" s="1178"/>
      <c r="T25" s="1179">
        <f>SUM(T20:AC24)</f>
        <v>0</v>
      </c>
      <c r="U25" s="1179"/>
      <c r="V25" s="1179"/>
      <c r="W25" s="1179"/>
      <c r="X25" s="1179"/>
      <c r="Y25" s="1179"/>
      <c r="Z25" s="1179"/>
      <c r="AA25" s="1179"/>
      <c r="AB25" s="1179"/>
      <c r="AC25" s="1179"/>
      <c r="AD25" s="1179">
        <f>SUM(AD20:AM24)</f>
        <v>0</v>
      </c>
      <c r="AE25" s="1179"/>
      <c r="AF25" s="1179"/>
      <c r="AG25" s="1179"/>
      <c r="AH25" s="1179"/>
      <c r="AI25" s="1179"/>
      <c r="AJ25" s="1179"/>
      <c r="AK25" s="1179"/>
      <c r="AL25" s="1179"/>
      <c r="AM25" s="1179"/>
      <c r="AN25" s="1179">
        <f>SUM(AN20:AW24)</f>
        <v>0</v>
      </c>
      <c r="AO25" s="1179"/>
      <c r="AP25" s="1179"/>
      <c r="AQ25" s="1179"/>
      <c r="AR25" s="1179"/>
      <c r="AS25" s="1179"/>
      <c r="AT25" s="1179"/>
      <c r="AU25" s="1179"/>
      <c r="AV25" s="1179"/>
      <c r="AW25" s="1179"/>
      <c r="AX25" s="1179">
        <f>SUM(AX20:BG24)</f>
        <v>0</v>
      </c>
      <c r="AY25" s="1179"/>
      <c r="AZ25" s="1179"/>
      <c r="BA25" s="1179"/>
      <c r="BB25" s="1179"/>
      <c r="BC25" s="1179"/>
      <c r="BD25" s="1179"/>
      <c r="BE25" s="1179"/>
      <c r="BF25" s="1179"/>
      <c r="BG25" s="1179"/>
    </row>
    <row r="26" spans="1:59" ht="9.9499999999999993" customHeight="1">
      <c r="A26" s="1129"/>
      <c r="B26" s="1130"/>
      <c r="C26" s="1130"/>
      <c r="D26" s="1130"/>
      <c r="E26" s="1130"/>
      <c r="F26" s="1130"/>
      <c r="G26" s="1130"/>
      <c r="H26" s="1130"/>
      <c r="I26" s="1130"/>
      <c r="J26" s="1130"/>
      <c r="K26" s="1130"/>
      <c r="L26" s="1130"/>
      <c r="M26" s="1130"/>
      <c r="N26" s="1130"/>
      <c r="O26" s="1130"/>
      <c r="P26" s="1130"/>
      <c r="Q26" s="1130"/>
      <c r="R26" s="1130"/>
      <c r="S26" s="1130"/>
      <c r="T26" s="1130"/>
      <c r="U26" s="1130"/>
      <c r="V26" s="1130"/>
      <c r="W26" s="1130"/>
      <c r="X26" s="1130"/>
      <c r="Y26" s="1130"/>
      <c r="Z26" s="1130"/>
      <c r="AA26" s="1130"/>
      <c r="AB26" s="1130"/>
      <c r="AC26" s="1130"/>
      <c r="AD26" s="1130"/>
      <c r="AE26" s="1130"/>
      <c r="AF26" s="1130"/>
      <c r="AG26" s="1130"/>
      <c r="AH26" s="1130"/>
      <c r="AI26" s="1130"/>
      <c r="AJ26" s="1130"/>
      <c r="AK26" s="1130"/>
      <c r="AL26" s="1130"/>
      <c r="AM26" s="1130"/>
      <c r="AN26" s="1130"/>
      <c r="AO26" s="1130"/>
      <c r="AP26" s="1130"/>
      <c r="AQ26" s="1130"/>
      <c r="AR26" s="1130"/>
      <c r="AS26" s="1130"/>
      <c r="AT26" s="1130"/>
      <c r="AU26" s="1130"/>
      <c r="AV26" s="1130"/>
      <c r="AW26" s="1130"/>
      <c r="AX26" s="1130"/>
      <c r="AY26" s="1130"/>
      <c r="AZ26" s="1130"/>
      <c r="BA26" s="1130"/>
      <c r="BB26" s="1130"/>
      <c r="BC26" s="1130"/>
      <c r="BD26" s="1130"/>
      <c r="BE26" s="1130"/>
      <c r="BF26" s="1130"/>
      <c r="BG26" s="1130"/>
    </row>
    <row r="27" spans="1:59" ht="20.100000000000001" customHeight="1">
      <c r="A27" s="1186"/>
      <c r="B27" s="1186"/>
      <c r="C27" s="1186"/>
      <c r="D27" s="1186"/>
      <c r="E27" s="1186"/>
      <c r="F27" s="1186"/>
      <c r="G27" s="1186"/>
      <c r="H27" s="1186"/>
      <c r="I27" s="1186"/>
      <c r="J27" s="1186"/>
      <c r="K27" s="1186"/>
      <c r="L27" s="1186"/>
      <c r="M27" s="1186"/>
      <c r="N27" s="1186"/>
      <c r="O27" s="1186"/>
      <c r="P27" s="1186"/>
      <c r="Q27" s="1186"/>
      <c r="R27" s="1186"/>
      <c r="S27" s="1186"/>
      <c r="T27" s="1186"/>
      <c r="U27" s="1186"/>
      <c r="V27" s="1186"/>
      <c r="W27" s="1186"/>
      <c r="X27" s="1186"/>
      <c r="Y27" s="1186"/>
      <c r="Z27" s="1186"/>
      <c r="AA27" s="1186"/>
      <c r="AB27" s="1186"/>
      <c r="AC27" s="1186"/>
      <c r="AD27" s="1186"/>
      <c r="AE27" s="1186"/>
      <c r="AF27" s="1186"/>
      <c r="AG27" s="1186"/>
      <c r="AH27" s="1186"/>
      <c r="AI27" s="1186"/>
      <c r="AJ27" s="1186"/>
      <c r="AK27" s="1186"/>
      <c r="AL27" s="1186"/>
      <c r="AM27" s="1186"/>
      <c r="AN27" s="1186"/>
      <c r="AO27" s="1186"/>
      <c r="AP27" s="1186"/>
      <c r="AQ27" s="1186"/>
      <c r="AR27" s="1186"/>
      <c r="AS27" s="1186"/>
      <c r="AT27" s="1186"/>
      <c r="AU27" s="1186"/>
      <c r="AV27" s="1186"/>
      <c r="AW27" s="1186"/>
      <c r="AX27" s="1186"/>
      <c r="AY27" s="1186"/>
      <c r="AZ27" s="1186"/>
      <c r="BA27" s="1186"/>
      <c r="BB27" s="1186"/>
      <c r="BC27" s="1186"/>
      <c r="BD27" s="1186"/>
      <c r="BE27" s="1186"/>
      <c r="BF27" s="1186"/>
      <c r="BG27" s="1186"/>
    </row>
    <row r="28" spans="1:59" ht="9.9499999999999993" customHeight="1">
      <c r="A28" s="1131"/>
      <c r="B28" s="1131"/>
      <c r="C28" s="1131"/>
      <c r="D28" s="1131"/>
      <c r="E28" s="1131"/>
      <c r="F28" s="1131"/>
      <c r="G28" s="1131"/>
      <c r="H28" s="1131"/>
      <c r="I28" s="1131"/>
      <c r="J28" s="1131"/>
      <c r="K28" s="1131"/>
      <c r="L28" s="1131"/>
      <c r="M28" s="1131"/>
      <c r="N28" s="1131"/>
      <c r="O28" s="1131"/>
      <c r="P28" s="1131"/>
      <c r="Q28" s="1131"/>
      <c r="R28" s="1131"/>
      <c r="S28" s="1131"/>
      <c r="T28" s="1131"/>
      <c r="U28" s="1131"/>
      <c r="V28" s="1131"/>
      <c r="W28" s="1131"/>
      <c r="X28" s="1131"/>
      <c r="Y28" s="1131"/>
      <c r="Z28" s="1131"/>
      <c r="AA28" s="1131"/>
      <c r="AB28" s="1131"/>
      <c r="AC28" s="1131"/>
      <c r="AD28" s="1131"/>
      <c r="AE28" s="1131"/>
      <c r="AF28" s="1131"/>
      <c r="AG28" s="1131"/>
      <c r="AH28" s="1131"/>
      <c r="AI28" s="1131"/>
      <c r="AJ28" s="1131"/>
      <c r="AK28" s="1131"/>
      <c r="AL28" s="1131"/>
      <c r="AM28" s="1131"/>
      <c r="AN28" s="1131"/>
      <c r="AO28" s="1131"/>
      <c r="AP28" s="1131"/>
      <c r="AQ28" s="1131"/>
      <c r="AR28" s="1131"/>
      <c r="AS28" s="1131"/>
      <c r="AT28" s="1131"/>
      <c r="AU28" s="1131"/>
      <c r="AV28" s="1131"/>
      <c r="AW28" s="1131"/>
      <c r="AX28" s="1131"/>
      <c r="AY28" s="1131"/>
      <c r="AZ28" s="1131"/>
      <c r="BA28" s="1131"/>
      <c r="BB28" s="1131"/>
      <c r="BC28" s="1131"/>
      <c r="BD28" s="1131"/>
      <c r="BE28" s="1131"/>
      <c r="BF28" s="1131"/>
      <c r="BG28" s="1131"/>
    </row>
    <row r="29" spans="1:59" ht="36.75" customHeight="1">
      <c r="A29" s="1177"/>
      <c r="B29" s="1177"/>
      <c r="C29" s="1177"/>
      <c r="D29" s="1177"/>
      <c r="E29" s="1177"/>
      <c r="F29" s="1177"/>
      <c r="G29" s="1177"/>
      <c r="H29" s="1177"/>
      <c r="I29" s="1177"/>
      <c r="J29" s="1177"/>
      <c r="K29" s="1177"/>
      <c r="L29" s="1177"/>
      <c r="M29" s="1177"/>
      <c r="N29" s="1177"/>
      <c r="O29" s="1177"/>
      <c r="P29" s="1177"/>
      <c r="Q29" s="1177"/>
      <c r="R29" s="1177"/>
      <c r="S29" s="1177"/>
      <c r="T29" s="1177"/>
      <c r="U29" s="1177"/>
      <c r="V29" s="1177"/>
      <c r="W29" s="1177"/>
      <c r="X29" s="1177"/>
      <c r="Y29" s="1177"/>
      <c r="Z29" s="1177"/>
      <c r="AA29" s="1177"/>
      <c r="AB29" s="1177"/>
      <c r="AC29" s="1177"/>
      <c r="AD29" s="1177"/>
      <c r="AE29" s="1177"/>
      <c r="AF29" s="1177"/>
      <c r="AG29" s="1177"/>
      <c r="AH29" s="1177"/>
      <c r="AI29" s="1177"/>
      <c r="AJ29" s="1177"/>
      <c r="AK29" s="1177"/>
      <c r="AL29" s="1177"/>
      <c r="AM29" s="1177"/>
      <c r="AN29" s="1177"/>
      <c r="AO29" s="1177"/>
      <c r="AP29" s="1177"/>
      <c r="AQ29" s="1177"/>
      <c r="AR29" s="1177"/>
      <c r="AS29" s="1177"/>
      <c r="AT29" s="1177"/>
      <c r="AU29" s="1177"/>
      <c r="AV29" s="1177"/>
      <c r="AW29" s="1177"/>
      <c r="AX29" s="1177"/>
      <c r="AY29" s="1177"/>
      <c r="AZ29" s="1177"/>
      <c r="BA29" s="1177"/>
      <c r="BB29" s="1177"/>
      <c r="BC29" s="1177"/>
      <c r="BD29" s="1177"/>
      <c r="BE29" s="1177"/>
      <c r="BF29" s="1177"/>
      <c r="BG29" s="1177"/>
    </row>
    <row r="30" spans="1:59" ht="36.75" customHeight="1">
      <c r="A30" s="1177"/>
      <c r="B30" s="1177"/>
      <c r="C30" s="1177"/>
      <c r="D30" s="1177"/>
      <c r="E30" s="1177"/>
      <c r="F30" s="1177"/>
      <c r="G30" s="1177"/>
      <c r="H30" s="1177"/>
      <c r="I30" s="1177"/>
      <c r="J30" s="1177"/>
      <c r="K30" s="1177"/>
      <c r="L30" s="1177"/>
      <c r="M30" s="1177"/>
      <c r="N30" s="1177"/>
      <c r="O30" s="1177"/>
      <c r="P30" s="1177"/>
      <c r="Q30" s="1177"/>
      <c r="R30" s="1177"/>
      <c r="S30" s="1177"/>
      <c r="T30" s="1177"/>
      <c r="U30" s="1177"/>
      <c r="V30" s="1177"/>
      <c r="W30" s="1177"/>
      <c r="X30" s="1177"/>
      <c r="Y30" s="1177"/>
      <c r="Z30" s="1177"/>
      <c r="AA30" s="1177"/>
      <c r="AB30" s="1177"/>
      <c r="AC30" s="1177"/>
      <c r="AD30" s="1177"/>
      <c r="AE30" s="1177"/>
      <c r="AF30" s="1177"/>
      <c r="AG30" s="1177"/>
      <c r="AH30" s="1177"/>
      <c r="AI30" s="1177"/>
      <c r="AJ30" s="1177"/>
      <c r="AK30" s="1177"/>
      <c r="AL30" s="1177"/>
      <c r="AM30" s="1177"/>
      <c r="AN30" s="1177"/>
      <c r="AO30" s="1177"/>
      <c r="AP30" s="1177"/>
      <c r="AQ30" s="1177"/>
      <c r="AR30" s="1177"/>
      <c r="AS30" s="1177"/>
      <c r="AT30" s="1177"/>
      <c r="AU30" s="1177"/>
      <c r="AV30" s="1177"/>
      <c r="AW30" s="1177"/>
      <c r="AX30" s="1177"/>
      <c r="AY30" s="1177"/>
      <c r="AZ30" s="1177"/>
      <c r="BA30" s="1177"/>
      <c r="BB30" s="1177"/>
      <c r="BC30" s="1177"/>
      <c r="BD30" s="1177"/>
      <c r="BE30" s="1177"/>
      <c r="BF30" s="1177"/>
      <c r="BG30" s="1177"/>
    </row>
    <row r="31" spans="1:59" ht="36.75" customHeight="1">
      <c r="A31" s="1177"/>
      <c r="B31" s="1177"/>
      <c r="C31" s="1177"/>
      <c r="D31" s="1177"/>
      <c r="E31" s="1177"/>
      <c r="F31" s="1177"/>
      <c r="G31" s="1177"/>
      <c r="H31" s="1177"/>
      <c r="I31" s="1177"/>
      <c r="J31" s="1177"/>
      <c r="K31" s="1177"/>
      <c r="L31" s="1177"/>
      <c r="M31" s="1177"/>
      <c r="N31" s="1177"/>
      <c r="O31" s="1177"/>
      <c r="P31" s="1177"/>
      <c r="Q31" s="1177"/>
      <c r="R31" s="1177"/>
      <c r="S31" s="1177"/>
      <c r="T31" s="1177"/>
      <c r="U31" s="1177"/>
      <c r="V31" s="1177"/>
      <c r="W31" s="1177"/>
      <c r="X31" s="1177"/>
      <c r="Y31" s="1177"/>
      <c r="Z31" s="1177"/>
      <c r="AA31" s="1177"/>
      <c r="AB31" s="1177"/>
      <c r="AC31" s="1177"/>
      <c r="AD31" s="1177"/>
      <c r="AE31" s="1177"/>
      <c r="AF31" s="1177"/>
      <c r="AG31" s="1177"/>
      <c r="AH31" s="1177"/>
      <c r="AI31" s="1177"/>
      <c r="AJ31" s="1177"/>
      <c r="AK31" s="1177"/>
      <c r="AL31" s="1177"/>
      <c r="AM31" s="1177"/>
      <c r="AN31" s="1177"/>
      <c r="AO31" s="1177"/>
      <c r="AP31" s="1177"/>
      <c r="AQ31" s="1177"/>
      <c r="AR31" s="1177"/>
      <c r="AS31" s="1177"/>
      <c r="AT31" s="1177"/>
      <c r="AU31" s="1177"/>
      <c r="AV31" s="1177"/>
      <c r="AW31" s="1177"/>
      <c r="AX31" s="1177"/>
      <c r="AY31" s="1177"/>
      <c r="AZ31" s="1177"/>
      <c r="BA31" s="1177"/>
      <c r="BB31" s="1177"/>
      <c r="BC31" s="1177"/>
      <c r="BD31" s="1177"/>
      <c r="BE31" s="1177"/>
      <c r="BF31" s="1177"/>
      <c r="BG31" s="1177"/>
    </row>
    <row r="32" spans="1:59" ht="36.75" customHeight="1">
      <c r="A32" s="1177"/>
      <c r="B32" s="1177"/>
      <c r="C32" s="1177"/>
      <c r="D32" s="1177"/>
      <c r="E32" s="1177"/>
      <c r="F32" s="1177"/>
      <c r="G32" s="1177"/>
      <c r="H32" s="1177"/>
      <c r="I32" s="1177"/>
      <c r="J32" s="1177"/>
      <c r="K32" s="1177"/>
      <c r="L32" s="1177"/>
      <c r="M32" s="1177"/>
      <c r="N32" s="1177"/>
      <c r="O32" s="1177"/>
      <c r="P32" s="1177"/>
      <c r="Q32" s="1177"/>
      <c r="R32" s="1177"/>
      <c r="S32" s="1177"/>
      <c r="T32" s="1177"/>
      <c r="U32" s="1177"/>
      <c r="V32" s="1177"/>
      <c r="W32" s="1177"/>
      <c r="X32" s="1177"/>
      <c r="Y32" s="1177"/>
      <c r="Z32" s="1177"/>
      <c r="AA32" s="1177"/>
      <c r="AB32" s="1177"/>
      <c r="AC32" s="1177"/>
      <c r="AD32" s="1177"/>
      <c r="AE32" s="1177"/>
      <c r="AF32" s="1177"/>
      <c r="AG32" s="1177"/>
      <c r="AH32" s="1177"/>
      <c r="AI32" s="1177"/>
      <c r="AJ32" s="1177"/>
      <c r="AK32" s="1177"/>
      <c r="AL32" s="1177"/>
      <c r="AM32" s="1177"/>
      <c r="AN32" s="1177"/>
      <c r="AO32" s="1177"/>
      <c r="AP32" s="1177"/>
      <c r="AQ32" s="1177"/>
      <c r="AR32" s="1177"/>
      <c r="AS32" s="1177"/>
      <c r="AT32" s="1177"/>
      <c r="AU32" s="1177"/>
      <c r="AV32" s="1177"/>
      <c r="AW32" s="1177"/>
      <c r="AX32" s="1177"/>
      <c r="AY32" s="1177"/>
      <c r="AZ32" s="1177"/>
      <c r="BA32" s="1177"/>
      <c r="BB32" s="1177"/>
      <c r="BC32" s="1177"/>
      <c r="BD32" s="1177"/>
      <c r="BE32" s="1177"/>
      <c r="BF32" s="1177"/>
      <c r="BG32" s="1177"/>
    </row>
    <row r="33" spans="1:59" ht="36.75" customHeight="1">
      <c r="A33" s="1177"/>
      <c r="B33" s="1177"/>
      <c r="C33" s="1177"/>
      <c r="D33" s="1177"/>
      <c r="E33" s="1177"/>
      <c r="F33" s="1177"/>
      <c r="G33" s="1177"/>
      <c r="H33" s="1177"/>
      <c r="I33" s="1177"/>
      <c r="J33" s="1177"/>
      <c r="K33" s="1177"/>
      <c r="L33" s="1177"/>
      <c r="M33" s="1177"/>
      <c r="N33" s="1177"/>
      <c r="O33" s="1177"/>
      <c r="P33" s="1177"/>
      <c r="Q33" s="1177"/>
      <c r="R33" s="1177"/>
      <c r="S33" s="1177"/>
      <c r="T33" s="1177"/>
      <c r="U33" s="1177"/>
      <c r="V33" s="1177"/>
      <c r="W33" s="1177"/>
      <c r="X33" s="1177"/>
      <c r="Y33" s="1177"/>
      <c r="Z33" s="1177"/>
      <c r="AA33" s="1177"/>
      <c r="AB33" s="1177"/>
      <c r="AC33" s="1177"/>
      <c r="AD33" s="1177"/>
      <c r="AE33" s="1177"/>
      <c r="AF33" s="1177"/>
      <c r="AG33" s="1177"/>
      <c r="AH33" s="1177"/>
      <c r="AI33" s="1177"/>
      <c r="AJ33" s="1177"/>
      <c r="AK33" s="1177"/>
      <c r="AL33" s="1177"/>
      <c r="AM33" s="1177"/>
      <c r="AN33" s="1177"/>
      <c r="AO33" s="1177"/>
      <c r="AP33" s="1177"/>
      <c r="AQ33" s="1177"/>
      <c r="AR33" s="1177"/>
      <c r="AS33" s="1177"/>
      <c r="AT33" s="1177"/>
      <c r="AU33" s="1177"/>
      <c r="AV33" s="1177"/>
      <c r="AW33" s="1177"/>
      <c r="AX33" s="1177"/>
      <c r="AY33" s="1177"/>
      <c r="AZ33" s="1177"/>
      <c r="BA33" s="1177"/>
      <c r="BB33" s="1177"/>
      <c r="BC33" s="1177"/>
      <c r="BD33" s="1177"/>
      <c r="BE33" s="1177"/>
      <c r="BF33" s="1177"/>
      <c r="BG33" s="1177"/>
    </row>
    <row r="34" spans="1:59" ht="36.75" customHeight="1">
      <c r="A34" s="1177"/>
      <c r="B34" s="1177"/>
      <c r="C34" s="1177"/>
      <c r="D34" s="1177"/>
      <c r="E34" s="1177"/>
      <c r="F34" s="1177"/>
      <c r="G34" s="1177"/>
      <c r="H34" s="1177"/>
      <c r="I34" s="1177"/>
      <c r="J34" s="1177"/>
      <c r="K34" s="1177"/>
      <c r="L34" s="1177"/>
      <c r="M34" s="1177"/>
      <c r="N34" s="1177"/>
      <c r="O34" s="1177"/>
      <c r="P34" s="1177"/>
      <c r="Q34" s="1177"/>
      <c r="R34" s="1177"/>
      <c r="S34" s="1177"/>
      <c r="T34" s="1177"/>
      <c r="U34" s="1177"/>
      <c r="V34" s="1177"/>
      <c r="W34" s="1177"/>
      <c r="X34" s="1177"/>
      <c r="Y34" s="1177"/>
      <c r="Z34" s="1177"/>
      <c r="AA34" s="1177"/>
      <c r="AB34" s="1177"/>
      <c r="AC34" s="1177"/>
      <c r="AD34" s="1177"/>
      <c r="AE34" s="1177"/>
      <c r="AF34" s="1177"/>
      <c r="AG34" s="1177"/>
      <c r="AH34" s="1177"/>
      <c r="AI34" s="1177"/>
      <c r="AJ34" s="1177"/>
      <c r="AK34" s="1177"/>
      <c r="AL34" s="1177"/>
      <c r="AM34" s="1177"/>
      <c r="AN34" s="1177"/>
      <c r="AO34" s="1177"/>
      <c r="AP34" s="1177"/>
      <c r="AQ34" s="1177"/>
      <c r="AR34" s="1177"/>
      <c r="AS34" s="1177"/>
      <c r="AT34" s="1177"/>
      <c r="AU34" s="1177"/>
      <c r="AV34" s="1177"/>
      <c r="AW34" s="1177"/>
      <c r="AX34" s="1177"/>
      <c r="AY34" s="1177"/>
      <c r="AZ34" s="1177"/>
      <c r="BA34" s="1177"/>
      <c r="BB34" s="1177"/>
      <c r="BC34" s="1177"/>
      <c r="BD34" s="1177"/>
      <c r="BE34" s="1177"/>
      <c r="BF34" s="1177"/>
      <c r="BG34" s="1177"/>
    </row>
    <row r="35" spans="1:59" ht="36.75" customHeight="1">
      <c r="A35" s="1177"/>
      <c r="B35" s="1177"/>
      <c r="C35" s="1177"/>
      <c r="D35" s="1177"/>
      <c r="E35" s="1177"/>
      <c r="F35" s="1177"/>
      <c r="G35" s="1177"/>
      <c r="H35" s="1177"/>
      <c r="I35" s="1177"/>
      <c r="J35" s="1177"/>
      <c r="K35" s="1177"/>
      <c r="L35" s="1177"/>
      <c r="M35" s="1177"/>
      <c r="N35" s="1177"/>
      <c r="O35" s="1177"/>
      <c r="P35" s="1177"/>
      <c r="Q35" s="1177"/>
      <c r="R35" s="1177"/>
      <c r="S35" s="1177"/>
      <c r="T35" s="1177"/>
      <c r="U35" s="1177"/>
      <c r="V35" s="1177"/>
      <c r="W35" s="1177"/>
      <c r="X35" s="1177"/>
      <c r="Y35" s="1177"/>
      <c r="Z35" s="1177"/>
      <c r="AA35" s="1177"/>
      <c r="AB35" s="1177"/>
      <c r="AC35" s="1177"/>
      <c r="AD35" s="1177"/>
      <c r="AE35" s="1177"/>
      <c r="AF35" s="1177"/>
      <c r="AG35" s="1177"/>
      <c r="AH35" s="1177"/>
      <c r="AI35" s="1177"/>
      <c r="AJ35" s="1177"/>
      <c r="AK35" s="1177"/>
      <c r="AL35" s="1177"/>
      <c r="AM35" s="1177"/>
      <c r="AN35" s="1177"/>
      <c r="AO35" s="1177"/>
      <c r="AP35" s="1177"/>
      <c r="AQ35" s="1177"/>
      <c r="AR35" s="1177"/>
      <c r="AS35" s="1177"/>
      <c r="AT35" s="1177"/>
      <c r="AU35" s="1177"/>
      <c r="AV35" s="1177"/>
      <c r="AW35" s="1177"/>
      <c r="AX35" s="1177"/>
      <c r="AY35" s="1177"/>
      <c r="AZ35" s="1177"/>
      <c r="BA35" s="1177"/>
      <c r="BB35" s="1177"/>
      <c r="BC35" s="1177"/>
      <c r="BD35" s="1177"/>
      <c r="BE35" s="1177"/>
      <c r="BF35" s="1177"/>
      <c r="BG35" s="1177"/>
    </row>
    <row r="36" spans="1:59" ht="36.75" customHeight="1">
      <c r="A36" s="1177"/>
      <c r="B36" s="1177"/>
      <c r="C36" s="1177"/>
      <c r="D36" s="1177"/>
      <c r="E36" s="1177"/>
      <c r="F36" s="1177"/>
      <c r="G36" s="1177"/>
      <c r="H36" s="1177"/>
      <c r="I36" s="1177"/>
      <c r="J36" s="1177"/>
      <c r="K36" s="1177"/>
      <c r="L36" s="1177"/>
      <c r="M36" s="1177"/>
      <c r="N36" s="1177"/>
      <c r="O36" s="1177"/>
      <c r="P36" s="1177"/>
      <c r="Q36" s="1177"/>
      <c r="R36" s="1177"/>
      <c r="S36" s="1177"/>
      <c r="T36" s="1177"/>
      <c r="U36" s="1177"/>
      <c r="V36" s="1177"/>
      <c r="W36" s="1177"/>
      <c r="X36" s="1177"/>
      <c r="Y36" s="1177"/>
      <c r="Z36" s="1177"/>
      <c r="AA36" s="1177"/>
      <c r="AB36" s="1177"/>
      <c r="AC36" s="1177"/>
      <c r="AD36" s="1177"/>
      <c r="AE36" s="1177"/>
      <c r="AF36" s="1177"/>
      <c r="AG36" s="1177"/>
      <c r="AH36" s="1177"/>
      <c r="AI36" s="1177"/>
      <c r="AJ36" s="1177"/>
      <c r="AK36" s="1177"/>
      <c r="AL36" s="1177"/>
      <c r="AM36" s="1177"/>
      <c r="AN36" s="1177"/>
      <c r="AO36" s="1177"/>
      <c r="AP36" s="1177"/>
      <c r="AQ36" s="1177"/>
      <c r="AR36" s="1177"/>
      <c r="AS36" s="1177"/>
      <c r="AT36" s="1177"/>
      <c r="AU36" s="1177"/>
      <c r="AV36" s="1177"/>
      <c r="AW36" s="1177"/>
      <c r="AX36" s="1177"/>
      <c r="AY36" s="1177"/>
      <c r="AZ36" s="1177"/>
      <c r="BA36" s="1177"/>
      <c r="BB36" s="1177"/>
      <c r="BC36" s="1177"/>
      <c r="BD36" s="1177"/>
      <c r="BE36" s="1177"/>
      <c r="BF36" s="1177"/>
      <c r="BG36" s="1177"/>
    </row>
  </sheetData>
  <mergeCells count="165">
    <mergeCell ref="A36:J36"/>
    <mergeCell ref="K36:S36"/>
    <mergeCell ref="T36:AC36"/>
    <mergeCell ref="AD36:AM36"/>
    <mergeCell ref="AN36:AW36"/>
    <mergeCell ref="AX36:BG36"/>
    <mergeCell ref="A7:BG7"/>
    <mergeCell ref="A17:BG17"/>
    <mergeCell ref="A27:BG27"/>
    <mergeCell ref="AX32:BG32"/>
    <mergeCell ref="A31:J31"/>
    <mergeCell ref="K31:S31"/>
    <mergeCell ref="T31:AC31"/>
    <mergeCell ref="AD31:AM31"/>
    <mergeCell ref="AN31:AW31"/>
    <mergeCell ref="AX31:BG31"/>
    <mergeCell ref="A30:J30"/>
    <mergeCell ref="K30:S30"/>
    <mergeCell ref="T30:AC30"/>
    <mergeCell ref="AD30:AM30"/>
    <mergeCell ref="AN30:AW30"/>
    <mergeCell ref="AX30:BG30"/>
    <mergeCell ref="A29:J29"/>
    <mergeCell ref="K29:S29"/>
    <mergeCell ref="A4:BG4"/>
    <mergeCell ref="A35:J35"/>
    <mergeCell ref="K35:S35"/>
    <mergeCell ref="T35:AC35"/>
    <mergeCell ref="AD35:AM35"/>
    <mergeCell ref="AN35:AW35"/>
    <mergeCell ref="AX35:BG35"/>
    <mergeCell ref="A34:J34"/>
    <mergeCell ref="K34:S34"/>
    <mergeCell ref="T34:AC34"/>
    <mergeCell ref="AD34:AM34"/>
    <mergeCell ref="AN34:AW34"/>
    <mergeCell ref="AX34:BG34"/>
    <mergeCell ref="A33:J33"/>
    <mergeCell ref="K33:S33"/>
    <mergeCell ref="T33:AC33"/>
    <mergeCell ref="AD33:AM33"/>
    <mergeCell ref="AN33:AW33"/>
    <mergeCell ref="AX33:BG33"/>
    <mergeCell ref="A32:J32"/>
    <mergeCell ref="K32:S32"/>
    <mergeCell ref="T32:AC32"/>
    <mergeCell ref="AD32:AM32"/>
    <mergeCell ref="AN32:AW32"/>
    <mergeCell ref="T29:AC29"/>
    <mergeCell ref="AD29:AM29"/>
    <mergeCell ref="AN29:AW29"/>
    <mergeCell ref="AX29:BG29"/>
    <mergeCell ref="AX24:BG24"/>
    <mergeCell ref="K25:S25"/>
    <mergeCell ref="T25:AC25"/>
    <mergeCell ref="AD25:AM25"/>
    <mergeCell ref="AN25:AW25"/>
    <mergeCell ref="AX25:BG25"/>
    <mergeCell ref="AX22:BG22"/>
    <mergeCell ref="K23:S23"/>
    <mergeCell ref="T23:AC23"/>
    <mergeCell ref="AD23:AM23"/>
    <mergeCell ref="AN23:AW23"/>
    <mergeCell ref="AX23:BG23"/>
    <mergeCell ref="AX20:BG20"/>
    <mergeCell ref="AX21:BG21"/>
    <mergeCell ref="K22:S22"/>
    <mergeCell ref="T22:AC22"/>
    <mergeCell ref="A25:J25"/>
    <mergeCell ref="A24:J24"/>
    <mergeCell ref="K24:S24"/>
    <mergeCell ref="T24:AC24"/>
    <mergeCell ref="AD24:AM24"/>
    <mergeCell ref="AN24:AW24"/>
    <mergeCell ref="A23:J23"/>
    <mergeCell ref="A22:J22"/>
    <mergeCell ref="AD22:AM22"/>
    <mergeCell ref="AN22:AW22"/>
    <mergeCell ref="A21:J21"/>
    <mergeCell ref="A20:J20"/>
    <mergeCell ref="K21:S21"/>
    <mergeCell ref="T21:AC21"/>
    <mergeCell ref="AD21:AM21"/>
    <mergeCell ref="AN21:AW21"/>
    <mergeCell ref="K20:S20"/>
    <mergeCell ref="T20:AC20"/>
    <mergeCell ref="AD20:AM20"/>
    <mergeCell ref="AN20:AW20"/>
    <mergeCell ref="A19:J19"/>
    <mergeCell ref="AX19:BG19"/>
    <mergeCell ref="BA14:BG14"/>
    <mergeCell ref="A15:J15"/>
    <mergeCell ref="K15:Q15"/>
    <mergeCell ref="R15:X15"/>
    <mergeCell ref="Y15:AE15"/>
    <mergeCell ref="AF15:AL15"/>
    <mergeCell ref="AM15:AS15"/>
    <mergeCell ref="AT15:AZ15"/>
    <mergeCell ref="BA15:BG15"/>
    <mergeCell ref="A14:J14"/>
    <mergeCell ref="K14:Q14"/>
    <mergeCell ref="R14:X14"/>
    <mergeCell ref="Y14:AE14"/>
    <mergeCell ref="AF14:AL14"/>
    <mergeCell ref="AM14:AS14"/>
    <mergeCell ref="AT14:AZ14"/>
    <mergeCell ref="AN19:AW19"/>
    <mergeCell ref="AD19:AM19"/>
    <mergeCell ref="T19:AC19"/>
    <mergeCell ref="K19:S19"/>
    <mergeCell ref="AT13:AZ13"/>
    <mergeCell ref="BA13:BG13"/>
    <mergeCell ref="A13:J13"/>
    <mergeCell ref="K13:Q13"/>
    <mergeCell ref="R13:X13"/>
    <mergeCell ref="Y13:AE13"/>
    <mergeCell ref="AF13:AL13"/>
    <mergeCell ref="AM13:AS13"/>
    <mergeCell ref="A12:J12"/>
    <mergeCell ref="K12:Q12"/>
    <mergeCell ref="R12:X12"/>
    <mergeCell ref="Y12:AE12"/>
    <mergeCell ref="AF12:AL12"/>
    <mergeCell ref="AM12:AS12"/>
    <mergeCell ref="AT12:AZ12"/>
    <mergeCell ref="BA12:BG12"/>
    <mergeCell ref="A9:J9"/>
    <mergeCell ref="K9:Q9"/>
    <mergeCell ref="R9:X9"/>
    <mergeCell ref="Y9:AE9"/>
    <mergeCell ref="AF9:AL9"/>
    <mergeCell ref="AM9:AS9"/>
    <mergeCell ref="BA10:BG10"/>
    <mergeCell ref="A11:J11"/>
    <mergeCell ref="K11:Q11"/>
    <mergeCell ref="R11:X11"/>
    <mergeCell ref="Y11:AE11"/>
    <mergeCell ref="AF11:AL11"/>
    <mergeCell ref="AM11:AS11"/>
    <mergeCell ref="AT11:AZ11"/>
    <mergeCell ref="BA11:BG11"/>
    <mergeCell ref="F5:S5"/>
    <mergeCell ref="A6:BG6"/>
    <mergeCell ref="A8:BG8"/>
    <mergeCell ref="A16:BG16"/>
    <mergeCell ref="A18:BG18"/>
    <mergeCell ref="A26:BG26"/>
    <mergeCell ref="A28:BG28"/>
    <mergeCell ref="A1:F3"/>
    <mergeCell ref="AV1:BG1"/>
    <mergeCell ref="AV2:BG2"/>
    <mergeCell ref="AV3:BG3"/>
    <mergeCell ref="AR1:AU1"/>
    <mergeCell ref="AR2:AU2"/>
    <mergeCell ref="AR3:AU3"/>
    <mergeCell ref="G1:AQ3"/>
    <mergeCell ref="AT9:AZ9"/>
    <mergeCell ref="BA9:BG9"/>
    <mergeCell ref="A10:J10"/>
    <mergeCell ref="K10:Q10"/>
    <mergeCell ref="R10:X10"/>
    <mergeCell ref="Y10:AE10"/>
    <mergeCell ref="AF10:AL10"/>
    <mergeCell ref="AM10:AS10"/>
    <mergeCell ref="AT10:AZ10"/>
  </mergeCells>
  <pageMargins left="0.6" right="0.35" top="0.75" bottom="0.5" header="0.3" footer="0.3"/>
  <pageSetup paperSize="9" orientation="portrait" r:id="rId1"/>
  <headerFooter>
    <oddFooter>&amp;L          -----------------------
          Project In charge&amp;R      --------------------          .       
          Project  Manager        .</oddFooter>
  </headerFooter>
</worksheet>
</file>

<file path=xl/worksheets/sheet8.xml><?xml version="1.0" encoding="utf-8"?>
<worksheet xmlns="http://schemas.openxmlformats.org/spreadsheetml/2006/main" xmlns:r="http://schemas.openxmlformats.org/officeDocument/2006/relationships">
  <sheetPr>
    <tabColor theme="4" tint="0.39997558519241921"/>
  </sheetPr>
  <dimension ref="A1:BG31"/>
  <sheetViews>
    <sheetView view="pageBreakPreview" zoomScaleNormal="100" zoomScaleSheetLayoutView="100" workbookViewId="0">
      <selection activeCell="R21" sqref="R21:AL21"/>
    </sheetView>
  </sheetViews>
  <sheetFormatPr defaultRowHeight="15"/>
  <cols>
    <col min="1" max="45" width="1.5703125" customWidth="1"/>
    <col min="46" max="59" width="1.7109375" customWidth="1"/>
  </cols>
  <sheetData>
    <row r="1" spans="1:59" ht="18" customHeight="1">
      <c r="A1" s="1132"/>
      <c r="B1" s="1132"/>
      <c r="C1" s="1132"/>
      <c r="D1" s="1132"/>
      <c r="E1" s="1132"/>
      <c r="F1" s="1132"/>
      <c r="G1" s="1096" t="s">
        <v>481</v>
      </c>
      <c r="H1" s="1142"/>
      <c r="I1" s="1142"/>
      <c r="J1" s="1142"/>
      <c r="K1" s="1142"/>
      <c r="L1" s="1142"/>
      <c r="M1" s="1142"/>
      <c r="N1" s="1142"/>
      <c r="O1" s="1142"/>
      <c r="P1" s="1142"/>
      <c r="Q1" s="1142"/>
      <c r="R1" s="1142"/>
      <c r="S1" s="1142"/>
      <c r="T1" s="1142"/>
      <c r="U1" s="1142"/>
      <c r="V1" s="1142"/>
      <c r="W1" s="1142"/>
      <c r="X1" s="1142"/>
      <c r="Y1" s="1142"/>
      <c r="Z1" s="1142"/>
      <c r="AA1" s="1142"/>
      <c r="AB1" s="1142"/>
      <c r="AC1" s="1142"/>
      <c r="AD1" s="1142"/>
      <c r="AE1" s="1142"/>
      <c r="AF1" s="1142"/>
      <c r="AG1" s="1142"/>
      <c r="AH1" s="1142"/>
      <c r="AI1" s="1142"/>
      <c r="AJ1" s="1142"/>
      <c r="AK1" s="1142"/>
      <c r="AL1" s="1142"/>
      <c r="AM1" s="1142"/>
      <c r="AN1" s="1142"/>
      <c r="AO1" s="1142"/>
      <c r="AP1" s="1142"/>
      <c r="AQ1" s="1143"/>
      <c r="AR1" s="1139" t="s">
        <v>237</v>
      </c>
      <c r="AS1" s="1140"/>
      <c r="AT1" s="1140"/>
      <c r="AU1" s="1141"/>
      <c r="AV1" s="1133" t="s">
        <v>407</v>
      </c>
      <c r="AW1" s="1134"/>
      <c r="AX1" s="1134"/>
      <c r="AY1" s="1134"/>
      <c r="AZ1" s="1134"/>
      <c r="BA1" s="1134"/>
      <c r="BB1" s="1134"/>
      <c r="BC1" s="1134"/>
      <c r="BD1" s="1134"/>
      <c r="BE1" s="1134"/>
      <c r="BF1" s="1134"/>
      <c r="BG1" s="1135"/>
    </row>
    <row r="2" spans="1:59" ht="18" customHeight="1">
      <c r="A2" s="1058"/>
      <c r="B2" s="1058"/>
      <c r="C2" s="1058"/>
      <c r="D2" s="1058"/>
      <c r="E2" s="1058"/>
      <c r="F2" s="1058"/>
      <c r="G2" s="1144"/>
      <c r="H2" s="1145"/>
      <c r="I2" s="1145"/>
      <c r="J2" s="1145"/>
      <c r="K2" s="1145"/>
      <c r="L2" s="1145"/>
      <c r="M2" s="1145"/>
      <c r="N2" s="1145"/>
      <c r="O2" s="1145"/>
      <c r="P2" s="1145"/>
      <c r="Q2" s="1145"/>
      <c r="R2" s="1145"/>
      <c r="S2" s="1145"/>
      <c r="T2" s="1145"/>
      <c r="U2" s="1145"/>
      <c r="V2" s="1145"/>
      <c r="W2" s="1145"/>
      <c r="X2" s="1145"/>
      <c r="Y2" s="1145"/>
      <c r="Z2" s="1145"/>
      <c r="AA2" s="1145"/>
      <c r="AB2" s="1145"/>
      <c r="AC2" s="1145"/>
      <c r="AD2" s="1145"/>
      <c r="AE2" s="1145"/>
      <c r="AF2" s="1145"/>
      <c r="AG2" s="1145"/>
      <c r="AH2" s="1145"/>
      <c r="AI2" s="1145"/>
      <c r="AJ2" s="1145"/>
      <c r="AK2" s="1145"/>
      <c r="AL2" s="1145"/>
      <c r="AM2" s="1145"/>
      <c r="AN2" s="1145"/>
      <c r="AO2" s="1145"/>
      <c r="AP2" s="1145"/>
      <c r="AQ2" s="1146"/>
      <c r="AR2" s="1139" t="s">
        <v>235</v>
      </c>
      <c r="AS2" s="1140"/>
      <c r="AT2" s="1140"/>
      <c r="AU2" s="1141"/>
      <c r="AV2" s="1133">
        <v>0</v>
      </c>
      <c r="AW2" s="1134"/>
      <c r="AX2" s="1134"/>
      <c r="AY2" s="1134"/>
      <c r="AZ2" s="1134"/>
      <c r="BA2" s="1134"/>
      <c r="BB2" s="1134"/>
      <c r="BC2" s="1134"/>
      <c r="BD2" s="1134"/>
      <c r="BE2" s="1134"/>
      <c r="BF2" s="1134"/>
      <c r="BG2" s="1135"/>
    </row>
    <row r="3" spans="1:59" ht="18" customHeight="1">
      <c r="A3" s="1059"/>
      <c r="B3" s="1059"/>
      <c r="C3" s="1059"/>
      <c r="D3" s="1059"/>
      <c r="E3" s="1059"/>
      <c r="F3" s="1059"/>
      <c r="G3" s="1147"/>
      <c r="H3" s="1148"/>
      <c r="I3" s="1148"/>
      <c r="J3" s="1148"/>
      <c r="K3" s="1148"/>
      <c r="L3" s="1148"/>
      <c r="M3" s="1148"/>
      <c r="N3" s="1148"/>
      <c r="O3" s="1148"/>
      <c r="P3" s="1148"/>
      <c r="Q3" s="1148"/>
      <c r="R3" s="1148"/>
      <c r="S3" s="1148"/>
      <c r="T3" s="1148"/>
      <c r="U3" s="1148"/>
      <c r="V3" s="1148"/>
      <c r="W3" s="1148"/>
      <c r="X3" s="1148"/>
      <c r="Y3" s="1148"/>
      <c r="Z3" s="1148"/>
      <c r="AA3" s="1148"/>
      <c r="AB3" s="1148"/>
      <c r="AC3" s="1148"/>
      <c r="AD3" s="1148"/>
      <c r="AE3" s="1148"/>
      <c r="AF3" s="1148"/>
      <c r="AG3" s="1148"/>
      <c r="AH3" s="1148"/>
      <c r="AI3" s="1148"/>
      <c r="AJ3" s="1148"/>
      <c r="AK3" s="1148"/>
      <c r="AL3" s="1148"/>
      <c r="AM3" s="1148"/>
      <c r="AN3" s="1148"/>
      <c r="AO3" s="1148"/>
      <c r="AP3" s="1148"/>
      <c r="AQ3" s="1149"/>
      <c r="AR3" s="1139" t="s">
        <v>244</v>
      </c>
      <c r="AS3" s="1140"/>
      <c r="AT3" s="1140"/>
      <c r="AU3" s="1141"/>
      <c r="AV3" s="1136">
        <f>+'Cover '!T11</f>
        <v>42460</v>
      </c>
      <c r="AW3" s="1137"/>
      <c r="AX3" s="1137"/>
      <c r="AY3" s="1137"/>
      <c r="AZ3" s="1137"/>
      <c r="BA3" s="1137"/>
      <c r="BB3" s="1137"/>
      <c r="BC3" s="1137"/>
      <c r="BD3" s="1137"/>
      <c r="BE3" s="1137"/>
      <c r="BF3" s="1137"/>
      <c r="BG3" s="1138"/>
    </row>
    <row r="4" spans="1:59">
      <c r="A4" s="1180"/>
      <c r="B4" s="1181"/>
      <c r="C4" s="1181"/>
      <c r="D4" s="1181"/>
      <c r="E4" s="1181"/>
      <c r="F4" s="1181"/>
      <c r="G4" s="1181"/>
      <c r="H4" s="1181"/>
      <c r="I4" s="1181"/>
      <c r="J4" s="1181"/>
      <c r="K4" s="1181"/>
      <c r="L4" s="1181"/>
      <c r="M4" s="1181"/>
      <c r="N4" s="1181"/>
      <c r="O4" s="1181"/>
      <c r="P4" s="1181"/>
      <c r="Q4" s="1181"/>
      <c r="R4" s="1181"/>
      <c r="S4" s="1181"/>
      <c r="T4" s="1181"/>
      <c r="U4" s="1181"/>
      <c r="V4" s="1181"/>
      <c r="W4" s="1181"/>
      <c r="X4" s="1181"/>
      <c r="Y4" s="1181"/>
      <c r="Z4" s="1181"/>
      <c r="AA4" s="1181"/>
      <c r="AB4" s="1181"/>
      <c r="AC4" s="1181"/>
      <c r="AD4" s="1181"/>
      <c r="AE4" s="1181"/>
      <c r="AF4" s="1181"/>
      <c r="AG4" s="1181"/>
      <c r="AH4" s="1181"/>
      <c r="AI4" s="1181"/>
      <c r="AJ4" s="1181"/>
      <c r="AK4" s="1181"/>
      <c r="AL4" s="1181"/>
      <c r="AM4" s="1181"/>
      <c r="AN4" s="1181"/>
      <c r="AO4" s="1181"/>
      <c r="AP4" s="1181"/>
      <c r="AQ4" s="1181"/>
      <c r="AR4" s="1181"/>
      <c r="AS4" s="1181"/>
      <c r="AT4" s="1181"/>
      <c r="AU4" s="1181"/>
      <c r="AV4" s="1181"/>
      <c r="AW4" s="1181"/>
      <c r="AX4" s="1181"/>
      <c r="AY4" s="1181"/>
      <c r="AZ4" s="1181"/>
      <c r="BA4" s="1181"/>
      <c r="BB4" s="1181"/>
      <c r="BC4" s="1181"/>
      <c r="BD4" s="1181"/>
      <c r="BE4" s="1181"/>
      <c r="BF4" s="1181"/>
      <c r="BG4" s="1182"/>
    </row>
    <row r="5" spans="1:59">
      <c r="A5" s="161"/>
      <c r="B5" s="162"/>
      <c r="C5" s="162"/>
      <c r="D5" s="162"/>
      <c r="E5" s="162"/>
      <c r="F5" s="1122">
        <f>AV3</f>
        <v>42460</v>
      </c>
      <c r="G5" s="1122"/>
      <c r="H5" s="1122"/>
      <c r="I5" s="1122"/>
      <c r="J5" s="1122"/>
      <c r="K5" s="1122"/>
      <c r="L5" s="1122"/>
      <c r="M5" s="1122"/>
      <c r="N5" s="1122"/>
      <c r="O5" s="1122"/>
      <c r="P5" s="1122"/>
      <c r="Q5" s="1122"/>
      <c r="R5" s="1122"/>
      <c r="S5" s="112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3"/>
    </row>
    <row r="6" spans="1:59" ht="9.9499999999999993" customHeight="1">
      <c r="A6" s="1123"/>
      <c r="B6" s="1124"/>
      <c r="C6" s="1124"/>
      <c r="D6" s="1124"/>
      <c r="E6" s="1124"/>
      <c r="F6" s="1124"/>
      <c r="G6" s="1124"/>
      <c r="H6" s="1124"/>
      <c r="I6" s="1124"/>
      <c r="J6" s="1124"/>
      <c r="K6" s="1124"/>
      <c r="L6" s="1124"/>
      <c r="M6" s="1124"/>
      <c r="N6" s="1124"/>
      <c r="O6" s="1124"/>
      <c r="P6" s="1124"/>
      <c r="Q6" s="1124"/>
      <c r="R6" s="1124"/>
      <c r="S6" s="1124"/>
      <c r="T6" s="1124"/>
      <c r="U6" s="1124"/>
      <c r="V6" s="1124"/>
      <c r="W6" s="1124"/>
      <c r="X6" s="1124"/>
      <c r="Y6" s="1124"/>
      <c r="Z6" s="1124"/>
      <c r="AA6" s="1124"/>
      <c r="AB6" s="1124"/>
      <c r="AC6" s="1124"/>
      <c r="AD6" s="1124"/>
      <c r="AE6" s="1124"/>
      <c r="AF6" s="1124"/>
      <c r="AG6" s="1124"/>
      <c r="AH6" s="1124"/>
      <c r="AI6" s="1124"/>
      <c r="AJ6" s="1124"/>
      <c r="AK6" s="1124"/>
      <c r="AL6" s="1124"/>
      <c r="AM6" s="1124"/>
      <c r="AN6" s="1124"/>
      <c r="AO6" s="1124"/>
      <c r="AP6" s="1124"/>
      <c r="AQ6" s="1124"/>
      <c r="AR6" s="1124"/>
      <c r="AS6" s="1124"/>
      <c r="AT6" s="1124"/>
      <c r="AU6" s="1124"/>
      <c r="AV6" s="1124"/>
      <c r="AW6" s="1124"/>
      <c r="AX6" s="1124"/>
      <c r="AY6" s="1124"/>
      <c r="AZ6" s="1124"/>
      <c r="BA6" s="1124"/>
      <c r="BB6" s="1124"/>
      <c r="BC6" s="1124"/>
      <c r="BD6" s="1124"/>
      <c r="BE6" s="1124"/>
      <c r="BF6" s="1124"/>
      <c r="BG6" s="1125"/>
    </row>
    <row r="7" spans="1:59" ht="20.100000000000001" customHeight="1">
      <c r="A7" s="1183"/>
      <c r="B7" s="1184"/>
      <c r="C7" s="1184"/>
      <c r="D7" s="1184"/>
      <c r="E7" s="1184"/>
      <c r="F7" s="1184"/>
      <c r="G7" s="1184"/>
      <c r="H7" s="1184"/>
      <c r="I7" s="1184"/>
      <c r="J7" s="1184"/>
      <c r="K7" s="1184"/>
      <c r="L7" s="1184"/>
      <c r="M7" s="1184"/>
      <c r="N7" s="1184"/>
      <c r="O7" s="1184"/>
      <c r="P7" s="1184"/>
      <c r="Q7" s="1184"/>
      <c r="R7" s="1184"/>
      <c r="S7" s="1184"/>
      <c r="T7" s="1184"/>
      <c r="U7" s="1184"/>
      <c r="V7" s="1184"/>
      <c r="W7" s="1184"/>
      <c r="X7" s="1184"/>
      <c r="Y7" s="1184"/>
      <c r="Z7" s="1184"/>
      <c r="AA7" s="1184"/>
      <c r="AB7" s="1184"/>
      <c r="AC7" s="1184"/>
      <c r="AD7" s="1184"/>
      <c r="AE7" s="1184"/>
      <c r="AF7" s="1184"/>
      <c r="AG7" s="1184"/>
      <c r="AH7" s="1184"/>
      <c r="AI7" s="1184"/>
      <c r="AJ7" s="1184"/>
      <c r="AK7" s="1184"/>
      <c r="AL7" s="1184"/>
      <c r="AM7" s="1184"/>
      <c r="AN7" s="1184"/>
      <c r="AO7" s="1184"/>
      <c r="AP7" s="1184"/>
      <c r="AQ7" s="1184"/>
      <c r="AR7" s="1184"/>
      <c r="AS7" s="1184"/>
      <c r="AT7" s="1184"/>
      <c r="AU7" s="1184"/>
      <c r="AV7" s="1184"/>
      <c r="AW7" s="1184"/>
      <c r="AX7" s="1184"/>
      <c r="AY7" s="1184"/>
      <c r="AZ7" s="1184"/>
      <c r="BA7" s="1184"/>
      <c r="BB7" s="1184"/>
      <c r="BC7" s="1184"/>
      <c r="BD7" s="1184"/>
      <c r="BE7" s="1184"/>
      <c r="BF7" s="1184"/>
      <c r="BG7" s="1185"/>
    </row>
    <row r="8" spans="1:59" ht="9.9499999999999993" customHeight="1">
      <c r="A8" s="1123"/>
      <c r="B8" s="1124"/>
      <c r="C8" s="1124"/>
      <c r="D8" s="1124"/>
      <c r="E8" s="1124"/>
      <c r="F8" s="1124"/>
      <c r="G8" s="1124"/>
      <c r="H8" s="1124"/>
      <c r="I8" s="1124"/>
      <c r="J8" s="1124"/>
      <c r="K8" s="1124"/>
      <c r="L8" s="1124"/>
      <c r="M8" s="1124"/>
      <c r="N8" s="1124"/>
      <c r="O8" s="1124"/>
      <c r="P8" s="1124"/>
      <c r="Q8" s="1124"/>
      <c r="R8" s="1124"/>
      <c r="S8" s="1124"/>
      <c r="T8" s="1124"/>
      <c r="U8" s="1124"/>
      <c r="V8" s="1124"/>
      <c r="W8" s="1124"/>
      <c r="X8" s="1124"/>
      <c r="Y8" s="1124"/>
      <c r="Z8" s="1124"/>
      <c r="AA8" s="1124"/>
      <c r="AB8" s="1124"/>
      <c r="AC8" s="1124"/>
      <c r="AD8" s="1124"/>
      <c r="AE8" s="1124"/>
      <c r="AF8" s="1124"/>
      <c r="AG8" s="1124"/>
      <c r="AH8" s="1124"/>
      <c r="AI8" s="1124"/>
      <c r="AJ8" s="1124"/>
      <c r="AK8" s="1124"/>
      <c r="AL8" s="1124"/>
      <c r="AM8" s="1124"/>
      <c r="AN8" s="1124"/>
      <c r="AO8" s="1124"/>
      <c r="AP8" s="1124"/>
      <c r="AQ8" s="1124"/>
      <c r="AR8" s="1124"/>
      <c r="AS8" s="1124"/>
      <c r="AT8" s="1124"/>
      <c r="AU8" s="1124"/>
      <c r="AV8" s="1124"/>
      <c r="AW8" s="1124"/>
      <c r="AX8" s="1124"/>
      <c r="AY8" s="1124"/>
      <c r="AZ8" s="1124"/>
      <c r="BA8" s="1124"/>
      <c r="BB8" s="1124"/>
      <c r="BC8" s="1124"/>
      <c r="BD8" s="1124"/>
      <c r="BE8" s="1124"/>
      <c r="BF8" s="1124"/>
      <c r="BG8" s="1125"/>
    </row>
    <row r="9" spans="1:59" ht="15.95" customHeight="1">
      <c r="A9" s="1187"/>
      <c r="B9" s="1187"/>
      <c r="C9" s="1187"/>
      <c r="D9" s="1187"/>
      <c r="E9" s="1187"/>
      <c r="F9" s="1187"/>
      <c r="G9" s="1187"/>
      <c r="H9" s="1187"/>
      <c r="I9" s="1187"/>
      <c r="J9" s="1187"/>
      <c r="K9" s="1187"/>
      <c r="L9" s="1187"/>
      <c r="M9" s="1187"/>
      <c r="N9" s="1187"/>
      <c r="O9" s="1187"/>
      <c r="P9" s="1187"/>
      <c r="Q9" s="1187"/>
      <c r="R9" s="1206"/>
      <c r="S9" s="1207"/>
      <c r="T9" s="1207"/>
      <c r="U9" s="1207"/>
      <c r="V9" s="1207"/>
      <c r="W9" s="1207"/>
      <c r="X9" s="1207"/>
      <c r="Y9" s="1207"/>
      <c r="Z9" s="1207"/>
      <c r="AA9" s="1207"/>
      <c r="AB9" s="1207"/>
      <c r="AC9" s="1207"/>
      <c r="AD9" s="1207"/>
      <c r="AE9" s="1207"/>
      <c r="AF9" s="1207"/>
      <c r="AG9" s="1207"/>
      <c r="AH9" s="1207"/>
      <c r="AI9" s="1207"/>
      <c r="AJ9" s="1207"/>
      <c r="AK9" s="1207"/>
      <c r="AL9" s="1207"/>
      <c r="AM9" s="1206"/>
      <c r="AN9" s="1207"/>
      <c r="AO9" s="1207"/>
      <c r="AP9" s="1207"/>
      <c r="AQ9" s="1207"/>
      <c r="AR9" s="1207"/>
      <c r="AS9" s="1208"/>
      <c r="AT9" s="1187"/>
      <c r="AU9" s="1187"/>
      <c r="AV9" s="1187"/>
      <c r="AW9" s="1187"/>
      <c r="AX9" s="1187"/>
      <c r="AY9" s="1187"/>
      <c r="AZ9" s="1187"/>
      <c r="BA9" s="1187"/>
      <c r="BB9" s="1187"/>
      <c r="BC9" s="1187"/>
      <c r="BD9" s="1187"/>
      <c r="BE9" s="1187"/>
      <c r="BF9" s="1187"/>
      <c r="BG9" s="1187"/>
    </row>
    <row r="10" spans="1:59" s="77" customFormat="1" ht="24.95" customHeight="1">
      <c r="A10" s="1221"/>
      <c r="B10" s="1222"/>
      <c r="C10" s="1222"/>
      <c r="D10" s="1222"/>
      <c r="E10" s="1222"/>
      <c r="F10" s="1222"/>
      <c r="G10" s="1222"/>
      <c r="H10" s="1222"/>
      <c r="I10" s="1222"/>
      <c r="J10" s="1222"/>
      <c r="K10" s="1203"/>
      <c r="L10" s="1203"/>
      <c r="M10" s="1203"/>
      <c r="N10" s="1203"/>
      <c r="O10" s="1203"/>
      <c r="P10" s="1203"/>
      <c r="Q10" s="1203"/>
      <c r="R10" s="1204"/>
      <c r="S10" s="1204"/>
      <c r="T10" s="1204"/>
      <c r="U10" s="1204"/>
      <c r="V10" s="1204"/>
      <c r="W10" s="1204"/>
      <c r="X10" s="1204"/>
      <c r="Y10" s="1204"/>
      <c r="Z10" s="1204"/>
      <c r="AA10" s="1204"/>
      <c r="AB10" s="1204"/>
      <c r="AC10" s="1204"/>
      <c r="AD10" s="1204"/>
      <c r="AE10" s="1204"/>
      <c r="AF10" s="1204"/>
      <c r="AG10" s="1204"/>
      <c r="AH10" s="1204"/>
      <c r="AI10" s="1204"/>
      <c r="AJ10" s="1204"/>
      <c r="AK10" s="1204"/>
      <c r="AL10" s="1204"/>
      <c r="AM10" s="1205"/>
      <c r="AN10" s="1205"/>
      <c r="AO10" s="1205"/>
      <c r="AP10" s="1205"/>
      <c r="AQ10" s="1205"/>
      <c r="AR10" s="1205"/>
      <c r="AS10" s="1205"/>
      <c r="AT10" s="1204"/>
      <c r="AU10" s="1204"/>
      <c r="AV10" s="1204"/>
      <c r="AW10" s="1204"/>
      <c r="AX10" s="1204"/>
      <c r="AY10" s="1204"/>
      <c r="AZ10" s="1204"/>
      <c r="BA10" s="1204"/>
      <c r="BB10" s="1204"/>
      <c r="BC10" s="1204"/>
      <c r="BD10" s="1204"/>
      <c r="BE10" s="1204"/>
      <c r="BF10" s="1204"/>
      <c r="BG10" s="1216"/>
    </row>
    <row r="11" spans="1:59" s="77" customFormat="1" ht="24.95" customHeight="1">
      <c r="A11" s="1219"/>
      <c r="B11" s="1220"/>
      <c r="C11" s="1220"/>
      <c r="D11" s="1220"/>
      <c r="E11" s="1220"/>
      <c r="F11" s="1220"/>
      <c r="G11" s="1220"/>
      <c r="H11" s="1220"/>
      <c r="I11" s="1220"/>
      <c r="J11" s="1220"/>
      <c r="K11" s="1193"/>
      <c r="L11" s="1193"/>
      <c r="M11" s="1193"/>
      <c r="N11" s="1193"/>
      <c r="O11" s="1193"/>
      <c r="P11" s="1193"/>
      <c r="Q11" s="1193"/>
      <c r="R11" s="1213"/>
      <c r="S11" s="1213"/>
      <c r="T11" s="1213"/>
      <c r="U11" s="1213"/>
      <c r="V11" s="1213"/>
      <c r="W11" s="1213"/>
      <c r="X11" s="1213"/>
      <c r="Y11" s="1213"/>
      <c r="Z11" s="1213"/>
      <c r="AA11" s="1213"/>
      <c r="AB11" s="1213"/>
      <c r="AC11" s="1213"/>
      <c r="AD11" s="1213"/>
      <c r="AE11" s="1213"/>
      <c r="AF11" s="1213"/>
      <c r="AG11" s="1213"/>
      <c r="AH11" s="1213"/>
      <c r="AI11" s="1213"/>
      <c r="AJ11" s="1213"/>
      <c r="AK11" s="1213"/>
      <c r="AL11" s="1213"/>
      <c r="AM11" s="1194"/>
      <c r="AN11" s="1194"/>
      <c r="AO11" s="1194"/>
      <c r="AP11" s="1194"/>
      <c r="AQ11" s="1194"/>
      <c r="AR11" s="1194"/>
      <c r="AS11" s="1194"/>
      <c r="AT11" s="1213"/>
      <c r="AU11" s="1213"/>
      <c r="AV11" s="1213"/>
      <c r="AW11" s="1213"/>
      <c r="AX11" s="1213"/>
      <c r="AY11" s="1213"/>
      <c r="AZ11" s="1213"/>
      <c r="BA11" s="1213"/>
      <c r="BB11" s="1213"/>
      <c r="BC11" s="1213"/>
      <c r="BD11" s="1213"/>
      <c r="BE11" s="1213"/>
      <c r="BF11" s="1213"/>
      <c r="BG11" s="1214"/>
    </row>
    <row r="12" spans="1:59" ht="23.1" customHeight="1">
      <c r="A12" s="1162"/>
      <c r="B12" s="1163"/>
      <c r="C12" s="1163"/>
      <c r="D12" s="1163"/>
      <c r="E12" s="1163"/>
      <c r="F12" s="1163"/>
      <c r="G12" s="1163"/>
      <c r="H12" s="1163"/>
      <c r="I12" s="1163"/>
      <c r="J12" s="1163"/>
      <c r="K12" s="1164"/>
      <c r="L12" s="1164"/>
      <c r="M12" s="1164"/>
      <c r="N12" s="1164"/>
      <c r="O12" s="1164"/>
      <c r="P12" s="1164"/>
      <c r="Q12" s="1164"/>
      <c r="R12" s="1217"/>
      <c r="S12" s="1211"/>
      <c r="T12" s="1211"/>
      <c r="U12" s="1211"/>
      <c r="V12" s="1211"/>
      <c r="W12" s="1211"/>
      <c r="X12" s="1211"/>
      <c r="Y12" s="1211"/>
      <c r="Z12" s="1211"/>
      <c r="AA12" s="1211"/>
      <c r="AB12" s="1211"/>
      <c r="AC12" s="1211"/>
      <c r="AD12" s="1211"/>
      <c r="AE12" s="1211"/>
      <c r="AF12" s="1211"/>
      <c r="AG12" s="1211"/>
      <c r="AH12" s="1211"/>
      <c r="AI12" s="1211"/>
      <c r="AJ12" s="1211"/>
      <c r="AK12" s="1211"/>
      <c r="AL12" s="1218"/>
      <c r="AM12" s="1164"/>
      <c r="AN12" s="1164"/>
      <c r="AO12" s="1164"/>
      <c r="AP12" s="1164"/>
      <c r="AQ12" s="1164"/>
      <c r="AR12" s="1164"/>
      <c r="AS12" s="1164"/>
      <c r="AT12" s="1217"/>
      <c r="AU12" s="1211"/>
      <c r="AV12" s="1211"/>
      <c r="AW12" s="1211"/>
      <c r="AX12" s="1211"/>
      <c r="AY12" s="1211"/>
      <c r="AZ12" s="1211"/>
      <c r="BA12" s="1211"/>
      <c r="BB12" s="1211"/>
      <c r="BC12" s="1211"/>
      <c r="BD12" s="1211"/>
      <c r="BE12" s="1211"/>
      <c r="BF12" s="1211"/>
      <c r="BG12" s="1212"/>
    </row>
    <row r="13" spans="1:59" ht="9.9499999999999993" customHeight="1">
      <c r="A13" s="1123"/>
      <c r="B13" s="1124"/>
      <c r="C13" s="1124"/>
      <c r="D13" s="1124"/>
      <c r="E13" s="1124"/>
      <c r="F13" s="1124"/>
      <c r="G13" s="1124"/>
      <c r="H13" s="1124"/>
      <c r="I13" s="1124"/>
      <c r="J13" s="1124"/>
      <c r="K13" s="1124"/>
      <c r="L13" s="1124"/>
      <c r="M13" s="1124"/>
      <c r="N13" s="1124"/>
      <c r="O13" s="1124"/>
      <c r="P13" s="1124"/>
      <c r="Q13" s="1124"/>
      <c r="R13" s="1124"/>
      <c r="S13" s="1124"/>
      <c r="T13" s="1124"/>
      <c r="U13" s="1124"/>
      <c r="V13" s="1124"/>
      <c r="W13" s="1124"/>
      <c r="X13" s="1124"/>
      <c r="Y13" s="1124"/>
      <c r="Z13" s="1124"/>
      <c r="AA13" s="1124"/>
      <c r="AB13" s="1124"/>
      <c r="AC13" s="1124"/>
      <c r="AD13" s="1124"/>
      <c r="AE13" s="1124"/>
      <c r="AF13" s="1124"/>
      <c r="AG13" s="1124"/>
      <c r="AH13" s="1124"/>
      <c r="AI13" s="1124"/>
      <c r="AJ13" s="1124"/>
      <c r="AK13" s="1124"/>
      <c r="AL13" s="1124"/>
      <c r="AM13" s="1124"/>
      <c r="AN13" s="1124"/>
      <c r="AO13" s="1124"/>
      <c r="AP13" s="1124"/>
      <c r="AQ13" s="1124"/>
      <c r="AR13" s="1124"/>
      <c r="AS13" s="1124"/>
      <c r="AT13" s="1124"/>
      <c r="AU13" s="1124"/>
      <c r="AV13" s="1124"/>
      <c r="AW13" s="1124"/>
      <c r="AX13" s="1124"/>
      <c r="AY13" s="1124"/>
      <c r="AZ13" s="1124"/>
      <c r="BA13" s="1124"/>
      <c r="BB13" s="1124"/>
      <c r="BC13" s="1124"/>
      <c r="BD13" s="1124"/>
      <c r="BE13" s="1124"/>
      <c r="BF13" s="1124"/>
      <c r="BG13" s="1125"/>
    </row>
    <row r="14" spans="1:59" ht="20.100000000000001" customHeight="1">
      <c r="A14" s="1183"/>
      <c r="B14" s="1184"/>
      <c r="C14" s="1184"/>
      <c r="D14" s="1184"/>
      <c r="E14" s="1184"/>
      <c r="F14" s="1184"/>
      <c r="G14" s="1184"/>
      <c r="H14" s="1184"/>
      <c r="I14" s="1184"/>
      <c r="J14" s="1184"/>
      <c r="K14" s="1184"/>
      <c r="L14" s="1184"/>
      <c r="M14" s="1184"/>
      <c r="N14" s="1184"/>
      <c r="O14" s="1184"/>
      <c r="P14" s="1184"/>
      <c r="Q14" s="1184"/>
      <c r="R14" s="1184"/>
      <c r="S14" s="1184"/>
      <c r="T14" s="1184"/>
      <c r="U14" s="1184"/>
      <c r="V14" s="1184"/>
      <c r="W14" s="1184"/>
      <c r="X14" s="1184"/>
      <c r="Y14" s="1184"/>
      <c r="Z14" s="1184"/>
      <c r="AA14" s="1184"/>
      <c r="AB14" s="1184"/>
      <c r="AC14" s="1184"/>
      <c r="AD14" s="1184"/>
      <c r="AE14" s="1184"/>
      <c r="AF14" s="1184"/>
      <c r="AG14" s="1184"/>
      <c r="AH14" s="1184"/>
      <c r="AI14" s="1184"/>
      <c r="AJ14" s="1184"/>
      <c r="AK14" s="1184"/>
      <c r="AL14" s="1184"/>
      <c r="AM14" s="1184"/>
      <c r="AN14" s="1184"/>
      <c r="AO14" s="1184"/>
      <c r="AP14" s="1184"/>
      <c r="AQ14" s="1184"/>
      <c r="AR14" s="1184"/>
      <c r="AS14" s="1184"/>
      <c r="AT14" s="1184"/>
      <c r="AU14" s="1184"/>
      <c r="AV14" s="1184"/>
      <c r="AW14" s="1184"/>
      <c r="AX14" s="1184"/>
      <c r="AY14" s="1184"/>
      <c r="AZ14" s="1184"/>
      <c r="BA14" s="1184"/>
      <c r="BB14" s="1184"/>
      <c r="BC14" s="1184"/>
      <c r="BD14" s="1184"/>
      <c r="BE14" s="1184"/>
      <c r="BF14" s="1184"/>
      <c r="BG14" s="1185"/>
    </row>
    <row r="15" spans="1:59" ht="9.9499999999999993" customHeight="1">
      <c r="A15" s="1126"/>
      <c r="B15" s="1127"/>
      <c r="C15" s="1127"/>
      <c r="D15" s="1127"/>
      <c r="E15" s="1127"/>
      <c r="F15" s="1127"/>
      <c r="G15" s="1127"/>
      <c r="H15" s="1127"/>
      <c r="I15" s="1127"/>
      <c r="J15" s="1127"/>
      <c r="K15" s="1127"/>
      <c r="L15" s="1127"/>
      <c r="M15" s="1127"/>
      <c r="N15" s="1127"/>
      <c r="O15" s="1127"/>
      <c r="P15" s="1127"/>
      <c r="Q15" s="1127"/>
      <c r="R15" s="1127"/>
      <c r="S15" s="1127"/>
      <c r="T15" s="1127"/>
      <c r="U15" s="1127"/>
      <c r="V15" s="1127"/>
      <c r="W15" s="1127"/>
      <c r="X15" s="1127"/>
      <c r="Y15" s="1127"/>
      <c r="Z15" s="1127"/>
      <c r="AA15" s="1127"/>
      <c r="AB15" s="1127"/>
      <c r="AC15" s="1127"/>
      <c r="AD15" s="1127"/>
      <c r="AE15" s="1127"/>
      <c r="AF15" s="1127"/>
      <c r="AG15" s="1127"/>
      <c r="AH15" s="1127"/>
      <c r="AI15" s="1127"/>
      <c r="AJ15" s="1127"/>
      <c r="AK15" s="1127"/>
      <c r="AL15" s="1127"/>
      <c r="AM15" s="1127"/>
      <c r="AN15" s="1127"/>
      <c r="AO15" s="1127"/>
      <c r="AP15" s="1127"/>
      <c r="AQ15" s="1127"/>
      <c r="AR15" s="1127"/>
      <c r="AS15" s="1127"/>
      <c r="AT15" s="1127"/>
      <c r="AU15" s="1127"/>
      <c r="AV15" s="1127"/>
      <c r="AW15" s="1127"/>
      <c r="AX15" s="1127"/>
      <c r="AY15" s="1127"/>
      <c r="AZ15" s="1127"/>
      <c r="BA15" s="1127"/>
      <c r="BB15" s="1127"/>
      <c r="BC15" s="1127"/>
      <c r="BD15" s="1127"/>
      <c r="BE15" s="1127"/>
      <c r="BF15" s="1127"/>
      <c r="BG15" s="1128"/>
    </row>
    <row r="16" spans="1:59" ht="15.95" customHeight="1">
      <c r="A16" s="1187"/>
      <c r="B16" s="1187"/>
      <c r="C16" s="1187"/>
      <c r="D16" s="1187"/>
      <c r="E16" s="1187"/>
      <c r="F16" s="1187"/>
      <c r="G16" s="1187"/>
      <c r="H16" s="1187"/>
      <c r="I16" s="1187"/>
      <c r="J16" s="1187"/>
      <c r="K16" s="1187"/>
      <c r="L16" s="1187"/>
      <c r="M16" s="1187"/>
      <c r="N16" s="1187"/>
      <c r="O16" s="1187"/>
      <c r="P16" s="1187"/>
      <c r="Q16" s="1187"/>
      <c r="R16" s="1206"/>
      <c r="S16" s="1207"/>
      <c r="T16" s="1207"/>
      <c r="U16" s="1207"/>
      <c r="V16" s="1207"/>
      <c r="W16" s="1207"/>
      <c r="X16" s="1207"/>
      <c r="Y16" s="1207"/>
      <c r="Z16" s="1207"/>
      <c r="AA16" s="1207"/>
      <c r="AB16" s="1207"/>
      <c r="AC16" s="1207"/>
      <c r="AD16" s="1207"/>
      <c r="AE16" s="1207"/>
      <c r="AF16" s="1207"/>
      <c r="AG16" s="1207"/>
      <c r="AH16" s="1207"/>
      <c r="AI16" s="1207"/>
      <c r="AJ16" s="1207"/>
      <c r="AK16" s="1207"/>
      <c r="AL16" s="1207"/>
      <c r="AM16" s="1206"/>
      <c r="AN16" s="1207"/>
      <c r="AO16" s="1207"/>
      <c r="AP16" s="1207"/>
      <c r="AQ16" s="1207"/>
      <c r="AR16" s="1207"/>
      <c r="AS16" s="1208"/>
      <c r="AT16" s="1206"/>
      <c r="AU16" s="1207"/>
      <c r="AV16" s="1207"/>
      <c r="AW16" s="1207"/>
      <c r="AX16" s="1207"/>
      <c r="AY16" s="1207"/>
      <c r="AZ16" s="1207"/>
      <c r="BA16" s="1207"/>
      <c r="BB16" s="1207"/>
      <c r="BC16" s="1207"/>
      <c r="BD16" s="1207"/>
      <c r="BE16" s="1207"/>
      <c r="BF16" s="1207"/>
      <c r="BG16" s="1208"/>
    </row>
    <row r="17" spans="1:59" s="77" customFormat="1" ht="24.95" customHeight="1">
      <c r="A17" s="1201"/>
      <c r="B17" s="1202"/>
      <c r="C17" s="1202"/>
      <c r="D17" s="1202"/>
      <c r="E17" s="1202"/>
      <c r="F17" s="1202"/>
      <c r="G17" s="1202"/>
      <c r="H17" s="1202"/>
      <c r="I17" s="1202"/>
      <c r="J17" s="1202"/>
      <c r="K17" s="1203"/>
      <c r="L17" s="1203"/>
      <c r="M17" s="1203"/>
      <c r="N17" s="1203"/>
      <c r="O17" s="1203"/>
      <c r="P17" s="1203"/>
      <c r="Q17" s="1203"/>
      <c r="R17" s="1204"/>
      <c r="S17" s="1204"/>
      <c r="T17" s="1204"/>
      <c r="U17" s="1204"/>
      <c r="V17" s="1204"/>
      <c r="W17" s="1204"/>
      <c r="X17" s="1204"/>
      <c r="Y17" s="1204"/>
      <c r="Z17" s="1204"/>
      <c r="AA17" s="1204"/>
      <c r="AB17" s="1204"/>
      <c r="AC17" s="1204"/>
      <c r="AD17" s="1204"/>
      <c r="AE17" s="1204"/>
      <c r="AF17" s="1204"/>
      <c r="AG17" s="1204"/>
      <c r="AH17" s="1204"/>
      <c r="AI17" s="1204"/>
      <c r="AJ17" s="1204"/>
      <c r="AK17" s="1204"/>
      <c r="AL17" s="1204"/>
      <c r="AM17" s="1205"/>
      <c r="AN17" s="1205"/>
      <c r="AO17" s="1205"/>
      <c r="AP17" s="1205"/>
      <c r="AQ17" s="1205"/>
      <c r="AR17" s="1205"/>
      <c r="AS17" s="1205"/>
      <c r="AT17" s="1204"/>
      <c r="AU17" s="1204"/>
      <c r="AV17" s="1204"/>
      <c r="AW17" s="1204"/>
      <c r="AX17" s="1204"/>
      <c r="AY17" s="1204"/>
      <c r="AZ17" s="1204"/>
      <c r="BA17" s="1204"/>
      <c r="BB17" s="1204"/>
      <c r="BC17" s="1204"/>
      <c r="BD17" s="1204"/>
      <c r="BE17" s="1204"/>
      <c r="BF17" s="1204"/>
      <c r="BG17" s="1216"/>
    </row>
    <row r="18" spans="1:59" s="77" customFormat="1" ht="24.95" customHeight="1">
      <c r="A18" s="1195"/>
      <c r="B18" s="1196"/>
      <c r="C18" s="1196"/>
      <c r="D18" s="1196"/>
      <c r="E18" s="1196"/>
      <c r="F18" s="1196"/>
      <c r="G18" s="1196"/>
      <c r="H18" s="1196"/>
      <c r="I18" s="1196"/>
      <c r="J18" s="1196"/>
      <c r="K18" s="1197"/>
      <c r="L18" s="1197"/>
      <c r="M18" s="1197"/>
      <c r="N18" s="1197"/>
      <c r="O18" s="1197"/>
      <c r="P18" s="1197"/>
      <c r="Q18" s="1197"/>
      <c r="R18" s="1198"/>
      <c r="S18" s="1198"/>
      <c r="T18" s="1198"/>
      <c r="U18" s="1198"/>
      <c r="V18" s="1198"/>
      <c r="W18" s="1198"/>
      <c r="X18" s="1198"/>
      <c r="Y18" s="1198"/>
      <c r="Z18" s="1198"/>
      <c r="AA18" s="1198"/>
      <c r="AB18" s="1198"/>
      <c r="AC18" s="1198"/>
      <c r="AD18" s="1198"/>
      <c r="AE18" s="1198"/>
      <c r="AF18" s="1198"/>
      <c r="AG18" s="1198"/>
      <c r="AH18" s="1198"/>
      <c r="AI18" s="1198"/>
      <c r="AJ18" s="1198"/>
      <c r="AK18" s="1198"/>
      <c r="AL18" s="1198"/>
      <c r="AM18" s="1199"/>
      <c r="AN18" s="1199"/>
      <c r="AO18" s="1199"/>
      <c r="AP18" s="1199"/>
      <c r="AQ18" s="1199"/>
      <c r="AR18" s="1199"/>
      <c r="AS18" s="1199"/>
      <c r="AT18" s="1198"/>
      <c r="AU18" s="1198"/>
      <c r="AV18" s="1198"/>
      <c r="AW18" s="1198"/>
      <c r="AX18" s="1198"/>
      <c r="AY18" s="1198"/>
      <c r="AZ18" s="1198"/>
      <c r="BA18" s="1198"/>
      <c r="BB18" s="1198"/>
      <c r="BC18" s="1198"/>
      <c r="BD18" s="1198"/>
      <c r="BE18" s="1198"/>
      <c r="BF18" s="1198"/>
      <c r="BG18" s="1215"/>
    </row>
    <row r="19" spans="1:59" s="77" customFormat="1" ht="24.95" customHeight="1">
      <c r="A19" s="1195"/>
      <c r="B19" s="1196"/>
      <c r="C19" s="1196"/>
      <c r="D19" s="1196"/>
      <c r="E19" s="1196"/>
      <c r="F19" s="1196"/>
      <c r="G19" s="1196"/>
      <c r="H19" s="1196"/>
      <c r="I19" s="1196"/>
      <c r="J19" s="1196"/>
      <c r="K19" s="1197"/>
      <c r="L19" s="1197"/>
      <c r="M19" s="1197"/>
      <c r="N19" s="1197"/>
      <c r="O19" s="1197"/>
      <c r="P19" s="1197"/>
      <c r="Q19" s="1197"/>
      <c r="R19" s="1198"/>
      <c r="S19" s="1198"/>
      <c r="T19" s="1198"/>
      <c r="U19" s="1198"/>
      <c r="V19" s="1198"/>
      <c r="W19" s="1198"/>
      <c r="X19" s="1198"/>
      <c r="Y19" s="1198"/>
      <c r="Z19" s="1198"/>
      <c r="AA19" s="1198"/>
      <c r="AB19" s="1198"/>
      <c r="AC19" s="1198"/>
      <c r="AD19" s="1198"/>
      <c r="AE19" s="1198"/>
      <c r="AF19" s="1198"/>
      <c r="AG19" s="1198"/>
      <c r="AH19" s="1198"/>
      <c r="AI19" s="1198"/>
      <c r="AJ19" s="1198"/>
      <c r="AK19" s="1198"/>
      <c r="AL19" s="1198"/>
      <c r="AM19" s="1199"/>
      <c r="AN19" s="1199"/>
      <c r="AO19" s="1199"/>
      <c r="AP19" s="1199"/>
      <c r="AQ19" s="1199"/>
      <c r="AR19" s="1199"/>
      <c r="AS19" s="1199"/>
      <c r="AT19" s="1198"/>
      <c r="AU19" s="1198"/>
      <c r="AV19" s="1198"/>
      <c r="AW19" s="1198"/>
      <c r="AX19" s="1198"/>
      <c r="AY19" s="1198"/>
      <c r="AZ19" s="1198"/>
      <c r="BA19" s="1198"/>
      <c r="BB19" s="1198"/>
      <c r="BC19" s="1198"/>
      <c r="BD19" s="1198"/>
      <c r="BE19" s="1198"/>
      <c r="BF19" s="1198"/>
      <c r="BG19" s="1215"/>
    </row>
    <row r="20" spans="1:59" s="77" customFormat="1" ht="24.95" customHeight="1">
      <c r="A20" s="1191"/>
      <c r="B20" s="1192"/>
      <c r="C20" s="1192"/>
      <c r="D20" s="1192"/>
      <c r="E20" s="1192"/>
      <c r="F20" s="1192"/>
      <c r="G20" s="1192"/>
      <c r="H20" s="1192"/>
      <c r="I20" s="1192"/>
      <c r="J20" s="1192"/>
      <c r="K20" s="1193"/>
      <c r="L20" s="1193"/>
      <c r="M20" s="1193"/>
      <c r="N20" s="1193"/>
      <c r="O20" s="1193"/>
      <c r="P20" s="1193"/>
      <c r="Q20" s="1193"/>
      <c r="R20" s="1190"/>
      <c r="S20" s="1190"/>
      <c r="T20" s="1190"/>
      <c r="U20" s="1190"/>
      <c r="V20" s="1190"/>
      <c r="W20" s="1190"/>
      <c r="X20" s="1190"/>
      <c r="Y20" s="1190"/>
      <c r="Z20" s="1190"/>
      <c r="AA20" s="1190"/>
      <c r="AB20" s="1190"/>
      <c r="AC20" s="1190"/>
      <c r="AD20" s="1190"/>
      <c r="AE20" s="1190"/>
      <c r="AF20" s="1190"/>
      <c r="AG20" s="1190"/>
      <c r="AH20" s="1190"/>
      <c r="AI20" s="1190"/>
      <c r="AJ20" s="1190"/>
      <c r="AK20" s="1190"/>
      <c r="AL20" s="1190"/>
      <c r="AM20" s="1194"/>
      <c r="AN20" s="1194"/>
      <c r="AO20" s="1194"/>
      <c r="AP20" s="1194"/>
      <c r="AQ20" s="1194"/>
      <c r="AR20" s="1194"/>
      <c r="AS20" s="1194"/>
      <c r="AT20" s="1213"/>
      <c r="AU20" s="1213"/>
      <c r="AV20" s="1213"/>
      <c r="AW20" s="1213"/>
      <c r="AX20" s="1213"/>
      <c r="AY20" s="1213"/>
      <c r="AZ20" s="1213"/>
      <c r="BA20" s="1213"/>
      <c r="BB20" s="1213"/>
      <c r="BC20" s="1213"/>
      <c r="BD20" s="1213"/>
      <c r="BE20" s="1213"/>
      <c r="BF20" s="1213"/>
      <c r="BG20" s="1214"/>
    </row>
    <row r="21" spans="1:59" ht="23.1" customHeight="1">
      <c r="A21" s="1209"/>
      <c r="B21" s="1173"/>
      <c r="C21" s="1173"/>
      <c r="D21" s="1173"/>
      <c r="E21" s="1173"/>
      <c r="F21" s="1173"/>
      <c r="G21" s="1173"/>
      <c r="H21" s="1173"/>
      <c r="I21" s="1173"/>
      <c r="J21" s="1173"/>
      <c r="K21" s="1188"/>
      <c r="L21" s="1188"/>
      <c r="M21" s="1188"/>
      <c r="N21" s="1188"/>
      <c r="O21" s="1188"/>
      <c r="P21" s="1188"/>
      <c r="Q21" s="1188"/>
      <c r="R21" s="1210"/>
      <c r="S21" s="1211"/>
      <c r="T21" s="1211"/>
      <c r="U21" s="1211"/>
      <c r="V21" s="1211"/>
      <c r="W21" s="1211"/>
      <c r="X21" s="1211"/>
      <c r="Y21" s="1211"/>
      <c r="Z21" s="1211"/>
      <c r="AA21" s="1211"/>
      <c r="AB21" s="1211"/>
      <c r="AC21" s="1211"/>
      <c r="AD21" s="1211"/>
      <c r="AE21" s="1211"/>
      <c r="AF21" s="1211"/>
      <c r="AG21" s="1211"/>
      <c r="AH21" s="1211"/>
      <c r="AI21" s="1211"/>
      <c r="AJ21" s="1211"/>
      <c r="AK21" s="1211"/>
      <c r="AL21" s="1212"/>
      <c r="AM21" s="1188"/>
      <c r="AN21" s="1188"/>
      <c r="AO21" s="1188"/>
      <c r="AP21" s="1188"/>
      <c r="AQ21" s="1188"/>
      <c r="AR21" s="1188"/>
      <c r="AS21" s="1188"/>
      <c r="AT21" s="1189"/>
      <c r="AU21" s="1189"/>
      <c r="AV21" s="1189"/>
      <c r="AW21" s="1189"/>
      <c r="AX21" s="1189"/>
      <c r="AY21" s="1189"/>
      <c r="AZ21" s="1189"/>
      <c r="BA21" s="1189"/>
      <c r="BB21" s="1189"/>
      <c r="BC21" s="1189"/>
      <c r="BD21" s="1189"/>
      <c r="BE21" s="1189"/>
      <c r="BF21" s="1189"/>
      <c r="BG21" s="1189"/>
    </row>
    <row r="22" spans="1:59" ht="20.100000000000001" customHeight="1">
      <c r="A22" s="1123"/>
      <c r="B22" s="1124"/>
      <c r="C22" s="1124"/>
      <c r="D22" s="1124"/>
      <c r="E22" s="1124"/>
      <c r="F22" s="1124"/>
      <c r="G22" s="1124"/>
      <c r="H22" s="1124"/>
      <c r="I22" s="1124"/>
      <c r="J22" s="1124"/>
      <c r="K22" s="1124"/>
      <c r="L22" s="1124"/>
      <c r="M22" s="1124"/>
      <c r="N22" s="1124"/>
      <c r="O22" s="1124"/>
      <c r="P22" s="1124"/>
      <c r="Q22" s="1124"/>
      <c r="R22" s="1124"/>
      <c r="S22" s="1124"/>
      <c r="T22" s="1124"/>
      <c r="U22" s="1124"/>
      <c r="V22" s="1124"/>
      <c r="W22" s="1124"/>
      <c r="X22" s="1124"/>
      <c r="Y22" s="1124"/>
      <c r="Z22" s="1124"/>
      <c r="AA22" s="1124"/>
      <c r="AB22" s="1124"/>
      <c r="AC22" s="1124"/>
      <c r="AD22" s="1124"/>
      <c r="AE22" s="1124"/>
      <c r="AF22" s="1124"/>
      <c r="AG22" s="1124"/>
      <c r="AH22" s="1124"/>
      <c r="AI22" s="1124"/>
      <c r="AJ22" s="1124"/>
      <c r="AK22" s="1124"/>
      <c r="AL22" s="1124"/>
      <c r="AM22" s="1124"/>
      <c r="AN22" s="1124"/>
      <c r="AO22" s="1124"/>
      <c r="AP22" s="1124"/>
      <c r="AQ22" s="1124"/>
      <c r="AR22" s="1124"/>
      <c r="AS22" s="1124"/>
      <c r="AT22" s="1124"/>
      <c r="AU22" s="1124"/>
      <c r="AV22" s="1124"/>
      <c r="AW22" s="1124"/>
      <c r="AX22" s="1124"/>
      <c r="AY22" s="1124"/>
      <c r="AZ22" s="1124"/>
      <c r="BA22" s="1124"/>
      <c r="BB22" s="1124"/>
      <c r="BC22" s="1124"/>
      <c r="BD22" s="1124"/>
      <c r="BE22" s="1124"/>
      <c r="BF22" s="1124"/>
      <c r="BG22" s="1125"/>
    </row>
    <row r="23" spans="1:59" ht="20.100000000000001" customHeight="1">
      <c r="A23" s="1183"/>
      <c r="B23" s="1184"/>
      <c r="C23" s="1184"/>
      <c r="D23" s="1184"/>
      <c r="E23" s="1184"/>
      <c r="F23" s="1184"/>
      <c r="G23" s="1184"/>
      <c r="H23" s="1184"/>
      <c r="I23" s="1184"/>
      <c r="J23" s="1184"/>
      <c r="K23" s="1184"/>
      <c r="L23" s="1184"/>
      <c r="M23" s="1184"/>
      <c r="N23" s="1184"/>
      <c r="O23" s="1184"/>
      <c r="P23" s="1184"/>
      <c r="Q23" s="1184"/>
      <c r="R23" s="1184"/>
      <c r="S23" s="1184"/>
      <c r="T23" s="1184"/>
      <c r="U23" s="1184"/>
      <c r="V23" s="1184"/>
      <c r="W23" s="1184"/>
      <c r="X23" s="1184"/>
      <c r="Y23" s="1184"/>
      <c r="Z23" s="1184"/>
      <c r="AA23" s="1184"/>
      <c r="AB23" s="1184"/>
      <c r="AC23" s="1184"/>
      <c r="AD23" s="1184"/>
      <c r="AE23" s="1184"/>
      <c r="AF23" s="1184"/>
      <c r="AG23" s="1184"/>
      <c r="AH23" s="1184"/>
      <c r="AI23" s="1184"/>
      <c r="AJ23" s="1184"/>
      <c r="AK23" s="1184"/>
      <c r="AL23" s="1184"/>
      <c r="AM23" s="1184"/>
      <c r="AN23" s="1184"/>
      <c r="AO23" s="1184"/>
      <c r="AP23" s="1184"/>
      <c r="AQ23" s="1184"/>
      <c r="AR23" s="1184"/>
      <c r="AS23" s="1184"/>
      <c r="AT23" s="1184"/>
      <c r="AU23" s="1184"/>
      <c r="AV23" s="1184"/>
      <c r="AW23" s="1184"/>
      <c r="AX23" s="1184"/>
      <c r="AY23" s="1184"/>
      <c r="AZ23" s="1184"/>
      <c r="BA23" s="1184"/>
      <c r="BB23" s="1184"/>
      <c r="BC23" s="1184"/>
      <c r="BD23" s="1184"/>
      <c r="BE23" s="1184"/>
      <c r="BF23" s="1184"/>
      <c r="BG23" s="1185"/>
    </row>
    <row r="24" spans="1:59" ht="9.9499999999999993" customHeight="1">
      <c r="A24" s="1123"/>
      <c r="B24" s="1124"/>
      <c r="C24" s="1124"/>
      <c r="D24" s="1124"/>
      <c r="E24" s="1124"/>
      <c r="F24" s="1124"/>
      <c r="G24" s="1124"/>
      <c r="H24" s="1124"/>
      <c r="I24" s="1124"/>
      <c r="J24" s="1124"/>
      <c r="K24" s="1124"/>
      <c r="L24" s="1124"/>
      <c r="M24" s="1124"/>
      <c r="N24" s="1124"/>
      <c r="O24" s="1124"/>
      <c r="P24" s="1124"/>
      <c r="Q24" s="1124"/>
      <c r="R24" s="1124"/>
      <c r="S24" s="1124"/>
      <c r="T24" s="1124"/>
      <c r="U24" s="1124"/>
      <c r="V24" s="1124"/>
      <c r="W24" s="1124"/>
      <c r="X24" s="1124"/>
      <c r="Y24" s="1124"/>
      <c r="Z24" s="1124"/>
      <c r="AA24" s="1124"/>
      <c r="AB24" s="1124"/>
      <c r="AC24" s="1124"/>
      <c r="AD24" s="1124"/>
      <c r="AE24" s="1124"/>
      <c r="AF24" s="1124"/>
      <c r="AG24" s="1124"/>
      <c r="AH24" s="1124"/>
      <c r="AI24" s="1124"/>
      <c r="AJ24" s="1124"/>
      <c r="AK24" s="1124"/>
      <c r="AL24" s="1124"/>
      <c r="AM24" s="1124"/>
      <c r="AN24" s="1124"/>
      <c r="AO24" s="1124"/>
      <c r="AP24" s="1124"/>
      <c r="AQ24" s="1124"/>
      <c r="AR24" s="1124"/>
      <c r="AS24" s="1124"/>
      <c r="AT24" s="1124"/>
      <c r="AU24" s="1124"/>
      <c r="AV24" s="1124"/>
      <c r="AW24" s="1124"/>
      <c r="AX24" s="1124"/>
      <c r="AY24" s="1124"/>
      <c r="AZ24" s="1124"/>
      <c r="BA24" s="1124"/>
      <c r="BB24" s="1124"/>
      <c r="BC24" s="1124"/>
      <c r="BD24" s="1124"/>
      <c r="BE24" s="1124"/>
      <c r="BF24" s="1124"/>
      <c r="BG24" s="1125"/>
    </row>
    <row r="25" spans="1:59" ht="15.95" customHeight="1">
      <c r="A25" s="1187"/>
      <c r="B25" s="1187"/>
      <c r="C25" s="1187"/>
      <c r="D25" s="1187"/>
      <c r="E25" s="1187"/>
      <c r="F25" s="1187"/>
      <c r="G25" s="1187"/>
      <c r="H25" s="1187"/>
      <c r="I25" s="1187"/>
      <c r="J25" s="1187"/>
      <c r="K25" s="1187"/>
      <c r="L25" s="1187"/>
      <c r="M25" s="1187"/>
      <c r="N25" s="1187"/>
      <c r="O25" s="1187"/>
      <c r="P25" s="1187"/>
      <c r="Q25" s="1187"/>
      <c r="R25" s="1206"/>
      <c r="S25" s="1207"/>
      <c r="T25" s="1207"/>
      <c r="U25" s="1207"/>
      <c r="V25" s="1207"/>
      <c r="W25" s="1207"/>
      <c r="X25" s="1207"/>
      <c r="Y25" s="1207"/>
      <c r="Z25" s="1207"/>
      <c r="AA25" s="1207"/>
      <c r="AB25" s="1207"/>
      <c r="AC25" s="1207"/>
      <c r="AD25" s="1207"/>
      <c r="AE25" s="1207"/>
      <c r="AF25" s="1207"/>
      <c r="AG25" s="1207"/>
      <c r="AH25" s="1207"/>
      <c r="AI25" s="1207"/>
      <c r="AJ25" s="1207"/>
      <c r="AK25" s="1207"/>
      <c r="AL25" s="1207"/>
      <c r="AM25" s="1206"/>
      <c r="AN25" s="1207"/>
      <c r="AO25" s="1207"/>
      <c r="AP25" s="1207"/>
      <c r="AQ25" s="1207"/>
      <c r="AR25" s="1207"/>
      <c r="AS25" s="1208"/>
      <c r="AT25" s="1187"/>
      <c r="AU25" s="1187"/>
      <c r="AV25" s="1187"/>
      <c r="AW25" s="1187"/>
      <c r="AX25" s="1187"/>
      <c r="AY25" s="1187"/>
      <c r="AZ25" s="1187"/>
      <c r="BA25" s="1187"/>
      <c r="BB25" s="1187"/>
      <c r="BC25" s="1187"/>
      <c r="BD25" s="1187"/>
      <c r="BE25" s="1187"/>
      <c r="BF25" s="1187"/>
      <c r="BG25" s="1187"/>
    </row>
    <row r="26" spans="1:59" s="77" customFormat="1" ht="24.95" customHeight="1">
      <c r="A26" s="1201"/>
      <c r="B26" s="1202"/>
      <c r="C26" s="1202"/>
      <c r="D26" s="1202"/>
      <c r="E26" s="1202"/>
      <c r="F26" s="1202"/>
      <c r="G26" s="1202"/>
      <c r="H26" s="1202"/>
      <c r="I26" s="1202"/>
      <c r="J26" s="1202"/>
      <c r="K26" s="1203"/>
      <c r="L26" s="1203"/>
      <c r="M26" s="1203"/>
      <c r="N26" s="1203"/>
      <c r="O26" s="1203"/>
      <c r="P26" s="1203"/>
      <c r="Q26" s="1203"/>
      <c r="R26" s="1204"/>
      <c r="S26" s="1204"/>
      <c r="T26" s="1204"/>
      <c r="U26" s="1204"/>
      <c r="V26" s="1204"/>
      <c r="W26" s="1204"/>
      <c r="X26" s="1204"/>
      <c r="Y26" s="1204"/>
      <c r="Z26" s="1204"/>
      <c r="AA26" s="1204"/>
      <c r="AB26" s="1204"/>
      <c r="AC26" s="1204"/>
      <c r="AD26" s="1204"/>
      <c r="AE26" s="1204"/>
      <c r="AF26" s="1204"/>
      <c r="AG26" s="1204"/>
      <c r="AH26" s="1204"/>
      <c r="AI26" s="1204"/>
      <c r="AJ26" s="1204"/>
      <c r="AK26" s="1204"/>
      <c r="AL26" s="1204"/>
      <c r="AM26" s="1205"/>
      <c r="AN26" s="1205"/>
      <c r="AO26" s="1205"/>
      <c r="AP26" s="1205"/>
      <c r="AQ26" s="1205"/>
      <c r="AR26" s="1205"/>
      <c r="AS26" s="1205"/>
      <c r="AT26" s="1205"/>
      <c r="AU26" s="1205"/>
      <c r="AV26" s="1205"/>
      <c r="AW26" s="1205"/>
      <c r="AX26" s="1205"/>
      <c r="AY26" s="1205"/>
      <c r="AZ26" s="1205"/>
      <c r="BA26" s="1205"/>
      <c r="BB26" s="1205"/>
      <c r="BC26" s="1205"/>
      <c r="BD26" s="1205"/>
      <c r="BE26" s="1205"/>
      <c r="BF26" s="1205"/>
      <c r="BG26" s="1205"/>
    </row>
    <row r="27" spans="1:59" s="77" customFormat="1" ht="24.95" customHeight="1">
      <c r="A27" s="1195"/>
      <c r="B27" s="1196"/>
      <c r="C27" s="1196"/>
      <c r="D27" s="1196"/>
      <c r="E27" s="1196"/>
      <c r="F27" s="1196"/>
      <c r="G27" s="1196"/>
      <c r="H27" s="1196"/>
      <c r="I27" s="1196"/>
      <c r="J27" s="1196"/>
      <c r="K27" s="1197"/>
      <c r="L27" s="1197"/>
      <c r="M27" s="1197"/>
      <c r="N27" s="1197"/>
      <c r="O27" s="1197"/>
      <c r="P27" s="1197"/>
      <c r="Q27" s="1197"/>
      <c r="R27" s="1200"/>
      <c r="S27" s="1200"/>
      <c r="T27" s="1200"/>
      <c r="U27" s="1200"/>
      <c r="V27" s="1200"/>
      <c r="W27" s="1200"/>
      <c r="X27" s="1200"/>
      <c r="Y27" s="1200"/>
      <c r="Z27" s="1200"/>
      <c r="AA27" s="1200"/>
      <c r="AB27" s="1200"/>
      <c r="AC27" s="1200"/>
      <c r="AD27" s="1200"/>
      <c r="AE27" s="1200"/>
      <c r="AF27" s="1200"/>
      <c r="AG27" s="1200"/>
      <c r="AH27" s="1200"/>
      <c r="AI27" s="1200"/>
      <c r="AJ27" s="1200"/>
      <c r="AK27" s="1200"/>
      <c r="AL27" s="1200"/>
      <c r="AM27" s="1199"/>
      <c r="AN27" s="1199"/>
      <c r="AO27" s="1199"/>
      <c r="AP27" s="1199"/>
      <c r="AQ27" s="1199"/>
      <c r="AR27" s="1199"/>
      <c r="AS27" s="1199"/>
      <c r="AT27" s="1199"/>
      <c r="AU27" s="1199"/>
      <c r="AV27" s="1199"/>
      <c r="AW27" s="1199"/>
      <c r="AX27" s="1199"/>
      <c r="AY27" s="1199"/>
      <c r="AZ27" s="1199"/>
      <c r="BA27" s="1199"/>
      <c r="BB27" s="1199"/>
      <c r="BC27" s="1199"/>
      <c r="BD27" s="1199"/>
      <c r="BE27" s="1199"/>
      <c r="BF27" s="1199"/>
      <c r="BG27" s="1199"/>
    </row>
    <row r="28" spans="1:59" s="77" customFormat="1" ht="24.95" customHeight="1">
      <c r="A28" s="1195"/>
      <c r="B28" s="1196"/>
      <c r="C28" s="1196"/>
      <c r="D28" s="1196"/>
      <c r="E28" s="1196"/>
      <c r="F28" s="1196"/>
      <c r="G28" s="1196"/>
      <c r="H28" s="1196"/>
      <c r="I28" s="1196"/>
      <c r="J28" s="1196"/>
      <c r="K28" s="1197"/>
      <c r="L28" s="1197"/>
      <c r="M28" s="1197"/>
      <c r="N28" s="1197"/>
      <c r="O28" s="1197"/>
      <c r="P28" s="1197"/>
      <c r="Q28" s="1197"/>
      <c r="R28" s="1198"/>
      <c r="S28" s="1198"/>
      <c r="T28" s="1198"/>
      <c r="U28" s="1198"/>
      <c r="V28" s="1198"/>
      <c r="W28" s="1198"/>
      <c r="X28" s="1198"/>
      <c r="Y28" s="1198"/>
      <c r="Z28" s="1198"/>
      <c r="AA28" s="1198"/>
      <c r="AB28" s="1198"/>
      <c r="AC28" s="1198"/>
      <c r="AD28" s="1198"/>
      <c r="AE28" s="1198"/>
      <c r="AF28" s="1198"/>
      <c r="AG28" s="1198"/>
      <c r="AH28" s="1198"/>
      <c r="AI28" s="1198"/>
      <c r="AJ28" s="1198"/>
      <c r="AK28" s="1198"/>
      <c r="AL28" s="1198"/>
      <c r="AM28" s="1199"/>
      <c r="AN28" s="1199"/>
      <c r="AO28" s="1199"/>
      <c r="AP28" s="1199"/>
      <c r="AQ28" s="1199"/>
      <c r="AR28" s="1199"/>
      <c r="AS28" s="1199"/>
      <c r="AT28" s="1199"/>
      <c r="AU28" s="1199"/>
      <c r="AV28" s="1199"/>
      <c r="AW28" s="1199"/>
      <c r="AX28" s="1199"/>
      <c r="AY28" s="1199"/>
      <c r="AZ28" s="1199"/>
      <c r="BA28" s="1199"/>
      <c r="BB28" s="1199"/>
      <c r="BC28" s="1199"/>
      <c r="BD28" s="1199"/>
      <c r="BE28" s="1199"/>
      <c r="BF28" s="1199"/>
      <c r="BG28" s="1199"/>
    </row>
    <row r="29" spans="1:59" s="77" customFormat="1" ht="24.95" customHeight="1">
      <c r="A29" s="1195"/>
      <c r="B29" s="1196"/>
      <c r="C29" s="1196"/>
      <c r="D29" s="1196"/>
      <c r="E29" s="1196"/>
      <c r="F29" s="1196"/>
      <c r="G29" s="1196"/>
      <c r="H29" s="1196"/>
      <c r="I29" s="1196"/>
      <c r="J29" s="1196"/>
      <c r="K29" s="1197"/>
      <c r="L29" s="1197"/>
      <c r="M29" s="1197"/>
      <c r="N29" s="1197"/>
      <c r="O29" s="1197"/>
      <c r="P29" s="1197"/>
      <c r="Q29" s="1197"/>
      <c r="R29" s="1198"/>
      <c r="S29" s="1198"/>
      <c r="T29" s="1198"/>
      <c r="U29" s="1198"/>
      <c r="V29" s="1198"/>
      <c r="W29" s="1198"/>
      <c r="X29" s="1198"/>
      <c r="Y29" s="1198"/>
      <c r="Z29" s="1198"/>
      <c r="AA29" s="1198"/>
      <c r="AB29" s="1198"/>
      <c r="AC29" s="1198"/>
      <c r="AD29" s="1198"/>
      <c r="AE29" s="1198"/>
      <c r="AF29" s="1198"/>
      <c r="AG29" s="1198"/>
      <c r="AH29" s="1198"/>
      <c r="AI29" s="1198"/>
      <c r="AJ29" s="1198"/>
      <c r="AK29" s="1198"/>
      <c r="AL29" s="1198"/>
      <c r="AM29" s="1199"/>
      <c r="AN29" s="1199"/>
      <c r="AO29" s="1199"/>
      <c r="AP29" s="1199"/>
      <c r="AQ29" s="1199"/>
      <c r="AR29" s="1199"/>
      <c r="AS29" s="1199"/>
      <c r="AT29" s="1199"/>
      <c r="AU29" s="1199"/>
      <c r="AV29" s="1199"/>
      <c r="AW29" s="1199"/>
      <c r="AX29" s="1199"/>
      <c r="AY29" s="1199"/>
      <c r="AZ29" s="1199"/>
      <c r="BA29" s="1199"/>
      <c r="BB29" s="1199"/>
      <c r="BC29" s="1199"/>
      <c r="BD29" s="1199"/>
      <c r="BE29" s="1199"/>
      <c r="BF29" s="1199"/>
      <c r="BG29" s="1199"/>
    </row>
    <row r="30" spans="1:59" s="77" customFormat="1" ht="24.95" customHeight="1">
      <c r="A30" s="1191"/>
      <c r="B30" s="1192"/>
      <c r="C30" s="1192"/>
      <c r="D30" s="1192"/>
      <c r="E30" s="1192"/>
      <c r="F30" s="1192"/>
      <c r="G30" s="1192"/>
      <c r="H30" s="1192"/>
      <c r="I30" s="1192"/>
      <c r="J30" s="1192"/>
      <c r="K30" s="1193"/>
      <c r="L30" s="1193"/>
      <c r="M30" s="1193"/>
      <c r="N30" s="1193"/>
      <c r="O30" s="1193"/>
      <c r="P30" s="1193"/>
      <c r="Q30" s="1193"/>
      <c r="R30" s="1190"/>
      <c r="S30" s="1190"/>
      <c r="T30" s="1190"/>
      <c r="U30" s="1190"/>
      <c r="V30" s="1190"/>
      <c r="W30" s="1190"/>
      <c r="X30" s="1190"/>
      <c r="Y30" s="1190"/>
      <c r="Z30" s="1190"/>
      <c r="AA30" s="1190"/>
      <c r="AB30" s="1190"/>
      <c r="AC30" s="1190"/>
      <c r="AD30" s="1190"/>
      <c r="AE30" s="1190"/>
      <c r="AF30" s="1190"/>
      <c r="AG30" s="1190"/>
      <c r="AH30" s="1190"/>
      <c r="AI30" s="1190"/>
      <c r="AJ30" s="1190"/>
      <c r="AK30" s="1190"/>
      <c r="AL30" s="1190"/>
      <c r="AM30" s="1194"/>
      <c r="AN30" s="1194"/>
      <c r="AO30" s="1194"/>
      <c r="AP30" s="1194"/>
      <c r="AQ30" s="1194"/>
      <c r="AR30" s="1194"/>
      <c r="AS30" s="1194"/>
      <c r="AT30" s="1194"/>
      <c r="AU30" s="1194"/>
      <c r="AV30" s="1194"/>
      <c r="AW30" s="1194"/>
      <c r="AX30" s="1194"/>
      <c r="AY30" s="1194"/>
      <c r="AZ30" s="1194"/>
      <c r="BA30" s="1194"/>
      <c r="BB30" s="1194"/>
      <c r="BC30" s="1194"/>
      <c r="BD30" s="1194"/>
      <c r="BE30" s="1194"/>
      <c r="BF30" s="1194"/>
      <c r="BG30" s="1194"/>
    </row>
    <row r="31" spans="1:59" ht="23.1" customHeight="1">
      <c r="A31" s="1187"/>
      <c r="B31" s="1187"/>
      <c r="C31" s="1187"/>
      <c r="D31" s="1187"/>
      <c r="E31" s="1187"/>
      <c r="F31" s="1187"/>
      <c r="G31" s="1187"/>
      <c r="H31" s="1187"/>
      <c r="I31" s="1187"/>
      <c r="J31" s="1187"/>
      <c r="K31" s="1188"/>
      <c r="L31" s="1188"/>
      <c r="M31" s="1188"/>
      <c r="N31" s="1188"/>
      <c r="O31" s="1188"/>
      <c r="P31" s="1188"/>
      <c r="Q31" s="1188"/>
      <c r="R31" s="1188"/>
      <c r="S31" s="1188"/>
      <c r="T31" s="1188"/>
      <c r="U31" s="1188"/>
      <c r="V31" s="1188"/>
      <c r="W31" s="1188"/>
      <c r="X31" s="1188"/>
      <c r="Y31" s="1188"/>
      <c r="Z31" s="1188"/>
      <c r="AA31" s="1188"/>
      <c r="AB31" s="1188"/>
      <c r="AC31" s="1188"/>
      <c r="AD31" s="1188"/>
      <c r="AE31" s="1188"/>
      <c r="AF31" s="1188"/>
      <c r="AG31" s="1188"/>
      <c r="AH31" s="1188"/>
      <c r="AI31" s="1188"/>
      <c r="AJ31" s="1188"/>
      <c r="AK31" s="1188"/>
      <c r="AL31" s="1188"/>
      <c r="AM31" s="1188"/>
      <c r="AN31" s="1188"/>
      <c r="AO31" s="1188"/>
      <c r="AP31" s="1188"/>
      <c r="AQ31" s="1188"/>
      <c r="AR31" s="1188"/>
      <c r="AS31" s="1188"/>
      <c r="AT31" s="1189"/>
      <c r="AU31" s="1189"/>
      <c r="AV31" s="1189"/>
      <c r="AW31" s="1189"/>
      <c r="AX31" s="1189"/>
      <c r="AY31" s="1189"/>
      <c r="AZ31" s="1189"/>
      <c r="BA31" s="1189"/>
      <c r="BB31" s="1189"/>
      <c r="BC31" s="1189"/>
      <c r="BD31" s="1189"/>
      <c r="BE31" s="1189"/>
      <c r="BF31" s="1189"/>
      <c r="BG31" s="1189"/>
    </row>
  </sheetData>
  <mergeCells count="102">
    <mergeCell ref="A1:F3"/>
    <mergeCell ref="G1:AQ3"/>
    <mergeCell ref="AR1:AU1"/>
    <mergeCell ref="AV1:BG1"/>
    <mergeCell ref="AR2:AU2"/>
    <mergeCell ref="AV2:BG2"/>
    <mergeCell ref="AR3:AU3"/>
    <mergeCell ref="AV3:BG3"/>
    <mergeCell ref="A10:J10"/>
    <mergeCell ref="K10:Q10"/>
    <mergeCell ref="R10:AL10"/>
    <mergeCell ref="AM10:AS10"/>
    <mergeCell ref="AT10:BG10"/>
    <mergeCell ref="A4:BG4"/>
    <mergeCell ref="F5:S5"/>
    <mergeCell ref="A6:BG6"/>
    <mergeCell ref="A7:BG7"/>
    <mergeCell ref="A8:BG8"/>
    <mergeCell ref="A9:J9"/>
    <mergeCell ref="K9:Q9"/>
    <mergeCell ref="R9:AL9"/>
    <mergeCell ref="AM9:AS9"/>
    <mergeCell ref="AT9:BG9"/>
    <mergeCell ref="A12:J12"/>
    <mergeCell ref="K12:Q12"/>
    <mergeCell ref="R12:AL12"/>
    <mergeCell ref="AM12:AS12"/>
    <mergeCell ref="AT12:BG12"/>
    <mergeCell ref="A13:BG13"/>
    <mergeCell ref="A11:J11"/>
    <mergeCell ref="K11:Q11"/>
    <mergeCell ref="R11:AL11"/>
    <mergeCell ref="AM11:AS11"/>
    <mergeCell ref="AT11:BG11"/>
    <mergeCell ref="A17:J17"/>
    <mergeCell ref="K17:Q17"/>
    <mergeCell ref="R17:AL17"/>
    <mergeCell ref="AM17:AS17"/>
    <mergeCell ref="AT17:BG17"/>
    <mergeCell ref="A14:BG14"/>
    <mergeCell ref="A15:BG15"/>
    <mergeCell ref="A16:J16"/>
    <mergeCell ref="K16:Q16"/>
    <mergeCell ref="R16:AL16"/>
    <mergeCell ref="AM16:AS16"/>
    <mergeCell ref="AT16:BG16"/>
    <mergeCell ref="A20:J20"/>
    <mergeCell ref="K20:Q20"/>
    <mergeCell ref="R20:AL20"/>
    <mergeCell ref="AM20:AS20"/>
    <mergeCell ref="AT20:BG20"/>
    <mergeCell ref="A18:J18"/>
    <mergeCell ref="K18:Q18"/>
    <mergeCell ref="R18:AL18"/>
    <mergeCell ref="AM18:AS18"/>
    <mergeCell ref="AT18:BG18"/>
    <mergeCell ref="A19:J19"/>
    <mergeCell ref="K19:Q19"/>
    <mergeCell ref="R19:AL19"/>
    <mergeCell ref="AM19:AS19"/>
    <mergeCell ref="AT19:BG19"/>
    <mergeCell ref="A23:BG23"/>
    <mergeCell ref="A24:BG24"/>
    <mergeCell ref="A25:J25"/>
    <mergeCell ref="K25:Q25"/>
    <mergeCell ref="R25:AL25"/>
    <mergeCell ref="AM25:AS25"/>
    <mergeCell ref="AT25:BG25"/>
    <mergeCell ref="A21:J21"/>
    <mergeCell ref="K21:Q21"/>
    <mergeCell ref="R21:AL21"/>
    <mergeCell ref="AM21:AS21"/>
    <mergeCell ref="AT21:BG21"/>
    <mergeCell ref="A22:BG22"/>
    <mergeCell ref="A29:J29"/>
    <mergeCell ref="K29:Q29"/>
    <mergeCell ref="R29:AL29"/>
    <mergeCell ref="AM29:AS29"/>
    <mergeCell ref="AT29:BG29"/>
    <mergeCell ref="AT27:BG27"/>
    <mergeCell ref="R27:AL27"/>
    <mergeCell ref="AM27:AS27"/>
    <mergeCell ref="A28:J28"/>
    <mergeCell ref="K28:Q28"/>
    <mergeCell ref="R28:AL28"/>
    <mergeCell ref="AM28:AS28"/>
    <mergeCell ref="AT28:BG28"/>
    <mergeCell ref="A26:J27"/>
    <mergeCell ref="K26:Q27"/>
    <mergeCell ref="R26:AL26"/>
    <mergeCell ref="AM26:AS26"/>
    <mergeCell ref="AT26:BG26"/>
    <mergeCell ref="A31:J31"/>
    <mergeCell ref="K31:Q31"/>
    <mergeCell ref="R31:AL31"/>
    <mergeCell ref="AM31:AS31"/>
    <mergeCell ref="AT31:BG31"/>
    <mergeCell ref="R30:AL30"/>
    <mergeCell ref="A30:J30"/>
    <mergeCell ref="K30:Q30"/>
    <mergeCell ref="AM30:AS30"/>
    <mergeCell ref="AT30:BG30"/>
  </mergeCells>
  <pageMargins left="0.7" right="0.7" top="0.75" bottom="0.75" header="0.3" footer="0.3"/>
  <pageSetup scale="95" orientation="portrait" r:id="rId1"/>
  <drawing r:id="rId2"/>
</worksheet>
</file>

<file path=xl/worksheets/sheet9.xml><?xml version="1.0" encoding="utf-8"?>
<worksheet xmlns="http://schemas.openxmlformats.org/spreadsheetml/2006/main" xmlns:r="http://schemas.openxmlformats.org/officeDocument/2006/relationships">
  <sheetPr>
    <tabColor theme="4" tint="0.39997558519241921"/>
    <pageSetUpPr fitToPage="1"/>
  </sheetPr>
  <dimension ref="A1:R47"/>
  <sheetViews>
    <sheetView view="pageBreakPreview" zoomScale="90" zoomScaleSheetLayoutView="90" workbookViewId="0">
      <selection activeCell="L12" sqref="L12"/>
    </sheetView>
  </sheetViews>
  <sheetFormatPr defaultRowHeight="15"/>
  <cols>
    <col min="1" max="2" width="7.140625" style="10" customWidth="1"/>
    <col min="3" max="3" width="42.42578125" style="26" customWidth="1"/>
    <col min="4" max="4" width="16.140625" style="10" customWidth="1"/>
    <col min="5" max="5" width="12.140625" style="10" customWidth="1"/>
    <col min="6" max="6" width="13.42578125" style="10" customWidth="1"/>
    <col min="7" max="7" width="12.28515625" style="10" customWidth="1"/>
    <col min="8" max="8" width="13.85546875" style="10" customWidth="1"/>
    <col min="9" max="9" width="14.140625" style="10" customWidth="1"/>
    <col min="10" max="10" width="14.42578125" style="10" customWidth="1"/>
    <col min="11" max="11" width="15.7109375" style="10" customWidth="1"/>
    <col min="12" max="12" width="12.28515625" style="10" customWidth="1"/>
    <col min="13" max="13" width="25.140625" style="10" customWidth="1"/>
    <col min="18" max="18" width="10" bestFit="1" customWidth="1"/>
  </cols>
  <sheetData>
    <row r="1" spans="1:18" ht="20.100000000000001" customHeight="1">
      <c r="A1" s="1225"/>
      <c r="B1" s="1225"/>
      <c r="C1" s="1228" t="s">
        <v>482</v>
      </c>
      <c r="D1" s="1229"/>
      <c r="E1" s="1229"/>
      <c r="F1" s="1229"/>
      <c r="G1" s="1229"/>
      <c r="H1" s="1229"/>
      <c r="I1" s="1229"/>
      <c r="J1" s="1229"/>
      <c r="K1" s="1230"/>
      <c r="L1" s="62" t="s">
        <v>237</v>
      </c>
      <c r="M1" s="63" t="s">
        <v>410</v>
      </c>
    </row>
    <row r="2" spans="1:18" ht="20.100000000000001" customHeight="1">
      <c r="A2" s="1226"/>
      <c r="B2" s="1226"/>
      <c r="C2" s="1231"/>
      <c r="D2" s="1232"/>
      <c r="E2" s="1232"/>
      <c r="F2" s="1232"/>
      <c r="G2" s="1232"/>
      <c r="H2" s="1232"/>
      <c r="I2" s="1232"/>
      <c r="J2" s="1232"/>
      <c r="K2" s="1233"/>
      <c r="L2" s="62" t="s">
        <v>235</v>
      </c>
      <c r="M2" s="63">
        <v>0</v>
      </c>
    </row>
    <row r="3" spans="1:18" ht="20.100000000000001" customHeight="1">
      <c r="A3" s="1227"/>
      <c r="B3" s="1227"/>
      <c r="C3" s="1234"/>
      <c r="D3" s="1235"/>
      <c r="E3" s="1235"/>
      <c r="F3" s="1235"/>
      <c r="G3" s="1235"/>
      <c r="H3" s="1235"/>
      <c r="I3" s="1235"/>
      <c r="J3" s="1235"/>
      <c r="K3" s="1236"/>
      <c r="L3" s="62" t="s">
        <v>236</v>
      </c>
      <c r="M3" s="64">
        <f>+'Cover '!T11</f>
        <v>42460</v>
      </c>
    </row>
    <row r="4" spans="1:18" ht="15" customHeight="1">
      <c r="A4" s="1244"/>
      <c r="B4" s="1245"/>
      <c r="C4" s="1245"/>
      <c r="D4" s="1245"/>
      <c r="E4" s="1245"/>
      <c r="F4" s="1245"/>
      <c r="G4" s="1245"/>
      <c r="H4" s="1245"/>
      <c r="I4" s="1245"/>
      <c r="J4" s="1245"/>
      <c r="K4" s="1245"/>
      <c r="L4" s="1245"/>
      <c r="M4" s="1246"/>
    </row>
    <row r="5" spans="1:18" ht="28.5" customHeight="1">
      <c r="A5" s="1237" t="s">
        <v>425</v>
      </c>
      <c r="B5" s="1238"/>
      <c r="C5" s="1238"/>
      <c r="D5" s="1238"/>
      <c r="E5" s="1238"/>
      <c r="F5" s="1238"/>
      <c r="G5" s="1238"/>
      <c r="H5" s="1238"/>
      <c r="I5" s="1238"/>
      <c r="J5" s="1238"/>
      <c r="K5" s="1238"/>
      <c r="L5" s="1238"/>
      <c r="M5" s="1239"/>
    </row>
    <row r="6" spans="1:18" s="47" customFormat="1" ht="15" customHeight="1">
      <c r="A6" s="1240"/>
      <c r="B6" s="1241"/>
      <c r="C6" s="1241"/>
      <c r="D6" s="1241"/>
      <c r="E6" s="1241"/>
      <c r="F6" s="1241"/>
      <c r="G6" s="1241"/>
      <c r="H6" s="1241"/>
      <c r="I6" s="1241"/>
      <c r="J6" s="1241"/>
      <c r="K6" s="1241"/>
      <c r="L6" s="1241"/>
      <c r="M6" s="1242"/>
    </row>
    <row r="7" spans="1:18" ht="28.5" customHeight="1">
      <c r="A7" s="1066" t="s">
        <v>54</v>
      </c>
      <c r="B7" s="1031" t="s">
        <v>55</v>
      </c>
      <c r="C7" s="1031"/>
      <c r="D7" s="1247" t="s">
        <v>56</v>
      </c>
      <c r="E7" s="1247" t="s">
        <v>57</v>
      </c>
      <c r="F7" s="1247" t="s">
        <v>58</v>
      </c>
      <c r="G7" s="1247" t="s">
        <v>59</v>
      </c>
      <c r="H7" s="1031" t="s">
        <v>60</v>
      </c>
      <c r="I7" s="1031"/>
      <c r="J7" s="1031"/>
      <c r="K7" s="1247" t="s">
        <v>13</v>
      </c>
      <c r="L7" s="1247" t="s">
        <v>61</v>
      </c>
      <c r="M7" s="1042" t="s">
        <v>62</v>
      </c>
    </row>
    <row r="8" spans="1:18" ht="28.5" customHeight="1">
      <c r="A8" s="1250"/>
      <c r="B8" s="1251"/>
      <c r="C8" s="1251"/>
      <c r="D8" s="1248"/>
      <c r="E8" s="1248"/>
      <c r="F8" s="1248"/>
      <c r="G8" s="1248"/>
      <c r="H8" s="65" t="s">
        <v>63</v>
      </c>
      <c r="I8" s="65" t="s">
        <v>146</v>
      </c>
      <c r="J8" s="66" t="s">
        <v>14</v>
      </c>
      <c r="K8" s="1248"/>
      <c r="L8" s="1248"/>
      <c r="M8" s="1249"/>
    </row>
    <row r="9" spans="1:18" s="77" customFormat="1" ht="30.75" customHeight="1">
      <c r="A9" s="84">
        <v>1</v>
      </c>
      <c r="B9" s="1243" t="s">
        <v>343</v>
      </c>
      <c r="C9" s="1243"/>
      <c r="D9" s="165">
        <v>42309</v>
      </c>
      <c r="E9" s="79" t="s">
        <v>2</v>
      </c>
      <c r="F9" s="165">
        <v>42261</v>
      </c>
      <c r="G9" s="165">
        <v>42264</v>
      </c>
      <c r="H9" s="85">
        <v>60</v>
      </c>
      <c r="I9" s="85">
        <v>81</v>
      </c>
      <c r="J9" s="239">
        <v>83</v>
      </c>
      <c r="K9" s="79" t="s">
        <v>345</v>
      </c>
      <c r="L9" s="79" t="s">
        <v>345</v>
      </c>
      <c r="M9" s="279" t="s">
        <v>464</v>
      </c>
      <c r="R9" s="289"/>
    </row>
    <row r="10" spans="1:18" s="77" customFormat="1" ht="27" customHeight="1">
      <c r="A10" s="86">
        <f>A9+1</f>
        <v>2</v>
      </c>
      <c r="B10" s="1223" t="s">
        <v>440</v>
      </c>
      <c r="C10" s="1223"/>
      <c r="D10" s="165">
        <v>42257</v>
      </c>
      <c r="E10" s="79" t="s">
        <v>2</v>
      </c>
      <c r="F10" s="165">
        <v>42241</v>
      </c>
      <c r="G10" s="165">
        <v>42248</v>
      </c>
      <c r="H10" s="85">
        <v>50</v>
      </c>
      <c r="I10" s="239">
        <v>75</v>
      </c>
      <c r="J10" s="85">
        <v>121</v>
      </c>
      <c r="K10" s="79" t="s">
        <v>345</v>
      </c>
      <c r="L10" s="79" t="s">
        <v>465</v>
      </c>
      <c r="M10" s="280" t="s">
        <v>464</v>
      </c>
      <c r="R10" s="290"/>
    </row>
    <row r="11" spans="1:18" s="77" customFormat="1" ht="24.95" customHeight="1">
      <c r="A11" s="86">
        <f t="shared" ref="A11:A22" si="0">A10+1</f>
        <v>3</v>
      </c>
      <c r="B11" s="1223" t="s">
        <v>441</v>
      </c>
      <c r="C11" s="1223"/>
      <c r="D11" s="165">
        <v>42292</v>
      </c>
      <c r="E11" s="79" t="s">
        <v>2</v>
      </c>
      <c r="F11" s="165">
        <v>42227</v>
      </c>
      <c r="G11" s="165">
        <v>42231</v>
      </c>
      <c r="H11" s="85">
        <v>45</v>
      </c>
      <c r="I11" s="85">
        <v>61</v>
      </c>
      <c r="J11" s="85">
        <v>75</v>
      </c>
      <c r="K11" s="79" t="s">
        <v>345</v>
      </c>
      <c r="L11" s="79" t="s">
        <v>345</v>
      </c>
      <c r="M11" s="240" t="s">
        <v>464</v>
      </c>
      <c r="R11" s="289"/>
    </row>
    <row r="12" spans="1:18" s="77" customFormat="1" ht="24.95" customHeight="1">
      <c r="A12" s="86">
        <f t="shared" si="0"/>
        <v>4</v>
      </c>
      <c r="B12" s="1223" t="s">
        <v>344</v>
      </c>
      <c r="C12" s="1223"/>
      <c r="D12" s="165">
        <v>42267</v>
      </c>
      <c r="E12" s="79" t="s">
        <v>2</v>
      </c>
      <c r="F12" s="165">
        <v>42143</v>
      </c>
      <c r="G12" s="165">
        <v>42227</v>
      </c>
      <c r="H12" s="85">
        <v>80</v>
      </c>
      <c r="I12" s="85">
        <v>80</v>
      </c>
      <c r="J12" s="85">
        <v>95</v>
      </c>
      <c r="K12" s="79" t="s">
        <v>345</v>
      </c>
      <c r="L12" s="79" t="s">
        <v>345</v>
      </c>
      <c r="M12" s="240" t="s">
        <v>464</v>
      </c>
      <c r="R12" s="290"/>
    </row>
    <row r="13" spans="1:18" s="77" customFormat="1" ht="24.95" customHeight="1">
      <c r="A13" s="86">
        <f t="shared" si="0"/>
        <v>5</v>
      </c>
      <c r="B13" s="1223" t="s">
        <v>442</v>
      </c>
      <c r="C13" s="1223"/>
      <c r="D13" s="165">
        <v>42292</v>
      </c>
      <c r="E13" s="79" t="s">
        <v>2</v>
      </c>
      <c r="F13" s="165">
        <v>42227</v>
      </c>
      <c r="G13" s="165">
        <v>42231</v>
      </c>
      <c r="H13" s="85">
        <v>45</v>
      </c>
      <c r="I13" s="85">
        <v>61</v>
      </c>
      <c r="J13" s="85">
        <v>65</v>
      </c>
      <c r="K13" s="79" t="s">
        <v>345</v>
      </c>
      <c r="L13" s="79" t="s">
        <v>345</v>
      </c>
      <c r="M13" s="240" t="s">
        <v>464</v>
      </c>
    </row>
    <row r="14" spans="1:18" s="77" customFormat="1" ht="24.95" customHeight="1">
      <c r="A14" s="86">
        <f t="shared" si="0"/>
        <v>6</v>
      </c>
      <c r="B14" s="1223" t="s">
        <v>443</v>
      </c>
      <c r="C14" s="1223"/>
      <c r="D14" s="165">
        <v>42257</v>
      </c>
      <c r="E14" s="79" t="s">
        <v>2</v>
      </c>
      <c r="F14" s="165">
        <v>42147</v>
      </c>
      <c r="G14" s="165">
        <v>42215</v>
      </c>
      <c r="H14" s="85">
        <v>90</v>
      </c>
      <c r="I14" s="85">
        <v>112</v>
      </c>
      <c r="J14" s="85">
        <v>120</v>
      </c>
      <c r="K14" s="79" t="s">
        <v>345</v>
      </c>
      <c r="L14" s="79" t="s">
        <v>345</v>
      </c>
      <c r="M14" s="240" t="s">
        <v>464</v>
      </c>
    </row>
    <row r="15" spans="1:18" s="77" customFormat="1" ht="24.95" customHeight="1">
      <c r="A15" s="86">
        <f t="shared" si="0"/>
        <v>7</v>
      </c>
      <c r="B15" s="1223" t="s">
        <v>444</v>
      </c>
      <c r="C15" s="1223"/>
      <c r="D15" s="165">
        <v>42257</v>
      </c>
      <c r="E15" s="79" t="s">
        <v>2</v>
      </c>
      <c r="F15" s="165">
        <v>42147</v>
      </c>
      <c r="G15" s="165">
        <v>42148</v>
      </c>
      <c r="H15" s="85">
        <v>90</v>
      </c>
      <c r="I15" s="85">
        <v>112</v>
      </c>
      <c r="J15" s="85">
        <v>145</v>
      </c>
      <c r="K15" s="79" t="s">
        <v>345</v>
      </c>
      <c r="L15" s="79" t="s">
        <v>345</v>
      </c>
      <c r="M15" s="240" t="s">
        <v>464</v>
      </c>
    </row>
    <row r="16" spans="1:18" s="77" customFormat="1" ht="24.95" customHeight="1">
      <c r="A16" s="86">
        <f t="shared" si="0"/>
        <v>8</v>
      </c>
      <c r="B16" s="1223" t="s">
        <v>445</v>
      </c>
      <c r="C16" s="1223"/>
      <c r="D16" s="165">
        <v>42257</v>
      </c>
      <c r="E16" s="79" t="s">
        <v>2</v>
      </c>
      <c r="F16" s="165">
        <v>42224</v>
      </c>
      <c r="G16" s="165">
        <v>42225</v>
      </c>
      <c r="H16" s="85">
        <v>30</v>
      </c>
      <c r="I16" s="85">
        <v>30</v>
      </c>
      <c r="J16" s="85">
        <v>35</v>
      </c>
      <c r="K16" s="79" t="s">
        <v>345</v>
      </c>
      <c r="L16" s="79" t="s">
        <v>345</v>
      </c>
      <c r="M16" s="240" t="s">
        <v>464</v>
      </c>
    </row>
    <row r="17" spans="1:13" s="26" customFormat="1" ht="24.95" customHeight="1">
      <c r="A17" s="86">
        <f t="shared" si="0"/>
        <v>9</v>
      </c>
      <c r="B17" s="1223" t="s">
        <v>446</v>
      </c>
      <c r="C17" s="1223"/>
      <c r="D17" s="165">
        <v>42257</v>
      </c>
      <c r="E17" s="79" t="s">
        <v>2</v>
      </c>
      <c r="F17" s="165">
        <v>42253</v>
      </c>
      <c r="G17" s="165">
        <v>42261</v>
      </c>
      <c r="H17" s="85">
        <v>60</v>
      </c>
      <c r="I17" s="85">
        <v>30</v>
      </c>
      <c r="J17" s="85">
        <v>35</v>
      </c>
      <c r="K17" s="79" t="s">
        <v>345</v>
      </c>
      <c r="L17" s="79" t="s">
        <v>345</v>
      </c>
      <c r="M17" s="240" t="s">
        <v>464</v>
      </c>
    </row>
    <row r="18" spans="1:13" s="26" customFormat="1" ht="24.95" customHeight="1">
      <c r="A18" s="86">
        <f t="shared" si="0"/>
        <v>10</v>
      </c>
      <c r="B18" s="1223" t="s">
        <v>447</v>
      </c>
      <c r="C18" s="1223"/>
      <c r="D18" s="165">
        <v>42257</v>
      </c>
      <c r="E18" s="79" t="s">
        <v>2</v>
      </c>
      <c r="F18" s="165">
        <v>42141</v>
      </c>
      <c r="G18" s="165">
        <v>42143</v>
      </c>
      <c r="H18" s="85">
        <v>100</v>
      </c>
      <c r="I18" s="85">
        <v>115</v>
      </c>
      <c r="J18" s="85">
        <v>105</v>
      </c>
      <c r="K18" s="79" t="s">
        <v>345</v>
      </c>
      <c r="L18" s="79" t="s">
        <v>345</v>
      </c>
      <c r="M18" s="240" t="s">
        <v>464</v>
      </c>
    </row>
    <row r="19" spans="1:13" s="26" customFormat="1" ht="24.95" customHeight="1">
      <c r="A19" s="86">
        <f t="shared" si="0"/>
        <v>11</v>
      </c>
      <c r="B19" s="1223" t="s">
        <v>448</v>
      </c>
      <c r="C19" s="1223"/>
      <c r="D19" s="165">
        <v>42280</v>
      </c>
      <c r="E19" s="79" t="s">
        <v>2</v>
      </c>
      <c r="F19" s="165">
        <v>42221</v>
      </c>
      <c r="G19" s="165">
        <v>42225</v>
      </c>
      <c r="H19" s="85">
        <v>50</v>
      </c>
      <c r="I19" s="85">
        <v>60</v>
      </c>
      <c r="J19" s="85">
        <v>75</v>
      </c>
      <c r="K19" s="79" t="s">
        <v>345</v>
      </c>
      <c r="L19" s="79" t="s">
        <v>345</v>
      </c>
      <c r="M19" s="240" t="s">
        <v>464</v>
      </c>
    </row>
    <row r="20" spans="1:13" s="26" customFormat="1" ht="24.95" customHeight="1">
      <c r="A20" s="86">
        <f t="shared" si="0"/>
        <v>12</v>
      </c>
      <c r="B20" s="1223" t="s">
        <v>449</v>
      </c>
      <c r="C20" s="1223"/>
      <c r="D20" s="165">
        <v>42280</v>
      </c>
      <c r="E20" s="79" t="s">
        <v>2</v>
      </c>
      <c r="F20" s="165">
        <v>42157</v>
      </c>
      <c r="G20" s="165">
        <v>42158</v>
      </c>
      <c r="H20" s="85">
        <v>90</v>
      </c>
      <c r="I20" s="85">
        <v>90</v>
      </c>
      <c r="J20" s="85">
        <v>104</v>
      </c>
      <c r="K20" s="79" t="s">
        <v>345</v>
      </c>
      <c r="L20" s="79" t="s">
        <v>345</v>
      </c>
      <c r="M20" s="240" t="s">
        <v>464</v>
      </c>
    </row>
    <row r="21" spans="1:13" s="26" customFormat="1" ht="24.95" customHeight="1">
      <c r="A21" s="86">
        <f t="shared" si="0"/>
        <v>13</v>
      </c>
      <c r="B21" s="1223" t="s">
        <v>450</v>
      </c>
      <c r="C21" s="1223"/>
      <c r="D21" s="166">
        <v>42318</v>
      </c>
      <c r="E21" s="79" t="s">
        <v>2</v>
      </c>
      <c r="F21" s="165">
        <v>42189</v>
      </c>
      <c r="G21" s="165">
        <v>42193</v>
      </c>
      <c r="H21" s="85">
        <v>90</v>
      </c>
      <c r="I21" s="85">
        <v>90</v>
      </c>
      <c r="J21" s="85">
        <v>125</v>
      </c>
      <c r="K21" s="79" t="s">
        <v>345</v>
      </c>
      <c r="L21" s="79" t="s">
        <v>345</v>
      </c>
      <c r="M21" s="88" t="s">
        <v>464</v>
      </c>
    </row>
    <row r="22" spans="1:13" s="26" customFormat="1" ht="24.95" customHeight="1">
      <c r="A22" s="86">
        <f t="shared" si="0"/>
        <v>14</v>
      </c>
      <c r="B22" s="1223" t="s">
        <v>451</v>
      </c>
      <c r="C22" s="1223"/>
      <c r="D22" s="166">
        <v>42318</v>
      </c>
      <c r="E22" s="79" t="s">
        <v>2</v>
      </c>
      <c r="F22" s="165">
        <v>42189</v>
      </c>
      <c r="G22" s="165">
        <v>42193</v>
      </c>
      <c r="H22" s="85">
        <v>90</v>
      </c>
      <c r="I22" s="85">
        <v>90</v>
      </c>
      <c r="J22" s="85">
        <v>125</v>
      </c>
      <c r="K22" s="79" t="s">
        <v>345</v>
      </c>
      <c r="L22" s="79" t="s">
        <v>345</v>
      </c>
      <c r="M22" s="88" t="s">
        <v>464</v>
      </c>
    </row>
    <row r="23" spans="1:13" s="26" customFormat="1" ht="24.95" customHeight="1">
      <c r="A23" s="86">
        <v>15</v>
      </c>
      <c r="B23" s="1223" t="s">
        <v>452</v>
      </c>
      <c r="C23" s="1223"/>
      <c r="D23" s="166">
        <v>42248</v>
      </c>
      <c r="E23" s="79" t="s">
        <v>2</v>
      </c>
      <c r="F23" s="165">
        <v>42189</v>
      </c>
      <c r="G23" s="165">
        <v>42193</v>
      </c>
      <c r="H23" s="87">
        <v>90</v>
      </c>
      <c r="I23" s="87">
        <v>90</v>
      </c>
      <c r="J23" s="87">
        <v>115</v>
      </c>
      <c r="K23" s="79" t="s">
        <v>345</v>
      </c>
      <c r="L23" s="79" t="s">
        <v>345</v>
      </c>
      <c r="M23" s="88" t="s">
        <v>464</v>
      </c>
    </row>
    <row r="24" spans="1:13" s="26" customFormat="1" ht="27" customHeight="1">
      <c r="A24" s="86">
        <v>16</v>
      </c>
      <c r="B24" s="1223" t="s">
        <v>453</v>
      </c>
      <c r="C24" s="1223"/>
      <c r="D24" s="166">
        <v>42292</v>
      </c>
      <c r="E24" s="79" t="s">
        <v>2</v>
      </c>
      <c r="F24" s="165">
        <v>42189</v>
      </c>
      <c r="G24" s="165">
        <v>42193</v>
      </c>
      <c r="H24" s="87">
        <v>120</v>
      </c>
      <c r="I24" s="87">
        <v>120</v>
      </c>
      <c r="J24" s="87">
        <v>160</v>
      </c>
      <c r="K24" s="79" t="s">
        <v>345</v>
      </c>
      <c r="L24" s="81" t="s">
        <v>345</v>
      </c>
      <c r="M24" s="88" t="s">
        <v>464</v>
      </c>
    </row>
    <row r="25" spans="1:13" s="26" customFormat="1" ht="24.95" customHeight="1">
      <c r="A25" s="86">
        <v>17</v>
      </c>
      <c r="B25" s="1223" t="s">
        <v>454</v>
      </c>
      <c r="C25" s="1223"/>
      <c r="D25" s="241">
        <v>42318</v>
      </c>
      <c r="E25" s="79" t="s">
        <v>2</v>
      </c>
      <c r="F25" s="165">
        <v>42189</v>
      </c>
      <c r="G25" s="165">
        <v>42193</v>
      </c>
      <c r="H25" s="87">
        <v>90</v>
      </c>
      <c r="I25" s="87">
        <v>90</v>
      </c>
      <c r="J25" s="87">
        <v>115</v>
      </c>
      <c r="K25" s="79" t="s">
        <v>345</v>
      </c>
      <c r="L25" s="79" t="s">
        <v>345</v>
      </c>
      <c r="M25" s="88" t="s">
        <v>464</v>
      </c>
    </row>
    <row r="26" spans="1:13" s="77" customFormat="1" ht="24.95" customHeight="1">
      <c r="A26" s="86">
        <v>18</v>
      </c>
      <c r="B26" s="1223" t="s">
        <v>455</v>
      </c>
      <c r="C26" s="1223"/>
      <c r="D26" s="241">
        <v>42287</v>
      </c>
      <c r="E26" s="79" t="s">
        <v>2</v>
      </c>
      <c r="F26" s="165">
        <v>42220</v>
      </c>
      <c r="G26" s="165">
        <v>42226</v>
      </c>
      <c r="H26" s="87">
        <v>60</v>
      </c>
      <c r="I26" s="87">
        <v>60</v>
      </c>
      <c r="J26" s="87">
        <v>68</v>
      </c>
      <c r="K26" s="79" t="s">
        <v>345</v>
      </c>
      <c r="L26" s="81" t="s">
        <v>345</v>
      </c>
      <c r="M26" s="88" t="s">
        <v>464</v>
      </c>
    </row>
    <row r="27" spans="1:13" s="26" customFormat="1" ht="27.75" customHeight="1">
      <c r="A27" s="86">
        <v>19</v>
      </c>
      <c r="B27" s="1223" t="s">
        <v>456</v>
      </c>
      <c r="C27" s="1223"/>
      <c r="D27" s="241">
        <v>42262</v>
      </c>
      <c r="E27" s="79" t="s">
        <v>2</v>
      </c>
      <c r="F27" s="165">
        <v>42145</v>
      </c>
      <c r="G27" s="165">
        <v>42147</v>
      </c>
      <c r="H27" s="87">
        <v>90</v>
      </c>
      <c r="I27" s="87">
        <v>90</v>
      </c>
      <c r="J27" s="87">
        <v>104</v>
      </c>
      <c r="K27" s="81" t="s">
        <v>345</v>
      </c>
      <c r="L27" s="81" t="s">
        <v>345</v>
      </c>
      <c r="M27" s="88" t="s">
        <v>464</v>
      </c>
    </row>
    <row r="28" spans="1:13" s="10" customFormat="1" ht="27.75" customHeight="1">
      <c r="A28" s="86">
        <v>20</v>
      </c>
      <c r="B28" s="1223" t="s">
        <v>457</v>
      </c>
      <c r="C28" s="1223"/>
      <c r="D28" s="241">
        <v>42219</v>
      </c>
      <c r="E28" s="79" t="s">
        <v>2</v>
      </c>
      <c r="F28" s="165">
        <v>42234</v>
      </c>
      <c r="G28" s="165">
        <v>42239</v>
      </c>
      <c r="H28" s="87">
        <v>45</v>
      </c>
      <c r="I28" s="87">
        <v>45</v>
      </c>
      <c r="J28" s="87">
        <v>65</v>
      </c>
      <c r="K28" s="81" t="s">
        <v>345</v>
      </c>
      <c r="L28" s="81" t="s">
        <v>345</v>
      </c>
      <c r="M28" s="88" t="s">
        <v>464</v>
      </c>
    </row>
    <row r="29" spans="1:13" s="10" customFormat="1" ht="27.75" customHeight="1">
      <c r="A29" s="86">
        <v>21</v>
      </c>
      <c r="B29" s="1223" t="s">
        <v>458</v>
      </c>
      <c r="C29" s="1223"/>
      <c r="D29" s="241">
        <v>42322</v>
      </c>
      <c r="E29" s="79" t="s">
        <v>2</v>
      </c>
      <c r="F29" s="165">
        <v>42240</v>
      </c>
      <c r="G29" s="165">
        <v>42241</v>
      </c>
      <c r="H29" s="87">
        <v>80</v>
      </c>
      <c r="I29" s="87">
        <v>80</v>
      </c>
      <c r="J29" s="87">
        <v>138</v>
      </c>
      <c r="K29" s="81" t="s">
        <v>345</v>
      </c>
      <c r="L29" s="79" t="s">
        <v>465</v>
      </c>
      <c r="M29" s="88" t="s">
        <v>464</v>
      </c>
    </row>
    <row r="30" spans="1:13" s="10" customFormat="1" ht="27.75" customHeight="1">
      <c r="A30" s="86">
        <v>22</v>
      </c>
      <c r="B30" s="1223" t="s">
        <v>459</v>
      </c>
      <c r="C30" s="1223"/>
      <c r="D30" s="241">
        <v>42282</v>
      </c>
      <c r="E30" s="79" t="s">
        <v>2</v>
      </c>
      <c r="F30" s="165">
        <v>42177</v>
      </c>
      <c r="G30" s="165">
        <v>42219</v>
      </c>
      <c r="H30" s="87">
        <v>45</v>
      </c>
      <c r="I30" s="87">
        <v>45</v>
      </c>
      <c r="J30" s="87">
        <v>65</v>
      </c>
      <c r="K30" s="81" t="s">
        <v>345</v>
      </c>
      <c r="L30" s="79" t="s">
        <v>465</v>
      </c>
      <c r="M30" s="88" t="s">
        <v>464</v>
      </c>
    </row>
    <row r="31" spans="1:13" s="10" customFormat="1" ht="27.75" customHeight="1">
      <c r="A31" s="86">
        <v>23</v>
      </c>
      <c r="B31" s="1223" t="s">
        <v>460</v>
      </c>
      <c r="C31" s="1223"/>
      <c r="D31" s="241">
        <v>42282</v>
      </c>
      <c r="E31" s="242" t="s">
        <v>210</v>
      </c>
      <c r="F31" s="243">
        <v>42177</v>
      </c>
      <c r="G31" s="165">
        <v>42303</v>
      </c>
      <c r="H31" s="244">
        <v>25</v>
      </c>
      <c r="I31" s="244">
        <v>25</v>
      </c>
      <c r="J31" s="244">
        <v>94</v>
      </c>
      <c r="K31" s="81" t="s">
        <v>345</v>
      </c>
      <c r="L31" s="81" t="s">
        <v>345</v>
      </c>
      <c r="M31" s="88" t="s">
        <v>464</v>
      </c>
    </row>
    <row r="32" spans="1:13" s="10" customFormat="1" ht="27.75" customHeight="1">
      <c r="A32" s="86">
        <v>24</v>
      </c>
      <c r="B32" s="1223" t="s">
        <v>461</v>
      </c>
      <c r="C32" s="1223"/>
      <c r="D32" s="241">
        <v>42282</v>
      </c>
      <c r="E32" s="79" t="s">
        <v>2</v>
      </c>
      <c r="F32" s="165">
        <v>42177</v>
      </c>
      <c r="G32" s="165">
        <v>42219</v>
      </c>
      <c r="H32" s="244">
        <v>45</v>
      </c>
      <c r="I32" s="244">
        <v>45</v>
      </c>
      <c r="J32" s="244">
        <v>65</v>
      </c>
      <c r="K32" s="81" t="s">
        <v>345</v>
      </c>
      <c r="L32" s="81" t="s">
        <v>345</v>
      </c>
      <c r="M32" s="88" t="s">
        <v>464</v>
      </c>
    </row>
    <row r="33" spans="1:13" s="10" customFormat="1" ht="27.75" customHeight="1">
      <c r="A33" s="86">
        <v>25</v>
      </c>
      <c r="B33" s="1223" t="s">
        <v>462</v>
      </c>
      <c r="C33" s="1223"/>
      <c r="D33" s="241">
        <v>42282</v>
      </c>
      <c r="E33" s="79" t="s">
        <v>2</v>
      </c>
      <c r="F33" s="243">
        <v>42177</v>
      </c>
      <c r="G33" s="165">
        <v>42219</v>
      </c>
      <c r="H33" s="244">
        <v>45</v>
      </c>
      <c r="I33" s="244">
        <v>45</v>
      </c>
      <c r="J33" s="244">
        <v>65</v>
      </c>
      <c r="K33" s="81" t="s">
        <v>345</v>
      </c>
      <c r="L33" s="81" t="s">
        <v>345</v>
      </c>
      <c r="M33" s="88" t="s">
        <v>464</v>
      </c>
    </row>
    <row r="34" spans="1:13" s="10" customFormat="1" ht="27.75" customHeight="1">
      <c r="A34" s="89">
        <v>26</v>
      </c>
      <c r="B34" s="1224" t="s">
        <v>463</v>
      </c>
      <c r="C34" s="1224"/>
      <c r="D34" s="245">
        <v>42282</v>
      </c>
      <c r="E34" s="83" t="s">
        <v>2</v>
      </c>
      <c r="F34" s="245">
        <v>42184</v>
      </c>
      <c r="G34" s="245">
        <v>42219</v>
      </c>
      <c r="H34" s="90">
        <v>45</v>
      </c>
      <c r="I34" s="90">
        <v>45</v>
      </c>
      <c r="J34" s="90">
        <v>65</v>
      </c>
      <c r="K34" s="81" t="s">
        <v>345</v>
      </c>
      <c r="L34" s="81" t="s">
        <v>345</v>
      </c>
      <c r="M34" s="88" t="s">
        <v>464</v>
      </c>
    </row>
    <row r="35" spans="1:13" s="10" customFormat="1" ht="15" customHeight="1">
      <c r="C35" s="26"/>
    </row>
    <row r="36" spans="1:13" s="10" customFormat="1" ht="15" customHeight="1">
      <c r="C36" s="26"/>
    </row>
    <row r="37" spans="1:13" s="10" customFormat="1" ht="15" customHeight="1">
      <c r="C37" s="26"/>
    </row>
    <row r="38" spans="1:13" s="10" customFormat="1" ht="15" customHeight="1">
      <c r="C38" s="26"/>
      <c r="G38" s="347"/>
    </row>
    <row r="39" spans="1:13" s="10" customFormat="1" ht="15" customHeight="1">
      <c r="C39" s="26"/>
    </row>
    <row r="40" spans="1:13" s="10" customFormat="1" ht="15" customHeight="1">
      <c r="C40" s="26"/>
    </row>
    <row r="41" spans="1:13" s="10" customFormat="1" ht="15" customHeight="1">
      <c r="C41" s="26"/>
    </row>
    <row r="42" spans="1:13" s="10" customFormat="1" ht="15" customHeight="1">
      <c r="C42" s="26"/>
    </row>
    <row r="43" spans="1:13" s="10" customFormat="1" ht="15" customHeight="1">
      <c r="C43" s="26"/>
    </row>
    <row r="44" spans="1:13" s="10" customFormat="1" ht="15" customHeight="1">
      <c r="C44" s="26"/>
    </row>
    <row r="45" spans="1:13" s="10" customFormat="1" ht="15" customHeight="1">
      <c r="C45" s="26"/>
    </row>
    <row r="46" spans="1:13" s="10" customFormat="1" ht="15" customHeight="1">
      <c r="C46" s="26"/>
    </row>
    <row r="47" spans="1:13" s="10" customFormat="1" ht="15" customHeight="1">
      <c r="C47" s="26"/>
    </row>
  </sheetData>
  <mergeCells count="41">
    <mergeCell ref="B12:C12"/>
    <mergeCell ref="B13:C13"/>
    <mergeCell ref="A4:M4"/>
    <mergeCell ref="H7:J7"/>
    <mergeCell ref="K7:K8"/>
    <mergeCell ref="L7:L8"/>
    <mergeCell ref="M7:M8"/>
    <mergeCell ref="A7:A8"/>
    <mergeCell ref="D7:D8"/>
    <mergeCell ref="E7:E8"/>
    <mergeCell ref="F7:F8"/>
    <mergeCell ref="G7:G8"/>
    <mergeCell ref="B7:C8"/>
    <mergeCell ref="A1:B3"/>
    <mergeCell ref="C1:K3"/>
    <mergeCell ref="A5:M5"/>
    <mergeCell ref="A6:M6"/>
    <mergeCell ref="B22:C22"/>
    <mergeCell ref="B19:C19"/>
    <mergeCell ref="B20:C20"/>
    <mergeCell ref="B21:C21"/>
    <mergeCell ref="B14:C14"/>
    <mergeCell ref="B15:C15"/>
    <mergeCell ref="B16:C16"/>
    <mergeCell ref="B17:C17"/>
    <mergeCell ref="B18:C18"/>
    <mergeCell ref="B9:C9"/>
    <mergeCell ref="B10:C10"/>
    <mergeCell ref="B11:C11"/>
    <mergeCell ref="B33:C33"/>
    <mergeCell ref="B34:C34"/>
    <mergeCell ref="B28:C28"/>
    <mergeCell ref="B29:C29"/>
    <mergeCell ref="B30:C30"/>
    <mergeCell ref="B31:C31"/>
    <mergeCell ref="B32:C32"/>
    <mergeCell ref="B26:C26"/>
    <mergeCell ref="B27:C27"/>
    <mergeCell ref="B23:C23"/>
    <mergeCell ref="B24:C24"/>
    <mergeCell ref="B25:C25"/>
  </mergeCells>
  <pageMargins left="0.6" right="0.35" top="0.9" bottom="0.5" header="0.3" footer="0.3"/>
  <pageSetup paperSize="9" scale="59" orientation="landscape" r:id="rId1"/>
  <headerFooter scaleWithDoc="0" alignWithMargins="0">
    <oddFooter>&amp;L          -----------------------
          Project In charge&amp;R --------------------          .       
          Project  Manager        .</oddFooter>
  </headerFooter>
</worksheet>
</file>

<file path=xl/worksheets/sheet10.xml><?xml version="1.0" encoding="utf-8"?>
<worksheet xmlns="http://schemas.openxmlformats.org/spreadsheetml/2006/main" xmlns:r="http://schemas.openxmlformats.org/officeDocument/2006/relationships">
  <sheetPr>
    <tabColor theme="4" tint="0.39997558519241921"/>
    <pageSetUpPr fitToPage="1"/>
  </sheetPr>
  <dimension ref="A1:BF53"/>
  <sheetViews>
    <sheetView view="pageBreakPreview" zoomScale="90" zoomScaleNormal="100" zoomScaleSheetLayoutView="90" workbookViewId="0">
      <selection activeCell="K28" sqref="K28:Z28"/>
    </sheetView>
  </sheetViews>
  <sheetFormatPr defaultRowHeight="15"/>
  <cols>
    <col min="1" max="58" width="1.5703125" customWidth="1"/>
  </cols>
  <sheetData>
    <row r="1" spans="1:58" ht="15" customHeight="1">
      <c r="A1" s="1252"/>
      <c r="B1" s="1252"/>
      <c r="C1" s="1252"/>
      <c r="D1" s="1252"/>
      <c r="E1" s="1252"/>
      <c r="F1" s="1253" t="s">
        <v>483</v>
      </c>
      <c r="G1" s="1254"/>
      <c r="H1" s="1254"/>
      <c r="I1" s="1254"/>
      <c r="J1" s="1254"/>
      <c r="K1" s="1254"/>
      <c r="L1" s="1254"/>
      <c r="M1" s="1254"/>
      <c r="N1" s="1254"/>
      <c r="O1" s="1254"/>
      <c r="P1" s="1254"/>
      <c r="Q1" s="1254"/>
      <c r="R1" s="1254"/>
      <c r="S1" s="1254"/>
      <c r="T1" s="1254"/>
      <c r="U1" s="1254"/>
      <c r="V1" s="1254"/>
      <c r="W1" s="1254"/>
      <c r="X1" s="1254"/>
      <c r="Y1" s="1254"/>
      <c r="Z1" s="1254"/>
      <c r="AA1" s="1254"/>
      <c r="AB1" s="1254"/>
      <c r="AC1" s="1254"/>
      <c r="AD1" s="1254"/>
      <c r="AE1" s="1254"/>
      <c r="AF1" s="1254"/>
      <c r="AG1" s="1254"/>
      <c r="AH1" s="1254"/>
      <c r="AI1" s="1254"/>
      <c r="AJ1" s="1254"/>
      <c r="AK1" s="1254"/>
      <c r="AL1" s="1254"/>
      <c r="AM1" s="1254"/>
      <c r="AN1" s="1254"/>
      <c r="AO1" s="1254"/>
      <c r="AP1" s="1254"/>
      <c r="AQ1" s="1255"/>
      <c r="AR1" s="318" t="s">
        <v>237</v>
      </c>
      <c r="AS1" s="319"/>
      <c r="AT1" s="320"/>
      <c r="AU1" s="321"/>
      <c r="AV1" s="1256" t="s">
        <v>408</v>
      </c>
      <c r="AW1" s="1257"/>
      <c r="AX1" s="1257"/>
      <c r="AY1" s="1257"/>
      <c r="AZ1" s="1257"/>
      <c r="BA1" s="1257"/>
      <c r="BB1" s="1257"/>
      <c r="BC1" s="1257"/>
      <c r="BD1" s="1257"/>
      <c r="BE1" s="1257"/>
      <c r="BF1" s="1258"/>
    </row>
    <row r="2" spans="1:58" ht="15" customHeight="1">
      <c r="A2" s="1058"/>
      <c r="B2" s="1058"/>
      <c r="C2" s="1058"/>
      <c r="D2" s="1058"/>
      <c r="E2" s="1058"/>
      <c r="F2" s="1144"/>
      <c r="G2" s="1145"/>
      <c r="H2" s="1145"/>
      <c r="I2" s="1145"/>
      <c r="J2" s="1145"/>
      <c r="K2" s="1145"/>
      <c r="L2" s="1145"/>
      <c r="M2" s="1145"/>
      <c r="N2" s="1145"/>
      <c r="O2" s="1145"/>
      <c r="P2" s="1145"/>
      <c r="Q2" s="1145"/>
      <c r="R2" s="1145"/>
      <c r="S2" s="1145"/>
      <c r="T2" s="1145"/>
      <c r="U2" s="1145"/>
      <c r="V2" s="1145"/>
      <c r="W2" s="1145"/>
      <c r="X2" s="1145"/>
      <c r="Y2" s="1145"/>
      <c r="Z2" s="1145"/>
      <c r="AA2" s="1145"/>
      <c r="AB2" s="1145"/>
      <c r="AC2" s="1145"/>
      <c r="AD2" s="1145"/>
      <c r="AE2" s="1145"/>
      <c r="AF2" s="1145"/>
      <c r="AG2" s="1145"/>
      <c r="AH2" s="1145"/>
      <c r="AI2" s="1145"/>
      <c r="AJ2" s="1145"/>
      <c r="AK2" s="1145"/>
      <c r="AL2" s="1145"/>
      <c r="AM2" s="1145"/>
      <c r="AN2" s="1145"/>
      <c r="AO2" s="1145"/>
      <c r="AP2" s="1145"/>
      <c r="AQ2" s="1146"/>
      <c r="AR2" s="318" t="s">
        <v>235</v>
      </c>
      <c r="AS2" s="319"/>
      <c r="AT2" s="320"/>
      <c r="AU2" s="321"/>
      <c r="AV2" s="1256">
        <v>0</v>
      </c>
      <c r="AW2" s="1257">
        <v>0</v>
      </c>
      <c r="AX2" s="1257"/>
      <c r="AY2" s="1257"/>
      <c r="AZ2" s="1257"/>
      <c r="BA2" s="1257"/>
      <c r="BB2" s="1257"/>
      <c r="BC2" s="1257"/>
      <c r="BD2" s="1257"/>
      <c r="BE2" s="1257"/>
      <c r="BF2" s="1258"/>
    </row>
    <row r="3" spans="1:58" ht="15" customHeight="1">
      <c r="A3" s="1059"/>
      <c r="B3" s="1059"/>
      <c r="C3" s="1059"/>
      <c r="D3" s="1059"/>
      <c r="E3" s="1059"/>
      <c r="F3" s="1147"/>
      <c r="G3" s="1148"/>
      <c r="H3" s="1148"/>
      <c r="I3" s="1148"/>
      <c r="J3" s="1148"/>
      <c r="K3" s="1148"/>
      <c r="L3" s="1148"/>
      <c r="M3" s="1148"/>
      <c r="N3" s="1148"/>
      <c r="O3" s="1148"/>
      <c r="P3" s="1148"/>
      <c r="Q3" s="1148"/>
      <c r="R3" s="1148"/>
      <c r="S3" s="1148"/>
      <c r="T3" s="1148"/>
      <c r="U3" s="1148"/>
      <c r="V3" s="1148"/>
      <c r="W3" s="1148"/>
      <c r="X3" s="1148"/>
      <c r="Y3" s="1148"/>
      <c r="Z3" s="1148"/>
      <c r="AA3" s="1148"/>
      <c r="AB3" s="1148"/>
      <c r="AC3" s="1148"/>
      <c r="AD3" s="1148"/>
      <c r="AE3" s="1148"/>
      <c r="AF3" s="1148"/>
      <c r="AG3" s="1148"/>
      <c r="AH3" s="1148"/>
      <c r="AI3" s="1148"/>
      <c r="AJ3" s="1148"/>
      <c r="AK3" s="1148"/>
      <c r="AL3" s="1148"/>
      <c r="AM3" s="1148"/>
      <c r="AN3" s="1148"/>
      <c r="AO3" s="1148"/>
      <c r="AP3" s="1148"/>
      <c r="AQ3" s="1149"/>
      <c r="AR3" s="318" t="s">
        <v>236</v>
      </c>
      <c r="AS3" s="319"/>
      <c r="AT3" s="320"/>
      <c r="AU3" s="321"/>
      <c r="AV3" s="1259">
        <f>+'Cover '!T11</f>
        <v>42460</v>
      </c>
      <c r="AW3" s="1260"/>
      <c r="AX3" s="1260"/>
      <c r="AY3" s="1260"/>
      <c r="AZ3" s="1260"/>
      <c r="BA3" s="1260"/>
      <c r="BB3" s="1260"/>
      <c r="BC3" s="1260"/>
      <c r="BD3" s="1260"/>
      <c r="BE3" s="1260"/>
      <c r="BF3" s="1261"/>
    </row>
    <row r="4" spans="1:58" ht="9.9499999999999993" customHeight="1">
      <c r="A4" s="1262"/>
      <c r="B4" s="1263"/>
      <c r="C4" s="1263"/>
      <c r="D4" s="1263"/>
      <c r="E4" s="1263"/>
      <c r="F4" s="1263"/>
      <c r="G4" s="1263"/>
      <c r="H4" s="1263"/>
      <c r="I4" s="1263"/>
      <c r="J4" s="1263"/>
      <c r="K4" s="1263"/>
      <c r="L4" s="1263"/>
      <c r="M4" s="1263"/>
      <c r="N4" s="1263"/>
      <c r="O4" s="1263"/>
      <c r="P4" s="1263"/>
      <c r="Q4" s="1263"/>
      <c r="R4" s="1263"/>
      <c r="S4" s="1263"/>
      <c r="T4" s="1263"/>
      <c r="U4" s="1263"/>
      <c r="V4" s="1263"/>
      <c r="W4" s="1263"/>
      <c r="X4" s="1263"/>
      <c r="Y4" s="1263"/>
      <c r="Z4" s="1263"/>
      <c r="AA4" s="1263"/>
      <c r="AB4" s="1263"/>
      <c r="AC4" s="1263"/>
      <c r="AD4" s="1263"/>
      <c r="AE4" s="1263"/>
      <c r="AF4" s="1263"/>
      <c r="AG4" s="1263"/>
      <c r="AH4" s="1263"/>
      <c r="AI4" s="1263"/>
      <c r="AJ4" s="1263"/>
      <c r="AK4" s="1263"/>
      <c r="AL4" s="1263"/>
      <c r="AM4" s="1263"/>
      <c r="AN4" s="1263"/>
      <c r="AO4" s="1263"/>
      <c r="AP4" s="1263"/>
      <c r="AQ4" s="1263"/>
      <c r="AR4" s="1263"/>
      <c r="AS4" s="1263"/>
      <c r="AT4" s="1263"/>
      <c r="AU4" s="1263"/>
      <c r="AV4" s="1263"/>
      <c r="AW4" s="1263"/>
      <c r="AX4" s="1263"/>
      <c r="AY4" s="1263"/>
      <c r="AZ4" s="1263"/>
      <c r="BA4" s="1263"/>
      <c r="BB4" s="1263"/>
      <c r="BC4" s="1263"/>
      <c r="BD4" s="1263"/>
      <c r="BE4" s="1263"/>
      <c r="BF4" s="1264"/>
    </row>
    <row r="5" spans="1:58">
      <c r="A5" s="68" t="s">
        <v>245</v>
      </c>
      <c r="B5" s="67"/>
      <c r="C5" s="67"/>
      <c r="D5" s="67"/>
      <c r="E5" s="67"/>
      <c r="F5" s="1281">
        <f>AV3</f>
        <v>42460</v>
      </c>
      <c r="G5" s="1281"/>
      <c r="H5" s="1281"/>
      <c r="I5" s="1281"/>
      <c r="J5" s="1281"/>
      <c r="K5" s="1281"/>
      <c r="L5" s="1281"/>
      <c r="M5" s="1281"/>
      <c r="N5" s="1281"/>
      <c r="O5" s="1281"/>
      <c r="P5" s="1281"/>
      <c r="Q5" s="1055"/>
      <c r="R5" s="1055"/>
      <c r="S5" s="1055"/>
      <c r="T5" s="1055"/>
      <c r="U5" s="1055"/>
      <c r="V5" s="1055"/>
      <c r="W5" s="1055"/>
      <c r="X5" s="1055"/>
      <c r="Y5" s="1055"/>
      <c r="Z5" s="1055"/>
      <c r="AA5" s="1055"/>
      <c r="AB5" s="1055"/>
      <c r="AC5" s="1055"/>
      <c r="AD5" s="1055"/>
      <c r="AE5" s="1055"/>
      <c r="AF5" s="1055"/>
      <c r="AG5" s="1055"/>
      <c r="AH5" s="1055"/>
      <c r="AI5" s="1055"/>
      <c r="AJ5" s="1055"/>
      <c r="AK5" s="1055"/>
      <c r="AL5" s="1055"/>
      <c r="AM5" s="1055"/>
      <c r="AN5" s="1055"/>
      <c r="AO5" s="1055"/>
      <c r="AP5" s="1055"/>
      <c r="AQ5" s="1055"/>
      <c r="AR5" s="1055"/>
      <c r="AS5" s="1055"/>
      <c r="AT5" s="1055"/>
      <c r="AU5" s="1055"/>
      <c r="AV5" s="1055"/>
      <c r="AW5" s="1055"/>
      <c r="AX5" s="1055"/>
      <c r="AY5" s="1055"/>
      <c r="AZ5" s="1055"/>
      <c r="BA5" s="1055"/>
      <c r="BB5" s="1055"/>
      <c r="BC5" s="1055"/>
      <c r="BD5" s="1055"/>
      <c r="BE5" s="1055"/>
      <c r="BF5" s="1056"/>
    </row>
    <row r="6" spans="1:58" ht="20.100000000000001" customHeight="1">
      <c r="A6" s="1262"/>
      <c r="B6" s="1263"/>
      <c r="C6" s="1263"/>
      <c r="D6" s="1263"/>
      <c r="E6" s="1263"/>
      <c r="F6" s="1263"/>
      <c r="G6" s="1263"/>
      <c r="H6" s="1263"/>
      <c r="I6" s="1263"/>
      <c r="J6" s="1263"/>
      <c r="K6" s="1263"/>
      <c r="L6" s="1263"/>
      <c r="M6" s="1263"/>
      <c r="N6" s="1263"/>
      <c r="O6" s="1263"/>
      <c r="P6" s="1263"/>
      <c r="Q6" s="1263"/>
      <c r="R6" s="1263"/>
      <c r="S6" s="1263"/>
      <c r="T6" s="1263"/>
      <c r="U6" s="1263"/>
      <c r="V6" s="1263"/>
      <c r="W6" s="1263"/>
      <c r="X6" s="1263"/>
      <c r="Y6" s="1263"/>
      <c r="Z6" s="1263"/>
      <c r="AA6" s="1263"/>
      <c r="AB6" s="1263"/>
      <c r="AC6" s="1263"/>
      <c r="AD6" s="1263"/>
      <c r="AE6" s="1263"/>
      <c r="AF6" s="1263"/>
      <c r="AG6" s="1263"/>
      <c r="AH6" s="1263"/>
      <c r="AI6" s="1263"/>
      <c r="AJ6" s="1263"/>
      <c r="AK6" s="1263"/>
      <c r="AL6" s="1263"/>
      <c r="AM6" s="1263"/>
      <c r="AN6" s="1263"/>
      <c r="AO6" s="1263"/>
      <c r="AP6" s="1263"/>
      <c r="AQ6" s="1263"/>
      <c r="AR6" s="1263"/>
      <c r="AS6" s="1263"/>
      <c r="AT6" s="1263"/>
      <c r="AU6" s="1263"/>
      <c r="AV6" s="1263"/>
      <c r="AW6" s="1263"/>
      <c r="AX6" s="1263"/>
      <c r="AY6" s="1263"/>
      <c r="AZ6" s="1263"/>
      <c r="BA6" s="1263"/>
      <c r="BB6" s="1263"/>
      <c r="BC6" s="1263"/>
      <c r="BD6" s="1263"/>
      <c r="BE6" s="1263"/>
      <c r="BF6" s="1264"/>
    </row>
    <row r="7" spans="1:58" ht="18" customHeight="1">
      <c r="A7" s="1282" t="s">
        <v>13</v>
      </c>
      <c r="B7" s="1283"/>
      <c r="C7" s="1283"/>
      <c r="D7" s="1283"/>
      <c r="E7" s="1283"/>
      <c r="F7" s="1283"/>
      <c r="G7" s="1283"/>
      <c r="H7" s="1283"/>
      <c r="I7" s="1283"/>
      <c r="J7" s="1283"/>
      <c r="K7" s="1283"/>
      <c r="L7" s="1283"/>
      <c r="M7" s="1283"/>
      <c r="N7" s="1283"/>
      <c r="O7" s="1283"/>
      <c r="P7" s="1283"/>
      <c r="Q7" s="1283"/>
      <c r="R7" s="1283"/>
      <c r="S7" s="1283"/>
      <c r="T7" s="1283"/>
      <c r="U7" s="1283"/>
      <c r="V7" s="1283"/>
      <c r="W7" s="1283"/>
      <c r="X7" s="1283"/>
      <c r="Y7" s="1283"/>
      <c r="Z7" s="1283"/>
      <c r="AA7" s="1283"/>
      <c r="AB7" s="1283"/>
      <c r="AC7" s="1283"/>
      <c r="AD7" s="1283"/>
      <c r="AE7" s="1283"/>
      <c r="AF7" s="1283"/>
      <c r="AG7" s="1283"/>
      <c r="AH7" s="1283"/>
      <c r="AI7" s="1283"/>
      <c r="AJ7" s="1283"/>
      <c r="AK7" s="1283"/>
      <c r="AL7" s="1283"/>
      <c r="AM7" s="1283"/>
      <c r="AN7" s="1283"/>
      <c r="AO7" s="1283"/>
      <c r="AP7" s="1283"/>
      <c r="AQ7" s="1283"/>
      <c r="AR7" s="1283"/>
      <c r="AS7" s="1283"/>
      <c r="AT7" s="1283"/>
      <c r="AU7" s="1283"/>
      <c r="AV7" s="1283"/>
      <c r="AW7" s="1283"/>
      <c r="AX7" s="1283"/>
      <c r="AY7" s="1283"/>
      <c r="AZ7" s="1283"/>
      <c r="BA7" s="1283"/>
      <c r="BB7" s="1283"/>
      <c r="BC7" s="1283"/>
      <c r="BD7" s="1283"/>
      <c r="BE7" s="1283"/>
      <c r="BF7" s="1284"/>
    </row>
    <row r="8" spans="1:58" ht="9.9499999999999993" customHeight="1">
      <c r="A8" s="1262"/>
      <c r="B8" s="1263"/>
      <c r="C8" s="1263"/>
      <c r="D8" s="1263"/>
      <c r="E8" s="1263"/>
      <c r="F8" s="1263"/>
      <c r="G8" s="1263"/>
      <c r="H8" s="1263"/>
      <c r="I8" s="1263"/>
      <c r="J8" s="1263"/>
      <c r="K8" s="1263"/>
      <c r="L8" s="1263"/>
      <c r="M8" s="1263"/>
      <c r="N8" s="1263"/>
      <c r="O8" s="1263"/>
      <c r="P8" s="1263"/>
      <c r="Q8" s="1263"/>
      <c r="R8" s="1263"/>
      <c r="S8" s="1263"/>
      <c r="T8" s="1263"/>
      <c r="U8" s="1263"/>
      <c r="V8" s="1263"/>
      <c r="W8" s="1263"/>
      <c r="X8" s="1263"/>
      <c r="Y8" s="1263"/>
      <c r="Z8" s="1263"/>
      <c r="AA8" s="1263"/>
      <c r="AB8" s="1263"/>
      <c r="AC8" s="1263"/>
      <c r="AD8" s="1263"/>
      <c r="AE8" s="1263"/>
      <c r="AF8" s="1263"/>
      <c r="AG8" s="1263"/>
      <c r="AH8" s="1263"/>
      <c r="AI8" s="1263"/>
      <c r="AJ8" s="1263"/>
      <c r="AK8" s="1263"/>
      <c r="AL8" s="1263"/>
      <c r="AM8" s="1263"/>
      <c r="AN8" s="1263"/>
      <c r="AO8" s="1263"/>
      <c r="AP8" s="1263"/>
      <c r="AQ8" s="1263"/>
      <c r="AR8" s="1263"/>
      <c r="AS8" s="1263"/>
      <c r="AT8" s="1263"/>
      <c r="AU8" s="1263"/>
      <c r="AV8" s="1263"/>
      <c r="AW8" s="1263"/>
      <c r="AX8" s="1263"/>
      <c r="AY8" s="1263"/>
      <c r="AZ8" s="1263"/>
      <c r="BA8" s="1263"/>
      <c r="BB8" s="1263"/>
      <c r="BC8" s="1263"/>
      <c r="BD8" s="1263"/>
      <c r="BE8" s="1263"/>
      <c r="BF8" s="1264"/>
    </row>
    <row r="9" spans="1:58" ht="35.1" customHeight="1">
      <c r="A9" s="1285" t="s">
        <v>126</v>
      </c>
      <c r="B9" s="1286"/>
      <c r="C9" s="1286"/>
      <c r="D9" s="1286"/>
      <c r="E9" s="1286"/>
      <c r="F9" s="1286"/>
      <c r="G9" s="1286"/>
      <c r="H9" s="1286"/>
      <c r="I9" s="1286"/>
      <c r="J9" s="1286"/>
      <c r="K9" s="1286" t="s">
        <v>426</v>
      </c>
      <c r="L9" s="1286"/>
      <c r="M9" s="1286"/>
      <c r="N9" s="1286"/>
      <c r="O9" s="1286"/>
      <c r="P9" s="1286"/>
      <c r="Q9" s="1286"/>
      <c r="R9" s="1286"/>
      <c r="S9" s="1286"/>
      <c r="T9" s="1286"/>
      <c r="U9" s="1286"/>
      <c r="V9" s="1286"/>
      <c r="W9" s="1286" t="s">
        <v>2</v>
      </c>
      <c r="X9" s="1286"/>
      <c r="Y9" s="1286"/>
      <c r="Z9" s="1286"/>
      <c r="AA9" s="1286"/>
      <c r="AB9" s="1286"/>
      <c r="AC9" s="1286"/>
      <c r="AD9" s="1286"/>
      <c r="AE9" s="1286"/>
      <c r="AF9" s="1286"/>
      <c r="AG9" s="1286"/>
      <c r="AH9" s="1286"/>
      <c r="AI9" s="1286" t="s">
        <v>210</v>
      </c>
      <c r="AJ9" s="1286"/>
      <c r="AK9" s="1286"/>
      <c r="AL9" s="1286"/>
      <c r="AM9" s="1286"/>
      <c r="AN9" s="1286"/>
      <c r="AO9" s="1286"/>
      <c r="AP9" s="1286"/>
      <c r="AQ9" s="1286"/>
      <c r="AR9" s="1286"/>
      <c r="AS9" s="1286"/>
      <c r="AT9" s="1286"/>
      <c r="AU9" s="1286" t="s">
        <v>216</v>
      </c>
      <c r="AV9" s="1286"/>
      <c r="AW9" s="1286"/>
      <c r="AX9" s="1286"/>
      <c r="AY9" s="1286"/>
      <c r="AZ9" s="1286"/>
      <c r="BA9" s="1286"/>
      <c r="BB9" s="1286"/>
      <c r="BC9" s="1286"/>
      <c r="BD9" s="1286"/>
      <c r="BE9" s="1286"/>
      <c r="BF9" s="1287"/>
    </row>
    <row r="10" spans="1:58" s="77" customFormat="1" ht="24.95" customHeight="1">
      <c r="A10" s="1265" t="s">
        <v>46</v>
      </c>
      <c r="B10" s="1266"/>
      <c r="C10" s="1266"/>
      <c r="D10" s="1266"/>
      <c r="E10" s="1266"/>
      <c r="F10" s="1266"/>
      <c r="G10" s="1266"/>
      <c r="H10" s="1266"/>
      <c r="I10" s="1266"/>
      <c r="J10" s="1266"/>
      <c r="K10" s="1267">
        <v>30</v>
      </c>
      <c r="L10" s="1268"/>
      <c r="M10" s="1268"/>
      <c r="N10" s="1268"/>
      <c r="O10" s="1268"/>
      <c r="P10" s="1268"/>
      <c r="Q10" s="1268"/>
      <c r="R10" s="1268"/>
      <c r="S10" s="1268"/>
      <c r="T10" s="1268"/>
      <c r="U10" s="1268"/>
      <c r="V10" s="1269"/>
      <c r="W10" s="1267">
        <f>+K10</f>
        <v>30</v>
      </c>
      <c r="X10" s="1268"/>
      <c r="Y10" s="1268"/>
      <c r="Z10" s="1268"/>
      <c r="AA10" s="1268"/>
      <c r="AB10" s="1268"/>
      <c r="AC10" s="1268"/>
      <c r="AD10" s="1268"/>
      <c r="AE10" s="1268"/>
      <c r="AF10" s="1268"/>
      <c r="AG10" s="1268"/>
      <c r="AH10" s="1269"/>
      <c r="AI10" s="1267">
        <v>0</v>
      </c>
      <c r="AJ10" s="1268"/>
      <c r="AK10" s="1268"/>
      <c r="AL10" s="1268"/>
      <c r="AM10" s="1268"/>
      <c r="AN10" s="1268"/>
      <c r="AO10" s="1268"/>
      <c r="AP10" s="1268"/>
      <c r="AQ10" s="1268"/>
      <c r="AR10" s="1268"/>
      <c r="AS10" s="1268"/>
      <c r="AT10" s="1269"/>
      <c r="AU10" s="1267">
        <v>0</v>
      </c>
      <c r="AV10" s="1268"/>
      <c r="AW10" s="1268"/>
      <c r="AX10" s="1268"/>
      <c r="AY10" s="1268"/>
      <c r="AZ10" s="1268"/>
      <c r="BA10" s="1268"/>
      <c r="BB10" s="1268"/>
      <c r="BC10" s="1268"/>
      <c r="BD10" s="1268"/>
      <c r="BE10" s="1268"/>
      <c r="BF10" s="1276"/>
    </row>
    <row r="11" spans="1:58" s="77" customFormat="1" ht="24.95" customHeight="1">
      <c r="A11" s="1279" t="s">
        <v>207</v>
      </c>
      <c r="B11" s="1280"/>
      <c r="C11" s="1280"/>
      <c r="D11" s="1280"/>
      <c r="E11" s="1280"/>
      <c r="F11" s="1280"/>
      <c r="G11" s="1280"/>
      <c r="H11" s="1280"/>
      <c r="I11" s="1280"/>
      <c r="J11" s="1280"/>
      <c r="K11" s="1270"/>
      <c r="L11" s="1271"/>
      <c r="M11" s="1271"/>
      <c r="N11" s="1271"/>
      <c r="O11" s="1271"/>
      <c r="P11" s="1271"/>
      <c r="Q11" s="1271"/>
      <c r="R11" s="1271"/>
      <c r="S11" s="1271"/>
      <c r="T11" s="1271"/>
      <c r="U11" s="1271"/>
      <c r="V11" s="1272"/>
      <c r="W11" s="1270"/>
      <c r="X11" s="1271"/>
      <c r="Y11" s="1271"/>
      <c r="Z11" s="1271"/>
      <c r="AA11" s="1271"/>
      <c r="AB11" s="1271"/>
      <c r="AC11" s="1271"/>
      <c r="AD11" s="1271"/>
      <c r="AE11" s="1271"/>
      <c r="AF11" s="1271"/>
      <c r="AG11" s="1271"/>
      <c r="AH11" s="1272"/>
      <c r="AI11" s="1270"/>
      <c r="AJ11" s="1271"/>
      <c r="AK11" s="1271"/>
      <c r="AL11" s="1271"/>
      <c r="AM11" s="1271"/>
      <c r="AN11" s="1271"/>
      <c r="AO11" s="1271"/>
      <c r="AP11" s="1271"/>
      <c r="AQ11" s="1271"/>
      <c r="AR11" s="1271"/>
      <c r="AS11" s="1271"/>
      <c r="AT11" s="1272"/>
      <c r="AU11" s="1270"/>
      <c r="AV11" s="1271"/>
      <c r="AW11" s="1271"/>
      <c r="AX11" s="1271"/>
      <c r="AY11" s="1271"/>
      <c r="AZ11" s="1271"/>
      <c r="BA11" s="1271"/>
      <c r="BB11" s="1271"/>
      <c r="BC11" s="1271"/>
      <c r="BD11" s="1271"/>
      <c r="BE11" s="1271"/>
      <c r="BF11" s="1277"/>
    </row>
    <row r="12" spans="1:58" s="77" customFormat="1" ht="24.95" customHeight="1">
      <c r="A12" s="1279" t="s">
        <v>208</v>
      </c>
      <c r="B12" s="1280"/>
      <c r="C12" s="1280"/>
      <c r="D12" s="1280"/>
      <c r="E12" s="1280"/>
      <c r="F12" s="1280"/>
      <c r="G12" s="1280"/>
      <c r="H12" s="1280"/>
      <c r="I12" s="1280"/>
      <c r="J12" s="1280"/>
      <c r="K12" s="1273"/>
      <c r="L12" s="1274"/>
      <c r="M12" s="1274"/>
      <c r="N12" s="1274"/>
      <c r="O12" s="1274"/>
      <c r="P12" s="1274"/>
      <c r="Q12" s="1274"/>
      <c r="R12" s="1274"/>
      <c r="S12" s="1274"/>
      <c r="T12" s="1274"/>
      <c r="U12" s="1274"/>
      <c r="V12" s="1275"/>
      <c r="W12" s="1273"/>
      <c r="X12" s="1274"/>
      <c r="Y12" s="1274"/>
      <c r="Z12" s="1274"/>
      <c r="AA12" s="1274"/>
      <c r="AB12" s="1274"/>
      <c r="AC12" s="1274"/>
      <c r="AD12" s="1274"/>
      <c r="AE12" s="1274"/>
      <c r="AF12" s="1274"/>
      <c r="AG12" s="1274"/>
      <c r="AH12" s="1275"/>
      <c r="AI12" s="1273"/>
      <c r="AJ12" s="1274"/>
      <c r="AK12" s="1274"/>
      <c r="AL12" s="1274"/>
      <c r="AM12" s="1274"/>
      <c r="AN12" s="1274"/>
      <c r="AO12" s="1274"/>
      <c r="AP12" s="1274"/>
      <c r="AQ12" s="1274"/>
      <c r="AR12" s="1274"/>
      <c r="AS12" s="1274"/>
      <c r="AT12" s="1275"/>
      <c r="AU12" s="1273"/>
      <c r="AV12" s="1274"/>
      <c r="AW12" s="1274"/>
      <c r="AX12" s="1274"/>
      <c r="AY12" s="1274"/>
      <c r="AZ12" s="1274"/>
      <c r="BA12" s="1274"/>
      <c r="BB12" s="1274"/>
      <c r="BC12" s="1274"/>
      <c r="BD12" s="1274"/>
      <c r="BE12" s="1274"/>
      <c r="BF12" s="1278"/>
    </row>
    <row r="13" spans="1:58" s="77" customFormat="1" ht="24.95" customHeight="1">
      <c r="A13" s="1288" t="s">
        <v>209</v>
      </c>
      <c r="B13" s="1289"/>
      <c r="C13" s="1289"/>
      <c r="D13" s="1289"/>
      <c r="E13" s="1289"/>
      <c r="F13" s="1289"/>
      <c r="G13" s="1289"/>
      <c r="H13" s="1289"/>
      <c r="I13" s="1289"/>
      <c r="J13" s="1289"/>
      <c r="K13" s="1290">
        <v>27</v>
      </c>
      <c r="L13" s="1290"/>
      <c r="M13" s="1290"/>
      <c r="N13" s="1290"/>
      <c r="O13" s="1290"/>
      <c r="P13" s="1290"/>
      <c r="Q13" s="1290"/>
      <c r="R13" s="1290"/>
      <c r="S13" s="1290"/>
      <c r="T13" s="1290"/>
      <c r="U13" s="1290"/>
      <c r="V13" s="1290"/>
      <c r="W13" s="1290">
        <f>+K13</f>
        <v>27</v>
      </c>
      <c r="X13" s="1290"/>
      <c r="Y13" s="1290"/>
      <c r="Z13" s="1290"/>
      <c r="AA13" s="1290"/>
      <c r="AB13" s="1290"/>
      <c r="AC13" s="1290"/>
      <c r="AD13" s="1290"/>
      <c r="AE13" s="1290"/>
      <c r="AF13" s="1290"/>
      <c r="AG13" s="1290"/>
      <c r="AH13" s="1290"/>
      <c r="AI13" s="1290">
        <v>0</v>
      </c>
      <c r="AJ13" s="1290"/>
      <c r="AK13" s="1290"/>
      <c r="AL13" s="1290"/>
      <c r="AM13" s="1290"/>
      <c r="AN13" s="1290"/>
      <c r="AO13" s="1290"/>
      <c r="AP13" s="1290"/>
      <c r="AQ13" s="1290"/>
      <c r="AR13" s="1290"/>
      <c r="AS13" s="1290"/>
      <c r="AT13" s="1290"/>
      <c r="AU13" s="1290">
        <v>0</v>
      </c>
      <c r="AV13" s="1290"/>
      <c r="AW13" s="1290"/>
      <c r="AX13" s="1290"/>
      <c r="AY13" s="1290"/>
      <c r="AZ13" s="1290"/>
      <c r="BA13" s="1290"/>
      <c r="BB13" s="1290"/>
      <c r="BC13" s="1290"/>
      <c r="BD13" s="1290"/>
      <c r="BE13" s="1290"/>
      <c r="BF13" s="1291"/>
    </row>
    <row r="14" spans="1:58" ht="24.95" customHeight="1">
      <c r="A14" s="1285" t="s">
        <v>8</v>
      </c>
      <c r="B14" s="1286"/>
      <c r="C14" s="1286"/>
      <c r="D14" s="1286"/>
      <c r="E14" s="1286"/>
      <c r="F14" s="1286"/>
      <c r="G14" s="1286"/>
      <c r="H14" s="1286"/>
      <c r="I14" s="1286"/>
      <c r="J14" s="1286"/>
      <c r="K14" s="1292">
        <f>SUM(K10:V13)</f>
        <v>57</v>
      </c>
      <c r="L14" s="1292"/>
      <c r="M14" s="1292"/>
      <c r="N14" s="1292"/>
      <c r="O14" s="1292"/>
      <c r="P14" s="1292"/>
      <c r="Q14" s="1292"/>
      <c r="R14" s="1292"/>
      <c r="S14" s="1292"/>
      <c r="T14" s="1292"/>
      <c r="U14" s="1292"/>
      <c r="V14" s="1292"/>
      <c r="W14" s="1292">
        <f>SUM(W10:AH13)</f>
        <v>57</v>
      </c>
      <c r="X14" s="1292"/>
      <c r="Y14" s="1292"/>
      <c r="Z14" s="1292"/>
      <c r="AA14" s="1292"/>
      <c r="AB14" s="1292"/>
      <c r="AC14" s="1292"/>
      <c r="AD14" s="1292"/>
      <c r="AE14" s="1292"/>
      <c r="AF14" s="1292"/>
      <c r="AG14" s="1292"/>
      <c r="AH14" s="1292"/>
      <c r="AI14" s="1292">
        <f>SUM(AI10:AT13)</f>
        <v>0</v>
      </c>
      <c r="AJ14" s="1292"/>
      <c r="AK14" s="1292"/>
      <c r="AL14" s="1292"/>
      <c r="AM14" s="1292"/>
      <c r="AN14" s="1292"/>
      <c r="AO14" s="1292"/>
      <c r="AP14" s="1292"/>
      <c r="AQ14" s="1292"/>
      <c r="AR14" s="1292"/>
      <c r="AS14" s="1292"/>
      <c r="AT14" s="1292"/>
      <c r="AU14" s="1292">
        <f>SUM(AU10:BF13)</f>
        <v>0</v>
      </c>
      <c r="AV14" s="1292"/>
      <c r="AW14" s="1292"/>
      <c r="AX14" s="1292"/>
      <c r="AY14" s="1292"/>
      <c r="AZ14" s="1292"/>
      <c r="BA14" s="1292"/>
      <c r="BB14" s="1292"/>
      <c r="BC14" s="1292"/>
      <c r="BD14" s="1292"/>
      <c r="BE14" s="1292"/>
      <c r="BF14" s="1292"/>
    </row>
    <row r="15" spans="1:58" ht="20.100000000000001" customHeight="1">
      <c r="A15" s="1262"/>
      <c r="B15" s="1263"/>
      <c r="C15" s="1263"/>
      <c r="D15" s="1263"/>
      <c r="E15" s="1263"/>
      <c r="F15" s="1263"/>
      <c r="G15" s="1263"/>
      <c r="H15" s="1263"/>
      <c r="I15" s="1263"/>
      <c r="J15" s="1263"/>
      <c r="K15" s="1263"/>
      <c r="L15" s="1263"/>
      <c r="M15" s="1263"/>
      <c r="N15" s="1263"/>
      <c r="O15" s="1263"/>
      <c r="P15" s="1263"/>
      <c r="Q15" s="1263"/>
      <c r="R15" s="1263"/>
      <c r="S15" s="1263"/>
      <c r="T15" s="1263"/>
      <c r="U15" s="1263"/>
      <c r="V15" s="1263"/>
      <c r="W15" s="1263"/>
      <c r="X15" s="1263"/>
      <c r="Y15" s="1263"/>
      <c r="Z15" s="1263"/>
      <c r="AA15" s="1263"/>
      <c r="AB15" s="1263"/>
      <c r="AC15" s="1263"/>
      <c r="AD15" s="1263"/>
      <c r="AE15" s="1263"/>
      <c r="AF15" s="1263"/>
      <c r="AG15" s="1263"/>
      <c r="AH15" s="1263"/>
      <c r="AI15" s="1263"/>
      <c r="AJ15" s="1263"/>
      <c r="AK15" s="1263"/>
      <c r="AL15" s="1263"/>
      <c r="AM15" s="1263"/>
      <c r="AN15" s="1263"/>
      <c r="AO15" s="1263"/>
      <c r="AP15" s="1263"/>
      <c r="AQ15" s="1263"/>
      <c r="AR15" s="1263"/>
      <c r="AS15" s="1263"/>
      <c r="AT15" s="1263"/>
      <c r="AU15" s="1263"/>
      <c r="AV15" s="1263"/>
      <c r="AW15" s="1263"/>
      <c r="AX15" s="1263"/>
      <c r="AY15" s="1263"/>
      <c r="AZ15" s="1263"/>
      <c r="BA15" s="1263"/>
      <c r="BB15" s="1263"/>
      <c r="BC15" s="1263"/>
      <c r="BD15" s="1263"/>
      <c r="BE15" s="1263"/>
      <c r="BF15" s="1264"/>
    </row>
    <row r="16" spans="1:58" ht="18" customHeight="1">
      <c r="A16" s="1282" t="s">
        <v>214</v>
      </c>
      <c r="B16" s="1283"/>
      <c r="C16" s="1283"/>
      <c r="D16" s="1283"/>
      <c r="E16" s="1283"/>
      <c r="F16" s="1283"/>
      <c r="G16" s="1283"/>
      <c r="H16" s="1283"/>
      <c r="I16" s="1283"/>
      <c r="J16" s="1283"/>
      <c r="K16" s="1283"/>
      <c r="L16" s="1283"/>
      <c r="M16" s="1283"/>
      <c r="N16" s="1283"/>
      <c r="O16" s="1283"/>
      <c r="P16" s="1283"/>
      <c r="Q16" s="1283"/>
      <c r="R16" s="1283"/>
      <c r="S16" s="1283"/>
      <c r="T16" s="1283"/>
      <c r="U16" s="1283"/>
      <c r="V16" s="1283"/>
      <c r="W16" s="1283"/>
      <c r="X16" s="1283"/>
      <c r="Y16" s="1283"/>
      <c r="Z16" s="1283"/>
      <c r="AA16" s="1283"/>
      <c r="AB16" s="1283"/>
      <c r="AC16" s="1283"/>
      <c r="AD16" s="1283"/>
      <c r="AE16" s="1283"/>
      <c r="AF16" s="1283"/>
      <c r="AG16" s="1283"/>
      <c r="AH16" s="1283"/>
      <c r="AI16" s="1283"/>
      <c r="AJ16" s="1283"/>
      <c r="AK16" s="1283"/>
      <c r="AL16" s="1283"/>
      <c r="AM16" s="1283"/>
      <c r="AN16" s="1283"/>
      <c r="AO16" s="1283"/>
      <c r="AP16" s="1283"/>
      <c r="AQ16" s="1283"/>
      <c r="AR16" s="1283"/>
      <c r="AS16" s="1283"/>
      <c r="AT16" s="1283"/>
      <c r="AU16" s="1283"/>
      <c r="AV16" s="1283"/>
      <c r="AW16" s="1283"/>
      <c r="AX16" s="1283"/>
      <c r="AY16" s="1283"/>
      <c r="AZ16" s="1283"/>
      <c r="BA16" s="1283"/>
      <c r="BB16" s="1283"/>
      <c r="BC16" s="1283"/>
      <c r="BD16" s="1283"/>
      <c r="BE16" s="1283"/>
      <c r="BF16" s="1284"/>
    </row>
    <row r="17" spans="1:58" ht="9.9499999999999993" customHeight="1">
      <c r="A17" s="1262"/>
      <c r="B17" s="1263"/>
      <c r="C17" s="1263"/>
      <c r="D17" s="1263"/>
      <c r="E17" s="1263"/>
      <c r="F17" s="1263"/>
      <c r="G17" s="1263"/>
      <c r="H17" s="1263"/>
      <c r="I17" s="1263"/>
      <c r="J17" s="1263"/>
      <c r="K17" s="1263"/>
      <c r="L17" s="1263"/>
      <c r="M17" s="1263"/>
      <c r="N17" s="1263"/>
      <c r="O17" s="1263"/>
      <c r="P17" s="1263"/>
      <c r="Q17" s="1263"/>
      <c r="R17" s="1263"/>
      <c r="S17" s="1263"/>
      <c r="T17" s="1263"/>
      <c r="U17" s="1263"/>
      <c r="V17" s="1263"/>
      <c r="W17" s="1263"/>
      <c r="X17" s="1263"/>
      <c r="Y17" s="1263"/>
      <c r="Z17" s="1263"/>
      <c r="AA17" s="1263"/>
      <c r="AB17" s="1263"/>
      <c r="AC17" s="1263"/>
      <c r="AD17" s="1263"/>
      <c r="AE17" s="1263"/>
      <c r="AF17" s="1263"/>
      <c r="AG17" s="1263"/>
      <c r="AH17" s="1263"/>
      <c r="AI17" s="1263"/>
      <c r="AJ17" s="1263"/>
      <c r="AK17" s="1263"/>
      <c r="AL17" s="1263"/>
      <c r="AM17" s="1263"/>
      <c r="AN17" s="1263"/>
      <c r="AO17" s="1263"/>
      <c r="AP17" s="1263"/>
      <c r="AQ17" s="1263"/>
      <c r="AR17" s="1263"/>
      <c r="AS17" s="1263"/>
      <c r="AT17" s="1263"/>
      <c r="AU17" s="1263"/>
      <c r="AV17" s="1263"/>
      <c r="AW17" s="1263"/>
      <c r="AX17" s="1263"/>
      <c r="AY17" s="1263"/>
      <c r="AZ17" s="1263"/>
      <c r="BA17" s="1263"/>
      <c r="BB17" s="1263"/>
      <c r="BC17" s="1263"/>
      <c r="BD17" s="1263"/>
      <c r="BE17" s="1263"/>
      <c r="BF17" s="1264"/>
    </row>
    <row r="18" spans="1:58" ht="25.5" customHeight="1">
      <c r="A18" s="1285" t="s">
        <v>126</v>
      </c>
      <c r="B18" s="1286"/>
      <c r="C18" s="1286"/>
      <c r="D18" s="1286"/>
      <c r="E18" s="1286"/>
      <c r="F18" s="1286"/>
      <c r="G18" s="1286"/>
      <c r="H18" s="1286"/>
      <c r="I18" s="1286"/>
      <c r="J18" s="1286"/>
      <c r="K18" s="1286" t="s">
        <v>8</v>
      </c>
      <c r="L18" s="1286"/>
      <c r="M18" s="1286"/>
      <c r="N18" s="1286"/>
      <c r="O18" s="1286"/>
      <c r="P18" s="1286"/>
      <c r="Q18" s="1286"/>
      <c r="R18" s="1286"/>
      <c r="S18" s="1286"/>
      <c r="T18" s="1286"/>
      <c r="U18" s="1286"/>
      <c r="V18" s="1286"/>
      <c r="W18" s="1286" t="s">
        <v>2</v>
      </c>
      <c r="X18" s="1286"/>
      <c r="Y18" s="1286"/>
      <c r="Z18" s="1286"/>
      <c r="AA18" s="1286"/>
      <c r="AB18" s="1286"/>
      <c r="AC18" s="1286"/>
      <c r="AD18" s="1286"/>
      <c r="AE18" s="1286"/>
      <c r="AF18" s="1286"/>
      <c r="AG18" s="1286"/>
      <c r="AH18" s="1286"/>
      <c r="AI18" s="1286" t="s">
        <v>210</v>
      </c>
      <c r="AJ18" s="1286"/>
      <c r="AK18" s="1286"/>
      <c r="AL18" s="1286"/>
      <c r="AM18" s="1286"/>
      <c r="AN18" s="1286"/>
      <c r="AO18" s="1286"/>
      <c r="AP18" s="1286"/>
      <c r="AQ18" s="1286"/>
      <c r="AR18" s="1286"/>
      <c r="AS18" s="1286"/>
      <c r="AT18" s="1286"/>
      <c r="AU18" s="1286" t="s">
        <v>216</v>
      </c>
      <c r="AV18" s="1286"/>
      <c r="AW18" s="1286"/>
      <c r="AX18" s="1286"/>
      <c r="AY18" s="1286"/>
      <c r="AZ18" s="1286"/>
      <c r="BA18" s="1286"/>
      <c r="BB18" s="1286"/>
      <c r="BC18" s="1286"/>
      <c r="BD18" s="1286"/>
      <c r="BE18" s="1286"/>
      <c r="BF18" s="1287"/>
    </row>
    <row r="19" spans="1:58" s="77" customFormat="1" ht="24.95" customHeight="1">
      <c r="A19" s="1265" t="s">
        <v>46</v>
      </c>
      <c r="B19" s="1266"/>
      <c r="C19" s="1266"/>
      <c r="D19" s="1266"/>
      <c r="E19" s="1266"/>
      <c r="F19" s="1266"/>
      <c r="G19" s="1266"/>
      <c r="H19" s="1266"/>
      <c r="I19" s="1266"/>
      <c r="J19" s="1266"/>
      <c r="K19" s="1293">
        <v>608</v>
      </c>
      <c r="L19" s="1294"/>
      <c r="M19" s="1294"/>
      <c r="N19" s="1294"/>
      <c r="O19" s="1294"/>
      <c r="P19" s="1294"/>
      <c r="Q19" s="1294"/>
      <c r="R19" s="1294"/>
      <c r="S19" s="1294"/>
      <c r="T19" s="1294"/>
      <c r="U19" s="1294"/>
      <c r="V19" s="1295"/>
      <c r="W19" s="1293">
        <v>344</v>
      </c>
      <c r="X19" s="1294"/>
      <c r="Y19" s="1294"/>
      <c r="Z19" s="1294"/>
      <c r="AA19" s="1294"/>
      <c r="AB19" s="1294"/>
      <c r="AC19" s="1294"/>
      <c r="AD19" s="1294"/>
      <c r="AE19" s="1294"/>
      <c r="AF19" s="1294"/>
      <c r="AG19" s="1294"/>
      <c r="AH19" s="1295"/>
      <c r="AI19" s="1293">
        <v>221</v>
      </c>
      <c r="AJ19" s="1294"/>
      <c r="AK19" s="1294"/>
      <c r="AL19" s="1294"/>
      <c r="AM19" s="1294"/>
      <c r="AN19" s="1294"/>
      <c r="AO19" s="1294"/>
      <c r="AP19" s="1294"/>
      <c r="AQ19" s="1294"/>
      <c r="AR19" s="1294"/>
      <c r="AS19" s="1294"/>
      <c r="AT19" s="1295"/>
      <c r="AU19" s="1293">
        <v>43</v>
      </c>
      <c r="AV19" s="1294"/>
      <c r="AW19" s="1294"/>
      <c r="AX19" s="1294"/>
      <c r="AY19" s="1294"/>
      <c r="AZ19" s="1294"/>
      <c r="BA19" s="1294"/>
      <c r="BB19" s="1294"/>
      <c r="BC19" s="1294"/>
      <c r="BD19" s="1294"/>
      <c r="BE19" s="1294"/>
      <c r="BF19" s="1302"/>
    </row>
    <row r="20" spans="1:58" s="77" customFormat="1" ht="24.95" customHeight="1">
      <c r="A20" s="1279" t="s">
        <v>207</v>
      </c>
      <c r="B20" s="1280"/>
      <c r="C20" s="1280"/>
      <c r="D20" s="1280"/>
      <c r="E20" s="1280"/>
      <c r="F20" s="1280"/>
      <c r="G20" s="1280"/>
      <c r="H20" s="1280"/>
      <c r="I20" s="1280"/>
      <c r="J20" s="1280"/>
      <c r="K20" s="1296"/>
      <c r="L20" s="1297"/>
      <c r="M20" s="1297"/>
      <c r="N20" s="1297"/>
      <c r="O20" s="1297"/>
      <c r="P20" s="1297"/>
      <c r="Q20" s="1297"/>
      <c r="R20" s="1297"/>
      <c r="S20" s="1297"/>
      <c r="T20" s="1297"/>
      <c r="U20" s="1297"/>
      <c r="V20" s="1298"/>
      <c r="W20" s="1296"/>
      <c r="X20" s="1297"/>
      <c r="Y20" s="1297"/>
      <c r="Z20" s="1297"/>
      <c r="AA20" s="1297"/>
      <c r="AB20" s="1297"/>
      <c r="AC20" s="1297"/>
      <c r="AD20" s="1297"/>
      <c r="AE20" s="1297"/>
      <c r="AF20" s="1297"/>
      <c r="AG20" s="1297"/>
      <c r="AH20" s="1298"/>
      <c r="AI20" s="1296"/>
      <c r="AJ20" s="1297"/>
      <c r="AK20" s="1297"/>
      <c r="AL20" s="1297"/>
      <c r="AM20" s="1297"/>
      <c r="AN20" s="1297"/>
      <c r="AO20" s="1297"/>
      <c r="AP20" s="1297"/>
      <c r="AQ20" s="1297"/>
      <c r="AR20" s="1297"/>
      <c r="AS20" s="1297"/>
      <c r="AT20" s="1298"/>
      <c r="AU20" s="1296"/>
      <c r="AV20" s="1297"/>
      <c r="AW20" s="1297"/>
      <c r="AX20" s="1297"/>
      <c r="AY20" s="1297"/>
      <c r="AZ20" s="1297"/>
      <c r="BA20" s="1297"/>
      <c r="BB20" s="1297"/>
      <c r="BC20" s="1297"/>
      <c r="BD20" s="1297"/>
      <c r="BE20" s="1297"/>
      <c r="BF20" s="1303"/>
    </row>
    <row r="21" spans="1:58" s="77" customFormat="1" ht="24.95" customHeight="1">
      <c r="A21" s="1279" t="s">
        <v>208</v>
      </c>
      <c r="B21" s="1280"/>
      <c r="C21" s="1280"/>
      <c r="D21" s="1280"/>
      <c r="E21" s="1280"/>
      <c r="F21" s="1280"/>
      <c r="G21" s="1280"/>
      <c r="H21" s="1280"/>
      <c r="I21" s="1280"/>
      <c r="J21" s="1280"/>
      <c r="K21" s="1299"/>
      <c r="L21" s="1300"/>
      <c r="M21" s="1300"/>
      <c r="N21" s="1300"/>
      <c r="O21" s="1300"/>
      <c r="P21" s="1300"/>
      <c r="Q21" s="1300"/>
      <c r="R21" s="1300"/>
      <c r="S21" s="1300"/>
      <c r="T21" s="1300"/>
      <c r="U21" s="1300"/>
      <c r="V21" s="1301"/>
      <c r="W21" s="1299"/>
      <c r="X21" s="1300"/>
      <c r="Y21" s="1300"/>
      <c r="Z21" s="1300"/>
      <c r="AA21" s="1300"/>
      <c r="AB21" s="1300"/>
      <c r="AC21" s="1300"/>
      <c r="AD21" s="1300"/>
      <c r="AE21" s="1300"/>
      <c r="AF21" s="1300"/>
      <c r="AG21" s="1300"/>
      <c r="AH21" s="1301"/>
      <c r="AI21" s="1299"/>
      <c r="AJ21" s="1300"/>
      <c r="AK21" s="1300"/>
      <c r="AL21" s="1300"/>
      <c r="AM21" s="1300"/>
      <c r="AN21" s="1300"/>
      <c r="AO21" s="1300"/>
      <c r="AP21" s="1300"/>
      <c r="AQ21" s="1300"/>
      <c r="AR21" s="1300"/>
      <c r="AS21" s="1300"/>
      <c r="AT21" s="1301"/>
      <c r="AU21" s="1299"/>
      <c r="AV21" s="1300"/>
      <c r="AW21" s="1300"/>
      <c r="AX21" s="1300"/>
      <c r="AY21" s="1300"/>
      <c r="AZ21" s="1300"/>
      <c r="BA21" s="1300"/>
      <c r="BB21" s="1300"/>
      <c r="BC21" s="1300"/>
      <c r="BD21" s="1300"/>
      <c r="BE21" s="1300"/>
      <c r="BF21" s="1304"/>
    </row>
    <row r="22" spans="1:58" s="77" customFormat="1" ht="24.95" customHeight="1">
      <c r="A22" s="1288" t="s">
        <v>209</v>
      </c>
      <c r="B22" s="1289"/>
      <c r="C22" s="1289"/>
      <c r="D22" s="1289"/>
      <c r="E22" s="1289"/>
      <c r="F22" s="1289"/>
      <c r="G22" s="1289"/>
      <c r="H22" s="1289"/>
      <c r="I22" s="1289"/>
      <c r="J22" s="1289"/>
      <c r="K22" s="1305">
        <v>523</v>
      </c>
      <c r="L22" s="1305"/>
      <c r="M22" s="1305"/>
      <c r="N22" s="1305"/>
      <c r="O22" s="1305"/>
      <c r="P22" s="1305"/>
      <c r="Q22" s="1305"/>
      <c r="R22" s="1305"/>
      <c r="S22" s="1305"/>
      <c r="T22" s="1305"/>
      <c r="U22" s="1305"/>
      <c r="V22" s="1305"/>
      <c r="W22" s="1305">
        <v>328</v>
      </c>
      <c r="X22" s="1305"/>
      <c r="Y22" s="1305"/>
      <c r="Z22" s="1305"/>
      <c r="AA22" s="1305"/>
      <c r="AB22" s="1305"/>
      <c r="AC22" s="1305"/>
      <c r="AD22" s="1305"/>
      <c r="AE22" s="1305"/>
      <c r="AF22" s="1305"/>
      <c r="AG22" s="1305"/>
      <c r="AH22" s="1305"/>
      <c r="AI22" s="1305">
        <v>186</v>
      </c>
      <c r="AJ22" s="1305"/>
      <c r="AK22" s="1305"/>
      <c r="AL22" s="1305"/>
      <c r="AM22" s="1305"/>
      <c r="AN22" s="1305"/>
      <c r="AO22" s="1305"/>
      <c r="AP22" s="1305"/>
      <c r="AQ22" s="1305"/>
      <c r="AR22" s="1305"/>
      <c r="AS22" s="1305"/>
      <c r="AT22" s="1305"/>
      <c r="AU22" s="1305">
        <v>9</v>
      </c>
      <c r="AV22" s="1305"/>
      <c r="AW22" s="1305"/>
      <c r="AX22" s="1305"/>
      <c r="AY22" s="1305"/>
      <c r="AZ22" s="1305"/>
      <c r="BA22" s="1305"/>
      <c r="BB22" s="1305"/>
      <c r="BC22" s="1305"/>
      <c r="BD22" s="1305"/>
      <c r="BE22" s="1305"/>
      <c r="BF22" s="1306"/>
    </row>
    <row r="23" spans="1:58" ht="24.95" customHeight="1">
      <c r="A23" s="1285" t="s">
        <v>8</v>
      </c>
      <c r="B23" s="1286"/>
      <c r="C23" s="1286"/>
      <c r="D23" s="1286"/>
      <c r="E23" s="1286"/>
      <c r="F23" s="1286"/>
      <c r="G23" s="1286"/>
      <c r="H23" s="1286"/>
      <c r="I23" s="1286"/>
      <c r="J23" s="1286"/>
      <c r="K23" s="1292">
        <f>SUM(K19:V22)</f>
        <v>1131</v>
      </c>
      <c r="L23" s="1292"/>
      <c r="M23" s="1292"/>
      <c r="N23" s="1292"/>
      <c r="O23" s="1292"/>
      <c r="P23" s="1292"/>
      <c r="Q23" s="1292"/>
      <c r="R23" s="1292"/>
      <c r="S23" s="1292"/>
      <c r="T23" s="1292"/>
      <c r="U23" s="1292"/>
      <c r="V23" s="1292"/>
      <c r="W23" s="1292">
        <f>SUM(W19:AH22)</f>
        <v>672</v>
      </c>
      <c r="X23" s="1292"/>
      <c r="Y23" s="1292"/>
      <c r="Z23" s="1292"/>
      <c r="AA23" s="1292"/>
      <c r="AB23" s="1292"/>
      <c r="AC23" s="1292"/>
      <c r="AD23" s="1292"/>
      <c r="AE23" s="1292"/>
      <c r="AF23" s="1292"/>
      <c r="AG23" s="1292"/>
      <c r="AH23" s="1292"/>
      <c r="AI23" s="1292">
        <f>SUM(AI19:AT22)</f>
        <v>407</v>
      </c>
      <c r="AJ23" s="1292"/>
      <c r="AK23" s="1292"/>
      <c r="AL23" s="1292"/>
      <c r="AM23" s="1292"/>
      <c r="AN23" s="1292"/>
      <c r="AO23" s="1292"/>
      <c r="AP23" s="1292"/>
      <c r="AQ23" s="1292"/>
      <c r="AR23" s="1292"/>
      <c r="AS23" s="1292"/>
      <c r="AT23" s="1292"/>
      <c r="AU23" s="1292">
        <f>SUM(AU19:BF22)</f>
        <v>52</v>
      </c>
      <c r="AV23" s="1292"/>
      <c r="AW23" s="1292"/>
      <c r="AX23" s="1292"/>
      <c r="AY23" s="1292"/>
      <c r="AZ23" s="1292"/>
      <c r="BA23" s="1292"/>
      <c r="BB23" s="1292"/>
      <c r="BC23" s="1292"/>
      <c r="BD23" s="1292"/>
      <c r="BE23" s="1292"/>
      <c r="BF23" s="1307"/>
    </row>
    <row r="24" spans="1:58" ht="20.100000000000001" customHeight="1">
      <c r="A24" s="1262"/>
      <c r="B24" s="1263"/>
      <c r="C24" s="1263"/>
      <c r="D24" s="1263"/>
      <c r="E24" s="1263"/>
      <c r="F24" s="1263"/>
      <c r="G24" s="1263"/>
      <c r="H24" s="1263"/>
      <c r="I24" s="1263"/>
      <c r="J24" s="1263"/>
      <c r="K24" s="1263"/>
      <c r="L24" s="1263"/>
      <c r="M24" s="1263"/>
      <c r="N24" s="1263"/>
      <c r="O24" s="1263"/>
      <c r="P24" s="1263"/>
      <c r="Q24" s="1263"/>
      <c r="R24" s="1263"/>
      <c r="S24" s="1263"/>
      <c r="T24" s="1263"/>
      <c r="U24" s="1263"/>
      <c r="V24" s="1263"/>
      <c r="W24" s="1263"/>
      <c r="X24" s="1263"/>
      <c r="Y24" s="1263"/>
      <c r="Z24" s="1263"/>
      <c r="AA24" s="1263"/>
      <c r="AB24" s="1263"/>
      <c r="AC24" s="1263"/>
      <c r="AD24" s="1263"/>
      <c r="AE24" s="1263"/>
      <c r="AF24" s="1263"/>
      <c r="AG24" s="1263"/>
      <c r="AH24" s="1263"/>
      <c r="AI24" s="1263"/>
      <c r="AJ24" s="1263"/>
      <c r="AK24" s="1263"/>
      <c r="AL24" s="1263"/>
      <c r="AM24" s="1263"/>
      <c r="AN24" s="1263"/>
      <c r="AO24" s="1263"/>
      <c r="AP24" s="1263"/>
      <c r="AQ24" s="1263"/>
      <c r="AR24" s="1263"/>
      <c r="AS24" s="1263"/>
      <c r="AT24" s="1263"/>
      <c r="AU24" s="1263"/>
      <c r="AV24" s="1263"/>
      <c r="AW24" s="1263"/>
      <c r="AX24" s="1263"/>
      <c r="AY24" s="1263"/>
      <c r="AZ24" s="1263"/>
      <c r="BA24" s="1263"/>
      <c r="BB24" s="1263"/>
      <c r="BC24" s="1263"/>
      <c r="BD24" s="1263"/>
      <c r="BE24" s="1263"/>
      <c r="BF24" s="1264"/>
    </row>
    <row r="25" spans="1:58">
      <c r="A25" s="1282" t="s">
        <v>215</v>
      </c>
      <c r="B25" s="1283"/>
      <c r="C25" s="1283"/>
      <c r="D25" s="1283"/>
      <c r="E25" s="1283"/>
      <c r="F25" s="1283"/>
      <c r="G25" s="1283"/>
      <c r="H25" s="1283"/>
      <c r="I25" s="1283"/>
      <c r="J25" s="1283"/>
      <c r="K25" s="1283"/>
      <c r="L25" s="1283"/>
      <c r="M25" s="1283"/>
      <c r="N25" s="1283"/>
      <c r="O25" s="1283"/>
      <c r="P25" s="1283"/>
      <c r="Q25" s="1283"/>
      <c r="R25" s="1283"/>
      <c r="S25" s="1283"/>
      <c r="T25" s="1283"/>
      <c r="U25" s="1283"/>
      <c r="V25" s="1283"/>
      <c r="W25" s="1283"/>
      <c r="X25" s="1283"/>
      <c r="Y25" s="1283"/>
      <c r="Z25" s="1283"/>
      <c r="AA25" s="1283"/>
      <c r="AB25" s="1283"/>
      <c r="AC25" s="1283"/>
      <c r="AD25" s="1283"/>
      <c r="AE25" s="1283"/>
      <c r="AF25" s="1283"/>
      <c r="AG25" s="1283"/>
      <c r="AH25" s="1283"/>
      <c r="AI25" s="1283"/>
      <c r="AJ25" s="1283"/>
      <c r="AK25" s="1283"/>
      <c r="AL25" s="1283"/>
      <c r="AM25" s="1283"/>
      <c r="AN25" s="1283"/>
      <c r="AO25" s="1283"/>
      <c r="AP25" s="1283"/>
      <c r="AQ25" s="1283"/>
      <c r="AR25" s="1283"/>
      <c r="AS25" s="1283"/>
      <c r="AT25" s="1283"/>
      <c r="AU25" s="1283"/>
      <c r="AV25" s="1283"/>
      <c r="AW25" s="1283"/>
      <c r="AX25" s="1283"/>
      <c r="AY25" s="1283"/>
      <c r="AZ25" s="1283"/>
      <c r="BA25" s="1283"/>
      <c r="BB25" s="1283"/>
      <c r="BC25" s="1283"/>
      <c r="BD25" s="1283"/>
      <c r="BE25" s="1283"/>
      <c r="BF25" s="1284"/>
    </row>
    <row r="26" spans="1:58" ht="9.9499999999999993" customHeight="1">
      <c r="A26" s="1262"/>
      <c r="B26" s="1263"/>
      <c r="C26" s="1263"/>
      <c r="D26" s="1263"/>
      <c r="E26" s="1263"/>
      <c r="F26" s="1263"/>
      <c r="G26" s="1263"/>
      <c r="H26" s="1263"/>
      <c r="I26" s="1263"/>
      <c r="J26" s="1263"/>
      <c r="K26" s="1263"/>
      <c r="L26" s="1263"/>
      <c r="M26" s="1263"/>
      <c r="N26" s="1263"/>
      <c r="O26" s="1263"/>
      <c r="P26" s="1263"/>
      <c r="Q26" s="1263"/>
      <c r="R26" s="1263"/>
      <c r="S26" s="1263"/>
      <c r="T26" s="1263"/>
      <c r="U26" s="1263"/>
      <c r="V26" s="1263"/>
      <c r="W26" s="1263"/>
      <c r="X26" s="1263"/>
      <c r="Y26" s="1263"/>
      <c r="Z26" s="1263"/>
      <c r="AA26" s="1263"/>
      <c r="AB26" s="1263"/>
      <c r="AC26" s="1263"/>
      <c r="AD26" s="1263"/>
      <c r="AE26" s="1263"/>
      <c r="AF26" s="1263"/>
      <c r="AG26" s="1263"/>
      <c r="AH26" s="1263"/>
      <c r="AI26" s="1263"/>
      <c r="AJ26" s="1263"/>
      <c r="AK26" s="1263"/>
      <c r="AL26" s="1263"/>
      <c r="AM26" s="1263"/>
      <c r="AN26" s="1263"/>
      <c r="AO26" s="1263"/>
      <c r="AP26" s="1263"/>
      <c r="AQ26" s="1263"/>
      <c r="AR26" s="1263"/>
      <c r="AS26" s="1263"/>
      <c r="AT26" s="1263"/>
      <c r="AU26" s="1263"/>
      <c r="AV26" s="1263"/>
      <c r="AW26" s="1263"/>
      <c r="AX26" s="1263"/>
      <c r="AY26" s="1263"/>
      <c r="AZ26" s="1263"/>
      <c r="BA26" s="1263"/>
      <c r="BB26" s="1263"/>
      <c r="BC26" s="1263"/>
      <c r="BD26" s="1263"/>
      <c r="BE26" s="1263"/>
      <c r="BF26" s="1264"/>
    </row>
    <row r="27" spans="1:58" ht="25.5" customHeight="1">
      <c r="A27" s="1285" t="s">
        <v>126</v>
      </c>
      <c r="B27" s="1286"/>
      <c r="C27" s="1286"/>
      <c r="D27" s="1286"/>
      <c r="E27" s="1286"/>
      <c r="F27" s="1286"/>
      <c r="G27" s="1286"/>
      <c r="H27" s="1286"/>
      <c r="I27" s="1286"/>
      <c r="J27" s="1286"/>
      <c r="K27" s="1286" t="s">
        <v>219</v>
      </c>
      <c r="L27" s="1286"/>
      <c r="M27" s="1286"/>
      <c r="N27" s="1286"/>
      <c r="O27" s="1286"/>
      <c r="P27" s="1286"/>
      <c r="Q27" s="1286"/>
      <c r="R27" s="1286"/>
      <c r="S27" s="1286"/>
      <c r="T27" s="1286"/>
      <c r="U27" s="1286"/>
      <c r="V27" s="1286"/>
      <c r="W27" s="1286"/>
      <c r="X27" s="1286"/>
      <c r="Y27" s="1286"/>
      <c r="Z27" s="1286"/>
      <c r="AA27" s="1286" t="s">
        <v>220</v>
      </c>
      <c r="AB27" s="1286"/>
      <c r="AC27" s="1286"/>
      <c r="AD27" s="1286"/>
      <c r="AE27" s="1286"/>
      <c r="AF27" s="1286"/>
      <c r="AG27" s="1286"/>
      <c r="AH27" s="1286"/>
      <c r="AI27" s="1286"/>
      <c r="AJ27" s="1286"/>
      <c r="AK27" s="1286"/>
      <c r="AL27" s="1286"/>
      <c r="AM27" s="1286"/>
      <c r="AN27" s="1286"/>
      <c r="AO27" s="1286"/>
      <c r="AP27" s="1286"/>
      <c r="AQ27" s="1286" t="s">
        <v>15</v>
      </c>
      <c r="AR27" s="1286"/>
      <c r="AS27" s="1286"/>
      <c r="AT27" s="1286"/>
      <c r="AU27" s="1286"/>
      <c r="AV27" s="1286"/>
      <c r="AW27" s="1286"/>
      <c r="AX27" s="1286"/>
      <c r="AY27" s="1286"/>
      <c r="AZ27" s="1286"/>
      <c r="BA27" s="1286"/>
      <c r="BB27" s="1286"/>
      <c r="BC27" s="1286"/>
      <c r="BD27" s="1286"/>
      <c r="BE27" s="1286"/>
      <c r="BF27" s="1287"/>
    </row>
    <row r="28" spans="1:58" s="77" customFormat="1" ht="24.95" customHeight="1">
      <c r="A28" s="1265" t="s">
        <v>217</v>
      </c>
      <c r="B28" s="1266"/>
      <c r="C28" s="1266"/>
      <c r="D28" s="1266"/>
      <c r="E28" s="1266"/>
      <c r="F28" s="1266"/>
      <c r="G28" s="1266"/>
      <c r="H28" s="1266"/>
      <c r="I28" s="1266"/>
      <c r="J28" s="1266"/>
      <c r="K28" s="1317">
        <v>29</v>
      </c>
      <c r="L28" s="1318"/>
      <c r="M28" s="1318"/>
      <c r="N28" s="1318"/>
      <c r="O28" s="1318"/>
      <c r="P28" s="1318"/>
      <c r="Q28" s="1318"/>
      <c r="R28" s="1318"/>
      <c r="S28" s="1318"/>
      <c r="T28" s="1318"/>
      <c r="U28" s="1318"/>
      <c r="V28" s="1318"/>
      <c r="W28" s="1318"/>
      <c r="X28" s="1318"/>
      <c r="Y28" s="1318"/>
      <c r="Z28" s="1319"/>
      <c r="AA28" s="1317">
        <v>11</v>
      </c>
      <c r="AB28" s="1318"/>
      <c r="AC28" s="1318"/>
      <c r="AD28" s="1318"/>
      <c r="AE28" s="1318"/>
      <c r="AF28" s="1318"/>
      <c r="AG28" s="1318"/>
      <c r="AH28" s="1318"/>
      <c r="AI28" s="1318"/>
      <c r="AJ28" s="1318"/>
      <c r="AK28" s="1318"/>
      <c r="AL28" s="1318"/>
      <c r="AM28" s="1318"/>
      <c r="AN28" s="1318"/>
      <c r="AO28" s="1318"/>
      <c r="AP28" s="1319"/>
      <c r="AQ28" s="1317">
        <f>K28-AA28</f>
        <v>18</v>
      </c>
      <c r="AR28" s="1318"/>
      <c r="AS28" s="1318"/>
      <c r="AT28" s="1318"/>
      <c r="AU28" s="1318"/>
      <c r="AV28" s="1318"/>
      <c r="AW28" s="1318"/>
      <c r="AX28" s="1318"/>
      <c r="AY28" s="1318"/>
      <c r="AZ28" s="1318"/>
      <c r="BA28" s="1318"/>
      <c r="BB28" s="1318"/>
      <c r="BC28" s="1318"/>
      <c r="BD28" s="1318"/>
      <c r="BE28" s="1318"/>
      <c r="BF28" s="1320"/>
    </row>
    <row r="29" spans="1:58" s="77" customFormat="1" ht="24.95" customHeight="1">
      <c r="A29" s="1321" t="s">
        <v>218</v>
      </c>
      <c r="B29" s="1322"/>
      <c r="C29" s="1322"/>
      <c r="D29" s="1322"/>
      <c r="E29" s="1322"/>
      <c r="F29" s="1322"/>
      <c r="G29" s="1322"/>
      <c r="H29" s="1322"/>
      <c r="I29" s="1322"/>
      <c r="J29" s="1322"/>
      <c r="K29" s="1323">
        <v>0</v>
      </c>
      <c r="L29" s="1323"/>
      <c r="M29" s="1323"/>
      <c r="N29" s="1323"/>
      <c r="O29" s="1323"/>
      <c r="P29" s="1323"/>
      <c r="Q29" s="1323"/>
      <c r="R29" s="1323"/>
      <c r="S29" s="1323"/>
      <c r="T29" s="1323"/>
      <c r="U29" s="1323"/>
      <c r="V29" s="1323"/>
      <c r="W29" s="1323"/>
      <c r="X29" s="1323"/>
      <c r="Y29" s="1323"/>
      <c r="Z29" s="1323"/>
      <c r="AA29" s="1323">
        <v>0</v>
      </c>
      <c r="AB29" s="1323"/>
      <c r="AC29" s="1323"/>
      <c r="AD29" s="1323"/>
      <c r="AE29" s="1323"/>
      <c r="AF29" s="1323"/>
      <c r="AG29" s="1323"/>
      <c r="AH29" s="1323"/>
      <c r="AI29" s="1323"/>
      <c r="AJ29" s="1323"/>
      <c r="AK29" s="1323"/>
      <c r="AL29" s="1323"/>
      <c r="AM29" s="1323"/>
      <c r="AN29" s="1323"/>
      <c r="AO29" s="1323"/>
      <c r="AP29" s="1323"/>
      <c r="AQ29" s="1323">
        <f>K29-AA29</f>
        <v>0</v>
      </c>
      <c r="AR29" s="1323"/>
      <c r="AS29" s="1323"/>
      <c r="AT29" s="1323"/>
      <c r="AU29" s="1323"/>
      <c r="AV29" s="1323"/>
      <c r="AW29" s="1323"/>
      <c r="AX29" s="1323"/>
      <c r="AY29" s="1323"/>
      <c r="AZ29" s="1323"/>
      <c r="BA29" s="1323"/>
      <c r="BB29" s="1323"/>
      <c r="BC29" s="1323"/>
      <c r="BD29" s="1323"/>
      <c r="BE29" s="1323"/>
      <c r="BF29" s="1324"/>
    </row>
    <row r="30" spans="1:58" s="77" customFormat="1" ht="24.95" customHeight="1">
      <c r="A30" s="1308" t="s">
        <v>8</v>
      </c>
      <c r="B30" s="1309"/>
      <c r="C30" s="1309"/>
      <c r="D30" s="1309"/>
      <c r="E30" s="1309"/>
      <c r="F30" s="1309"/>
      <c r="G30" s="1309"/>
      <c r="H30" s="1309"/>
      <c r="I30" s="1309"/>
      <c r="J30" s="1309"/>
      <c r="K30" s="1310">
        <f>SUM(K28:Z29)</f>
        <v>29</v>
      </c>
      <c r="L30" s="1311"/>
      <c r="M30" s="1311"/>
      <c r="N30" s="1311"/>
      <c r="O30" s="1311"/>
      <c r="P30" s="1311"/>
      <c r="Q30" s="1311"/>
      <c r="R30" s="1311"/>
      <c r="S30" s="1311"/>
      <c r="T30" s="1311"/>
      <c r="U30" s="1311"/>
      <c r="V30" s="1311"/>
      <c r="W30" s="1311"/>
      <c r="X30" s="1311"/>
      <c r="Y30" s="1311"/>
      <c r="Z30" s="1312"/>
      <c r="AA30" s="1310">
        <f>SUM(AA28:AP29)</f>
        <v>11</v>
      </c>
      <c r="AB30" s="1311"/>
      <c r="AC30" s="1311"/>
      <c r="AD30" s="1311"/>
      <c r="AE30" s="1311"/>
      <c r="AF30" s="1311"/>
      <c r="AG30" s="1311"/>
      <c r="AH30" s="1311"/>
      <c r="AI30" s="1311"/>
      <c r="AJ30" s="1311"/>
      <c r="AK30" s="1311"/>
      <c r="AL30" s="1311"/>
      <c r="AM30" s="1311"/>
      <c r="AN30" s="1311"/>
      <c r="AO30" s="1311"/>
      <c r="AP30" s="1312"/>
      <c r="AQ30" s="1310">
        <f>SUM(AQ28:BF29)</f>
        <v>18</v>
      </c>
      <c r="AR30" s="1311"/>
      <c r="AS30" s="1311"/>
      <c r="AT30" s="1311"/>
      <c r="AU30" s="1311"/>
      <c r="AV30" s="1311"/>
      <c r="AW30" s="1311"/>
      <c r="AX30" s="1311"/>
      <c r="AY30" s="1311"/>
      <c r="AZ30" s="1311"/>
      <c r="BA30" s="1311"/>
      <c r="BB30" s="1311"/>
      <c r="BC30" s="1311"/>
      <c r="BD30" s="1311"/>
      <c r="BE30" s="1311"/>
      <c r="BF30" s="1313"/>
    </row>
    <row r="31" spans="1:58" s="77" customFormat="1" ht="24.95" customHeight="1">
      <c r="A31" s="1314"/>
      <c r="B31" s="1315"/>
      <c r="C31" s="1315"/>
      <c r="D31" s="1315"/>
      <c r="E31" s="1315"/>
      <c r="F31" s="1315"/>
      <c r="G31" s="1315"/>
      <c r="H31" s="1315"/>
      <c r="I31" s="1315"/>
      <c r="J31" s="1315"/>
      <c r="K31" s="1315"/>
      <c r="L31" s="1315"/>
      <c r="M31" s="1315"/>
      <c r="N31" s="1315"/>
      <c r="O31" s="1315"/>
      <c r="P31" s="1315"/>
      <c r="Q31" s="1315"/>
      <c r="R31" s="1315"/>
      <c r="S31" s="1315"/>
      <c r="T31" s="1315"/>
      <c r="U31" s="1315"/>
      <c r="V31" s="1315"/>
      <c r="W31" s="1315"/>
      <c r="X31" s="1315"/>
      <c r="Y31" s="1315"/>
      <c r="Z31" s="1315"/>
      <c r="AA31" s="1315"/>
      <c r="AB31" s="1315"/>
      <c r="AC31" s="1315"/>
      <c r="AD31" s="1315"/>
      <c r="AE31" s="1315"/>
      <c r="AF31" s="1315"/>
      <c r="AG31" s="1315"/>
      <c r="AH31" s="1315"/>
      <c r="AI31" s="1315"/>
      <c r="AJ31" s="1315"/>
      <c r="AK31" s="1315"/>
      <c r="AL31" s="1315"/>
      <c r="AM31" s="1315"/>
      <c r="AN31" s="1315"/>
      <c r="AO31" s="1315"/>
      <c r="AP31" s="1315"/>
      <c r="AQ31" s="1315"/>
      <c r="AR31" s="1315"/>
      <c r="AS31" s="1315"/>
      <c r="AT31" s="1315"/>
      <c r="AU31" s="1315"/>
      <c r="AV31" s="1315"/>
      <c r="AW31" s="1315"/>
      <c r="AX31" s="1315"/>
      <c r="AY31" s="1315"/>
      <c r="AZ31" s="1315"/>
      <c r="BA31" s="1315"/>
      <c r="BB31" s="1315"/>
      <c r="BC31" s="1315"/>
      <c r="BD31" s="1315"/>
      <c r="BE31" s="1315"/>
      <c r="BF31" s="1316"/>
    </row>
    <row r="32" spans="1:58">
      <c r="A32" s="1282" t="s">
        <v>349</v>
      </c>
      <c r="B32" s="1283"/>
      <c r="C32" s="1283"/>
      <c r="D32" s="1283"/>
      <c r="E32" s="1283"/>
      <c r="F32" s="1283"/>
      <c r="G32" s="1283"/>
      <c r="H32" s="1283"/>
      <c r="I32" s="1283"/>
      <c r="J32" s="1283"/>
      <c r="K32" s="1283"/>
      <c r="L32" s="1283"/>
      <c r="M32" s="1283"/>
      <c r="N32" s="1283"/>
      <c r="O32" s="1283"/>
      <c r="P32" s="1283"/>
      <c r="Q32" s="1283"/>
      <c r="R32" s="1283"/>
      <c r="S32" s="1283"/>
      <c r="T32" s="1283"/>
      <c r="U32" s="1283"/>
      <c r="V32" s="1283"/>
      <c r="W32" s="1283"/>
      <c r="X32" s="1283"/>
      <c r="Y32" s="1283"/>
      <c r="Z32" s="1283"/>
      <c r="AA32" s="1283"/>
      <c r="AB32" s="1283"/>
      <c r="AC32" s="1283"/>
      <c r="AD32" s="1283"/>
      <c r="AE32" s="1283"/>
      <c r="AF32" s="1283"/>
      <c r="AG32" s="1283"/>
      <c r="AH32" s="1283"/>
      <c r="AI32" s="1283"/>
      <c r="AJ32" s="1283"/>
      <c r="AK32" s="1283"/>
      <c r="AL32" s="1283"/>
      <c r="AM32" s="1283"/>
      <c r="AN32" s="1283"/>
      <c r="AO32" s="1283"/>
      <c r="AP32" s="1283"/>
      <c r="AQ32" s="1283"/>
      <c r="AR32" s="1283"/>
      <c r="AS32" s="1283"/>
      <c r="AT32" s="1283"/>
      <c r="AU32" s="1283"/>
      <c r="AV32" s="1283"/>
      <c r="AW32" s="1283"/>
      <c r="AX32" s="1283"/>
      <c r="AY32" s="1283"/>
      <c r="AZ32" s="1283"/>
      <c r="BA32" s="1283"/>
      <c r="BB32" s="1283"/>
      <c r="BC32" s="1283"/>
      <c r="BD32" s="1283"/>
      <c r="BE32" s="1283"/>
      <c r="BF32" s="1284"/>
    </row>
    <row r="33" spans="1:58" ht="9.9499999999999993" customHeight="1">
      <c r="A33" s="1262"/>
      <c r="B33" s="1263"/>
      <c r="C33" s="1263"/>
      <c r="D33" s="1263"/>
      <c r="E33" s="1263"/>
      <c r="F33" s="1263"/>
      <c r="G33" s="1263"/>
      <c r="H33" s="1263"/>
      <c r="I33" s="1263"/>
      <c r="J33" s="1263"/>
      <c r="K33" s="1263"/>
      <c r="L33" s="1263"/>
      <c r="M33" s="1263"/>
      <c r="N33" s="1263"/>
      <c r="O33" s="1263"/>
      <c r="P33" s="1263"/>
      <c r="Q33" s="1263"/>
      <c r="R33" s="1263"/>
      <c r="S33" s="1263"/>
      <c r="T33" s="1263"/>
      <c r="U33" s="1263"/>
      <c r="V33" s="1263"/>
      <c r="W33" s="1263"/>
      <c r="X33" s="1263"/>
      <c r="Y33" s="1263"/>
      <c r="Z33" s="1263"/>
      <c r="AA33" s="1263"/>
      <c r="AB33" s="1263"/>
      <c r="AC33" s="1263"/>
      <c r="AD33" s="1263"/>
      <c r="AE33" s="1263"/>
      <c r="AF33" s="1263"/>
      <c r="AG33" s="1263"/>
      <c r="AH33" s="1263"/>
      <c r="AI33" s="1263"/>
      <c r="AJ33" s="1263"/>
      <c r="AK33" s="1263"/>
      <c r="AL33" s="1263"/>
      <c r="AM33" s="1263"/>
      <c r="AN33" s="1263"/>
      <c r="AO33" s="1263"/>
      <c r="AP33" s="1263"/>
      <c r="AQ33" s="1263"/>
      <c r="AR33" s="1263"/>
      <c r="AS33" s="1263"/>
      <c r="AT33" s="1263"/>
      <c r="AU33" s="1263"/>
      <c r="AV33" s="1263"/>
      <c r="AW33" s="1263"/>
      <c r="AX33" s="1263"/>
      <c r="AY33" s="1263"/>
      <c r="AZ33" s="1263"/>
      <c r="BA33" s="1263"/>
      <c r="BB33" s="1263"/>
      <c r="BC33" s="1263"/>
      <c r="BD33" s="1263"/>
      <c r="BE33" s="1263"/>
      <c r="BF33" s="1264"/>
    </row>
    <row r="34" spans="1:58" ht="25.5" customHeight="1">
      <c r="A34" s="1334" t="s">
        <v>350</v>
      </c>
      <c r="B34" s="1334"/>
      <c r="C34" s="1334"/>
      <c r="D34" s="1334" t="s">
        <v>126</v>
      </c>
      <c r="E34" s="1334"/>
      <c r="F34" s="1334"/>
      <c r="G34" s="1334"/>
      <c r="H34" s="1334"/>
      <c r="I34" s="1334"/>
      <c r="J34" s="1334"/>
      <c r="K34" s="1334"/>
      <c r="L34" s="1334"/>
      <c r="M34" s="1334"/>
      <c r="N34" s="1334"/>
      <c r="O34" s="1334"/>
      <c r="P34" s="1334"/>
      <c r="Q34" s="1334"/>
      <c r="R34" s="1334"/>
      <c r="S34" s="1334"/>
      <c r="T34" s="1334"/>
      <c r="U34" s="1334"/>
      <c r="V34" s="1334"/>
      <c r="W34" s="1334"/>
      <c r="X34" s="1334"/>
      <c r="Y34" s="1334"/>
      <c r="Z34" s="1334"/>
      <c r="AA34" s="1334"/>
      <c r="AB34" s="1334"/>
      <c r="AC34" s="1334"/>
      <c r="AD34" s="1334"/>
      <c r="AE34" s="1334"/>
      <c r="AF34" s="1334"/>
      <c r="AG34" s="1334"/>
      <c r="AH34" s="1334"/>
      <c r="AI34" s="1334"/>
      <c r="AJ34" s="1334"/>
      <c r="AK34" s="1334"/>
      <c r="AL34" s="1334"/>
      <c r="AM34" s="1334"/>
      <c r="AN34" s="1334"/>
      <c r="AO34" s="1334"/>
      <c r="AP34" s="1334"/>
      <c r="AQ34" s="1334" t="s">
        <v>39</v>
      </c>
      <c r="AR34" s="1334"/>
      <c r="AS34" s="1334"/>
      <c r="AT34" s="1334"/>
      <c r="AU34" s="1334"/>
      <c r="AV34" s="1334"/>
      <c r="AW34" s="1334"/>
      <c r="AX34" s="1334"/>
      <c r="AY34" s="1334"/>
      <c r="AZ34" s="1334"/>
      <c r="BA34" s="1334"/>
      <c r="BB34" s="1334"/>
      <c r="BC34" s="1334"/>
      <c r="BD34" s="1334"/>
      <c r="BE34" s="1334"/>
      <c r="BF34" s="1334"/>
    </row>
    <row r="35" spans="1:58" s="77" customFormat="1" ht="113.25" customHeight="1">
      <c r="A35" s="1328">
        <v>1</v>
      </c>
      <c r="B35" s="1329"/>
      <c r="C35" s="1330"/>
      <c r="D35" s="1335" t="s">
        <v>778</v>
      </c>
      <c r="E35" s="1335"/>
      <c r="F35" s="1335"/>
      <c r="G35" s="1335"/>
      <c r="H35" s="1335"/>
      <c r="I35" s="1335"/>
      <c r="J35" s="1335"/>
      <c r="K35" s="1335"/>
      <c r="L35" s="1335"/>
      <c r="M35" s="1335"/>
      <c r="N35" s="1335"/>
      <c r="O35" s="1335"/>
      <c r="P35" s="1335"/>
      <c r="Q35" s="1335"/>
      <c r="R35" s="1335"/>
      <c r="S35" s="1335"/>
      <c r="T35" s="1335"/>
      <c r="U35" s="1335"/>
      <c r="V35" s="1335"/>
      <c r="W35" s="1335"/>
      <c r="X35" s="1335"/>
      <c r="Y35" s="1335"/>
      <c r="Z35" s="1335"/>
      <c r="AA35" s="1335"/>
      <c r="AB35" s="1335"/>
      <c r="AC35" s="1335"/>
      <c r="AD35" s="1335"/>
      <c r="AE35" s="1335"/>
      <c r="AF35" s="1335"/>
      <c r="AG35" s="1335"/>
      <c r="AH35" s="1335"/>
      <c r="AI35" s="1335"/>
      <c r="AJ35" s="1335"/>
      <c r="AK35" s="1335"/>
      <c r="AL35" s="1335"/>
      <c r="AM35" s="1335"/>
      <c r="AN35" s="1335"/>
      <c r="AO35" s="1335"/>
      <c r="AP35" s="1335"/>
      <c r="AQ35" s="1323" t="s">
        <v>15</v>
      </c>
      <c r="AR35" s="1323"/>
      <c r="AS35" s="1323"/>
      <c r="AT35" s="1323"/>
      <c r="AU35" s="1323"/>
      <c r="AV35" s="1323"/>
      <c r="AW35" s="1323"/>
      <c r="AX35" s="1323"/>
      <c r="AY35" s="1323"/>
      <c r="AZ35" s="1323"/>
      <c r="BA35" s="1323"/>
      <c r="BB35" s="1323"/>
      <c r="BC35" s="1323"/>
      <c r="BD35" s="1323"/>
      <c r="BE35" s="1323"/>
      <c r="BF35" s="1324"/>
    </row>
    <row r="36" spans="1:58" s="77" customFormat="1" ht="54.75" customHeight="1">
      <c r="A36" s="1325">
        <v>2</v>
      </c>
      <c r="B36" s="1326"/>
      <c r="C36" s="1326"/>
      <c r="D36" s="1327" t="s">
        <v>779</v>
      </c>
      <c r="E36" s="1327"/>
      <c r="F36" s="1327"/>
      <c r="G36" s="1327"/>
      <c r="H36" s="1327"/>
      <c r="I36" s="1327"/>
      <c r="J36" s="1327"/>
      <c r="K36" s="1327"/>
      <c r="L36" s="1327"/>
      <c r="M36" s="1327"/>
      <c r="N36" s="1327"/>
      <c r="O36" s="1327"/>
      <c r="P36" s="1327"/>
      <c r="Q36" s="1327"/>
      <c r="R36" s="1327"/>
      <c r="S36" s="1327"/>
      <c r="T36" s="1327"/>
      <c r="U36" s="1327"/>
      <c r="V36" s="1327"/>
      <c r="W36" s="1327"/>
      <c r="X36" s="1327"/>
      <c r="Y36" s="1327"/>
      <c r="Z36" s="1327"/>
      <c r="AA36" s="1327"/>
      <c r="AB36" s="1327"/>
      <c r="AC36" s="1327"/>
      <c r="AD36" s="1327"/>
      <c r="AE36" s="1327"/>
      <c r="AF36" s="1327"/>
      <c r="AG36" s="1327"/>
      <c r="AH36" s="1327"/>
      <c r="AI36" s="1327"/>
      <c r="AJ36" s="1327"/>
      <c r="AK36" s="1327"/>
      <c r="AL36" s="1327"/>
      <c r="AM36" s="1327"/>
      <c r="AN36" s="1327"/>
      <c r="AO36" s="1327"/>
      <c r="AP36" s="1327"/>
      <c r="AQ36" s="1323" t="s">
        <v>15</v>
      </c>
      <c r="AR36" s="1323"/>
      <c r="AS36" s="1323"/>
      <c r="AT36" s="1323"/>
      <c r="AU36" s="1323"/>
      <c r="AV36" s="1323"/>
      <c r="AW36" s="1323"/>
      <c r="AX36" s="1323"/>
      <c r="AY36" s="1323"/>
      <c r="AZ36" s="1323"/>
      <c r="BA36" s="1323"/>
      <c r="BB36" s="1323"/>
      <c r="BC36" s="1323"/>
      <c r="BD36" s="1323"/>
      <c r="BE36" s="1323"/>
      <c r="BF36" s="1324"/>
    </row>
    <row r="37" spans="1:58" s="77" customFormat="1" ht="36.75" customHeight="1">
      <c r="A37" s="1328">
        <v>3</v>
      </c>
      <c r="B37" s="1329"/>
      <c r="C37" s="1330"/>
      <c r="D37" s="1331" t="s">
        <v>568</v>
      </c>
      <c r="E37" s="1332"/>
      <c r="F37" s="1332"/>
      <c r="G37" s="1332"/>
      <c r="H37" s="1332"/>
      <c r="I37" s="1332"/>
      <c r="J37" s="1332"/>
      <c r="K37" s="1332"/>
      <c r="L37" s="1332"/>
      <c r="M37" s="1332"/>
      <c r="N37" s="1332"/>
      <c r="O37" s="1332"/>
      <c r="P37" s="1332"/>
      <c r="Q37" s="1332"/>
      <c r="R37" s="1332"/>
      <c r="S37" s="1332"/>
      <c r="T37" s="1332"/>
      <c r="U37" s="1332"/>
      <c r="V37" s="1332"/>
      <c r="W37" s="1332"/>
      <c r="X37" s="1332"/>
      <c r="Y37" s="1332"/>
      <c r="Z37" s="1332"/>
      <c r="AA37" s="1332"/>
      <c r="AB37" s="1332"/>
      <c r="AC37" s="1332"/>
      <c r="AD37" s="1332"/>
      <c r="AE37" s="1332"/>
      <c r="AF37" s="1332"/>
      <c r="AG37" s="1332"/>
      <c r="AH37" s="1332"/>
      <c r="AI37" s="1332"/>
      <c r="AJ37" s="1332"/>
      <c r="AK37" s="1332"/>
      <c r="AL37" s="1332"/>
      <c r="AM37" s="1332"/>
      <c r="AN37" s="1332"/>
      <c r="AO37" s="1332"/>
      <c r="AP37" s="1333"/>
      <c r="AQ37" s="1323" t="s">
        <v>15</v>
      </c>
      <c r="AR37" s="1323"/>
      <c r="AS37" s="1323"/>
      <c r="AT37" s="1323"/>
      <c r="AU37" s="1323"/>
      <c r="AV37" s="1323"/>
      <c r="AW37" s="1323"/>
      <c r="AX37" s="1323"/>
      <c r="AY37" s="1323"/>
      <c r="AZ37" s="1323"/>
      <c r="BA37" s="1323"/>
      <c r="BB37" s="1323"/>
      <c r="BC37" s="1323"/>
      <c r="BD37" s="1323"/>
      <c r="BE37" s="1323"/>
      <c r="BF37" s="1324"/>
    </row>
    <row r="38" spans="1:58" s="77" customFormat="1" ht="48.75" customHeight="1">
      <c r="A38" s="1328">
        <v>4</v>
      </c>
      <c r="B38" s="1329"/>
      <c r="C38" s="1330"/>
      <c r="D38" s="1331" t="s">
        <v>780</v>
      </c>
      <c r="E38" s="1332"/>
      <c r="F38" s="1332"/>
      <c r="G38" s="1332"/>
      <c r="H38" s="1332"/>
      <c r="I38" s="1332"/>
      <c r="J38" s="1332"/>
      <c r="K38" s="1332"/>
      <c r="L38" s="1332"/>
      <c r="M38" s="1332"/>
      <c r="N38" s="1332"/>
      <c r="O38" s="1332"/>
      <c r="P38" s="1332"/>
      <c r="Q38" s="1332"/>
      <c r="R38" s="1332"/>
      <c r="S38" s="1332"/>
      <c r="T38" s="1332"/>
      <c r="U38" s="1332"/>
      <c r="V38" s="1332"/>
      <c r="W38" s="1332"/>
      <c r="X38" s="1332"/>
      <c r="Y38" s="1332"/>
      <c r="Z38" s="1332"/>
      <c r="AA38" s="1332"/>
      <c r="AB38" s="1332"/>
      <c r="AC38" s="1332"/>
      <c r="AD38" s="1332"/>
      <c r="AE38" s="1332"/>
      <c r="AF38" s="1332"/>
      <c r="AG38" s="1332"/>
      <c r="AH38" s="1332"/>
      <c r="AI38" s="1332"/>
      <c r="AJ38" s="1332"/>
      <c r="AK38" s="1332"/>
      <c r="AL38" s="1332"/>
      <c r="AM38" s="1332"/>
      <c r="AN38" s="1332"/>
      <c r="AO38" s="1332"/>
      <c r="AP38" s="1333"/>
      <c r="AQ38" s="1323" t="s">
        <v>15</v>
      </c>
      <c r="AR38" s="1323"/>
      <c r="AS38" s="1323"/>
      <c r="AT38" s="1323"/>
      <c r="AU38" s="1323"/>
      <c r="AV38" s="1323"/>
      <c r="AW38" s="1323"/>
      <c r="AX38" s="1323"/>
      <c r="AY38" s="1323"/>
      <c r="AZ38" s="1323"/>
      <c r="BA38" s="1323"/>
      <c r="BB38" s="1323"/>
      <c r="BC38" s="1323"/>
      <c r="BD38" s="1323"/>
      <c r="BE38" s="1323"/>
      <c r="BF38" s="1324"/>
    </row>
    <row r="39" spans="1:58" s="77" customFormat="1" ht="46.5" customHeight="1">
      <c r="A39" s="1325">
        <v>5</v>
      </c>
      <c r="B39" s="1326"/>
      <c r="C39" s="1326"/>
      <c r="D39" s="1331" t="s">
        <v>781</v>
      </c>
      <c r="E39" s="1332"/>
      <c r="F39" s="1332"/>
      <c r="G39" s="1332"/>
      <c r="H39" s="1332"/>
      <c r="I39" s="1332"/>
      <c r="J39" s="1332"/>
      <c r="K39" s="1332"/>
      <c r="L39" s="1332"/>
      <c r="M39" s="1332"/>
      <c r="N39" s="1332"/>
      <c r="O39" s="1332"/>
      <c r="P39" s="1332"/>
      <c r="Q39" s="1332"/>
      <c r="R39" s="1332"/>
      <c r="S39" s="1332"/>
      <c r="T39" s="1332"/>
      <c r="U39" s="1332"/>
      <c r="V39" s="1332"/>
      <c r="W39" s="1332"/>
      <c r="X39" s="1332"/>
      <c r="Y39" s="1332"/>
      <c r="Z39" s="1332"/>
      <c r="AA39" s="1332"/>
      <c r="AB39" s="1332"/>
      <c r="AC39" s="1332"/>
      <c r="AD39" s="1332"/>
      <c r="AE39" s="1332"/>
      <c r="AF39" s="1332"/>
      <c r="AG39" s="1332"/>
      <c r="AH39" s="1332"/>
      <c r="AI39" s="1332"/>
      <c r="AJ39" s="1332"/>
      <c r="AK39" s="1332"/>
      <c r="AL39" s="1332"/>
      <c r="AM39" s="1332"/>
      <c r="AN39" s="1332"/>
      <c r="AO39" s="1332"/>
      <c r="AP39" s="1333"/>
      <c r="AQ39" s="1323" t="s">
        <v>15</v>
      </c>
      <c r="AR39" s="1323"/>
      <c r="AS39" s="1323"/>
      <c r="AT39" s="1323"/>
      <c r="AU39" s="1323"/>
      <c r="AV39" s="1323"/>
      <c r="AW39" s="1323"/>
      <c r="AX39" s="1323"/>
      <c r="AY39" s="1323"/>
      <c r="AZ39" s="1323"/>
      <c r="BA39" s="1323"/>
      <c r="BB39" s="1323"/>
      <c r="BC39" s="1323"/>
      <c r="BD39" s="1323"/>
      <c r="BE39" s="1323"/>
      <c r="BF39" s="1324"/>
    </row>
    <row r="40" spans="1:58" s="77" customFormat="1" ht="43.5" customHeight="1">
      <c r="A40" s="1328">
        <v>6</v>
      </c>
      <c r="B40" s="1329"/>
      <c r="C40" s="1330"/>
      <c r="D40" s="1331" t="s">
        <v>781</v>
      </c>
      <c r="E40" s="1332"/>
      <c r="F40" s="1332"/>
      <c r="G40" s="1332"/>
      <c r="H40" s="1332"/>
      <c r="I40" s="1332"/>
      <c r="J40" s="1332"/>
      <c r="K40" s="1332"/>
      <c r="L40" s="1332"/>
      <c r="M40" s="1332"/>
      <c r="N40" s="1332"/>
      <c r="O40" s="1332"/>
      <c r="P40" s="1332"/>
      <c r="Q40" s="1332"/>
      <c r="R40" s="1332"/>
      <c r="S40" s="1332"/>
      <c r="T40" s="1332"/>
      <c r="U40" s="1332"/>
      <c r="V40" s="1332"/>
      <c r="W40" s="1332"/>
      <c r="X40" s="1332"/>
      <c r="Y40" s="1332"/>
      <c r="Z40" s="1332"/>
      <c r="AA40" s="1332"/>
      <c r="AB40" s="1332"/>
      <c r="AC40" s="1332"/>
      <c r="AD40" s="1332"/>
      <c r="AE40" s="1332"/>
      <c r="AF40" s="1332"/>
      <c r="AG40" s="1332"/>
      <c r="AH40" s="1332"/>
      <c r="AI40" s="1332"/>
      <c r="AJ40" s="1332"/>
      <c r="AK40" s="1332"/>
      <c r="AL40" s="1332"/>
      <c r="AM40" s="1332"/>
      <c r="AN40" s="1332"/>
      <c r="AO40" s="1332"/>
      <c r="AP40" s="1333"/>
      <c r="AQ40" s="1323" t="s">
        <v>15</v>
      </c>
      <c r="AR40" s="1323"/>
      <c r="AS40" s="1323"/>
      <c r="AT40" s="1323"/>
      <c r="AU40" s="1323"/>
      <c r="AV40" s="1323"/>
      <c r="AW40" s="1323"/>
      <c r="AX40" s="1323"/>
      <c r="AY40" s="1323"/>
      <c r="AZ40" s="1323"/>
      <c r="BA40" s="1323"/>
      <c r="BB40" s="1323"/>
      <c r="BC40" s="1323"/>
      <c r="BD40" s="1323"/>
      <c r="BE40" s="1323"/>
      <c r="BF40" s="1324"/>
    </row>
    <row r="41" spans="1:58" s="77" customFormat="1" ht="45.75" customHeight="1">
      <c r="A41" s="1328">
        <v>7</v>
      </c>
      <c r="B41" s="1329"/>
      <c r="C41" s="1330"/>
      <c r="D41" s="1331" t="s">
        <v>466</v>
      </c>
      <c r="E41" s="1332"/>
      <c r="F41" s="1332"/>
      <c r="G41" s="1332"/>
      <c r="H41" s="1332"/>
      <c r="I41" s="1332"/>
      <c r="J41" s="1332"/>
      <c r="K41" s="1332"/>
      <c r="L41" s="1332"/>
      <c r="M41" s="1332"/>
      <c r="N41" s="1332"/>
      <c r="O41" s="1332"/>
      <c r="P41" s="1332"/>
      <c r="Q41" s="1332"/>
      <c r="R41" s="1332"/>
      <c r="S41" s="1332"/>
      <c r="T41" s="1332"/>
      <c r="U41" s="1332"/>
      <c r="V41" s="1332"/>
      <c r="W41" s="1332"/>
      <c r="X41" s="1332"/>
      <c r="Y41" s="1332"/>
      <c r="Z41" s="1332"/>
      <c r="AA41" s="1332"/>
      <c r="AB41" s="1332"/>
      <c r="AC41" s="1332"/>
      <c r="AD41" s="1332"/>
      <c r="AE41" s="1332"/>
      <c r="AF41" s="1332"/>
      <c r="AG41" s="1332"/>
      <c r="AH41" s="1332"/>
      <c r="AI41" s="1332"/>
      <c r="AJ41" s="1332"/>
      <c r="AK41" s="1332"/>
      <c r="AL41" s="1332"/>
      <c r="AM41" s="1332"/>
      <c r="AN41" s="1332"/>
      <c r="AO41" s="1332"/>
      <c r="AP41" s="1333"/>
      <c r="AQ41" s="1323" t="s">
        <v>15</v>
      </c>
      <c r="AR41" s="1323"/>
      <c r="AS41" s="1323"/>
      <c r="AT41" s="1323"/>
      <c r="AU41" s="1323"/>
      <c r="AV41" s="1323"/>
      <c r="AW41" s="1323"/>
      <c r="AX41" s="1323"/>
      <c r="AY41" s="1323"/>
      <c r="AZ41" s="1323"/>
      <c r="BA41" s="1323"/>
      <c r="BB41" s="1323"/>
      <c r="BC41" s="1323"/>
      <c r="BD41" s="1323"/>
      <c r="BE41" s="1323"/>
      <c r="BF41" s="1324"/>
    </row>
    <row r="42" spans="1:58" s="77" customFormat="1" ht="54" customHeight="1">
      <c r="A42" s="1325">
        <v>8</v>
      </c>
      <c r="B42" s="1326"/>
      <c r="C42" s="1326"/>
      <c r="D42" s="1331" t="s">
        <v>782</v>
      </c>
      <c r="E42" s="1332"/>
      <c r="F42" s="1332"/>
      <c r="G42" s="1332"/>
      <c r="H42" s="1332"/>
      <c r="I42" s="1332"/>
      <c r="J42" s="1332"/>
      <c r="K42" s="1332"/>
      <c r="L42" s="1332"/>
      <c r="M42" s="1332"/>
      <c r="N42" s="1332"/>
      <c r="O42" s="1332"/>
      <c r="P42" s="1332"/>
      <c r="Q42" s="1332"/>
      <c r="R42" s="1332"/>
      <c r="S42" s="1332"/>
      <c r="T42" s="1332"/>
      <c r="U42" s="1332"/>
      <c r="V42" s="1332"/>
      <c r="W42" s="1332"/>
      <c r="X42" s="1332"/>
      <c r="Y42" s="1332"/>
      <c r="Z42" s="1332"/>
      <c r="AA42" s="1332"/>
      <c r="AB42" s="1332"/>
      <c r="AC42" s="1332"/>
      <c r="AD42" s="1332"/>
      <c r="AE42" s="1332"/>
      <c r="AF42" s="1332"/>
      <c r="AG42" s="1332"/>
      <c r="AH42" s="1332"/>
      <c r="AI42" s="1332"/>
      <c r="AJ42" s="1332"/>
      <c r="AK42" s="1332"/>
      <c r="AL42" s="1332"/>
      <c r="AM42" s="1332"/>
      <c r="AN42" s="1332"/>
      <c r="AO42" s="1332"/>
      <c r="AP42" s="1333"/>
      <c r="AQ42" s="1323" t="s">
        <v>15</v>
      </c>
      <c r="AR42" s="1323"/>
      <c r="AS42" s="1323"/>
      <c r="AT42" s="1323"/>
      <c r="AU42" s="1323"/>
      <c r="AV42" s="1323"/>
      <c r="AW42" s="1323"/>
      <c r="AX42" s="1323"/>
      <c r="AY42" s="1323"/>
      <c r="AZ42" s="1323"/>
      <c r="BA42" s="1323"/>
      <c r="BB42" s="1323"/>
      <c r="BC42" s="1323"/>
      <c r="BD42" s="1323"/>
      <c r="BE42" s="1323"/>
      <c r="BF42" s="1324"/>
    </row>
    <row r="43" spans="1:58" s="77" customFormat="1" ht="95.25" customHeight="1">
      <c r="A43" s="1328">
        <v>9</v>
      </c>
      <c r="B43" s="1329"/>
      <c r="C43" s="1330"/>
      <c r="D43" s="1331" t="s">
        <v>467</v>
      </c>
      <c r="E43" s="1332"/>
      <c r="F43" s="1332"/>
      <c r="G43" s="1332"/>
      <c r="H43" s="1332"/>
      <c r="I43" s="1332"/>
      <c r="J43" s="1332"/>
      <c r="K43" s="1332"/>
      <c r="L43" s="1332"/>
      <c r="M43" s="1332"/>
      <c r="N43" s="1332"/>
      <c r="O43" s="1332"/>
      <c r="P43" s="1332"/>
      <c r="Q43" s="1332"/>
      <c r="R43" s="1332"/>
      <c r="S43" s="1332"/>
      <c r="T43" s="1332"/>
      <c r="U43" s="1332"/>
      <c r="V43" s="1332"/>
      <c r="W43" s="1332"/>
      <c r="X43" s="1332"/>
      <c r="Y43" s="1332"/>
      <c r="Z43" s="1332"/>
      <c r="AA43" s="1332"/>
      <c r="AB43" s="1332"/>
      <c r="AC43" s="1332"/>
      <c r="AD43" s="1332"/>
      <c r="AE43" s="1332"/>
      <c r="AF43" s="1332"/>
      <c r="AG43" s="1332"/>
      <c r="AH43" s="1332"/>
      <c r="AI43" s="1332"/>
      <c r="AJ43" s="1332"/>
      <c r="AK43" s="1332"/>
      <c r="AL43" s="1332"/>
      <c r="AM43" s="1332"/>
      <c r="AN43" s="1332"/>
      <c r="AO43" s="1332"/>
      <c r="AP43" s="1333"/>
      <c r="AQ43" s="1323" t="s">
        <v>15</v>
      </c>
      <c r="AR43" s="1323"/>
      <c r="AS43" s="1323"/>
      <c r="AT43" s="1323"/>
      <c r="AU43" s="1323"/>
      <c r="AV43" s="1323"/>
      <c r="AW43" s="1323"/>
      <c r="AX43" s="1323"/>
      <c r="AY43" s="1323"/>
      <c r="AZ43" s="1323"/>
      <c r="BA43" s="1323"/>
      <c r="BB43" s="1323"/>
      <c r="BC43" s="1323"/>
      <c r="BD43" s="1323"/>
      <c r="BE43" s="1323"/>
      <c r="BF43" s="1324"/>
    </row>
    <row r="44" spans="1:58" s="77" customFormat="1" ht="39" customHeight="1">
      <c r="A44" s="1328">
        <v>10</v>
      </c>
      <c r="B44" s="1329"/>
      <c r="C44" s="1330"/>
      <c r="D44" s="1331" t="s">
        <v>468</v>
      </c>
      <c r="E44" s="1332"/>
      <c r="F44" s="1332"/>
      <c r="G44" s="1332"/>
      <c r="H44" s="1332"/>
      <c r="I44" s="1332"/>
      <c r="J44" s="1332"/>
      <c r="K44" s="1332"/>
      <c r="L44" s="1332"/>
      <c r="M44" s="1332"/>
      <c r="N44" s="1332"/>
      <c r="O44" s="1332"/>
      <c r="P44" s="1332"/>
      <c r="Q44" s="1332"/>
      <c r="R44" s="1332"/>
      <c r="S44" s="1332"/>
      <c r="T44" s="1332"/>
      <c r="U44" s="1332"/>
      <c r="V44" s="1332"/>
      <c r="W44" s="1332"/>
      <c r="X44" s="1332"/>
      <c r="Y44" s="1332"/>
      <c r="Z44" s="1332"/>
      <c r="AA44" s="1332"/>
      <c r="AB44" s="1332"/>
      <c r="AC44" s="1332"/>
      <c r="AD44" s="1332"/>
      <c r="AE44" s="1332"/>
      <c r="AF44" s="1332"/>
      <c r="AG44" s="1332"/>
      <c r="AH44" s="1332"/>
      <c r="AI44" s="1332"/>
      <c r="AJ44" s="1332"/>
      <c r="AK44" s="1332"/>
      <c r="AL44" s="1332"/>
      <c r="AM44" s="1332"/>
      <c r="AN44" s="1332"/>
      <c r="AO44" s="1332"/>
      <c r="AP44" s="1333"/>
      <c r="AQ44" s="1323" t="s">
        <v>15</v>
      </c>
      <c r="AR44" s="1323"/>
      <c r="AS44" s="1323"/>
      <c r="AT44" s="1323"/>
      <c r="AU44" s="1323"/>
      <c r="AV44" s="1323"/>
      <c r="AW44" s="1323"/>
      <c r="AX44" s="1323"/>
      <c r="AY44" s="1323"/>
      <c r="AZ44" s="1323"/>
      <c r="BA44" s="1323"/>
      <c r="BB44" s="1323"/>
      <c r="BC44" s="1323"/>
      <c r="BD44" s="1323"/>
      <c r="BE44" s="1323"/>
      <c r="BF44" s="1324"/>
    </row>
    <row r="45" spans="1:58" s="77" customFormat="1" ht="58.5" customHeight="1">
      <c r="A45" s="1325">
        <v>11</v>
      </c>
      <c r="B45" s="1326"/>
      <c r="C45" s="1326"/>
      <c r="D45" s="1331" t="s">
        <v>783</v>
      </c>
      <c r="E45" s="1332"/>
      <c r="F45" s="1332"/>
      <c r="G45" s="1332"/>
      <c r="H45" s="1332"/>
      <c r="I45" s="1332"/>
      <c r="J45" s="1332"/>
      <c r="K45" s="1332"/>
      <c r="L45" s="1332"/>
      <c r="M45" s="1332"/>
      <c r="N45" s="1332"/>
      <c r="O45" s="1332"/>
      <c r="P45" s="1332"/>
      <c r="Q45" s="1332"/>
      <c r="R45" s="1332"/>
      <c r="S45" s="1332"/>
      <c r="T45" s="1332"/>
      <c r="U45" s="1332"/>
      <c r="V45" s="1332"/>
      <c r="W45" s="1332"/>
      <c r="X45" s="1332"/>
      <c r="Y45" s="1332"/>
      <c r="Z45" s="1332"/>
      <c r="AA45" s="1332"/>
      <c r="AB45" s="1332"/>
      <c r="AC45" s="1332"/>
      <c r="AD45" s="1332"/>
      <c r="AE45" s="1332"/>
      <c r="AF45" s="1332"/>
      <c r="AG45" s="1332"/>
      <c r="AH45" s="1332"/>
      <c r="AI45" s="1332"/>
      <c r="AJ45" s="1332"/>
      <c r="AK45" s="1332"/>
      <c r="AL45" s="1332"/>
      <c r="AM45" s="1332"/>
      <c r="AN45" s="1332"/>
      <c r="AO45" s="1332"/>
      <c r="AP45" s="1333"/>
      <c r="AQ45" s="1323" t="s">
        <v>15</v>
      </c>
      <c r="AR45" s="1323"/>
      <c r="AS45" s="1323"/>
      <c r="AT45" s="1323"/>
      <c r="AU45" s="1323"/>
      <c r="AV45" s="1323"/>
      <c r="AW45" s="1323"/>
      <c r="AX45" s="1323"/>
      <c r="AY45" s="1323"/>
      <c r="AZ45" s="1323"/>
      <c r="BA45" s="1323"/>
      <c r="BB45" s="1323"/>
      <c r="BC45" s="1323"/>
      <c r="BD45" s="1323"/>
      <c r="BE45" s="1323"/>
      <c r="BF45" s="1324"/>
    </row>
    <row r="46" spans="1:58" s="77" customFormat="1" ht="63" customHeight="1">
      <c r="A46" s="1328">
        <v>12</v>
      </c>
      <c r="B46" s="1329"/>
      <c r="C46" s="1330"/>
      <c r="D46" s="1331" t="s">
        <v>560</v>
      </c>
      <c r="E46" s="1332"/>
      <c r="F46" s="1332"/>
      <c r="G46" s="1332"/>
      <c r="H46" s="1332"/>
      <c r="I46" s="1332"/>
      <c r="J46" s="1332"/>
      <c r="K46" s="1332"/>
      <c r="L46" s="1332"/>
      <c r="M46" s="1332"/>
      <c r="N46" s="1332"/>
      <c r="O46" s="1332"/>
      <c r="P46" s="1332"/>
      <c r="Q46" s="1332"/>
      <c r="R46" s="1332"/>
      <c r="S46" s="1332"/>
      <c r="T46" s="1332"/>
      <c r="U46" s="1332"/>
      <c r="V46" s="1332"/>
      <c r="W46" s="1332"/>
      <c r="X46" s="1332"/>
      <c r="Y46" s="1332"/>
      <c r="Z46" s="1332"/>
      <c r="AA46" s="1332"/>
      <c r="AB46" s="1332"/>
      <c r="AC46" s="1332"/>
      <c r="AD46" s="1332"/>
      <c r="AE46" s="1332"/>
      <c r="AF46" s="1332"/>
      <c r="AG46" s="1332"/>
      <c r="AH46" s="1332"/>
      <c r="AI46" s="1332"/>
      <c r="AJ46" s="1332"/>
      <c r="AK46" s="1332"/>
      <c r="AL46" s="1332"/>
      <c r="AM46" s="1332"/>
      <c r="AN46" s="1332"/>
      <c r="AO46" s="1332"/>
      <c r="AP46" s="1333"/>
      <c r="AQ46" s="1323" t="s">
        <v>15</v>
      </c>
      <c r="AR46" s="1323"/>
      <c r="AS46" s="1323"/>
      <c r="AT46" s="1323"/>
      <c r="AU46" s="1323"/>
      <c r="AV46" s="1323"/>
      <c r="AW46" s="1323"/>
      <c r="AX46" s="1323"/>
      <c r="AY46" s="1323"/>
      <c r="AZ46" s="1323"/>
      <c r="BA46" s="1323"/>
      <c r="BB46" s="1323"/>
      <c r="BC46" s="1323"/>
      <c r="BD46" s="1323"/>
      <c r="BE46" s="1323"/>
      <c r="BF46" s="1324"/>
    </row>
    <row r="47" spans="1:58" s="77" customFormat="1" ht="84" customHeight="1">
      <c r="A47" s="1328">
        <v>13</v>
      </c>
      <c r="B47" s="1329"/>
      <c r="C47" s="1330"/>
      <c r="D47" s="1331" t="s">
        <v>784</v>
      </c>
      <c r="E47" s="1332"/>
      <c r="F47" s="1332"/>
      <c r="G47" s="1332"/>
      <c r="H47" s="1332"/>
      <c r="I47" s="1332"/>
      <c r="J47" s="1332"/>
      <c r="K47" s="1332"/>
      <c r="L47" s="1332"/>
      <c r="M47" s="1332"/>
      <c r="N47" s="1332"/>
      <c r="O47" s="1332"/>
      <c r="P47" s="1332"/>
      <c r="Q47" s="1332"/>
      <c r="R47" s="1332"/>
      <c r="S47" s="1332"/>
      <c r="T47" s="1332"/>
      <c r="U47" s="1332"/>
      <c r="V47" s="1332"/>
      <c r="W47" s="1332"/>
      <c r="X47" s="1332"/>
      <c r="Y47" s="1332"/>
      <c r="Z47" s="1332"/>
      <c r="AA47" s="1332"/>
      <c r="AB47" s="1332"/>
      <c r="AC47" s="1332"/>
      <c r="AD47" s="1332"/>
      <c r="AE47" s="1332"/>
      <c r="AF47" s="1332"/>
      <c r="AG47" s="1332"/>
      <c r="AH47" s="1332"/>
      <c r="AI47" s="1332"/>
      <c r="AJ47" s="1332"/>
      <c r="AK47" s="1332"/>
      <c r="AL47" s="1332"/>
      <c r="AM47" s="1332"/>
      <c r="AN47" s="1332"/>
      <c r="AO47" s="1332"/>
      <c r="AP47" s="1333"/>
      <c r="AQ47" s="1323" t="s">
        <v>15</v>
      </c>
      <c r="AR47" s="1323"/>
      <c r="AS47" s="1323"/>
      <c r="AT47" s="1323"/>
      <c r="AU47" s="1323"/>
      <c r="AV47" s="1323"/>
      <c r="AW47" s="1323"/>
      <c r="AX47" s="1323"/>
      <c r="AY47" s="1323"/>
      <c r="AZ47" s="1323"/>
      <c r="BA47" s="1323"/>
      <c r="BB47" s="1323"/>
      <c r="BC47" s="1323"/>
      <c r="BD47" s="1323"/>
      <c r="BE47" s="1323"/>
      <c r="BF47" s="1324"/>
    </row>
    <row r="48" spans="1:58" s="77" customFormat="1" ht="38.25" customHeight="1">
      <c r="A48" s="1328">
        <v>14</v>
      </c>
      <c r="B48" s="1329"/>
      <c r="C48" s="1330"/>
      <c r="D48" s="1331" t="s">
        <v>785</v>
      </c>
      <c r="E48" s="1332"/>
      <c r="F48" s="1332"/>
      <c r="G48" s="1332"/>
      <c r="H48" s="1332"/>
      <c r="I48" s="1332"/>
      <c r="J48" s="1332"/>
      <c r="K48" s="1332"/>
      <c r="L48" s="1332"/>
      <c r="M48" s="1332"/>
      <c r="N48" s="1332"/>
      <c r="O48" s="1332"/>
      <c r="P48" s="1332"/>
      <c r="Q48" s="1332"/>
      <c r="R48" s="1332"/>
      <c r="S48" s="1332"/>
      <c r="T48" s="1332"/>
      <c r="U48" s="1332"/>
      <c r="V48" s="1332"/>
      <c r="W48" s="1332"/>
      <c r="X48" s="1332"/>
      <c r="Y48" s="1332"/>
      <c r="Z48" s="1332"/>
      <c r="AA48" s="1332"/>
      <c r="AB48" s="1332"/>
      <c r="AC48" s="1332"/>
      <c r="AD48" s="1332"/>
      <c r="AE48" s="1332"/>
      <c r="AF48" s="1332"/>
      <c r="AG48" s="1332"/>
      <c r="AH48" s="1332"/>
      <c r="AI48" s="1332"/>
      <c r="AJ48" s="1332"/>
      <c r="AK48" s="1332"/>
      <c r="AL48" s="1332"/>
      <c r="AM48" s="1332"/>
      <c r="AN48" s="1332"/>
      <c r="AO48" s="1332"/>
      <c r="AP48" s="1333"/>
      <c r="AQ48" s="1323" t="s">
        <v>15</v>
      </c>
      <c r="AR48" s="1323"/>
      <c r="AS48" s="1323"/>
      <c r="AT48" s="1323"/>
      <c r="AU48" s="1323"/>
      <c r="AV48" s="1323"/>
      <c r="AW48" s="1323"/>
      <c r="AX48" s="1323"/>
      <c r="AY48" s="1323"/>
      <c r="AZ48" s="1323"/>
      <c r="BA48" s="1323"/>
      <c r="BB48" s="1323"/>
      <c r="BC48" s="1323"/>
      <c r="BD48" s="1323"/>
      <c r="BE48" s="1323"/>
      <c r="BF48" s="1324"/>
    </row>
    <row r="49" spans="1:58" s="77" customFormat="1" ht="52.5" customHeight="1">
      <c r="A49" s="1328">
        <v>15</v>
      </c>
      <c r="B49" s="1329"/>
      <c r="C49" s="1330"/>
      <c r="D49" s="1331" t="s">
        <v>789</v>
      </c>
      <c r="E49" s="1332"/>
      <c r="F49" s="1332"/>
      <c r="G49" s="1332"/>
      <c r="H49" s="1332"/>
      <c r="I49" s="1332"/>
      <c r="J49" s="1332"/>
      <c r="K49" s="1332"/>
      <c r="L49" s="1332"/>
      <c r="M49" s="1332"/>
      <c r="N49" s="1332"/>
      <c r="O49" s="1332"/>
      <c r="P49" s="1332"/>
      <c r="Q49" s="1332"/>
      <c r="R49" s="1332"/>
      <c r="S49" s="1332"/>
      <c r="T49" s="1332"/>
      <c r="U49" s="1332"/>
      <c r="V49" s="1332"/>
      <c r="W49" s="1332"/>
      <c r="X49" s="1332"/>
      <c r="Y49" s="1332"/>
      <c r="Z49" s="1332"/>
      <c r="AA49" s="1332"/>
      <c r="AB49" s="1332"/>
      <c r="AC49" s="1332"/>
      <c r="AD49" s="1332"/>
      <c r="AE49" s="1332"/>
      <c r="AF49" s="1332"/>
      <c r="AG49" s="1332"/>
      <c r="AH49" s="1332"/>
      <c r="AI49" s="1332"/>
      <c r="AJ49" s="1332"/>
      <c r="AK49" s="1332"/>
      <c r="AL49" s="1332"/>
      <c r="AM49" s="1332"/>
      <c r="AN49" s="1332"/>
      <c r="AO49" s="1332"/>
      <c r="AP49" s="1333"/>
      <c r="AQ49" s="1323" t="s">
        <v>15</v>
      </c>
      <c r="AR49" s="1323"/>
      <c r="AS49" s="1323"/>
      <c r="AT49" s="1323"/>
      <c r="AU49" s="1323"/>
      <c r="AV49" s="1323"/>
      <c r="AW49" s="1323"/>
      <c r="AX49" s="1323"/>
      <c r="AY49" s="1323"/>
      <c r="AZ49" s="1323"/>
      <c r="BA49" s="1323"/>
      <c r="BB49" s="1323"/>
      <c r="BC49" s="1323"/>
      <c r="BD49" s="1323"/>
      <c r="BE49" s="1323"/>
      <c r="BF49" s="1324"/>
    </row>
    <row r="50" spans="1:58" s="77" customFormat="1" ht="33.75" customHeight="1">
      <c r="A50" s="1328">
        <v>16</v>
      </c>
      <c r="B50" s="1329"/>
      <c r="C50" s="1330"/>
      <c r="D50" s="1331" t="s">
        <v>786</v>
      </c>
      <c r="E50" s="1332"/>
      <c r="F50" s="1332"/>
      <c r="G50" s="1332"/>
      <c r="H50" s="1332"/>
      <c r="I50" s="1332"/>
      <c r="J50" s="1332"/>
      <c r="K50" s="1332"/>
      <c r="L50" s="1332"/>
      <c r="M50" s="1332"/>
      <c r="N50" s="1332"/>
      <c r="O50" s="1332"/>
      <c r="P50" s="1332"/>
      <c r="Q50" s="1332"/>
      <c r="R50" s="1332"/>
      <c r="S50" s="1332"/>
      <c r="T50" s="1332"/>
      <c r="U50" s="1332"/>
      <c r="V50" s="1332"/>
      <c r="W50" s="1332"/>
      <c r="X50" s="1332"/>
      <c r="Y50" s="1332"/>
      <c r="Z50" s="1332"/>
      <c r="AA50" s="1332"/>
      <c r="AB50" s="1332"/>
      <c r="AC50" s="1332"/>
      <c r="AD50" s="1332"/>
      <c r="AE50" s="1332"/>
      <c r="AF50" s="1332"/>
      <c r="AG50" s="1332"/>
      <c r="AH50" s="1332"/>
      <c r="AI50" s="1332"/>
      <c r="AJ50" s="1332"/>
      <c r="AK50" s="1332"/>
      <c r="AL50" s="1332"/>
      <c r="AM50" s="1332"/>
      <c r="AN50" s="1332"/>
      <c r="AO50" s="1332"/>
      <c r="AP50" s="1333"/>
      <c r="AQ50" s="1323" t="s">
        <v>15</v>
      </c>
      <c r="AR50" s="1323"/>
      <c r="AS50" s="1323"/>
      <c r="AT50" s="1323"/>
      <c r="AU50" s="1323"/>
      <c r="AV50" s="1323"/>
      <c r="AW50" s="1323"/>
      <c r="AX50" s="1323"/>
      <c r="AY50" s="1323"/>
      <c r="AZ50" s="1323"/>
      <c r="BA50" s="1323"/>
      <c r="BB50" s="1323"/>
      <c r="BC50" s="1323"/>
      <c r="BD50" s="1323"/>
      <c r="BE50" s="1323"/>
      <c r="BF50" s="1324"/>
    </row>
    <row r="51" spans="1:58" s="77" customFormat="1" ht="27.75" customHeight="1">
      <c r="A51" s="1328">
        <v>17</v>
      </c>
      <c r="B51" s="1329"/>
      <c r="C51" s="1330"/>
      <c r="D51" s="1331" t="s">
        <v>787</v>
      </c>
      <c r="E51" s="1332"/>
      <c r="F51" s="1332"/>
      <c r="G51" s="1332"/>
      <c r="H51" s="1332"/>
      <c r="I51" s="1332"/>
      <c r="J51" s="1332"/>
      <c r="K51" s="1332"/>
      <c r="L51" s="1332"/>
      <c r="M51" s="1332"/>
      <c r="N51" s="1332"/>
      <c r="O51" s="1332"/>
      <c r="P51" s="1332"/>
      <c r="Q51" s="1332"/>
      <c r="R51" s="1332"/>
      <c r="S51" s="1332"/>
      <c r="T51" s="1332"/>
      <c r="U51" s="1332"/>
      <c r="V51" s="1332"/>
      <c r="W51" s="1332"/>
      <c r="X51" s="1332"/>
      <c r="Y51" s="1332"/>
      <c r="Z51" s="1332"/>
      <c r="AA51" s="1332"/>
      <c r="AB51" s="1332"/>
      <c r="AC51" s="1332"/>
      <c r="AD51" s="1332"/>
      <c r="AE51" s="1332"/>
      <c r="AF51" s="1332"/>
      <c r="AG51" s="1332"/>
      <c r="AH51" s="1332"/>
      <c r="AI51" s="1332"/>
      <c r="AJ51" s="1332"/>
      <c r="AK51" s="1332"/>
      <c r="AL51" s="1332"/>
      <c r="AM51" s="1332"/>
      <c r="AN51" s="1332"/>
      <c r="AO51" s="1332"/>
      <c r="AP51" s="1333"/>
      <c r="AQ51" s="1323" t="s">
        <v>15</v>
      </c>
      <c r="AR51" s="1323"/>
      <c r="AS51" s="1323"/>
      <c r="AT51" s="1323"/>
      <c r="AU51" s="1323"/>
      <c r="AV51" s="1323"/>
      <c r="AW51" s="1323"/>
      <c r="AX51" s="1323"/>
      <c r="AY51" s="1323"/>
      <c r="AZ51" s="1323"/>
      <c r="BA51" s="1323"/>
      <c r="BB51" s="1323"/>
      <c r="BC51" s="1323"/>
      <c r="BD51" s="1323"/>
      <c r="BE51" s="1323"/>
      <c r="BF51" s="1324"/>
    </row>
    <row r="52" spans="1:58" s="77" customFormat="1" ht="27" customHeight="1">
      <c r="A52" s="1328">
        <v>18</v>
      </c>
      <c r="B52" s="1329"/>
      <c r="C52" s="1330"/>
      <c r="D52" s="1331" t="s">
        <v>788</v>
      </c>
      <c r="E52" s="1332"/>
      <c r="F52" s="1332"/>
      <c r="G52" s="1332"/>
      <c r="H52" s="1332"/>
      <c r="I52" s="1332"/>
      <c r="J52" s="1332"/>
      <c r="K52" s="1332"/>
      <c r="L52" s="1332"/>
      <c r="M52" s="1332"/>
      <c r="N52" s="1332"/>
      <c r="O52" s="1332"/>
      <c r="P52" s="1332"/>
      <c r="Q52" s="1332"/>
      <c r="R52" s="1332"/>
      <c r="S52" s="1332"/>
      <c r="T52" s="1332"/>
      <c r="U52" s="1332"/>
      <c r="V52" s="1332"/>
      <c r="W52" s="1332"/>
      <c r="X52" s="1332"/>
      <c r="Y52" s="1332"/>
      <c r="Z52" s="1332"/>
      <c r="AA52" s="1332"/>
      <c r="AB52" s="1332"/>
      <c r="AC52" s="1332"/>
      <c r="AD52" s="1332"/>
      <c r="AE52" s="1332"/>
      <c r="AF52" s="1332"/>
      <c r="AG52" s="1332"/>
      <c r="AH52" s="1332"/>
      <c r="AI52" s="1332"/>
      <c r="AJ52" s="1332"/>
      <c r="AK52" s="1332"/>
      <c r="AL52" s="1332"/>
      <c r="AM52" s="1332"/>
      <c r="AN52" s="1332"/>
      <c r="AO52" s="1332"/>
      <c r="AP52" s="1333"/>
      <c r="AQ52" s="1323" t="s">
        <v>15</v>
      </c>
      <c r="AR52" s="1323"/>
      <c r="AS52" s="1323"/>
      <c r="AT52" s="1323"/>
      <c r="AU52" s="1323"/>
      <c r="AV52" s="1323"/>
      <c r="AW52" s="1323"/>
      <c r="AX52" s="1323"/>
      <c r="AY52" s="1323"/>
      <c r="AZ52" s="1323"/>
      <c r="BA52" s="1323"/>
      <c r="BB52" s="1323"/>
      <c r="BC52" s="1323"/>
      <c r="BD52" s="1323"/>
      <c r="BE52" s="1323"/>
      <c r="BF52" s="1324"/>
    </row>
    <row r="53" spans="1:58" s="77" customFormat="1" ht="15" customHeight="1">
      <c r="A53" s="1336"/>
      <c r="B53" s="1337"/>
      <c r="C53" s="1338"/>
      <c r="D53" s="1339"/>
      <c r="E53" s="1340"/>
      <c r="F53" s="1340"/>
      <c r="G53" s="1340"/>
      <c r="H53" s="1340"/>
      <c r="I53" s="1340"/>
      <c r="J53" s="1340"/>
      <c r="K53" s="1340"/>
      <c r="L53" s="1340"/>
      <c r="M53" s="1340"/>
      <c r="N53" s="1340"/>
      <c r="O53" s="1340"/>
      <c r="P53" s="1340"/>
      <c r="Q53" s="1340"/>
      <c r="R53" s="1340"/>
      <c r="S53" s="1340"/>
      <c r="T53" s="1340"/>
      <c r="U53" s="1340"/>
      <c r="V53" s="1340"/>
      <c r="W53" s="1340"/>
      <c r="X53" s="1340"/>
      <c r="Y53" s="1340"/>
      <c r="Z53" s="1340"/>
      <c r="AA53" s="1340"/>
      <c r="AB53" s="1340"/>
      <c r="AC53" s="1340"/>
      <c r="AD53" s="1340"/>
      <c r="AE53" s="1340"/>
      <c r="AF53" s="1340"/>
      <c r="AG53" s="1340"/>
      <c r="AH53" s="1340"/>
      <c r="AI53" s="1340"/>
      <c r="AJ53" s="1340"/>
      <c r="AK53" s="1340"/>
      <c r="AL53" s="1340"/>
      <c r="AM53" s="1340"/>
      <c r="AN53" s="1340"/>
      <c r="AO53" s="1340"/>
      <c r="AP53" s="1341"/>
      <c r="AQ53" s="1342"/>
      <c r="AR53" s="1342"/>
      <c r="AS53" s="1342"/>
      <c r="AT53" s="1342"/>
      <c r="AU53" s="1342"/>
      <c r="AV53" s="1342"/>
      <c r="AW53" s="1342"/>
      <c r="AX53" s="1342"/>
      <c r="AY53" s="1342"/>
      <c r="AZ53" s="1342"/>
      <c r="BA53" s="1342"/>
      <c r="BB53" s="1342"/>
      <c r="BC53" s="1342"/>
      <c r="BD53" s="1342"/>
      <c r="BE53" s="1342"/>
      <c r="BF53" s="1343"/>
    </row>
  </sheetData>
  <mergeCells count="140">
    <mergeCell ref="A53:C53"/>
    <mergeCell ref="D53:AP53"/>
    <mergeCell ref="AQ53:BF53"/>
    <mergeCell ref="A46:C46"/>
    <mergeCell ref="D46:AP46"/>
    <mergeCell ref="AQ46:BF46"/>
    <mergeCell ref="A52:C52"/>
    <mergeCell ref="D52:AP52"/>
    <mergeCell ref="AQ52:BF52"/>
    <mergeCell ref="A47:C47"/>
    <mergeCell ref="D47:AP47"/>
    <mergeCell ref="A48:C48"/>
    <mergeCell ref="A49:C49"/>
    <mergeCell ref="A50:C50"/>
    <mergeCell ref="A51:C51"/>
    <mergeCell ref="D48:AP48"/>
    <mergeCell ref="D49:AP49"/>
    <mergeCell ref="D50:AP50"/>
    <mergeCell ref="D51:AP51"/>
    <mergeCell ref="AQ47:BF47"/>
    <mergeCell ref="AQ48:BF48"/>
    <mergeCell ref="AQ49:BF49"/>
    <mergeCell ref="AQ50:BF50"/>
    <mergeCell ref="AQ51:BF51"/>
    <mergeCell ref="A44:C44"/>
    <mergeCell ref="D44:AP44"/>
    <mergeCell ref="AQ44:BF44"/>
    <mergeCell ref="A45:C45"/>
    <mergeCell ref="D45:AP45"/>
    <mergeCell ref="AQ45:BF45"/>
    <mergeCell ref="A42:C42"/>
    <mergeCell ref="D42:AP42"/>
    <mergeCell ref="AQ42:BF42"/>
    <mergeCell ref="A43:C43"/>
    <mergeCell ref="D43:AP43"/>
    <mergeCell ref="AQ43:BF43"/>
    <mergeCell ref="A40:C40"/>
    <mergeCell ref="D40:AP40"/>
    <mergeCell ref="AQ40:BF40"/>
    <mergeCell ref="A41:C41"/>
    <mergeCell ref="D41:AP41"/>
    <mergeCell ref="AQ41:BF41"/>
    <mergeCell ref="A38:C38"/>
    <mergeCell ref="D38:AP38"/>
    <mergeCell ref="AQ38:BF38"/>
    <mergeCell ref="A39:C39"/>
    <mergeCell ref="D39:AP39"/>
    <mergeCell ref="AQ39:BF39"/>
    <mergeCell ref="A36:C36"/>
    <mergeCell ref="D36:AP36"/>
    <mergeCell ref="AQ36:BF36"/>
    <mergeCell ref="A37:C37"/>
    <mergeCell ref="D37:AP37"/>
    <mergeCell ref="AQ37:BF37"/>
    <mergeCell ref="A33:BF33"/>
    <mergeCell ref="A34:C34"/>
    <mergeCell ref="D34:AP34"/>
    <mergeCell ref="AQ34:BF34"/>
    <mergeCell ref="A35:C35"/>
    <mergeCell ref="D35:AP35"/>
    <mergeCell ref="AQ35:BF35"/>
    <mergeCell ref="A30:J30"/>
    <mergeCell ref="K30:Z30"/>
    <mergeCell ref="AA30:AP30"/>
    <mergeCell ref="AQ30:BF30"/>
    <mergeCell ref="A31:BF31"/>
    <mergeCell ref="A32:BF32"/>
    <mergeCell ref="A28:J28"/>
    <mergeCell ref="K28:Z28"/>
    <mergeCell ref="AA28:AP28"/>
    <mergeCell ref="AQ28:BF28"/>
    <mergeCell ref="A29:J29"/>
    <mergeCell ref="K29:Z29"/>
    <mergeCell ref="AA29:AP29"/>
    <mergeCell ref="AQ29:BF29"/>
    <mergeCell ref="A24:BF24"/>
    <mergeCell ref="A25:BF25"/>
    <mergeCell ref="A26:BF26"/>
    <mergeCell ref="A27:J27"/>
    <mergeCell ref="K27:Z27"/>
    <mergeCell ref="AA27:AP27"/>
    <mergeCell ref="AQ27:BF27"/>
    <mergeCell ref="A22:J22"/>
    <mergeCell ref="K22:V22"/>
    <mergeCell ref="W22:AH22"/>
    <mergeCell ref="AI22:AT22"/>
    <mergeCell ref="AU22:BF22"/>
    <mergeCell ref="A23:J23"/>
    <mergeCell ref="K23:V23"/>
    <mergeCell ref="W23:AH23"/>
    <mergeCell ref="AI23:AT23"/>
    <mergeCell ref="AU23:BF23"/>
    <mergeCell ref="A19:J19"/>
    <mergeCell ref="K19:V21"/>
    <mergeCell ref="W19:AH21"/>
    <mergeCell ref="AI19:AT21"/>
    <mergeCell ref="AU19:BF21"/>
    <mergeCell ref="A20:J20"/>
    <mergeCell ref="A21:J21"/>
    <mergeCell ref="A15:BF15"/>
    <mergeCell ref="A16:BF16"/>
    <mergeCell ref="A17:BF17"/>
    <mergeCell ref="A18:J18"/>
    <mergeCell ref="K18:V18"/>
    <mergeCell ref="W18:AH18"/>
    <mergeCell ref="AI18:AT18"/>
    <mergeCell ref="AU18:BF18"/>
    <mergeCell ref="A13:J13"/>
    <mergeCell ref="K13:V13"/>
    <mergeCell ref="W13:AH13"/>
    <mergeCell ref="AI13:AT13"/>
    <mergeCell ref="AU13:BF13"/>
    <mergeCell ref="A14:J14"/>
    <mergeCell ref="K14:V14"/>
    <mergeCell ref="W14:AH14"/>
    <mergeCell ref="AI14:AT14"/>
    <mergeCell ref="AU14:BF14"/>
    <mergeCell ref="A1:E3"/>
    <mergeCell ref="F1:AQ3"/>
    <mergeCell ref="AV1:BF1"/>
    <mergeCell ref="AV2:BF2"/>
    <mergeCell ref="AV3:BF3"/>
    <mergeCell ref="A4:BF4"/>
    <mergeCell ref="A10:J10"/>
    <mergeCell ref="K10:V12"/>
    <mergeCell ref="W10:AH12"/>
    <mergeCell ref="AI10:AT12"/>
    <mergeCell ref="AU10:BF12"/>
    <mergeCell ref="A11:J11"/>
    <mergeCell ref="A12:J12"/>
    <mergeCell ref="F5:P5"/>
    <mergeCell ref="Q5:BF5"/>
    <mergeCell ref="A6:BF6"/>
    <mergeCell ref="A7:BF7"/>
    <mergeCell ref="A8:BF8"/>
    <mergeCell ref="A9:J9"/>
    <mergeCell ref="K9:V9"/>
    <mergeCell ref="W9:AH9"/>
    <mergeCell ref="AI9:AT9"/>
    <mergeCell ref="AU9:BF9"/>
  </mergeCells>
  <pageMargins left="0.6" right="0.35" top="0.25" bottom="0.4" header="0.3" footer="0.3"/>
  <pageSetup paperSize="9" fitToHeight="0" orientation="portrait" r:id="rId1"/>
  <headerFooter>
    <oddFooter>&amp;L          -----------------------
          Project In charge&amp;R --------------------          .       
          Project  Manager        .</oddFooter>
  </headerFooter>
  <rowBreaks count="2" manualBreakCount="2">
    <brk id="31" max="57" man="1"/>
    <brk id="45" max="57" man="1"/>
  </rowBreaks>
</worksheet>
</file>

<file path=xl/worksheets/sheet11.xml><?xml version="1.0" encoding="utf-8"?>
<worksheet xmlns="http://schemas.openxmlformats.org/spreadsheetml/2006/main" xmlns:r="http://schemas.openxmlformats.org/officeDocument/2006/relationships">
  <sheetPr>
    <tabColor theme="4" tint="0.39997558519241921"/>
    <pageSetUpPr fitToPage="1"/>
  </sheetPr>
  <dimension ref="A1:G37"/>
  <sheetViews>
    <sheetView view="pageBreakPreview" zoomScale="85" zoomScaleSheetLayoutView="85" workbookViewId="0">
      <selection activeCell="B21" sqref="B21:E21"/>
    </sheetView>
  </sheetViews>
  <sheetFormatPr defaultRowHeight="15"/>
  <cols>
    <col min="1" max="2" width="7.7109375" customWidth="1"/>
    <col min="3" max="3" width="48.140625" customWidth="1"/>
    <col min="4" max="4" width="7.42578125" customWidth="1"/>
    <col min="5" max="5" width="11.28515625" customWidth="1"/>
    <col min="6" max="6" width="7.28515625" customWidth="1"/>
    <col min="7" max="7" width="20.5703125" customWidth="1"/>
  </cols>
  <sheetData>
    <row r="1" spans="1:7" ht="20.100000000000001" customHeight="1">
      <c r="A1" s="1365"/>
      <c r="B1" s="1365"/>
      <c r="C1" s="1368" t="s">
        <v>484</v>
      </c>
      <c r="D1" s="1369"/>
      <c r="E1" s="1369"/>
      <c r="F1" s="72" t="s">
        <v>237</v>
      </c>
      <c r="G1" s="292" t="s">
        <v>409</v>
      </c>
    </row>
    <row r="2" spans="1:7" ht="20.100000000000001" customHeight="1">
      <c r="A2" s="1366"/>
      <c r="B2" s="1366"/>
      <c r="C2" s="1370"/>
      <c r="D2" s="1370"/>
      <c r="E2" s="1370"/>
      <c r="F2" s="72" t="s">
        <v>235</v>
      </c>
      <c r="G2" s="293">
        <v>0</v>
      </c>
    </row>
    <row r="3" spans="1:7" ht="20.100000000000001" customHeight="1">
      <c r="A3" s="1367"/>
      <c r="B3" s="1367"/>
      <c r="C3" s="1371"/>
      <c r="D3" s="1371"/>
      <c r="E3" s="1371"/>
      <c r="F3" s="72" t="s">
        <v>236</v>
      </c>
      <c r="G3" s="291">
        <f>+'Cover '!T11</f>
        <v>42460</v>
      </c>
    </row>
    <row r="4" spans="1:7">
      <c r="A4" s="1124"/>
      <c r="B4" s="1124"/>
      <c r="C4" s="1124"/>
      <c r="D4" s="1124"/>
      <c r="E4" s="1124"/>
      <c r="F4" s="1124"/>
      <c r="G4" s="1124"/>
    </row>
    <row r="5" spans="1:7" ht="23.25" customHeight="1">
      <c r="A5" s="1359" t="s">
        <v>246</v>
      </c>
      <c r="B5" s="1360"/>
      <c r="C5" s="1360"/>
      <c r="D5" s="1360"/>
      <c r="E5" s="1360"/>
      <c r="F5" s="1360"/>
      <c r="G5" s="1361"/>
    </row>
    <row r="6" spans="1:7">
      <c r="A6" s="1124"/>
      <c r="B6" s="1124"/>
      <c r="C6" s="1124"/>
      <c r="D6" s="1124"/>
      <c r="E6" s="1124"/>
      <c r="F6" s="1124"/>
      <c r="G6" s="1124"/>
    </row>
    <row r="7" spans="1:7" ht="32.25" customHeight="1">
      <c r="A7" s="73" t="s">
        <v>54</v>
      </c>
      <c r="B7" s="1357" t="s">
        <v>147</v>
      </c>
      <c r="C7" s="1373"/>
      <c r="D7" s="1373"/>
      <c r="E7" s="1362"/>
      <c r="F7" s="1357" t="s">
        <v>62</v>
      </c>
      <c r="G7" s="1358"/>
    </row>
    <row r="8" spans="1:7" s="77" customFormat="1" ht="20.100000000000001" customHeight="1">
      <c r="A8" s="127">
        <v>1</v>
      </c>
      <c r="B8" s="1091" t="s">
        <v>767</v>
      </c>
      <c r="C8" s="1091"/>
      <c r="D8" s="1091"/>
      <c r="E8" s="1091"/>
      <c r="F8" s="1088"/>
      <c r="G8" s="1372"/>
    </row>
    <row r="9" spans="1:7" s="77" customFormat="1" ht="20.100000000000001" customHeight="1">
      <c r="A9" s="123">
        <v>2</v>
      </c>
      <c r="B9" s="1347" t="s">
        <v>768</v>
      </c>
      <c r="C9" s="1348"/>
      <c r="D9" s="1348"/>
      <c r="E9" s="1349"/>
      <c r="F9" s="1089"/>
      <c r="G9" s="1354"/>
    </row>
    <row r="10" spans="1:7" s="77" customFormat="1" ht="20.100000000000001" customHeight="1">
      <c r="A10" s="123">
        <v>3</v>
      </c>
      <c r="B10" s="1347" t="s">
        <v>769</v>
      </c>
      <c r="C10" s="1348"/>
      <c r="D10" s="1348"/>
      <c r="E10" s="1349"/>
      <c r="F10" s="1089"/>
      <c r="G10" s="1354"/>
    </row>
    <row r="11" spans="1:7" s="77" customFormat="1" ht="20.100000000000001" customHeight="1">
      <c r="A11" s="123">
        <v>4</v>
      </c>
      <c r="B11" s="1347" t="s">
        <v>770</v>
      </c>
      <c r="C11" s="1348"/>
      <c r="D11" s="1348"/>
      <c r="E11" s="1349"/>
      <c r="F11" s="1089"/>
      <c r="G11" s="1354"/>
    </row>
    <row r="12" spans="1:7" s="77" customFormat="1" ht="20.100000000000001" customHeight="1">
      <c r="A12" s="123">
        <v>5</v>
      </c>
      <c r="B12" s="1092" t="s">
        <v>771</v>
      </c>
      <c r="C12" s="1092"/>
      <c r="D12" s="1092"/>
      <c r="E12" s="1092"/>
      <c r="F12" s="1089"/>
      <c r="G12" s="1354"/>
    </row>
    <row r="13" spans="1:7" s="77" customFormat="1" ht="20.100000000000001" customHeight="1">
      <c r="A13" s="123">
        <v>6</v>
      </c>
      <c r="B13" s="1092" t="s">
        <v>772</v>
      </c>
      <c r="C13" s="1092"/>
      <c r="D13" s="1092"/>
      <c r="E13" s="1092"/>
      <c r="F13" s="1089"/>
      <c r="G13" s="1354"/>
    </row>
    <row r="14" spans="1:7" s="77" customFormat="1" ht="20.100000000000001" customHeight="1">
      <c r="A14" s="123">
        <v>7</v>
      </c>
      <c r="B14" s="1347" t="s">
        <v>773</v>
      </c>
      <c r="C14" s="1348"/>
      <c r="D14" s="1348"/>
      <c r="E14" s="1349"/>
      <c r="F14" s="1089"/>
      <c r="G14" s="1354"/>
    </row>
    <row r="15" spans="1:7" s="77" customFormat="1" ht="24.75" customHeight="1">
      <c r="A15" s="123">
        <v>8</v>
      </c>
      <c r="B15" s="1347" t="s">
        <v>774</v>
      </c>
      <c r="C15" s="1348"/>
      <c r="D15" s="1348"/>
      <c r="E15" s="1349"/>
      <c r="F15" s="1352"/>
      <c r="G15" s="1353"/>
    </row>
    <row r="16" spans="1:7" s="77" customFormat="1" ht="20.100000000000001" customHeight="1">
      <c r="A16" s="123"/>
      <c r="B16" s="1347"/>
      <c r="C16" s="1348"/>
      <c r="D16" s="1348"/>
      <c r="E16" s="1349"/>
      <c r="F16" s="1089"/>
      <c r="G16" s="1354"/>
    </row>
    <row r="17" spans="1:7" s="77" customFormat="1" ht="20.100000000000001" customHeight="1">
      <c r="A17" s="123"/>
      <c r="B17" s="1089"/>
      <c r="C17" s="1089"/>
      <c r="D17" s="1089"/>
      <c r="E17" s="1089"/>
      <c r="F17" s="1089"/>
      <c r="G17" s="1354"/>
    </row>
    <row r="18" spans="1:7" s="77" customFormat="1" ht="20.100000000000001" customHeight="1">
      <c r="A18" s="123"/>
      <c r="B18" s="1089"/>
      <c r="C18" s="1089"/>
      <c r="D18" s="1089"/>
      <c r="E18" s="1089"/>
      <c r="F18" s="1089"/>
      <c r="G18" s="1354"/>
    </row>
    <row r="19" spans="1:7" s="77" customFormat="1" ht="20.100000000000001" customHeight="1">
      <c r="A19" s="123"/>
      <c r="B19" s="1089"/>
      <c r="C19" s="1089"/>
      <c r="D19" s="1089"/>
      <c r="E19" s="1089"/>
      <c r="F19" s="1089"/>
      <c r="G19" s="1354"/>
    </row>
    <row r="20" spans="1:7" s="77" customFormat="1" ht="20.100000000000001" customHeight="1">
      <c r="A20" s="123"/>
      <c r="B20" s="1089"/>
      <c r="C20" s="1089"/>
      <c r="D20" s="1089"/>
      <c r="E20" s="1089"/>
      <c r="F20" s="1089"/>
      <c r="G20" s="1354"/>
    </row>
    <row r="21" spans="1:7" s="77" customFormat="1" ht="20.100000000000001" customHeight="1">
      <c r="A21" s="123"/>
      <c r="B21" s="1089"/>
      <c r="C21" s="1089"/>
      <c r="D21" s="1089"/>
      <c r="E21" s="1089"/>
      <c r="F21" s="1089"/>
      <c r="G21" s="1354"/>
    </row>
    <row r="22" spans="1:7" s="77" customFormat="1" ht="20.100000000000001" customHeight="1">
      <c r="A22" s="124"/>
      <c r="B22" s="1090"/>
      <c r="C22" s="1090"/>
      <c r="D22" s="1090"/>
      <c r="E22" s="1090"/>
      <c r="F22" s="1090"/>
      <c r="G22" s="1356"/>
    </row>
    <row r="23" spans="1:7">
      <c r="A23" s="69"/>
      <c r="B23" s="69"/>
      <c r="C23" s="69"/>
      <c r="D23" s="69"/>
      <c r="E23" s="69"/>
      <c r="F23" s="69"/>
      <c r="G23" s="69"/>
    </row>
    <row r="24" spans="1:7" ht="23.25" customHeight="1">
      <c r="A24" s="1359" t="s">
        <v>427</v>
      </c>
      <c r="B24" s="1360"/>
      <c r="C24" s="1360"/>
      <c r="D24" s="1360"/>
      <c r="E24" s="1360"/>
      <c r="F24" s="1360"/>
      <c r="G24" s="1361"/>
    </row>
    <row r="25" spans="1:7">
      <c r="A25" s="70"/>
      <c r="B25" s="70"/>
      <c r="C25" s="71"/>
      <c r="D25" s="70"/>
      <c r="E25" s="70"/>
      <c r="F25" s="70"/>
      <c r="G25" s="70"/>
    </row>
    <row r="26" spans="1:7" ht="35.1" customHeight="1">
      <c r="A26" s="73" t="s">
        <v>54</v>
      </c>
      <c r="B26" s="1357" t="s">
        <v>147</v>
      </c>
      <c r="C26" s="1362"/>
      <c r="D26" s="1345" t="s">
        <v>264</v>
      </c>
      <c r="E26" s="1346"/>
      <c r="F26" s="1357" t="s">
        <v>62</v>
      </c>
      <c r="G26" s="1358"/>
    </row>
    <row r="27" spans="1:7" s="77" customFormat="1" ht="27.75" customHeight="1">
      <c r="A27" s="123">
        <v>1</v>
      </c>
      <c r="B27" s="1092" t="s">
        <v>775</v>
      </c>
      <c r="C27" s="1092"/>
      <c r="D27" s="1344">
        <v>42478</v>
      </c>
      <c r="E27" s="1344"/>
      <c r="F27" s="1363"/>
      <c r="G27" s="1364"/>
    </row>
    <row r="28" spans="1:7" s="77" customFormat="1" ht="27.75" customHeight="1">
      <c r="A28" s="123">
        <v>2</v>
      </c>
      <c r="B28" s="1092" t="s">
        <v>776</v>
      </c>
      <c r="C28" s="1092"/>
      <c r="D28" s="1344">
        <v>42484</v>
      </c>
      <c r="E28" s="1344"/>
      <c r="F28" s="1352"/>
      <c r="G28" s="1353"/>
    </row>
    <row r="29" spans="1:7" s="77" customFormat="1" ht="33" customHeight="1">
      <c r="A29" s="123"/>
      <c r="B29" s="1092"/>
      <c r="C29" s="1092"/>
      <c r="D29" s="1344"/>
      <c r="E29" s="1344"/>
      <c r="F29" s="1352"/>
      <c r="G29" s="1353"/>
    </row>
    <row r="30" spans="1:7" s="77" customFormat="1" ht="20.100000000000001" customHeight="1">
      <c r="A30" s="123"/>
      <c r="B30" s="1092"/>
      <c r="C30" s="1092"/>
      <c r="D30" s="1344"/>
      <c r="E30" s="1344"/>
      <c r="F30" s="1089"/>
      <c r="G30" s="1354"/>
    </row>
    <row r="31" spans="1:7" s="77" customFormat="1" ht="20.100000000000001" customHeight="1">
      <c r="A31" s="123"/>
      <c r="B31" s="1092"/>
      <c r="C31" s="1092"/>
      <c r="D31" s="1344"/>
      <c r="E31" s="1344"/>
      <c r="F31" s="1089"/>
      <c r="G31" s="1354"/>
    </row>
    <row r="32" spans="1:7" s="77" customFormat="1" ht="20.100000000000001" customHeight="1">
      <c r="A32" s="123"/>
      <c r="B32" s="1092"/>
      <c r="C32" s="1092"/>
      <c r="D32" s="1344"/>
      <c r="E32" s="1344"/>
      <c r="F32" s="1089"/>
      <c r="G32" s="1354"/>
    </row>
    <row r="33" spans="1:7" s="77" customFormat="1" ht="20.100000000000001" customHeight="1">
      <c r="A33" s="123"/>
      <c r="B33" s="1092"/>
      <c r="C33" s="1092"/>
      <c r="D33" s="1344"/>
      <c r="E33" s="1344"/>
      <c r="F33" s="1089"/>
      <c r="G33" s="1354"/>
    </row>
    <row r="34" spans="1:7" s="77" customFormat="1" ht="20.100000000000001" customHeight="1">
      <c r="A34" s="123"/>
      <c r="B34" s="1089"/>
      <c r="C34" s="1089"/>
      <c r="D34" s="1350"/>
      <c r="E34" s="1350"/>
      <c r="F34" s="1089"/>
      <c r="G34" s="1354"/>
    </row>
    <row r="35" spans="1:7" s="77" customFormat="1" ht="20.100000000000001" customHeight="1">
      <c r="A35" s="123"/>
      <c r="B35" s="1089"/>
      <c r="C35" s="1089"/>
      <c r="D35" s="1350"/>
      <c r="E35" s="1350"/>
      <c r="F35" s="1089"/>
      <c r="G35" s="1354"/>
    </row>
    <row r="36" spans="1:7" s="77" customFormat="1" ht="20.100000000000001" customHeight="1">
      <c r="A36" s="123"/>
      <c r="B36" s="1089"/>
      <c r="C36" s="1089"/>
      <c r="D36" s="1350"/>
      <c r="E36" s="1350"/>
      <c r="F36" s="1089"/>
      <c r="G36" s="1354"/>
    </row>
    <row r="37" spans="1:7" s="77" customFormat="1" ht="20.100000000000001" customHeight="1">
      <c r="A37" s="130"/>
      <c r="B37" s="1090"/>
      <c r="C37" s="1090"/>
      <c r="D37" s="1351"/>
      <c r="E37" s="1351"/>
      <c r="F37" s="1351"/>
      <c r="G37" s="1355"/>
    </row>
  </sheetData>
  <mergeCells count="74">
    <mergeCell ref="F19:G19"/>
    <mergeCell ref="F20:G20"/>
    <mergeCell ref="F21:G21"/>
    <mergeCell ref="F14:G14"/>
    <mergeCell ref="F15:G15"/>
    <mergeCell ref="F16:G16"/>
    <mergeCell ref="F17:G17"/>
    <mergeCell ref="F18:G18"/>
    <mergeCell ref="F10:G10"/>
    <mergeCell ref="F11:G11"/>
    <mergeCell ref="F12:G12"/>
    <mergeCell ref="F13:G13"/>
    <mergeCell ref="A1:B3"/>
    <mergeCell ref="C1:E3"/>
    <mergeCell ref="F7:G7"/>
    <mergeCell ref="F8:G8"/>
    <mergeCell ref="F9:G9"/>
    <mergeCell ref="B8:E8"/>
    <mergeCell ref="B9:E9"/>
    <mergeCell ref="A4:G4"/>
    <mergeCell ref="A6:G6"/>
    <mergeCell ref="B7:E7"/>
    <mergeCell ref="A5:G5"/>
    <mergeCell ref="B10:E10"/>
    <mergeCell ref="F22:G22"/>
    <mergeCell ref="F26:G26"/>
    <mergeCell ref="A24:G24"/>
    <mergeCell ref="B26:C26"/>
    <mergeCell ref="F28:G28"/>
    <mergeCell ref="F27:G27"/>
    <mergeCell ref="F29:G29"/>
    <mergeCell ref="F30:G30"/>
    <mergeCell ref="F31:G31"/>
    <mergeCell ref="F36:G36"/>
    <mergeCell ref="F37:G37"/>
    <mergeCell ref="F32:G32"/>
    <mergeCell ref="F33:G33"/>
    <mergeCell ref="F34:G34"/>
    <mergeCell ref="F35:G35"/>
    <mergeCell ref="D32:E32"/>
    <mergeCell ref="D33:E33"/>
    <mergeCell ref="D34:E34"/>
    <mergeCell ref="D35:E35"/>
    <mergeCell ref="D37:E37"/>
    <mergeCell ref="D36:E36"/>
    <mergeCell ref="B11:E11"/>
    <mergeCell ref="B12:E12"/>
    <mergeCell ref="B13:E13"/>
    <mergeCell ref="B14:E14"/>
    <mergeCell ref="B15:E15"/>
    <mergeCell ref="B16:E16"/>
    <mergeCell ref="B17:E17"/>
    <mergeCell ref="B22:E22"/>
    <mergeCell ref="B20:E20"/>
    <mergeCell ref="B21:E21"/>
    <mergeCell ref="D30:E30"/>
    <mergeCell ref="D31:E31"/>
    <mergeCell ref="B18:E18"/>
    <mergeCell ref="B19:E19"/>
    <mergeCell ref="D29:E29"/>
    <mergeCell ref="D26:E26"/>
    <mergeCell ref="B27:C27"/>
    <mergeCell ref="B28:C28"/>
    <mergeCell ref="B29:C29"/>
    <mergeCell ref="D27:E27"/>
    <mergeCell ref="D28:E28"/>
    <mergeCell ref="B36:C36"/>
    <mergeCell ref="B37:C37"/>
    <mergeCell ref="B34:C34"/>
    <mergeCell ref="B35:C35"/>
    <mergeCell ref="B30:C30"/>
    <mergeCell ref="B31:C31"/>
    <mergeCell ref="B32:C32"/>
    <mergeCell ref="B33:C33"/>
  </mergeCells>
  <printOptions horizontalCentered="1"/>
  <pageMargins left="0.6" right="0.35" top="0.75" bottom="0.5" header="0.3" footer="0.3"/>
  <pageSetup paperSize="9" scale="84" orientation="portrait" r:id="rId1"/>
</worksheet>
</file>

<file path=xl/worksheets/sheet12.xml><?xml version="1.0" encoding="utf-8"?>
<worksheet xmlns="http://schemas.openxmlformats.org/spreadsheetml/2006/main" xmlns:r="http://schemas.openxmlformats.org/officeDocument/2006/relationships">
  <sheetPr>
    <tabColor theme="4" tint="0.39997558519241921"/>
  </sheetPr>
  <dimension ref="A1:O33"/>
  <sheetViews>
    <sheetView view="pageBreakPreview" zoomScale="85" zoomScaleSheetLayoutView="85" workbookViewId="0">
      <selection activeCell="D33" sqref="D33"/>
    </sheetView>
  </sheetViews>
  <sheetFormatPr defaultRowHeight="15"/>
  <cols>
    <col min="1" max="1" width="15.7109375" customWidth="1"/>
    <col min="2" max="2" width="19.7109375" customWidth="1"/>
    <col min="3" max="3" width="25.7109375" customWidth="1"/>
    <col min="4" max="4" width="30.7109375" customWidth="1"/>
    <col min="5" max="5" width="4.7109375" customWidth="1"/>
    <col min="6" max="6" width="25.7109375" customWidth="1"/>
    <col min="7" max="7" width="30.7109375" customWidth="1"/>
    <col min="8" max="8" width="7.7109375" customWidth="1"/>
    <col min="9" max="9" width="18.7109375" customWidth="1"/>
  </cols>
  <sheetData>
    <row r="1" spans="1:15" ht="15" customHeight="1">
      <c r="A1" s="1378"/>
      <c r="B1" s="1381" t="s">
        <v>510</v>
      </c>
      <c r="C1" s="1382"/>
      <c r="D1" s="1382"/>
      <c r="E1" s="1382"/>
      <c r="F1" s="1382"/>
      <c r="G1" s="1382"/>
      <c r="H1" s="247" t="s">
        <v>257</v>
      </c>
      <c r="I1" s="248" t="s">
        <v>411</v>
      </c>
    </row>
    <row r="2" spans="1:15" ht="15" customHeight="1">
      <c r="A2" s="1379"/>
      <c r="B2" s="1099"/>
      <c r="C2" s="1100"/>
      <c r="D2" s="1100"/>
      <c r="E2" s="1100"/>
      <c r="F2" s="1100"/>
      <c r="G2" s="1100"/>
      <c r="H2" s="247" t="s">
        <v>235</v>
      </c>
      <c r="I2" s="248">
        <v>1</v>
      </c>
    </row>
    <row r="3" spans="1:15" ht="15" customHeight="1">
      <c r="A3" s="1380"/>
      <c r="B3" s="1102"/>
      <c r="C3" s="1103"/>
      <c r="D3" s="1103"/>
      <c r="E3" s="1103"/>
      <c r="F3" s="1103"/>
      <c r="G3" s="1103"/>
      <c r="H3" s="249" t="s">
        <v>236</v>
      </c>
      <c r="I3" s="250">
        <f>+'Cover '!T11</f>
        <v>42460</v>
      </c>
    </row>
    <row r="4" spans="1:15">
      <c r="A4" s="1383"/>
      <c r="B4" s="1384"/>
      <c r="C4" s="1384"/>
      <c r="D4" s="1384"/>
      <c r="E4" s="1384"/>
      <c r="F4" s="1384"/>
      <c r="G4" s="1384"/>
      <c r="H4" s="1384"/>
      <c r="I4" s="1385"/>
    </row>
    <row r="5" spans="1:15" ht="24.95" customHeight="1">
      <c r="A5" s="1386" t="s">
        <v>362</v>
      </c>
      <c r="B5" s="1387"/>
      <c r="C5" s="1387"/>
      <c r="D5" s="1387"/>
      <c r="E5" s="1387"/>
      <c r="F5" s="1387"/>
      <c r="G5" s="1387"/>
      <c r="H5" s="1388"/>
      <c r="I5" s="1388"/>
    </row>
    <row r="6" spans="1:15" ht="15" customHeight="1">
      <c r="A6" s="1389"/>
      <c r="B6" s="1390"/>
      <c r="C6" s="1390"/>
      <c r="D6" s="1390"/>
      <c r="E6" s="1390"/>
      <c r="F6" s="1390"/>
      <c r="G6" s="1390"/>
      <c r="H6" s="1390"/>
      <c r="I6" s="1390"/>
    </row>
    <row r="7" spans="1:15" ht="34.5" customHeight="1">
      <c r="A7" s="1391" t="s">
        <v>363</v>
      </c>
      <c r="B7" s="1391"/>
      <c r="C7" s="1391"/>
      <c r="D7" s="1391" t="s">
        <v>364</v>
      </c>
      <c r="E7" s="1391"/>
      <c r="F7" s="1391"/>
      <c r="G7" s="1391" t="s">
        <v>365</v>
      </c>
      <c r="H7" s="1391"/>
      <c r="I7" s="1391"/>
    </row>
    <row r="8" spans="1:15" s="145" customFormat="1" ht="27.95" customHeight="1">
      <c r="A8" s="1392" t="s">
        <v>366</v>
      </c>
      <c r="B8" s="1393"/>
      <c r="C8" s="140">
        <v>49200000</v>
      </c>
      <c r="D8" s="141" t="s">
        <v>367</v>
      </c>
      <c r="E8" s="142"/>
      <c r="F8" s="143">
        <f>'7.2-Scope Management'!G18</f>
        <v>3614250.6949930494</v>
      </c>
      <c r="G8" s="144" t="s">
        <v>363</v>
      </c>
      <c r="H8" s="1394">
        <f>A15</f>
        <v>52051338.962600008</v>
      </c>
      <c r="I8" s="1377"/>
    </row>
    <row r="9" spans="1:15" s="145" customFormat="1" ht="27.95" customHeight="1">
      <c r="A9" s="1374" t="s">
        <v>368</v>
      </c>
      <c r="B9" s="1375"/>
      <c r="C9" s="170">
        <v>0</v>
      </c>
      <c r="D9" s="147" t="s">
        <v>2</v>
      </c>
      <c r="E9" s="148"/>
      <c r="F9" s="149">
        <f>+C10</f>
        <v>154913.84</v>
      </c>
      <c r="G9" s="144" t="s">
        <v>369</v>
      </c>
      <c r="H9" s="1376">
        <v>0</v>
      </c>
      <c r="I9" s="1377"/>
    </row>
    <row r="10" spans="1:15" s="145" customFormat="1" ht="27.95" customHeight="1">
      <c r="A10" s="1374" t="s">
        <v>76</v>
      </c>
      <c r="B10" s="1375"/>
      <c r="C10" s="170">
        <f>+'7.2-Scope Management'!C21</f>
        <v>154913.84</v>
      </c>
      <c r="D10" s="147" t="s">
        <v>370</v>
      </c>
      <c r="E10" s="150"/>
      <c r="F10" s="149">
        <f>+'7.2-Scope Management'!C23</f>
        <v>762911.73239304917</v>
      </c>
      <c r="G10" s="144" t="s">
        <v>371</v>
      </c>
      <c r="H10" s="1376">
        <v>0</v>
      </c>
      <c r="I10" s="1377"/>
      <c r="O10" s="268"/>
    </row>
    <row r="11" spans="1:15" s="77" customFormat="1" ht="27.95" customHeight="1">
      <c r="A11" s="1374" t="s">
        <v>372</v>
      </c>
      <c r="B11" s="1375"/>
      <c r="C11" s="171">
        <v>0</v>
      </c>
      <c r="D11" s="147" t="s">
        <v>400</v>
      </c>
      <c r="E11" s="148"/>
      <c r="F11" s="149" t="s">
        <v>575</v>
      </c>
      <c r="G11" s="144" t="s">
        <v>373</v>
      </c>
      <c r="H11" s="1395">
        <v>0</v>
      </c>
      <c r="I11" s="1396"/>
      <c r="N11" s="269"/>
      <c r="O11" s="269"/>
    </row>
    <row r="12" spans="1:15" s="77" customFormat="1" ht="27.95" customHeight="1">
      <c r="A12" s="1374" t="s">
        <v>374</v>
      </c>
      <c r="B12" s="1375"/>
      <c r="C12" s="170">
        <f>+'7.2-Scope Management'!C22</f>
        <v>2696425.1226000004</v>
      </c>
      <c r="D12" s="147" t="s">
        <v>375</v>
      </c>
      <c r="E12" s="148"/>
      <c r="F12" s="149">
        <f>+'7.2-Scope Management'!C22</f>
        <v>2696425.1226000004</v>
      </c>
      <c r="G12" s="144" t="s">
        <v>376</v>
      </c>
      <c r="H12" s="1376">
        <v>0</v>
      </c>
      <c r="I12" s="1377"/>
      <c r="O12" s="269"/>
    </row>
    <row r="13" spans="1:15" s="77" customFormat="1" ht="27.95" customHeight="1">
      <c r="A13" s="1397" t="s">
        <v>401</v>
      </c>
      <c r="B13" s="1398"/>
      <c r="C13" s="170">
        <v>0</v>
      </c>
      <c r="D13" s="147"/>
      <c r="E13" s="148"/>
      <c r="F13" s="149"/>
      <c r="G13" s="144" t="s">
        <v>377</v>
      </c>
      <c r="H13" s="1376">
        <v>0</v>
      </c>
      <c r="I13" s="1377"/>
      <c r="N13" s="269"/>
      <c r="O13" s="269"/>
    </row>
    <row r="14" spans="1:15" s="77" customFormat="1" ht="27.95" customHeight="1">
      <c r="A14" s="1397"/>
      <c r="B14" s="1398"/>
      <c r="C14" s="146"/>
      <c r="D14" s="151"/>
      <c r="E14" s="152"/>
      <c r="F14" s="149"/>
      <c r="G14" s="153"/>
      <c r="H14" s="1376"/>
      <c r="I14" s="1377"/>
      <c r="N14" s="269"/>
      <c r="O14" s="269"/>
    </row>
    <row r="15" spans="1:15" s="77" customFormat="1" ht="27.95" customHeight="1">
      <c r="A15" s="1399">
        <f>SUM(C8:C14)</f>
        <v>52051338.962600008</v>
      </c>
      <c r="B15" s="1400"/>
      <c r="C15" s="1401"/>
      <c r="D15" s="1402">
        <f>SUM(F9:F12)</f>
        <v>3614250.6949930494</v>
      </c>
      <c r="E15" s="1403"/>
      <c r="F15" s="1404"/>
      <c r="G15" s="1402">
        <f>SUM(H8:I13)</f>
        <v>52051338.962600008</v>
      </c>
      <c r="H15" s="1403"/>
      <c r="I15" s="1404"/>
    </row>
    <row r="16" spans="1:15" s="77" customFormat="1" ht="27.95" customHeight="1">
      <c r="A16" s="1405"/>
      <c r="B16" s="1405"/>
      <c r="C16" s="270"/>
      <c r="D16" s="271"/>
      <c r="E16" s="271"/>
      <c r="F16" s="272"/>
      <c r="G16" s="273"/>
      <c r="H16" s="1406"/>
      <c r="I16" s="1406"/>
    </row>
    <row r="17" spans="1:9" s="77" customFormat="1" ht="27.95" customHeight="1">
      <c r="A17" s="1386" t="s">
        <v>378</v>
      </c>
      <c r="B17" s="1387"/>
      <c r="C17" s="1387"/>
      <c r="D17" s="1387"/>
      <c r="E17" s="1387"/>
      <c r="F17" s="1387"/>
      <c r="G17" s="1387"/>
      <c r="H17" s="1388"/>
      <c r="I17" s="1388"/>
    </row>
    <row r="18" spans="1:9">
      <c r="A18" s="1407"/>
      <c r="B18" s="1408"/>
      <c r="C18" s="1023" t="s">
        <v>241</v>
      </c>
      <c r="D18" s="1024"/>
      <c r="E18" s="1023" t="s">
        <v>144</v>
      </c>
      <c r="F18" s="1024"/>
      <c r="G18" s="1024"/>
      <c r="H18" s="1024" t="s">
        <v>145</v>
      </c>
      <c r="I18" s="1025"/>
    </row>
    <row r="19" spans="1:9">
      <c r="A19" s="1409"/>
      <c r="B19" s="1410"/>
      <c r="C19" s="1411">
        <v>42429</v>
      </c>
      <c r="D19" s="1412"/>
      <c r="E19" s="1411">
        <v>42460</v>
      </c>
      <c r="F19" s="1412"/>
      <c r="G19" s="1412"/>
      <c r="H19" s="1412">
        <f>E19+28</f>
        <v>42488</v>
      </c>
      <c r="I19" s="1413"/>
    </row>
    <row r="20" spans="1:9" s="77" customFormat="1" ht="27.95" customHeight="1">
      <c r="A20" s="1414" t="s">
        <v>1</v>
      </c>
      <c r="B20" s="274" t="s">
        <v>379</v>
      </c>
      <c r="C20" s="1416">
        <f>2.55%*49200000</f>
        <v>1254600</v>
      </c>
      <c r="D20" s="1417"/>
      <c r="E20" s="1416">
        <f>C10</f>
        <v>154913.84</v>
      </c>
      <c r="F20" s="1418"/>
      <c r="G20" s="1417"/>
      <c r="H20" s="1419">
        <f>H21-E21</f>
        <v>2696425.1226000041</v>
      </c>
      <c r="I20" s="1420"/>
    </row>
    <row r="21" spans="1:9" s="77" customFormat="1" ht="27.95" customHeight="1">
      <c r="A21" s="1415"/>
      <c r="B21" s="217" t="s">
        <v>380</v>
      </c>
      <c r="C21" s="1421">
        <f>+'2-Schedule'!Z22*'7-Project Scope +Revenue Detail'!C8</f>
        <v>49200000</v>
      </c>
      <c r="D21" s="1422"/>
      <c r="E21" s="1421">
        <f>C21+E20</f>
        <v>49354913.840000004</v>
      </c>
      <c r="F21" s="1423"/>
      <c r="G21" s="1422"/>
      <c r="H21" s="1424">
        <f>A15</f>
        <v>52051338.962600008</v>
      </c>
      <c r="I21" s="1425"/>
    </row>
    <row r="22" spans="1:9" s="77" customFormat="1" ht="27.95" customHeight="1">
      <c r="A22" s="1414" t="s">
        <v>14</v>
      </c>
      <c r="B22" s="274" t="s">
        <v>379</v>
      </c>
      <c r="C22" s="1416">
        <f>+'7.1-Payment-Detail'!D16</f>
        <v>2459235.9300000002</v>
      </c>
      <c r="D22" s="1417"/>
      <c r="E22" s="1416">
        <f>+'7.1-Payment-Detail'!C17</f>
        <v>3416480.8217900009</v>
      </c>
      <c r="F22" s="1418"/>
      <c r="G22" s="1417"/>
      <c r="H22" s="1426"/>
      <c r="I22" s="1427"/>
    </row>
    <row r="23" spans="1:9" s="77" customFormat="1" ht="27.95" customHeight="1">
      <c r="A23" s="1415"/>
      <c r="B23" s="217" t="s">
        <v>380</v>
      </c>
      <c r="C23" s="1421">
        <f>'7.1-Payment-Detail'!D19</f>
        <v>40992023.643333338</v>
      </c>
      <c r="D23" s="1422"/>
      <c r="E23" s="1421">
        <f>C23+E22</f>
        <v>44408504.46512334</v>
      </c>
      <c r="F23" s="1423"/>
      <c r="G23" s="1422"/>
      <c r="H23" s="1428"/>
      <c r="I23" s="1429"/>
    </row>
    <row r="24" spans="1:9" s="77" customFormat="1" ht="27.95" customHeight="1">
      <c r="A24" s="1414" t="s">
        <v>12</v>
      </c>
      <c r="B24" s="274" t="s">
        <v>379</v>
      </c>
      <c r="C24" s="1430">
        <f>C22-C20</f>
        <v>1204635.9300000002</v>
      </c>
      <c r="D24" s="1431"/>
      <c r="E24" s="1430">
        <f>E22-E20</f>
        <v>3261566.981790001</v>
      </c>
      <c r="F24" s="1432"/>
      <c r="G24" s="1431"/>
      <c r="H24" s="1428"/>
      <c r="I24" s="1429"/>
    </row>
    <row r="25" spans="1:9" ht="27.75" customHeight="1">
      <c r="A25" s="1415"/>
      <c r="B25" s="217" t="s">
        <v>380</v>
      </c>
      <c r="C25" s="1433">
        <f>C23-C21</f>
        <v>-8207976.3566666618</v>
      </c>
      <c r="D25" s="1434"/>
      <c r="E25" s="1433">
        <f>E23-E21</f>
        <v>-4946409.3748766631</v>
      </c>
      <c r="F25" s="1435"/>
      <c r="G25" s="1434"/>
      <c r="H25" s="1436"/>
      <c r="I25" s="1437"/>
    </row>
    <row r="33" spans="4:4">
      <c r="D33" s="339">
        <f>E23/C8</f>
        <v>0.9026118793724256</v>
      </c>
    </row>
  </sheetData>
  <mergeCells count="58">
    <mergeCell ref="A24:A25"/>
    <mergeCell ref="C24:D24"/>
    <mergeCell ref="E24:G24"/>
    <mergeCell ref="H24:I24"/>
    <mergeCell ref="C25:D25"/>
    <mergeCell ref="E25:G25"/>
    <mergeCell ref="H25:I25"/>
    <mergeCell ref="A22:A23"/>
    <mergeCell ref="C22:D22"/>
    <mergeCell ref="E22:G22"/>
    <mergeCell ref="H22:I22"/>
    <mergeCell ref="C23:D23"/>
    <mergeCell ref="E23:G23"/>
    <mergeCell ref="H23:I23"/>
    <mergeCell ref="A20:A21"/>
    <mergeCell ref="C20:D20"/>
    <mergeCell ref="E20:G20"/>
    <mergeCell ref="H20:I20"/>
    <mergeCell ref="C21:D21"/>
    <mergeCell ref="E21:G21"/>
    <mergeCell ref="H21:I21"/>
    <mergeCell ref="A16:B16"/>
    <mergeCell ref="H16:I16"/>
    <mergeCell ref="A17:G17"/>
    <mergeCell ref="H17:I17"/>
    <mergeCell ref="A18:B19"/>
    <mergeCell ref="C18:D18"/>
    <mergeCell ref="E18:G18"/>
    <mergeCell ref="H18:I18"/>
    <mergeCell ref="C19:D19"/>
    <mergeCell ref="E19:G19"/>
    <mergeCell ref="H19:I19"/>
    <mergeCell ref="A13:B13"/>
    <mergeCell ref="H13:I13"/>
    <mergeCell ref="A14:B14"/>
    <mergeCell ref="H14:I14"/>
    <mergeCell ref="A15:C15"/>
    <mergeCell ref="D15:F15"/>
    <mergeCell ref="G15:I15"/>
    <mergeCell ref="A10:B10"/>
    <mergeCell ref="H10:I10"/>
    <mergeCell ref="A11:B11"/>
    <mergeCell ref="H11:I11"/>
    <mergeCell ref="A12:B12"/>
    <mergeCell ref="H12:I12"/>
    <mergeCell ref="A9:B9"/>
    <mergeCell ref="H9:I9"/>
    <mergeCell ref="A1:A3"/>
    <mergeCell ref="B1:G3"/>
    <mergeCell ref="A4:I4"/>
    <mergeCell ref="A5:G5"/>
    <mergeCell ref="H5:I5"/>
    <mergeCell ref="A6:I6"/>
    <mergeCell ref="A7:C7"/>
    <mergeCell ref="D7:F7"/>
    <mergeCell ref="G7:I7"/>
    <mergeCell ref="A8:B8"/>
    <mergeCell ref="H8:I8"/>
  </mergeCells>
  <printOptions horizontalCentered="1"/>
  <pageMargins left="0.25" right="0.25" top="0.25" bottom="0.25" header="0.3" footer="0.3"/>
  <pageSetup paperSize="9" scale="76" fitToHeight="0" orientation="landscape" r:id="rId1"/>
  <headerFooter scaleWithDoc="0" alignWithMargins="0">
    <oddFooter>&amp;L          -----------------------
          Commercial Manager&amp;R --------------------          .       
          Project  Manager        .</oddFooter>
  </headerFooter>
</worksheet>
</file>

<file path=xl/worksheets/sheet13.xml><?xml version="1.0" encoding="utf-8"?>
<worksheet xmlns="http://schemas.openxmlformats.org/spreadsheetml/2006/main" xmlns:r="http://schemas.openxmlformats.org/officeDocument/2006/relationships">
  <sheetPr>
    <tabColor theme="4" tint="0.39997558519241921"/>
  </sheetPr>
  <dimension ref="A1:J19"/>
  <sheetViews>
    <sheetView view="pageBreakPreview" zoomScaleSheetLayoutView="100" workbookViewId="0">
      <selection activeCell="D19" sqref="D19"/>
    </sheetView>
  </sheetViews>
  <sheetFormatPr defaultRowHeight="15"/>
  <cols>
    <col min="1" max="1" width="16" customWidth="1"/>
    <col min="2" max="2" width="18.42578125" customWidth="1"/>
    <col min="3" max="3" width="21.85546875" customWidth="1"/>
    <col min="4" max="4" width="22.5703125" customWidth="1"/>
    <col min="5" max="5" width="21.28515625" customWidth="1"/>
    <col min="6" max="6" width="7.140625" customWidth="1"/>
    <col min="7" max="7" width="16.85546875" customWidth="1"/>
    <col min="9" max="9" width="14.28515625" bestFit="1" customWidth="1"/>
    <col min="10" max="10" width="17.42578125" customWidth="1"/>
  </cols>
  <sheetData>
    <row r="1" spans="1:10" ht="15" customHeight="1">
      <c r="A1" s="1378"/>
      <c r="B1" s="1381" t="s">
        <v>509</v>
      </c>
      <c r="C1" s="1382"/>
      <c r="D1" s="1382"/>
      <c r="E1" s="1382"/>
      <c r="F1" s="247" t="s">
        <v>257</v>
      </c>
      <c r="G1" s="300" t="s">
        <v>411</v>
      </c>
    </row>
    <row r="2" spans="1:10" ht="15" customHeight="1">
      <c r="A2" s="1379"/>
      <c r="B2" s="1099"/>
      <c r="C2" s="1100"/>
      <c r="D2" s="1100"/>
      <c r="E2" s="1100"/>
      <c r="F2" s="247" t="s">
        <v>235</v>
      </c>
      <c r="G2" s="300">
        <v>0</v>
      </c>
    </row>
    <row r="3" spans="1:10" ht="15" customHeight="1">
      <c r="A3" s="1380"/>
      <c r="B3" s="1102"/>
      <c r="C3" s="1103"/>
      <c r="D3" s="1103"/>
      <c r="E3" s="1103"/>
      <c r="F3" s="249" t="s">
        <v>236</v>
      </c>
      <c r="G3" s="368">
        <f>+'Cover '!T11</f>
        <v>42460</v>
      </c>
    </row>
    <row r="4" spans="1:10">
      <c r="A4" s="1383"/>
      <c r="B4" s="1384"/>
      <c r="C4" s="1384"/>
      <c r="D4" s="1384"/>
      <c r="E4" s="1384"/>
      <c r="F4" s="1384"/>
      <c r="G4" s="1385"/>
    </row>
    <row r="5" spans="1:10" ht="24.95" customHeight="1">
      <c r="A5" s="1438" t="s">
        <v>281</v>
      </c>
      <c r="B5" s="1439"/>
      <c r="C5" s="1439"/>
      <c r="D5" s="1439"/>
      <c r="E5" s="1439"/>
      <c r="F5" s="1439"/>
      <c r="G5" s="1440"/>
    </row>
    <row r="6" spans="1:10" ht="15" customHeight="1">
      <c r="A6" s="1389"/>
      <c r="B6" s="1390"/>
      <c r="C6" s="1390"/>
      <c r="D6" s="1390"/>
      <c r="E6" s="1390"/>
      <c r="F6" s="1390"/>
      <c r="G6" s="1390"/>
    </row>
    <row r="7" spans="1:10" ht="15.75" customHeight="1">
      <c r="A7" s="1441" t="s">
        <v>281</v>
      </c>
      <c r="B7" s="1441"/>
      <c r="C7" s="1441"/>
      <c r="D7" s="1441" t="s">
        <v>279</v>
      </c>
      <c r="E7" s="1441"/>
      <c r="F7" s="1441" t="s">
        <v>282</v>
      </c>
      <c r="G7" s="1441"/>
    </row>
    <row r="8" spans="1:10" s="77" customFormat="1" ht="22.5">
      <c r="A8" s="251" t="s">
        <v>277</v>
      </c>
      <c r="B8" s="252" t="s">
        <v>278</v>
      </c>
      <c r="C8" s="251" t="s">
        <v>501</v>
      </c>
      <c r="D8" s="251" t="s">
        <v>502</v>
      </c>
      <c r="E8" s="252" t="s">
        <v>280</v>
      </c>
      <c r="F8" s="1441"/>
      <c r="G8" s="1441"/>
    </row>
    <row r="9" spans="1:10" s="77" customFormat="1" ht="27.95" customHeight="1">
      <c r="A9" s="253" t="s">
        <v>314</v>
      </c>
      <c r="B9" s="254">
        <v>42156</v>
      </c>
      <c r="C9" s="255">
        <v>2996167.93</v>
      </c>
      <c r="D9" s="256">
        <v>1938041.27</v>
      </c>
      <c r="E9" s="256">
        <v>0</v>
      </c>
      <c r="F9" s="1442">
        <f t="shared" ref="F9:F14" si="0">D9-E9</f>
        <v>1938041.27</v>
      </c>
      <c r="G9" s="1443"/>
    </row>
    <row r="10" spans="1:10" s="77" customFormat="1" ht="27.95" customHeight="1">
      <c r="A10" s="105" t="s">
        <v>315</v>
      </c>
      <c r="B10" s="131">
        <v>42217</v>
      </c>
      <c r="C10" s="132">
        <v>5186175.7300000004</v>
      </c>
      <c r="D10" s="96">
        <v>5202842.3899999997</v>
      </c>
      <c r="E10" s="96">
        <v>0</v>
      </c>
      <c r="F10" s="1444">
        <f t="shared" si="0"/>
        <v>5202842.3899999997</v>
      </c>
      <c r="G10" s="1445"/>
    </row>
    <row r="11" spans="1:10" s="77" customFormat="1" ht="27.95" customHeight="1">
      <c r="A11" s="105" t="s">
        <v>316</v>
      </c>
      <c r="B11" s="131">
        <v>42248</v>
      </c>
      <c r="C11" s="132">
        <v>7538395.71</v>
      </c>
      <c r="D11" s="96">
        <v>7538395.71</v>
      </c>
      <c r="E11" s="96">
        <v>0</v>
      </c>
      <c r="F11" s="1444">
        <f t="shared" si="0"/>
        <v>7538395.71</v>
      </c>
      <c r="G11" s="1445"/>
    </row>
    <row r="12" spans="1:10" s="77" customFormat="1" ht="27.95" customHeight="1">
      <c r="A12" s="105" t="s">
        <v>317</v>
      </c>
      <c r="B12" s="131">
        <v>42278</v>
      </c>
      <c r="C12" s="132">
        <v>4743047.62</v>
      </c>
      <c r="D12" s="96">
        <v>4743047.62</v>
      </c>
      <c r="E12" s="96">
        <v>717523.49</v>
      </c>
      <c r="F12" s="1444">
        <f t="shared" si="0"/>
        <v>4025524.13</v>
      </c>
      <c r="G12" s="1445"/>
    </row>
    <row r="13" spans="1:10" s="77" customFormat="1" ht="27.95" customHeight="1">
      <c r="A13" s="105" t="s">
        <v>523</v>
      </c>
      <c r="B13" s="131">
        <v>42309</v>
      </c>
      <c r="C13" s="132">
        <v>16848141</v>
      </c>
      <c r="D13" s="299">
        <v>12499872.783333335</v>
      </c>
      <c r="E13" s="96">
        <v>0</v>
      </c>
      <c r="F13" s="1444">
        <f t="shared" si="0"/>
        <v>12499872.783333335</v>
      </c>
      <c r="G13" s="1445"/>
      <c r="I13" s="281"/>
      <c r="J13" s="281"/>
    </row>
    <row r="14" spans="1:10" s="77" customFormat="1" ht="27.95" customHeight="1">
      <c r="A14" s="105" t="s">
        <v>551</v>
      </c>
      <c r="B14" s="131">
        <v>42339</v>
      </c>
      <c r="C14" s="298">
        <v>6292070.8999999994</v>
      </c>
      <c r="D14" s="298">
        <v>2965648.9</v>
      </c>
      <c r="E14" s="299">
        <v>1174841.31</v>
      </c>
      <c r="F14" s="1444">
        <f t="shared" si="0"/>
        <v>1790807.5899999999</v>
      </c>
      <c r="G14" s="1445"/>
      <c r="J14" s="561"/>
    </row>
    <row r="15" spans="1:10" s="77" customFormat="1" ht="27.95" customHeight="1">
      <c r="A15" s="105" t="s">
        <v>576</v>
      </c>
      <c r="B15" s="131">
        <v>42370</v>
      </c>
      <c r="C15" s="298">
        <v>5597711.1500000013</v>
      </c>
      <c r="D15" s="299">
        <v>3644939.04</v>
      </c>
      <c r="E15" s="299">
        <v>535277.25</v>
      </c>
      <c r="F15" s="1444">
        <f t="shared" ref="F15" si="1">D15-E15</f>
        <v>3109661.79</v>
      </c>
      <c r="G15" s="1445"/>
    </row>
    <row r="16" spans="1:10" s="77" customFormat="1" ht="27.95" customHeight="1">
      <c r="A16" s="105" t="s">
        <v>725</v>
      </c>
      <c r="B16" s="131">
        <v>42401</v>
      </c>
      <c r="C16" s="298">
        <v>3687342.0290000001</v>
      </c>
      <c r="D16" s="299">
        <v>2459235.9300000002</v>
      </c>
      <c r="E16" s="299"/>
      <c r="F16" s="1444"/>
      <c r="G16" s="1445"/>
    </row>
    <row r="17" spans="1:10" s="77" customFormat="1" ht="27.95" customHeight="1">
      <c r="A17" s="105" t="s">
        <v>790</v>
      </c>
      <c r="B17" s="131">
        <v>42430</v>
      </c>
      <c r="C17" s="627">
        <v>3416480.8217900009</v>
      </c>
      <c r="D17" s="628"/>
      <c r="E17" s="628"/>
      <c r="F17" s="1444"/>
      <c r="G17" s="1445"/>
    </row>
    <row r="18" spans="1:10" s="77" customFormat="1" ht="27.95" customHeight="1">
      <c r="A18" s="178"/>
      <c r="B18" s="167"/>
      <c r="C18" s="155"/>
      <c r="D18" s="155"/>
      <c r="E18" s="155"/>
      <c r="F18" s="1446"/>
      <c r="G18" s="1447"/>
      <c r="J18" s="281"/>
    </row>
    <row r="19" spans="1:10" s="77" customFormat="1" ht="27.95" customHeight="1">
      <c r="A19" s="1448" t="s">
        <v>266</v>
      </c>
      <c r="B19" s="1448"/>
      <c r="C19" s="257">
        <f>C17+D19</f>
        <v>44408504.46512334</v>
      </c>
      <c r="D19" s="257">
        <f>SUM(D9:D18)</f>
        <v>40992023.643333338</v>
      </c>
      <c r="E19" s="257">
        <f>SUM(E9:E18)</f>
        <v>2427642.0499999998</v>
      </c>
      <c r="F19" s="1449">
        <f>SUM(F9:G18)</f>
        <v>36105145.663333334</v>
      </c>
      <c r="G19" s="1449"/>
      <c r="J19" s="281"/>
    </row>
  </sheetData>
  <mergeCells count="20">
    <mergeCell ref="F11:G11"/>
    <mergeCell ref="F12:G12"/>
    <mergeCell ref="F13:G13"/>
    <mergeCell ref="F18:G18"/>
    <mergeCell ref="A19:B19"/>
    <mergeCell ref="F19:G19"/>
    <mergeCell ref="F14:G14"/>
    <mergeCell ref="F15:G15"/>
    <mergeCell ref="F16:G16"/>
    <mergeCell ref="F17:G17"/>
    <mergeCell ref="A7:C7"/>
    <mergeCell ref="D7:E7"/>
    <mergeCell ref="F7:G8"/>
    <mergeCell ref="F9:G9"/>
    <mergeCell ref="F10:G10"/>
    <mergeCell ref="A1:A3"/>
    <mergeCell ref="B1:E3"/>
    <mergeCell ref="A4:G4"/>
    <mergeCell ref="A5:G5"/>
    <mergeCell ref="A6:G6"/>
  </mergeCells>
  <printOptions horizontalCentered="1"/>
  <pageMargins left="0.25" right="0.25" top="0.25" bottom="0.25" header="0.3" footer="0.3"/>
  <pageSetup paperSize="9" scale="79" fitToHeight="0" orientation="portrait" r:id="rId1"/>
  <headerFooter scaleWithDoc="0" alignWithMargins="0">
    <oddFooter>&amp;L          -----------------------
          Commercail Manager&amp;R --------------------          .       
          Project  Manager        .</oddFooter>
  </headerFooter>
</worksheet>
</file>

<file path=xl/worksheets/sheet14.xml><?xml version="1.0" encoding="utf-8"?>
<worksheet xmlns="http://schemas.openxmlformats.org/spreadsheetml/2006/main" xmlns:r="http://schemas.openxmlformats.org/officeDocument/2006/relationships">
  <sheetPr>
    <tabColor theme="4" tint="0.39997558519241921"/>
  </sheetPr>
  <dimension ref="A1:U59"/>
  <sheetViews>
    <sheetView view="pageBreakPreview" zoomScale="80" zoomScaleNormal="60" zoomScaleSheetLayoutView="80" workbookViewId="0">
      <selection activeCell="E24" sqref="E24"/>
    </sheetView>
  </sheetViews>
  <sheetFormatPr defaultRowHeight="15"/>
  <cols>
    <col min="1" max="1" width="11.85546875" customWidth="1"/>
    <col min="2" max="2" width="72.85546875" customWidth="1"/>
    <col min="3" max="4" width="16" customWidth="1"/>
    <col min="5" max="5" width="18.28515625" style="133" bestFit="1" customWidth="1"/>
    <col min="6" max="6" width="16.140625" customWidth="1"/>
    <col min="7" max="8" width="17.42578125" customWidth="1"/>
    <col min="9" max="9" width="15.7109375" customWidth="1"/>
    <col min="10" max="10" width="12.5703125" customWidth="1"/>
    <col min="11" max="11" width="12" customWidth="1"/>
    <col min="12" max="12" width="10" customWidth="1"/>
    <col min="13" max="13" width="14.5703125" customWidth="1"/>
    <col min="14" max="14" width="23.28515625" customWidth="1"/>
    <col min="16" max="16" width="13" bestFit="1" customWidth="1"/>
    <col min="17" max="17" width="13" customWidth="1"/>
    <col min="18" max="18" width="16.42578125" bestFit="1" customWidth="1"/>
    <col min="19" max="19" width="11.140625" customWidth="1"/>
    <col min="20" max="21" width="10.85546875" bestFit="1" customWidth="1"/>
    <col min="259" max="259" width="11.85546875" customWidth="1"/>
    <col min="260" max="260" width="72.85546875" customWidth="1"/>
    <col min="261" max="262" width="16" customWidth="1"/>
    <col min="263" max="263" width="17.7109375" bestFit="1" customWidth="1"/>
    <col min="264" max="264" width="16.140625" customWidth="1"/>
    <col min="265" max="265" width="15.140625" customWidth="1"/>
    <col min="266" max="266" width="13" customWidth="1"/>
    <col min="267" max="267" width="13.42578125" customWidth="1"/>
    <col min="268" max="268" width="10.140625" customWidth="1"/>
    <col min="269" max="269" width="10.28515625" customWidth="1"/>
    <col min="270" max="270" width="12.7109375" customWidth="1"/>
    <col min="271" max="271" width="33" customWidth="1"/>
    <col min="515" max="515" width="11.85546875" customWidth="1"/>
    <col min="516" max="516" width="72.85546875" customWidth="1"/>
    <col min="517" max="518" width="16" customWidth="1"/>
    <col min="519" max="519" width="17.7109375" bestFit="1" customWidth="1"/>
    <col min="520" max="520" width="16.140625" customWidth="1"/>
    <col min="521" max="521" width="15.140625" customWidth="1"/>
    <col min="522" max="522" width="13" customWidth="1"/>
    <col min="523" max="523" width="13.42578125" customWidth="1"/>
    <col min="524" max="524" width="10.140625" customWidth="1"/>
    <col min="525" max="525" width="10.28515625" customWidth="1"/>
    <col min="526" max="526" width="12.7109375" customWidth="1"/>
    <col min="527" max="527" width="33" customWidth="1"/>
    <col min="771" max="771" width="11.85546875" customWidth="1"/>
    <col min="772" max="772" width="72.85546875" customWidth="1"/>
    <col min="773" max="774" width="16" customWidth="1"/>
    <col min="775" max="775" width="17.7109375" bestFit="1" customWidth="1"/>
    <col min="776" max="776" width="16.140625" customWidth="1"/>
    <col min="777" max="777" width="15.140625" customWidth="1"/>
    <col min="778" max="778" width="13" customWidth="1"/>
    <col min="779" max="779" width="13.42578125" customWidth="1"/>
    <col min="780" max="780" width="10.140625" customWidth="1"/>
    <col min="781" max="781" width="10.28515625" customWidth="1"/>
    <col min="782" max="782" width="12.7109375" customWidth="1"/>
    <col min="783" max="783" width="33" customWidth="1"/>
    <col min="1027" max="1027" width="11.85546875" customWidth="1"/>
    <col min="1028" max="1028" width="72.85546875" customWidth="1"/>
    <col min="1029" max="1030" width="16" customWidth="1"/>
    <col min="1031" max="1031" width="17.7109375" bestFit="1" customWidth="1"/>
    <col min="1032" max="1032" width="16.140625" customWidth="1"/>
    <col min="1033" max="1033" width="15.140625" customWidth="1"/>
    <col min="1034" max="1034" width="13" customWidth="1"/>
    <col min="1035" max="1035" width="13.42578125" customWidth="1"/>
    <col min="1036" max="1036" width="10.140625" customWidth="1"/>
    <col min="1037" max="1037" width="10.28515625" customWidth="1"/>
    <col min="1038" max="1038" width="12.7109375" customWidth="1"/>
    <col min="1039" max="1039" width="33" customWidth="1"/>
    <col min="1283" max="1283" width="11.85546875" customWidth="1"/>
    <col min="1284" max="1284" width="72.85546875" customWidth="1"/>
    <col min="1285" max="1286" width="16" customWidth="1"/>
    <col min="1287" max="1287" width="17.7109375" bestFit="1" customWidth="1"/>
    <col min="1288" max="1288" width="16.140625" customWidth="1"/>
    <col min="1289" max="1289" width="15.140625" customWidth="1"/>
    <col min="1290" max="1290" width="13" customWidth="1"/>
    <col min="1291" max="1291" width="13.42578125" customWidth="1"/>
    <col min="1292" max="1292" width="10.140625" customWidth="1"/>
    <col min="1293" max="1293" width="10.28515625" customWidth="1"/>
    <col min="1294" max="1294" width="12.7109375" customWidth="1"/>
    <col min="1295" max="1295" width="33" customWidth="1"/>
    <col min="1539" max="1539" width="11.85546875" customWidth="1"/>
    <col min="1540" max="1540" width="72.85546875" customWidth="1"/>
    <col min="1541" max="1542" width="16" customWidth="1"/>
    <col min="1543" max="1543" width="17.7109375" bestFit="1" customWidth="1"/>
    <col min="1544" max="1544" width="16.140625" customWidth="1"/>
    <col min="1545" max="1545" width="15.140625" customWidth="1"/>
    <col min="1546" max="1546" width="13" customWidth="1"/>
    <col min="1547" max="1547" width="13.42578125" customWidth="1"/>
    <col min="1548" max="1548" width="10.140625" customWidth="1"/>
    <col min="1549" max="1549" width="10.28515625" customWidth="1"/>
    <col min="1550" max="1550" width="12.7109375" customWidth="1"/>
    <col min="1551" max="1551" width="33" customWidth="1"/>
    <col min="1795" max="1795" width="11.85546875" customWidth="1"/>
    <col min="1796" max="1796" width="72.85546875" customWidth="1"/>
    <col min="1797" max="1798" width="16" customWidth="1"/>
    <col min="1799" max="1799" width="17.7109375" bestFit="1" customWidth="1"/>
    <col min="1800" max="1800" width="16.140625" customWidth="1"/>
    <col min="1801" max="1801" width="15.140625" customWidth="1"/>
    <col min="1802" max="1802" width="13" customWidth="1"/>
    <col min="1803" max="1803" width="13.42578125" customWidth="1"/>
    <col min="1804" max="1804" width="10.140625" customWidth="1"/>
    <col min="1805" max="1805" width="10.28515625" customWidth="1"/>
    <col min="1806" max="1806" width="12.7109375" customWidth="1"/>
    <col min="1807" max="1807" width="33" customWidth="1"/>
    <col min="2051" max="2051" width="11.85546875" customWidth="1"/>
    <col min="2052" max="2052" width="72.85546875" customWidth="1"/>
    <col min="2053" max="2054" width="16" customWidth="1"/>
    <col min="2055" max="2055" width="17.7109375" bestFit="1" customWidth="1"/>
    <col min="2056" max="2056" width="16.140625" customWidth="1"/>
    <col min="2057" max="2057" width="15.140625" customWidth="1"/>
    <col min="2058" max="2058" width="13" customWidth="1"/>
    <col min="2059" max="2059" width="13.42578125" customWidth="1"/>
    <col min="2060" max="2060" width="10.140625" customWidth="1"/>
    <col min="2061" max="2061" width="10.28515625" customWidth="1"/>
    <col min="2062" max="2062" width="12.7109375" customWidth="1"/>
    <col min="2063" max="2063" width="33" customWidth="1"/>
    <col min="2307" max="2307" width="11.85546875" customWidth="1"/>
    <col min="2308" max="2308" width="72.85546875" customWidth="1"/>
    <col min="2309" max="2310" width="16" customWidth="1"/>
    <col min="2311" max="2311" width="17.7109375" bestFit="1" customWidth="1"/>
    <col min="2312" max="2312" width="16.140625" customWidth="1"/>
    <col min="2313" max="2313" width="15.140625" customWidth="1"/>
    <col min="2314" max="2314" width="13" customWidth="1"/>
    <col min="2315" max="2315" width="13.42578125" customWidth="1"/>
    <col min="2316" max="2316" width="10.140625" customWidth="1"/>
    <col min="2317" max="2317" width="10.28515625" customWidth="1"/>
    <col min="2318" max="2318" width="12.7109375" customWidth="1"/>
    <col min="2319" max="2319" width="33" customWidth="1"/>
    <col min="2563" max="2563" width="11.85546875" customWidth="1"/>
    <col min="2564" max="2564" width="72.85546875" customWidth="1"/>
    <col min="2565" max="2566" width="16" customWidth="1"/>
    <col min="2567" max="2567" width="17.7109375" bestFit="1" customWidth="1"/>
    <col min="2568" max="2568" width="16.140625" customWidth="1"/>
    <col min="2569" max="2569" width="15.140625" customWidth="1"/>
    <col min="2570" max="2570" width="13" customWidth="1"/>
    <col min="2571" max="2571" width="13.42578125" customWidth="1"/>
    <col min="2572" max="2572" width="10.140625" customWidth="1"/>
    <col min="2573" max="2573" width="10.28515625" customWidth="1"/>
    <col min="2574" max="2574" width="12.7109375" customWidth="1"/>
    <col min="2575" max="2575" width="33" customWidth="1"/>
    <col min="2819" max="2819" width="11.85546875" customWidth="1"/>
    <col min="2820" max="2820" width="72.85546875" customWidth="1"/>
    <col min="2821" max="2822" width="16" customWidth="1"/>
    <col min="2823" max="2823" width="17.7109375" bestFit="1" customWidth="1"/>
    <col min="2824" max="2824" width="16.140625" customWidth="1"/>
    <col min="2825" max="2825" width="15.140625" customWidth="1"/>
    <col min="2826" max="2826" width="13" customWidth="1"/>
    <col min="2827" max="2827" width="13.42578125" customWidth="1"/>
    <col min="2828" max="2828" width="10.140625" customWidth="1"/>
    <col min="2829" max="2829" width="10.28515625" customWidth="1"/>
    <col min="2830" max="2830" width="12.7109375" customWidth="1"/>
    <col min="2831" max="2831" width="33" customWidth="1"/>
    <col min="3075" max="3075" width="11.85546875" customWidth="1"/>
    <col min="3076" max="3076" width="72.85546875" customWidth="1"/>
    <col min="3077" max="3078" width="16" customWidth="1"/>
    <col min="3079" max="3079" width="17.7109375" bestFit="1" customWidth="1"/>
    <col min="3080" max="3080" width="16.140625" customWidth="1"/>
    <col min="3081" max="3081" width="15.140625" customWidth="1"/>
    <col min="3082" max="3082" width="13" customWidth="1"/>
    <col min="3083" max="3083" width="13.42578125" customWidth="1"/>
    <col min="3084" max="3084" width="10.140625" customWidth="1"/>
    <col min="3085" max="3085" width="10.28515625" customWidth="1"/>
    <col min="3086" max="3086" width="12.7109375" customWidth="1"/>
    <col min="3087" max="3087" width="33" customWidth="1"/>
    <col min="3331" max="3331" width="11.85546875" customWidth="1"/>
    <col min="3332" max="3332" width="72.85546875" customWidth="1"/>
    <col min="3333" max="3334" width="16" customWidth="1"/>
    <col min="3335" max="3335" width="17.7109375" bestFit="1" customWidth="1"/>
    <col min="3336" max="3336" width="16.140625" customWidth="1"/>
    <col min="3337" max="3337" width="15.140625" customWidth="1"/>
    <col min="3338" max="3338" width="13" customWidth="1"/>
    <col min="3339" max="3339" width="13.42578125" customWidth="1"/>
    <col min="3340" max="3340" width="10.140625" customWidth="1"/>
    <col min="3341" max="3341" width="10.28515625" customWidth="1"/>
    <col min="3342" max="3342" width="12.7109375" customWidth="1"/>
    <col min="3343" max="3343" width="33" customWidth="1"/>
    <col min="3587" max="3587" width="11.85546875" customWidth="1"/>
    <col min="3588" max="3588" width="72.85546875" customWidth="1"/>
    <col min="3589" max="3590" width="16" customWidth="1"/>
    <col min="3591" max="3591" width="17.7109375" bestFit="1" customWidth="1"/>
    <col min="3592" max="3592" width="16.140625" customWidth="1"/>
    <col min="3593" max="3593" width="15.140625" customWidth="1"/>
    <col min="3594" max="3594" width="13" customWidth="1"/>
    <col min="3595" max="3595" width="13.42578125" customWidth="1"/>
    <col min="3596" max="3596" width="10.140625" customWidth="1"/>
    <col min="3597" max="3597" width="10.28515625" customWidth="1"/>
    <col min="3598" max="3598" width="12.7109375" customWidth="1"/>
    <col min="3599" max="3599" width="33" customWidth="1"/>
    <col min="3843" max="3843" width="11.85546875" customWidth="1"/>
    <col min="3844" max="3844" width="72.85546875" customWidth="1"/>
    <col min="3845" max="3846" width="16" customWidth="1"/>
    <col min="3847" max="3847" width="17.7109375" bestFit="1" customWidth="1"/>
    <col min="3848" max="3848" width="16.140625" customWidth="1"/>
    <col min="3849" max="3849" width="15.140625" customWidth="1"/>
    <col min="3850" max="3850" width="13" customWidth="1"/>
    <col min="3851" max="3851" width="13.42578125" customWidth="1"/>
    <col min="3852" max="3852" width="10.140625" customWidth="1"/>
    <col min="3853" max="3853" width="10.28515625" customWidth="1"/>
    <col min="3854" max="3854" width="12.7109375" customWidth="1"/>
    <col min="3855" max="3855" width="33" customWidth="1"/>
    <col min="4099" max="4099" width="11.85546875" customWidth="1"/>
    <col min="4100" max="4100" width="72.85546875" customWidth="1"/>
    <col min="4101" max="4102" width="16" customWidth="1"/>
    <col min="4103" max="4103" width="17.7109375" bestFit="1" customWidth="1"/>
    <col min="4104" max="4104" width="16.140625" customWidth="1"/>
    <col min="4105" max="4105" width="15.140625" customWidth="1"/>
    <col min="4106" max="4106" width="13" customWidth="1"/>
    <col min="4107" max="4107" width="13.42578125" customWidth="1"/>
    <col min="4108" max="4108" width="10.140625" customWidth="1"/>
    <col min="4109" max="4109" width="10.28515625" customWidth="1"/>
    <col min="4110" max="4110" width="12.7109375" customWidth="1"/>
    <col min="4111" max="4111" width="33" customWidth="1"/>
    <col min="4355" max="4355" width="11.85546875" customWidth="1"/>
    <col min="4356" max="4356" width="72.85546875" customWidth="1"/>
    <col min="4357" max="4358" width="16" customWidth="1"/>
    <col min="4359" max="4359" width="17.7109375" bestFit="1" customWidth="1"/>
    <col min="4360" max="4360" width="16.140625" customWidth="1"/>
    <col min="4361" max="4361" width="15.140625" customWidth="1"/>
    <col min="4362" max="4362" width="13" customWidth="1"/>
    <col min="4363" max="4363" width="13.42578125" customWidth="1"/>
    <col min="4364" max="4364" width="10.140625" customWidth="1"/>
    <col min="4365" max="4365" width="10.28515625" customWidth="1"/>
    <col min="4366" max="4366" width="12.7109375" customWidth="1"/>
    <col min="4367" max="4367" width="33" customWidth="1"/>
    <col min="4611" max="4611" width="11.85546875" customWidth="1"/>
    <col min="4612" max="4612" width="72.85546875" customWidth="1"/>
    <col min="4613" max="4614" width="16" customWidth="1"/>
    <col min="4615" max="4615" width="17.7109375" bestFit="1" customWidth="1"/>
    <col min="4616" max="4616" width="16.140625" customWidth="1"/>
    <col min="4617" max="4617" width="15.140625" customWidth="1"/>
    <col min="4618" max="4618" width="13" customWidth="1"/>
    <col min="4619" max="4619" width="13.42578125" customWidth="1"/>
    <col min="4620" max="4620" width="10.140625" customWidth="1"/>
    <col min="4621" max="4621" width="10.28515625" customWidth="1"/>
    <col min="4622" max="4622" width="12.7109375" customWidth="1"/>
    <col min="4623" max="4623" width="33" customWidth="1"/>
    <col min="4867" max="4867" width="11.85546875" customWidth="1"/>
    <col min="4868" max="4868" width="72.85546875" customWidth="1"/>
    <col min="4869" max="4870" width="16" customWidth="1"/>
    <col min="4871" max="4871" width="17.7109375" bestFit="1" customWidth="1"/>
    <col min="4872" max="4872" width="16.140625" customWidth="1"/>
    <col min="4873" max="4873" width="15.140625" customWidth="1"/>
    <col min="4874" max="4874" width="13" customWidth="1"/>
    <col min="4875" max="4875" width="13.42578125" customWidth="1"/>
    <col min="4876" max="4876" width="10.140625" customWidth="1"/>
    <col min="4877" max="4877" width="10.28515625" customWidth="1"/>
    <col min="4878" max="4878" width="12.7109375" customWidth="1"/>
    <col min="4879" max="4879" width="33" customWidth="1"/>
    <col min="5123" max="5123" width="11.85546875" customWidth="1"/>
    <col min="5124" max="5124" width="72.85546875" customWidth="1"/>
    <col min="5125" max="5126" width="16" customWidth="1"/>
    <col min="5127" max="5127" width="17.7109375" bestFit="1" customWidth="1"/>
    <col min="5128" max="5128" width="16.140625" customWidth="1"/>
    <col min="5129" max="5129" width="15.140625" customWidth="1"/>
    <col min="5130" max="5130" width="13" customWidth="1"/>
    <col min="5131" max="5131" width="13.42578125" customWidth="1"/>
    <col min="5132" max="5132" width="10.140625" customWidth="1"/>
    <col min="5133" max="5133" width="10.28515625" customWidth="1"/>
    <col min="5134" max="5134" width="12.7109375" customWidth="1"/>
    <col min="5135" max="5135" width="33" customWidth="1"/>
    <col min="5379" max="5379" width="11.85546875" customWidth="1"/>
    <col min="5380" max="5380" width="72.85546875" customWidth="1"/>
    <col min="5381" max="5382" width="16" customWidth="1"/>
    <col min="5383" max="5383" width="17.7109375" bestFit="1" customWidth="1"/>
    <col min="5384" max="5384" width="16.140625" customWidth="1"/>
    <col min="5385" max="5385" width="15.140625" customWidth="1"/>
    <col min="5386" max="5386" width="13" customWidth="1"/>
    <col min="5387" max="5387" width="13.42578125" customWidth="1"/>
    <col min="5388" max="5388" width="10.140625" customWidth="1"/>
    <col min="5389" max="5389" width="10.28515625" customWidth="1"/>
    <col min="5390" max="5390" width="12.7109375" customWidth="1"/>
    <col min="5391" max="5391" width="33" customWidth="1"/>
    <col min="5635" max="5635" width="11.85546875" customWidth="1"/>
    <col min="5636" max="5636" width="72.85546875" customWidth="1"/>
    <col min="5637" max="5638" width="16" customWidth="1"/>
    <col min="5639" max="5639" width="17.7109375" bestFit="1" customWidth="1"/>
    <col min="5640" max="5640" width="16.140625" customWidth="1"/>
    <col min="5641" max="5641" width="15.140625" customWidth="1"/>
    <col min="5642" max="5642" width="13" customWidth="1"/>
    <col min="5643" max="5643" width="13.42578125" customWidth="1"/>
    <col min="5644" max="5644" width="10.140625" customWidth="1"/>
    <col min="5645" max="5645" width="10.28515625" customWidth="1"/>
    <col min="5646" max="5646" width="12.7109375" customWidth="1"/>
    <col min="5647" max="5647" width="33" customWidth="1"/>
    <col min="5891" max="5891" width="11.85546875" customWidth="1"/>
    <col min="5892" max="5892" width="72.85546875" customWidth="1"/>
    <col min="5893" max="5894" width="16" customWidth="1"/>
    <col min="5895" max="5895" width="17.7109375" bestFit="1" customWidth="1"/>
    <col min="5896" max="5896" width="16.140625" customWidth="1"/>
    <col min="5897" max="5897" width="15.140625" customWidth="1"/>
    <col min="5898" max="5898" width="13" customWidth="1"/>
    <col min="5899" max="5899" width="13.42578125" customWidth="1"/>
    <col min="5900" max="5900" width="10.140625" customWidth="1"/>
    <col min="5901" max="5901" width="10.28515625" customWidth="1"/>
    <col min="5902" max="5902" width="12.7109375" customWidth="1"/>
    <col min="5903" max="5903" width="33" customWidth="1"/>
    <col min="6147" max="6147" width="11.85546875" customWidth="1"/>
    <col min="6148" max="6148" width="72.85546875" customWidth="1"/>
    <col min="6149" max="6150" width="16" customWidth="1"/>
    <col min="6151" max="6151" width="17.7109375" bestFit="1" customWidth="1"/>
    <col min="6152" max="6152" width="16.140625" customWidth="1"/>
    <col min="6153" max="6153" width="15.140625" customWidth="1"/>
    <col min="6154" max="6154" width="13" customWidth="1"/>
    <col min="6155" max="6155" width="13.42578125" customWidth="1"/>
    <col min="6156" max="6156" width="10.140625" customWidth="1"/>
    <col min="6157" max="6157" width="10.28515625" customWidth="1"/>
    <col min="6158" max="6158" width="12.7109375" customWidth="1"/>
    <col min="6159" max="6159" width="33" customWidth="1"/>
    <col min="6403" max="6403" width="11.85546875" customWidth="1"/>
    <col min="6404" max="6404" width="72.85546875" customWidth="1"/>
    <col min="6405" max="6406" width="16" customWidth="1"/>
    <col min="6407" max="6407" width="17.7109375" bestFit="1" customWidth="1"/>
    <col min="6408" max="6408" width="16.140625" customWidth="1"/>
    <col min="6409" max="6409" width="15.140625" customWidth="1"/>
    <col min="6410" max="6410" width="13" customWidth="1"/>
    <col min="6411" max="6411" width="13.42578125" customWidth="1"/>
    <col min="6412" max="6412" width="10.140625" customWidth="1"/>
    <col min="6413" max="6413" width="10.28515625" customWidth="1"/>
    <col min="6414" max="6414" width="12.7109375" customWidth="1"/>
    <col min="6415" max="6415" width="33" customWidth="1"/>
    <col min="6659" max="6659" width="11.85546875" customWidth="1"/>
    <col min="6660" max="6660" width="72.85546875" customWidth="1"/>
    <col min="6661" max="6662" width="16" customWidth="1"/>
    <col min="6663" max="6663" width="17.7109375" bestFit="1" customWidth="1"/>
    <col min="6664" max="6664" width="16.140625" customWidth="1"/>
    <col min="6665" max="6665" width="15.140625" customWidth="1"/>
    <col min="6666" max="6666" width="13" customWidth="1"/>
    <col min="6667" max="6667" width="13.42578125" customWidth="1"/>
    <col min="6668" max="6668" width="10.140625" customWidth="1"/>
    <col min="6669" max="6669" width="10.28515625" customWidth="1"/>
    <col min="6670" max="6670" width="12.7109375" customWidth="1"/>
    <col min="6671" max="6671" width="33" customWidth="1"/>
    <col min="6915" max="6915" width="11.85546875" customWidth="1"/>
    <col min="6916" max="6916" width="72.85546875" customWidth="1"/>
    <col min="6917" max="6918" width="16" customWidth="1"/>
    <col min="6919" max="6919" width="17.7109375" bestFit="1" customWidth="1"/>
    <col min="6920" max="6920" width="16.140625" customWidth="1"/>
    <col min="6921" max="6921" width="15.140625" customWidth="1"/>
    <col min="6922" max="6922" width="13" customWidth="1"/>
    <col min="6923" max="6923" width="13.42578125" customWidth="1"/>
    <col min="6924" max="6924" width="10.140625" customWidth="1"/>
    <col min="6925" max="6925" width="10.28515625" customWidth="1"/>
    <col min="6926" max="6926" width="12.7109375" customWidth="1"/>
    <col min="6927" max="6927" width="33" customWidth="1"/>
    <col min="7171" max="7171" width="11.85546875" customWidth="1"/>
    <col min="7172" max="7172" width="72.85546875" customWidth="1"/>
    <col min="7173" max="7174" width="16" customWidth="1"/>
    <col min="7175" max="7175" width="17.7109375" bestFit="1" customWidth="1"/>
    <col min="7176" max="7176" width="16.140625" customWidth="1"/>
    <col min="7177" max="7177" width="15.140625" customWidth="1"/>
    <col min="7178" max="7178" width="13" customWidth="1"/>
    <col min="7179" max="7179" width="13.42578125" customWidth="1"/>
    <col min="7180" max="7180" width="10.140625" customWidth="1"/>
    <col min="7181" max="7181" width="10.28515625" customWidth="1"/>
    <col min="7182" max="7182" width="12.7109375" customWidth="1"/>
    <col min="7183" max="7183" width="33" customWidth="1"/>
    <col min="7427" max="7427" width="11.85546875" customWidth="1"/>
    <col min="7428" max="7428" width="72.85546875" customWidth="1"/>
    <col min="7429" max="7430" width="16" customWidth="1"/>
    <col min="7431" max="7431" width="17.7109375" bestFit="1" customWidth="1"/>
    <col min="7432" max="7432" width="16.140625" customWidth="1"/>
    <col min="7433" max="7433" width="15.140625" customWidth="1"/>
    <col min="7434" max="7434" width="13" customWidth="1"/>
    <col min="7435" max="7435" width="13.42578125" customWidth="1"/>
    <col min="7436" max="7436" width="10.140625" customWidth="1"/>
    <col min="7437" max="7437" width="10.28515625" customWidth="1"/>
    <col min="7438" max="7438" width="12.7109375" customWidth="1"/>
    <col min="7439" max="7439" width="33" customWidth="1"/>
    <col min="7683" max="7683" width="11.85546875" customWidth="1"/>
    <col min="7684" max="7684" width="72.85546875" customWidth="1"/>
    <col min="7685" max="7686" width="16" customWidth="1"/>
    <col min="7687" max="7687" width="17.7109375" bestFit="1" customWidth="1"/>
    <col min="7688" max="7688" width="16.140625" customWidth="1"/>
    <col min="7689" max="7689" width="15.140625" customWidth="1"/>
    <col min="7690" max="7690" width="13" customWidth="1"/>
    <col min="7691" max="7691" width="13.42578125" customWidth="1"/>
    <col min="7692" max="7692" width="10.140625" customWidth="1"/>
    <col min="7693" max="7693" width="10.28515625" customWidth="1"/>
    <col min="7694" max="7694" width="12.7109375" customWidth="1"/>
    <col min="7695" max="7695" width="33" customWidth="1"/>
    <col min="7939" max="7939" width="11.85546875" customWidth="1"/>
    <col min="7940" max="7940" width="72.85546875" customWidth="1"/>
    <col min="7941" max="7942" width="16" customWidth="1"/>
    <col min="7943" max="7943" width="17.7109375" bestFit="1" customWidth="1"/>
    <col min="7944" max="7944" width="16.140625" customWidth="1"/>
    <col min="7945" max="7945" width="15.140625" customWidth="1"/>
    <col min="7946" max="7946" width="13" customWidth="1"/>
    <col min="7947" max="7947" width="13.42578125" customWidth="1"/>
    <col min="7948" max="7948" width="10.140625" customWidth="1"/>
    <col min="7949" max="7949" width="10.28515625" customWidth="1"/>
    <col min="7950" max="7950" width="12.7109375" customWidth="1"/>
    <col min="7951" max="7951" width="33" customWidth="1"/>
    <col min="8195" max="8195" width="11.85546875" customWidth="1"/>
    <col min="8196" max="8196" width="72.85546875" customWidth="1"/>
    <col min="8197" max="8198" width="16" customWidth="1"/>
    <col min="8199" max="8199" width="17.7109375" bestFit="1" customWidth="1"/>
    <col min="8200" max="8200" width="16.140625" customWidth="1"/>
    <col min="8201" max="8201" width="15.140625" customWidth="1"/>
    <col min="8202" max="8202" width="13" customWidth="1"/>
    <col min="8203" max="8203" width="13.42578125" customWidth="1"/>
    <col min="8204" max="8204" width="10.140625" customWidth="1"/>
    <col min="8205" max="8205" width="10.28515625" customWidth="1"/>
    <col min="8206" max="8206" width="12.7109375" customWidth="1"/>
    <col min="8207" max="8207" width="33" customWidth="1"/>
    <col min="8451" max="8451" width="11.85546875" customWidth="1"/>
    <col min="8452" max="8452" width="72.85546875" customWidth="1"/>
    <col min="8453" max="8454" width="16" customWidth="1"/>
    <col min="8455" max="8455" width="17.7109375" bestFit="1" customWidth="1"/>
    <col min="8456" max="8456" width="16.140625" customWidth="1"/>
    <col min="8457" max="8457" width="15.140625" customWidth="1"/>
    <col min="8458" max="8458" width="13" customWidth="1"/>
    <col min="8459" max="8459" width="13.42578125" customWidth="1"/>
    <col min="8460" max="8460" width="10.140625" customWidth="1"/>
    <col min="8461" max="8461" width="10.28515625" customWidth="1"/>
    <col min="8462" max="8462" width="12.7109375" customWidth="1"/>
    <col min="8463" max="8463" width="33" customWidth="1"/>
    <col min="8707" max="8707" width="11.85546875" customWidth="1"/>
    <col min="8708" max="8708" width="72.85546875" customWidth="1"/>
    <col min="8709" max="8710" width="16" customWidth="1"/>
    <col min="8711" max="8711" width="17.7109375" bestFit="1" customWidth="1"/>
    <col min="8712" max="8712" width="16.140625" customWidth="1"/>
    <col min="8713" max="8713" width="15.140625" customWidth="1"/>
    <col min="8714" max="8714" width="13" customWidth="1"/>
    <col min="8715" max="8715" width="13.42578125" customWidth="1"/>
    <col min="8716" max="8716" width="10.140625" customWidth="1"/>
    <col min="8717" max="8717" width="10.28515625" customWidth="1"/>
    <col min="8718" max="8718" width="12.7109375" customWidth="1"/>
    <col min="8719" max="8719" width="33" customWidth="1"/>
    <col min="8963" max="8963" width="11.85546875" customWidth="1"/>
    <col min="8964" max="8964" width="72.85546875" customWidth="1"/>
    <col min="8965" max="8966" width="16" customWidth="1"/>
    <col min="8967" max="8967" width="17.7109375" bestFit="1" customWidth="1"/>
    <col min="8968" max="8968" width="16.140625" customWidth="1"/>
    <col min="8969" max="8969" width="15.140625" customWidth="1"/>
    <col min="8970" max="8970" width="13" customWidth="1"/>
    <col min="8971" max="8971" width="13.42578125" customWidth="1"/>
    <col min="8972" max="8972" width="10.140625" customWidth="1"/>
    <col min="8973" max="8973" width="10.28515625" customWidth="1"/>
    <col min="8974" max="8974" width="12.7109375" customWidth="1"/>
    <col min="8975" max="8975" width="33" customWidth="1"/>
    <col min="9219" max="9219" width="11.85546875" customWidth="1"/>
    <col min="9220" max="9220" width="72.85546875" customWidth="1"/>
    <col min="9221" max="9222" width="16" customWidth="1"/>
    <col min="9223" max="9223" width="17.7109375" bestFit="1" customWidth="1"/>
    <col min="9224" max="9224" width="16.140625" customWidth="1"/>
    <col min="9225" max="9225" width="15.140625" customWidth="1"/>
    <col min="9226" max="9226" width="13" customWidth="1"/>
    <col min="9227" max="9227" width="13.42578125" customWidth="1"/>
    <col min="9228" max="9228" width="10.140625" customWidth="1"/>
    <col min="9229" max="9229" width="10.28515625" customWidth="1"/>
    <col min="9230" max="9230" width="12.7109375" customWidth="1"/>
    <col min="9231" max="9231" width="33" customWidth="1"/>
    <col min="9475" max="9475" width="11.85546875" customWidth="1"/>
    <col min="9476" max="9476" width="72.85546875" customWidth="1"/>
    <col min="9477" max="9478" width="16" customWidth="1"/>
    <col min="9479" max="9479" width="17.7109375" bestFit="1" customWidth="1"/>
    <col min="9480" max="9480" width="16.140625" customWidth="1"/>
    <col min="9481" max="9481" width="15.140625" customWidth="1"/>
    <col min="9482" max="9482" width="13" customWidth="1"/>
    <col min="9483" max="9483" width="13.42578125" customWidth="1"/>
    <col min="9484" max="9484" width="10.140625" customWidth="1"/>
    <col min="9485" max="9485" width="10.28515625" customWidth="1"/>
    <col min="9486" max="9486" width="12.7109375" customWidth="1"/>
    <col min="9487" max="9487" width="33" customWidth="1"/>
    <col min="9731" max="9731" width="11.85546875" customWidth="1"/>
    <col min="9732" max="9732" width="72.85546875" customWidth="1"/>
    <col min="9733" max="9734" width="16" customWidth="1"/>
    <col min="9735" max="9735" width="17.7109375" bestFit="1" customWidth="1"/>
    <col min="9736" max="9736" width="16.140625" customWidth="1"/>
    <col min="9737" max="9737" width="15.140625" customWidth="1"/>
    <col min="9738" max="9738" width="13" customWidth="1"/>
    <col min="9739" max="9739" width="13.42578125" customWidth="1"/>
    <col min="9740" max="9740" width="10.140625" customWidth="1"/>
    <col min="9741" max="9741" width="10.28515625" customWidth="1"/>
    <col min="9742" max="9742" width="12.7109375" customWidth="1"/>
    <col min="9743" max="9743" width="33" customWidth="1"/>
    <col min="9987" max="9987" width="11.85546875" customWidth="1"/>
    <col min="9988" max="9988" width="72.85546875" customWidth="1"/>
    <col min="9989" max="9990" width="16" customWidth="1"/>
    <col min="9991" max="9991" width="17.7109375" bestFit="1" customWidth="1"/>
    <col min="9992" max="9992" width="16.140625" customWidth="1"/>
    <col min="9993" max="9993" width="15.140625" customWidth="1"/>
    <col min="9994" max="9994" width="13" customWidth="1"/>
    <col min="9995" max="9995" width="13.42578125" customWidth="1"/>
    <col min="9996" max="9996" width="10.140625" customWidth="1"/>
    <col min="9997" max="9997" width="10.28515625" customWidth="1"/>
    <col min="9998" max="9998" width="12.7109375" customWidth="1"/>
    <col min="9999" max="9999" width="33" customWidth="1"/>
    <col min="10243" max="10243" width="11.85546875" customWidth="1"/>
    <col min="10244" max="10244" width="72.85546875" customWidth="1"/>
    <col min="10245" max="10246" width="16" customWidth="1"/>
    <col min="10247" max="10247" width="17.7109375" bestFit="1" customWidth="1"/>
    <col min="10248" max="10248" width="16.140625" customWidth="1"/>
    <col min="10249" max="10249" width="15.140625" customWidth="1"/>
    <col min="10250" max="10250" width="13" customWidth="1"/>
    <col min="10251" max="10251" width="13.42578125" customWidth="1"/>
    <col min="10252" max="10252" width="10.140625" customWidth="1"/>
    <col min="10253" max="10253" width="10.28515625" customWidth="1"/>
    <col min="10254" max="10254" width="12.7109375" customWidth="1"/>
    <col min="10255" max="10255" width="33" customWidth="1"/>
    <col min="10499" max="10499" width="11.85546875" customWidth="1"/>
    <col min="10500" max="10500" width="72.85546875" customWidth="1"/>
    <col min="10501" max="10502" width="16" customWidth="1"/>
    <col min="10503" max="10503" width="17.7109375" bestFit="1" customWidth="1"/>
    <col min="10504" max="10504" width="16.140625" customWidth="1"/>
    <col min="10505" max="10505" width="15.140625" customWidth="1"/>
    <col min="10506" max="10506" width="13" customWidth="1"/>
    <col min="10507" max="10507" width="13.42578125" customWidth="1"/>
    <col min="10508" max="10508" width="10.140625" customWidth="1"/>
    <col min="10509" max="10509" width="10.28515625" customWidth="1"/>
    <col min="10510" max="10510" width="12.7109375" customWidth="1"/>
    <col min="10511" max="10511" width="33" customWidth="1"/>
    <col min="10755" max="10755" width="11.85546875" customWidth="1"/>
    <col min="10756" max="10756" width="72.85546875" customWidth="1"/>
    <col min="10757" max="10758" width="16" customWidth="1"/>
    <col min="10759" max="10759" width="17.7109375" bestFit="1" customWidth="1"/>
    <col min="10760" max="10760" width="16.140625" customWidth="1"/>
    <col min="10761" max="10761" width="15.140625" customWidth="1"/>
    <col min="10762" max="10762" width="13" customWidth="1"/>
    <col min="10763" max="10763" width="13.42578125" customWidth="1"/>
    <col min="10764" max="10764" width="10.140625" customWidth="1"/>
    <col min="10765" max="10765" width="10.28515625" customWidth="1"/>
    <col min="10766" max="10766" width="12.7109375" customWidth="1"/>
    <col min="10767" max="10767" width="33" customWidth="1"/>
    <col min="11011" max="11011" width="11.85546875" customWidth="1"/>
    <col min="11012" max="11012" width="72.85546875" customWidth="1"/>
    <col min="11013" max="11014" width="16" customWidth="1"/>
    <col min="11015" max="11015" width="17.7109375" bestFit="1" customWidth="1"/>
    <col min="11016" max="11016" width="16.140625" customWidth="1"/>
    <col min="11017" max="11017" width="15.140625" customWidth="1"/>
    <col min="11018" max="11018" width="13" customWidth="1"/>
    <col min="11019" max="11019" width="13.42578125" customWidth="1"/>
    <col min="11020" max="11020" width="10.140625" customWidth="1"/>
    <col min="11021" max="11021" width="10.28515625" customWidth="1"/>
    <col min="11022" max="11022" width="12.7109375" customWidth="1"/>
    <col min="11023" max="11023" width="33" customWidth="1"/>
    <col min="11267" max="11267" width="11.85546875" customWidth="1"/>
    <col min="11268" max="11268" width="72.85546875" customWidth="1"/>
    <col min="11269" max="11270" width="16" customWidth="1"/>
    <col min="11271" max="11271" width="17.7109375" bestFit="1" customWidth="1"/>
    <col min="11272" max="11272" width="16.140625" customWidth="1"/>
    <col min="11273" max="11273" width="15.140625" customWidth="1"/>
    <col min="11274" max="11274" width="13" customWidth="1"/>
    <col min="11275" max="11275" width="13.42578125" customWidth="1"/>
    <col min="11276" max="11276" width="10.140625" customWidth="1"/>
    <col min="11277" max="11277" width="10.28515625" customWidth="1"/>
    <col min="11278" max="11278" width="12.7109375" customWidth="1"/>
    <col min="11279" max="11279" width="33" customWidth="1"/>
    <col min="11523" max="11523" width="11.85546875" customWidth="1"/>
    <col min="11524" max="11524" width="72.85546875" customWidth="1"/>
    <col min="11525" max="11526" width="16" customWidth="1"/>
    <col min="11527" max="11527" width="17.7109375" bestFit="1" customWidth="1"/>
    <col min="11528" max="11528" width="16.140625" customWidth="1"/>
    <col min="11529" max="11529" width="15.140625" customWidth="1"/>
    <col min="11530" max="11530" width="13" customWidth="1"/>
    <col min="11531" max="11531" width="13.42578125" customWidth="1"/>
    <col min="11532" max="11532" width="10.140625" customWidth="1"/>
    <col min="11533" max="11533" width="10.28515625" customWidth="1"/>
    <col min="11534" max="11534" width="12.7109375" customWidth="1"/>
    <col min="11535" max="11535" width="33" customWidth="1"/>
    <col min="11779" max="11779" width="11.85546875" customWidth="1"/>
    <col min="11780" max="11780" width="72.85546875" customWidth="1"/>
    <col min="11781" max="11782" width="16" customWidth="1"/>
    <col min="11783" max="11783" width="17.7109375" bestFit="1" customWidth="1"/>
    <col min="11784" max="11784" width="16.140625" customWidth="1"/>
    <col min="11785" max="11785" width="15.140625" customWidth="1"/>
    <col min="11786" max="11786" width="13" customWidth="1"/>
    <col min="11787" max="11787" width="13.42578125" customWidth="1"/>
    <col min="11788" max="11788" width="10.140625" customWidth="1"/>
    <col min="11789" max="11789" width="10.28515625" customWidth="1"/>
    <col min="11790" max="11790" width="12.7109375" customWidth="1"/>
    <col min="11791" max="11791" width="33" customWidth="1"/>
    <col min="12035" max="12035" width="11.85546875" customWidth="1"/>
    <col min="12036" max="12036" width="72.85546875" customWidth="1"/>
    <col min="12037" max="12038" width="16" customWidth="1"/>
    <col min="12039" max="12039" width="17.7109375" bestFit="1" customWidth="1"/>
    <col min="12040" max="12040" width="16.140625" customWidth="1"/>
    <col min="12041" max="12041" width="15.140625" customWidth="1"/>
    <col min="12042" max="12042" width="13" customWidth="1"/>
    <col min="12043" max="12043" width="13.42578125" customWidth="1"/>
    <col min="12044" max="12044" width="10.140625" customWidth="1"/>
    <col min="12045" max="12045" width="10.28515625" customWidth="1"/>
    <col min="12046" max="12046" width="12.7109375" customWidth="1"/>
    <col min="12047" max="12047" width="33" customWidth="1"/>
    <col min="12291" max="12291" width="11.85546875" customWidth="1"/>
    <col min="12292" max="12292" width="72.85546875" customWidth="1"/>
    <col min="12293" max="12294" width="16" customWidth="1"/>
    <col min="12295" max="12295" width="17.7109375" bestFit="1" customWidth="1"/>
    <col min="12296" max="12296" width="16.140625" customWidth="1"/>
    <col min="12297" max="12297" width="15.140625" customWidth="1"/>
    <col min="12298" max="12298" width="13" customWidth="1"/>
    <col min="12299" max="12299" width="13.42578125" customWidth="1"/>
    <col min="12300" max="12300" width="10.140625" customWidth="1"/>
    <col min="12301" max="12301" width="10.28515625" customWidth="1"/>
    <col min="12302" max="12302" width="12.7109375" customWidth="1"/>
    <col min="12303" max="12303" width="33" customWidth="1"/>
    <col min="12547" max="12547" width="11.85546875" customWidth="1"/>
    <col min="12548" max="12548" width="72.85546875" customWidth="1"/>
    <col min="12549" max="12550" width="16" customWidth="1"/>
    <col min="12551" max="12551" width="17.7109375" bestFit="1" customWidth="1"/>
    <col min="12552" max="12552" width="16.140625" customWidth="1"/>
    <col min="12553" max="12553" width="15.140625" customWidth="1"/>
    <col min="12554" max="12554" width="13" customWidth="1"/>
    <col min="12555" max="12555" width="13.42578125" customWidth="1"/>
    <col min="12556" max="12556" width="10.140625" customWidth="1"/>
    <col min="12557" max="12557" width="10.28515625" customWidth="1"/>
    <col min="12558" max="12558" width="12.7109375" customWidth="1"/>
    <col min="12559" max="12559" width="33" customWidth="1"/>
    <col min="12803" max="12803" width="11.85546875" customWidth="1"/>
    <col min="12804" max="12804" width="72.85546875" customWidth="1"/>
    <col min="12805" max="12806" width="16" customWidth="1"/>
    <col min="12807" max="12807" width="17.7109375" bestFit="1" customWidth="1"/>
    <col min="12808" max="12808" width="16.140625" customWidth="1"/>
    <col min="12809" max="12809" width="15.140625" customWidth="1"/>
    <col min="12810" max="12810" width="13" customWidth="1"/>
    <col min="12811" max="12811" width="13.42578125" customWidth="1"/>
    <col min="12812" max="12812" width="10.140625" customWidth="1"/>
    <col min="12813" max="12813" width="10.28515625" customWidth="1"/>
    <col min="12814" max="12814" width="12.7109375" customWidth="1"/>
    <col min="12815" max="12815" width="33" customWidth="1"/>
    <col min="13059" max="13059" width="11.85546875" customWidth="1"/>
    <col min="13060" max="13060" width="72.85546875" customWidth="1"/>
    <col min="13061" max="13062" width="16" customWidth="1"/>
    <col min="13063" max="13063" width="17.7109375" bestFit="1" customWidth="1"/>
    <col min="13064" max="13064" width="16.140625" customWidth="1"/>
    <col min="13065" max="13065" width="15.140625" customWidth="1"/>
    <col min="13066" max="13066" width="13" customWidth="1"/>
    <col min="13067" max="13067" width="13.42578125" customWidth="1"/>
    <col min="13068" max="13068" width="10.140625" customWidth="1"/>
    <col min="13069" max="13069" width="10.28515625" customWidth="1"/>
    <col min="13070" max="13070" width="12.7109375" customWidth="1"/>
    <col min="13071" max="13071" width="33" customWidth="1"/>
    <col min="13315" max="13315" width="11.85546875" customWidth="1"/>
    <col min="13316" max="13316" width="72.85546875" customWidth="1"/>
    <col min="13317" max="13318" width="16" customWidth="1"/>
    <col min="13319" max="13319" width="17.7109375" bestFit="1" customWidth="1"/>
    <col min="13320" max="13320" width="16.140625" customWidth="1"/>
    <col min="13321" max="13321" width="15.140625" customWidth="1"/>
    <col min="13322" max="13322" width="13" customWidth="1"/>
    <col min="13323" max="13323" width="13.42578125" customWidth="1"/>
    <col min="13324" max="13324" width="10.140625" customWidth="1"/>
    <col min="13325" max="13325" width="10.28515625" customWidth="1"/>
    <col min="13326" max="13326" width="12.7109375" customWidth="1"/>
    <col min="13327" max="13327" width="33" customWidth="1"/>
    <col min="13571" max="13571" width="11.85546875" customWidth="1"/>
    <col min="13572" max="13572" width="72.85546875" customWidth="1"/>
    <col min="13573" max="13574" width="16" customWidth="1"/>
    <col min="13575" max="13575" width="17.7109375" bestFit="1" customWidth="1"/>
    <col min="13576" max="13576" width="16.140625" customWidth="1"/>
    <col min="13577" max="13577" width="15.140625" customWidth="1"/>
    <col min="13578" max="13578" width="13" customWidth="1"/>
    <col min="13579" max="13579" width="13.42578125" customWidth="1"/>
    <col min="13580" max="13580" width="10.140625" customWidth="1"/>
    <col min="13581" max="13581" width="10.28515625" customWidth="1"/>
    <col min="13582" max="13582" width="12.7109375" customWidth="1"/>
    <col min="13583" max="13583" width="33" customWidth="1"/>
    <col min="13827" max="13827" width="11.85546875" customWidth="1"/>
    <col min="13828" max="13828" width="72.85546875" customWidth="1"/>
    <col min="13829" max="13830" width="16" customWidth="1"/>
    <col min="13831" max="13831" width="17.7109375" bestFit="1" customWidth="1"/>
    <col min="13832" max="13832" width="16.140625" customWidth="1"/>
    <col min="13833" max="13833" width="15.140625" customWidth="1"/>
    <col min="13834" max="13834" width="13" customWidth="1"/>
    <col min="13835" max="13835" width="13.42578125" customWidth="1"/>
    <col min="13836" max="13836" width="10.140625" customWidth="1"/>
    <col min="13837" max="13837" width="10.28515625" customWidth="1"/>
    <col min="13838" max="13838" width="12.7109375" customWidth="1"/>
    <col min="13839" max="13839" width="33" customWidth="1"/>
    <col min="14083" max="14083" width="11.85546875" customWidth="1"/>
    <col min="14084" max="14084" width="72.85546875" customWidth="1"/>
    <col min="14085" max="14086" width="16" customWidth="1"/>
    <col min="14087" max="14087" width="17.7109375" bestFit="1" customWidth="1"/>
    <col min="14088" max="14088" width="16.140625" customWidth="1"/>
    <col min="14089" max="14089" width="15.140625" customWidth="1"/>
    <col min="14090" max="14090" width="13" customWidth="1"/>
    <col min="14091" max="14091" width="13.42578125" customWidth="1"/>
    <col min="14092" max="14092" width="10.140625" customWidth="1"/>
    <col min="14093" max="14093" width="10.28515625" customWidth="1"/>
    <col min="14094" max="14094" width="12.7109375" customWidth="1"/>
    <col min="14095" max="14095" width="33" customWidth="1"/>
    <col min="14339" max="14339" width="11.85546875" customWidth="1"/>
    <col min="14340" max="14340" width="72.85546875" customWidth="1"/>
    <col min="14341" max="14342" width="16" customWidth="1"/>
    <col min="14343" max="14343" width="17.7109375" bestFit="1" customWidth="1"/>
    <col min="14344" max="14344" width="16.140625" customWidth="1"/>
    <col min="14345" max="14345" width="15.140625" customWidth="1"/>
    <col min="14346" max="14346" width="13" customWidth="1"/>
    <col min="14347" max="14347" width="13.42578125" customWidth="1"/>
    <col min="14348" max="14348" width="10.140625" customWidth="1"/>
    <col min="14349" max="14349" width="10.28515625" customWidth="1"/>
    <col min="14350" max="14350" width="12.7109375" customWidth="1"/>
    <col min="14351" max="14351" width="33" customWidth="1"/>
    <col min="14595" max="14595" width="11.85546875" customWidth="1"/>
    <col min="14596" max="14596" width="72.85546875" customWidth="1"/>
    <col min="14597" max="14598" width="16" customWidth="1"/>
    <col min="14599" max="14599" width="17.7109375" bestFit="1" customWidth="1"/>
    <col min="14600" max="14600" width="16.140625" customWidth="1"/>
    <col min="14601" max="14601" width="15.140625" customWidth="1"/>
    <col min="14602" max="14602" width="13" customWidth="1"/>
    <col min="14603" max="14603" width="13.42578125" customWidth="1"/>
    <col min="14604" max="14604" width="10.140625" customWidth="1"/>
    <col min="14605" max="14605" width="10.28515625" customWidth="1"/>
    <col min="14606" max="14606" width="12.7109375" customWidth="1"/>
    <col min="14607" max="14607" width="33" customWidth="1"/>
    <col min="14851" max="14851" width="11.85546875" customWidth="1"/>
    <col min="14852" max="14852" width="72.85546875" customWidth="1"/>
    <col min="14853" max="14854" width="16" customWidth="1"/>
    <col min="14855" max="14855" width="17.7109375" bestFit="1" customWidth="1"/>
    <col min="14856" max="14856" width="16.140625" customWidth="1"/>
    <col min="14857" max="14857" width="15.140625" customWidth="1"/>
    <col min="14858" max="14858" width="13" customWidth="1"/>
    <col min="14859" max="14859" width="13.42578125" customWidth="1"/>
    <col min="14860" max="14860" width="10.140625" customWidth="1"/>
    <col min="14861" max="14861" width="10.28515625" customWidth="1"/>
    <col min="14862" max="14862" width="12.7109375" customWidth="1"/>
    <col min="14863" max="14863" width="33" customWidth="1"/>
    <col min="15107" max="15107" width="11.85546875" customWidth="1"/>
    <col min="15108" max="15108" width="72.85546875" customWidth="1"/>
    <col min="15109" max="15110" width="16" customWidth="1"/>
    <col min="15111" max="15111" width="17.7109375" bestFit="1" customWidth="1"/>
    <col min="15112" max="15112" width="16.140625" customWidth="1"/>
    <col min="15113" max="15113" width="15.140625" customWidth="1"/>
    <col min="15114" max="15114" width="13" customWidth="1"/>
    <col min="15115" max="15115" width="13.42578125" customWidth="1"/>
    <col min="15116" max="15116" width="10.140625" customWidth="1"/>
    <col min="15117" max="15117" width="10.28515625" customWidth="1"/>
    <col min="15118" max="15118" width="12.7109375" customWidth="1"/>
    <col min="15119" max="15119" width="33" customWidth="1"/>
    <col min="15363" max="15363" width="11.85546875" customWidth="1"/>
    <col min="15364" max="15364" width="72.85546875" customWidth="1"/>
    <col min="15365" max="15366" width="16" customWidth="1"/>
    <col min="15367" max="15367" width="17.7109375" bestFit="1" customWidth="1"/>
    <col min="15368" max="15368" width="16.140625" customWidth="1"/>
    <col min="15369" max="15369" width="15.140625" customWidth="1"/>
    <col min="15370" max="15370" width="13" customWidth="1"/>
    <col min="15371" max="15371" width="13.42578125" customWidth="1"/>
    <col min="15372" max="15372" width="10.140625" customWidth="1"/>
    <col min="15373" max="15373" width="10.28515625" customWidth="1"/>
    <col min="15374" max="15374" width="12.7109375" customWidth="1"/>
    <col min="15375" max="15375" width="33" customWidth="1"/>
    <col min="15619" max="15619" width="11.85546875" customWidth="1"/>
    <col min="15620" max="15620" width="72.85546875" customWidth="1"/>
    <col min="15621" max="15622" width="16" customWidth="1"/>
    <col min="15623" max="15623" width="17.7109375" bestFit="1" customWidth="1"/>
    <col min="15624" max="15624" width="16.140625" customWidth="1"/>
    <col min="15625" max="15625" width="15.140625" customWidth="1"/>
    <col min="15626" max="15626" width="13" customWidth="1"/>
    <col min="15627" max="15627" width="13.42578125" customWidth="1"/>
    <col min="15628" max="15628" width="10.140625" customWidth="1"/>
    <col min="15629" max="15629" width="10.28515625" customWidth="1"/>
    <col min="15630" max="15630" width="12.7109375" customWidth="1"/>
    <col min="15631" max="15631" width="33" customWidth="1"/>
    <col min="15875" max="15875" width="11.85546875" customWidth="1"/>
    <col min="15876" max="15876" width="72.85546875" customWidth="1"/>
    <col min="15877" max="15878" width="16" customWidth="1"/>
    <col min="15879" max="15879" width="17.7109375" bestFit="1" customWidth="1"/>
    <col min="15880" max="15880" width="16.140625" customWidth="1"/>
    <col min="15881" max="15881" width="15.140625" customWidth="1"/>
    <col min="15882" max="15882" width="13" customWidth="1"/>
    <col min="15883" max="15883" width="13.42578125" customWidth="1"/>
    <col min="15884" max="15884" width="10.140625" customWidth="1"/>
    <col min="15885" max="15885" width="10.28515625" customWidth="1"/>
    <col min="15886" max="15886" width="12.7109375" customWidth="1"/>
    <col min="15887" max="15887" width="33" customWidth="1"/>
    <col min="16131" max="16131" width="11.85546875" customWidth="1"/>
    <col min="16132" max="16132" width="72.85546875" customWidth="1"/>
    <col min="16133" max="16134" width="16" customWidth="1"/>
    <col min="16135" max="16135" width="17.7109375" bestFit="1" customWidth="1"/>
    <col min="16136" max="16136" width="16.140625" customWidth="1"/>
    <col min="16137" max="16137" width="15.140625" customWidth="1"/>
    <col min="16138" max="16138" width="13" customWidth="1"/>
    <col min="16139" max="16139" width="13.42578125" customWidth="1"/>
    <col min="16140" max="16140" width="10.140625" customWidth="1"/>
    <col min="16141" max="16141" width="10.28515625" customWidth="1"/>
    <col min="16142" max="16142" width="12.7109375" customWidth="1"/>
    <col min="16143" max="16143" width="33" customWidth="1"/>
  </cols>
  <sheetData>
    <row r="1" spans="1:21" ht="20.100000000000001" customHeight="1">
      <c r="A1" s="1453"/>
      <c r="B1" s="1454" t="s">
        <v>511</v>
      </c>
      <c r="C1" s="1455"/>
      <c r="D1" s="1455"/>
      <c r="E1" s="1455"/>
      <c r="F1" s="1455"/>
      <c r="G1" s="1455"/>
      <c r="H1" s="1456"/>
      <c r="I1" s="1455"/>
      <c r="J1" s="1455"/>
      <c r="K1" s="1455"/>
      <c r="L1" s="1457"/>
      <c r="M1" s="259" t="s">
        <v>256</v>
      </c>
      <c r="N1" s="260" t="s">
        <v>411</v>
      </c>
    </row>
    <row r="2" spans="1:21" ht="20.100000000000001" customHeight="1">
      <c r="A2" s="1058"/>
      <c r="B2" s="1458"/>
      <c r="C2" s="1459"/>
      <c r="D2" s="1459"/>
      <c r="E2" s="1459"/>
      <c r="F2" s="1459"/>
      <c r="G2" s="1459"/>
      <c r="H2" s="1459"/>
      <c r="I2" s="1459"/>
      <c r="J2" s="1459"/>
      <c r="K2" s="1459"/>
      <c r="L2" s="1460"/>
      <c r="M2" s="259" t="s">
        <v>235</v>
      </c>
      <c r="N2" s="260">
        <v>0</v>
      </c>
    </row>
    <row r="3" spans="1:21" ht="20.100000000000001" customHeight="1">
      <c r="A3" s="1059"/>
      <c r="B3" s="1461"/>
      <c r="C3" s="1462"/>
      <c r="D3" s="1462"/>
      <c r="E3" s="1462"/>
      <c r="F3" s="1462"/>
      <c r="G3" s="1462"/>
      <c r="H3" s="1462"/>
      <c r="I3" s="1462"/>
      <c r="J3" s="1462"/>
      <c r="K3" s="1462"/>
      <c r="L3" s="1463"/>
      <c r="M3" s="259" t="s">
        <v>236</v>
      </c>
      <c r="N3" s="261">
        <f>+'Cover '!T11</f>
        <v>42460</v>
      </c>
    </row>
    <row r="4" spans="1:21">
      <c r="A4" s="1464"/>
      <c r="B4" s="1465"/>
      <c r="C4" s="1465"/>
      <c r="D4" s="1465"/>
      <c r="E4" s="1465"/>
      <c r="F4" s="1465"/>
      <c r="G4" s="1465"/>
      <c r="H4" s="1466"/>
      <c r="I4" s="1465"/>
      <c r="J4" s="1465"/>
      <c r="K4" s="1465"/>
      <c r="L4" s="1465"/>
      <c r="M4" s="1465"/>
      <c r="N4" s="1467"/>
    </row>
    <row r="5" spans="1:21" ht="21">
      <c r="A5" s="1468" t="s">
        <v>125</v>
      </c>
      <c r="B5" s="1468"/>
      <c r="C5" s="1468"/>
      <c r="D5" s="1468"/>
      <c r="E5" s="1468"/>
      <c r="F5" s="1468"/>
      <c r="G5" s="1468"/>
      <c r="H5" s="1469"/>
      <c r="I5" s="1468"/>
      <c r="J5" s="1468"/>
      <c r="K5" s="1468"/>
      <c r="L5" s="1468"/>
      <c r="M5" s="1468"/>
      <c r="N5" s="1468"/>
    </row>
    <row r="6" spans="1:21">
      <c r="A6" s="1464"/>
      <c r="B6" s="1465"/>
      <c r="C6" s="1465"/>
      <c r="D6" s="1465"/>
      <c r="E6" s="1465"/>
      <c r="F6" s="1465"/>
      <c r="G6" s="1465"/>
      <c r="H6" s="1466"/>
      <c r="I6" s="1465"/>
      <c r="J6" s="1465"/>
      <c r="K6" s="1465"/>
      <c r="L6" s="1465"/>
      <c r="M6" s="1465"/>
      <c r="N6" s="1467"/>
    </row>
    <row r="7" spans="1:21" ht="24.95" customHeight="1">
      <c r="A7" s="1448" t="s">
        <v>187</v>
      </c>
      <c r="B7" s="1450" t="s">
        <v>126</v>
      </c>
      <c r="C7" s="1450" t="s">
        <v>532</v>
      </c>
      <c r="D7" s="1450"/>
      <c r="E7" s="1450"/>
      <c r="F7" s="1450"/>
      <c r="G7" s="1470" t="s">
        <v>358</v>
      </c>
      <c r="H7" s="1471"/>
      <c r="I7" s="1472"/>
      <c r="J7" s="1473"/>
      <c r="K7" s="1448" t="s">
        <v>224</v>
      </c>
      <c r="L7" s="1448"/>
      <c r="M7" s="1448"/>
      <c r="N7" s="1450" t="s">
        <v>62</v>
      </c>
      <c r="R7" s="631"/>
    </row>
    <row r="8" spans="1:21" ht="24.95" customHeight="1">
      <c r="A8" s="1448"/>
      <c r="B8" s="1450"/>
      <c r="C8" s="308" t="s">
        <v>10</v>
      </c>
      <c r="D8" s="308" t="s">
        <v>81</v>
      </c>
      <c r="E8" s="294" t="s">
        <v>114</v>
      </c>
      <c r="F8" s="294" t="s">
        <v>188</v>
      </c>
      <c r="G8" s="308" t="s">
        <v>16</v>
      </c>
      <c r="H8" s="362" t="s">
        <v>553</v>
      </c>
      <c r="I8" s="308" t="s">
        <v>2</v>
      </c>
      <c r="J8" s="308" t="s">
        <v>39</v>
      </c>
      <c r="K8" s="308" t="s">
        <v>189</v>
      </c>
      <c r="L8" s="308" t="s">
        <v>78</v>
      </c>
      <c r="M8" s="308" t="s">
        <v>129</v>
      </c>
      <c r="N8" s="1450"/>
      <c r="R8" s="630"/>
      <c r="S8" s="630"/>
      <c r="T8" s="631"/>
      <c r="U8" s="631"/>
    </row>
    <row r="9" spans="1:21" s="77" customFormat="1" ht="38.25" customHeight="1">
      <c r="A9" s="350" t="s">
        <v>339</v>
      </c>
      <c r="B9" s="351" t="s">
        <v>505</v>
      </c>
      <c r="C9" s="352">
        <v>39738.435985409596</v>
      </c>
      <c r="D9" s="352">
        <v>13246.145328469865</v>
      </c>
      <c r="E9" s="352">
        <v>3311.5363321174664</v>
      </c>
      <c r="F9" s="352">
        <v>9934.6089963523991</v>
      </c>
      <c r="G9" s="352">
        <f>SUM(C9:F9)</f>
        <v>66230.726642349327</v>
      </c>
      <c r="H9" s="352">
        <v>48481.3</v>
      </c>
      <c r="I9" s="352"/>
      <c r="J9" s="353" t="s">
        <v>553</v>
      </c>
      <c r="K9" s="354"/>
      <c r="L9" s="354"/>
      <c r="M9" s="355" t="s">
        <v>340</v>
      </c>
      <c r="N9" s="367" t="s">
        <v>554</v>
      </c>
      <c r="P9" s="632">
        <f>H9</f>
        <v>48481.3</v>
      </c>
      <c r="Q9" s="629">
        <f>P9/G9</f>
        <v>0.73200616175936739</v>
      </c>
      <c r="R9" s="632">
        <f>$Q$9*C9</f>
        <v>29088.780000000002</v>
      </c>
      <c r="S9" s="632">
        <f t="shared" ref="S9:U9" si="0">$Q$9*D9</f>
        <v>9696.26</v>
      </c>
      <c r="T9" s="632">
        <f t="shared" si="0"/>
        <v>2424.0650000000001</v>
      </c>
      <c r="U9" s="632">
        <f t="shared" si="0"/>
        <v>7272.1950000000006</v>
      </c>
    </row>
    <row r="10" spans="1:21" s="77" customFormat="1" ht="38.25" customHeight="1">
      <c r="A10" s="349" t="s">
        <v>552</v>
      </c>
      <c r="B10" s="305" t="s">
        <v>506</v>
      </c>
      <c r="C10" s="306">
        <v>103099.38001518307</v>
      </c>
      <c r="D10" s="306">
        <v>43354.364430418915</v>
      </c>
      <c r="E10" s="306">
        <v>12569.806386934011</v>
      </c>
      <c r="F10" s="306">
        <v>23981.238347464001</v>
      </c>
      <c r="G10" s="306">
        <f t="shared" ref="G10:G16" si="1">SUM(C10:F10)</f>
        <v>183004.78917999999</v>
      </c>
      <c r="H10" s="306"/>
      <c r="I10" s="306">
        <v>128037.44</v>
      </c>
      <c r="J10" s="310" t="s">
        <v>2</v>
      </c>
      <c r="K10" s="307"/>
      <c r="L10" s="307"/>
      <c r="M10" s="307"/>
      <c r="N10" s="316" t="s">
        <v>575</v>
      </c>
      <c r="P10" s="632">
        <f>I10</f>
        <v>128037.44</v>
      </c>
      <c r="Q10" s="629">
        <f t="shared" ref="Q10:Q16" si="2">P10/G10</f>
        <v>0.69963983223447146</v>
      </c>
      <c r="R10" s="632">
        <f>$Q$10*C10</f>
        <v>72132.432937300706</v>
      </c>
      <c r="S10" s="632">
        <f t="shared" ref="S10:U10" si="3">$Q$10*D10</f>
        <v>30332.440256730428</v>
      </c>
      <c r="T10" s="632">
        <f t="shared" si="3"/>
        <v>8794.3372317742997</v>
      </c>
      <c r="U10" s="632">
        <f t="shared" si="3"/>
        <v>16778.229574194585</v>
      </c>
    </row>
    <row r="11" spans="1:21" s="77" customFormat="1" ht="38.25" customHeight="1">
      <c r="A11" s="349" t="s">
        <v>555</v>
      </c>
      <c r="B11" s="305" t="s">
        <v>507</v>
      </c>
      <c r="C11" s="306">
        <v>12847.203495575188</v>
      </c>
      <c r="D11" s="306">
        <v>7208.7617160013087</v>
      </c>
      <c r="E11" s="306">
        <v>5647.8965245011641</v>
      </c>
      <c r="F11" s="306">
        <v>3591.4142639223392</v>
      </c>
      <c r="G11" s="306">
        <f t="shared" si="1"/>
        <v>29295.276000000002</v>
      </c>
      <c r="H11" s="306"/>
      <c r="I11" s="306">
        <v>26876.400000000001</v>
      </c>
      <c r="J11" s="310" t="s">
        <v>2</v>
      </c>
      <c r="K11" s="307"/>
      <c r="L11" s="307"/>
      <c r="M11" s="307"/>
      <c r="N11" s="316" t="s">
        <v>575</v>
      </c>
      <c r="P11" s="632">
        <f>I11</f>
        <v>26876.400000000001</v>
      </c>
      <c r="Q11" s="629">
        <f t="shared" si="2"/>
        <v>0.91743119266055051</v>
      </c>
      <c r="R11" s="632">
        <f>$Q11*C11</f>
        <v>11786.425225298339</v>
      </c>
      <c r="S11" s="632">
        <f t="shared" ref="S11:U16" si="4">$Q11*D11</f>
        <v>6613.5428587167971</v>
      </c>
      <c r="T11" s="632">
        <f t="shared" si="4"/>
        <v>5181.5564444964812</v>
      </c>
      <c r="U11" s="632">
        <f t="shared" si="4"/>
        <v>3294.8754714883848</v>
      </c>
    </row>
    <row r="12" spans="1:21" s="77" customFormat="1" ht="38.25" customHeight="1">
      <c r="A12" s="349" t="s">
        <v>556</v>
      </c>
      <c r="B12" s="305" t="s">
        <v>557</v>
      </c>
      <c r="C12" s="306">
        <v>418245.15217496792</v>
      </c>
      <c r="D12" s="306">
        <v>127374.2946353068</v>
      </c>
      <c r="E12" s="306">
        <v>29177.674174605763</v>
      </c>
      <c r="F12" s="306">
        <v>56620.834015119501</v>
      </c>
      <c r="G12" s="306">
        <f t="shared" si="1"/>
        <v>631417.95499999996</v>
      </c>
      <c r="H12" s="306">
        <v>450000</v>
      </c>
      <c r="I12" s="306"/>
      <c r="J12" s="310" t="s">
        <v>553</v>
      </c>
      <c r="K12" s="307"/>
      <c r="L12" s="307"/>
      <c r="M12" s="307"/>
      <c r="N12" s="316" t="s">
        <v>554</v>
      </c>
      <c r="P12" s="632">
        <f t="shared" ref="P12:P16" si="5">H12</f>
        <v>450000</v>
      </c>
      <c r="Q12" s="629">
        <f t="shared" si="2"/>
        <v>0.71268166582307602</v>
      </c>
      <c r="R12" s="632">
        <f>$Q12*C12</f>
        <v>298075.65177448204</v>
      </c>
      <c r="S12" s="632">
        <f t="shared" si="4"/>
        <v>90777.324483729739</v>
      </c>
      <c r="T12" s="632">
        <f t="shared" si="4"/>
        <v>20794.393435600981</v>
      </c>
      <c r="U12" s="632">
        <f t="shared" si="4"/>
        <v>40352.630306187253</v>
      </c>
    </row>
    <row r="13" spans="1:21" s="77" customFormat="1" ht="38.25" customHeight="1">
      <c r="A13" s="349" t="s">
        <v>558</v>
      </c>
      <c r="B13" s="305" t="s">
        <v>559</v>
      </c>
      <c r="C13" s="306">
        <v>48399.315319454101</v>
      </c>
      <c r="D13" s="306">
        <v>5052.5792129217634</v>
      </c>
      <c r="E13" s="306">
        <v>2780.7553705026685</v>
      </c>
      <c r="F13" s="306">
        <v>5453.3500971214626</v>
      </c>
      <c r="G13" s="306">
        <f t="shared" si="1"/>
        <v>61685.999999999993</v>
      </c>
      <c r="H13" s="306">
        <v>49000</v>
      </c>
      <c r="I13" s="306"/>
      <c r="J13" s="356" t="s">
        <v>553</v>
      </c>
      <c r="K13" s="307"/>
      <c r="L13" s="307"/>
      <c r="M13" s="307"/>
      <c r="N13" s="316" t="s">
        <v>554</v>
      </c>
      <c r="P13" s="632">
        <f t="shared" si="5"/>
        <v>49000</v>
      </c>
      <c r="Q13" s="629">
        <f t="shared" si="2"/>
        <v>0.7943455565282237</v>
      </c>
      <c r="R13" s="632">
        <f t="shared" ref="R13:R16" si="6">$Q13*C13</f>
        <v>38445.781063016751</v>
      </c>
      <c r="S13" s="632">
        <f t="shared" si="4"/>
        <v>4013.4938467912725</v>
      </c>
      <c r="T13" s="632">
        <f t="shared" si="4"/>
        <v>2208.8806723507892</v>
      </c>
      <c r="U13" s="632">
        <f t="shared" si="4"/>
        <v>4331.844417841191</v>
      </c>
    </row>
    <row r="14" spans="1:21" s="77" customFormat="1" ht="38.25" customHeight="1">
      <c r="A14" s="349" t="s">
        <v>572</v>
      </c>
      <c r="B14" s="305" t="s">
        <v>573</v>
      </c>
      <c r="C14" s="306">
        <v>145281.06920876313</v>
      </c>
      <c r="D14" s="306">
        <v>291410.16339767905</v>
      </c>
      <c r="E14" s="306">
        <v>26221.034510617854</v>
      </c>
      <c r="F14" s="306">
        <v>48055.596140939961</v>
      </c>
      <c r="G14" s="306">
        <f t="shared" si="1"/>
        <v>510967.863258</v>
      </c>
      <c r="H14" s="306">
        <v>426109.82260000001</v>
      </c>
      <c r="I14" s="306"/>
      <c r="J14" s="356" t="s">
        <v>553</v>
      </c>
      <c r="K14" s="307"/>
      <c r="L14" s="307"/>
      <c r="M14" s="307"/>
      <c r="N14" s="316" t="s">
        <v>554</v>
      </c>
      <c r="P14" s="632">
        <f t="shared" si="5"/>
        <v>426109.82260000001</v>
      </c>
      <c r="Q14" s="629">
        <f t="shared" si="2"/>
        <v>0.83392685380067999</v>
      </c>
      <c r="R14" s="632">
        <f t="shared" si="6"/>
        <v>121153.78496206268</v>
      </c>
      <c r="S14" s="632">
        <f t="shared" si="4"/>
        <v>243014.76072776856</v>
      </c>
      <c r="T14" s="632">
        <f t="shared" si="4"/>
        <v>21866.424812838599</v>
      </c>
      <c r="U14" s="632">
        <f t="shared" si="4"/>
        <v>40074.852097330157</v>
      </c>
    </row>
    <row r="15" spans="1:21" s="77" customFormat="1" ht="38.25" customHeight="1">
      <c r="A15" s="349" t="s">
        <v>577</v>
      </c>
      <c r="B15" s="305" t="s">
        <v>728</v>
      </c>
      <c r="C15" s="306">
        <v>225897.6826</v>
      </c>
      <c r="D15" s="306">
        <v>58994.429999999964</v>
      </c>
      <c r="E15" s="306">
        <v>44129.637282700001</v>
      </c>
      <c r="F15" s="306">
        <v>29056.335030000009</v>
      </c>
      <c r="G15" s="306">
        <f t="shared" si="1"/>
        <v>358078.0849127</v>
      </c>
      <c r="H15" s="306">
        <v>270538</v>
      </c>
      <c r="I15" s="306"/>
      <c r="J15" s="356" t="s">
        <v>553</v>
      </c>
      <c r="K15" s="307"/>
      <c r="L15" s="307"/>
      <c r="M15" s="307"/>
      <c r="N15" s="316" t="s">
        <v>554</v>
      </c>
      <c r="P15" s="632">
        <f t="shared" si="5"/>
        <v>270538</v>
      </c>
      <c r="Q15" s="629">
        <f t="shared" si="2"/>
        <v>0.75552794599523621</v>
      </c>
      <c r="R15" s="632">
        <f t="shared" si="6"/>
        <v>170672.01213986182</v>
      </c>
      <c r="S15" s="632">
        <f t="shared" si="4"/>
        <v>44571.940523059719</v>
      </c>
      <c r="T15" s="632">
        <f t="shared" si="4"/>
        <v>33341.17421371313</v>
      </c>
      <c r="U15" s="632">
        <f t="shared" si="4"/>
        <v>21952.873123365338</v>
      </c>
    </row>
    <row r="16" spans="1:21" s="77" customFormat="1" ht="38.25" customHeight="1">
      <c r="A16" s="563" t="s">
        <v>726</v>
      </c>
      <c r="B16" s="305" t="s">
        <v>727</v>
      </c>
      <c r="C16" s="306">
        <v>466229.89809999999</v>
      </c>
      <c r="D16" s="306">
        <v>1071037.3524999998</v>
      </c>
      <c r="E16" s="306">
        <v>156583.05596499998</v>
      </c>
      <c r="F16" s="306">
        <v>79719.693435000008</v>
      </c>
      <c r="G16" s="306">
        <f t="shared" si="1"/>
        <v>1773570</v>
      </c>
      <c r="H16" s="306">
        <v>1452296</v>
      </c>
      <c r="I16" s="306"/>
      <c r="J16" s="356" t="s">
        <v>553</v>
      </c>
      <c r="K16" s="307"/>
      <c r="L16" s="307"/>
      <c r="M16" s="307"/>
      <c r="N16" s="316" t="s">
        <v>554</v>
      </c>
      <c r="P16" s="632">
        <f t="shared" si="5"/>
        <v>1452296</v>
      </c>
      <c r="Q16" s="629">
        <f t="shared" si="2"/>
        <v>0.81885462654420182</v>
      </c>
      <c r="R16" s="632">
        <f t="shared" si="6"/>
        <v>381774.50909241679</v>
      </c>
      <c r="S16" s="632">
        <f t="shared" si="4"/>
        <v>877023.89129627799</v>
      </c>
      <c r="T16" s="632">
        <f t="shared" si="4"/>
        <v>128218.75981536991</v>
      </c>
      <c r="U16" s="632">
        <f t="shared" si="4"/>
        <v>65278.839795935193</v>
      </c>
    </row>
    <row r="17" spans="1:18" ht="38.25" customHeight="1">
      <c r="A17" s="304"/>
      <c r="B17" s="305"/>
      <c r="C17" s="306"/>
      <c r="D17" s="306"/>
      <c r="E17" s="306"/>
      <c r="F17" s="306"/>
      <c r="G17" s="309"/>
      <c r="H17" s="309"/>
      <c r="I17" s="306"/>
      <c r="J17" s="310"/>
      <c r="K17" s="307"/>
      <c r="L17" s="307"/>
      <c r="M17" s="307"/>
      <c r="N17" s="311"/>
    </row>
    <row r="18" spans="1:18" ht="38.25" customHeight="1">
      <c r="A18" s="1451" t="s">
        <v>341</v>
      </c>
      <c r="B18" s="1452"/>
      <c r="C18" s="312">
        <f t="shared" ref="C18:E18" si="7">SUM(C9:C17)</f>
        <v>1459738.136899353</v>
      </c>
      <c r="D18" s="312">
        <f t="shared" si="7"/>
        <v>1617678.0912207975</v>
      </c>
      <c r="E18" s="312">
        <f t="shared" si="7"/>
        <v>280421.39654697891</v>
      </c>
      <c r="F18" s="312">
        <f>SUM(F9:F17)</f>
        <v>256413.07032591972</v>
      </c>
      <c r="G18" s="312">
        <f>SUM(G9:G17)</f>
        <v>3614250.6949930494</v>
      </c>
      <c r="H18" s="312">
        <f>SUM(H9:H17)</f>
        <v>2696425.1226000004</v>
      </c>
      <c r="I18" s="626">
        <f>SUM(I9:I17)</f>
        <v>154913.84</v>
      </c>
      <c r="J18" s="313"/>
      <c r="K18" s="312"/>
      <c r="L18" s="312"/>
      <c r="M18" s="314"/>
      <c r="N18" s="315"/>
      <c r="R18">
        <f>C16/H16</f>
        <v>0.32102952710742161</v>
      </c>
    </row>
    <row r="19" spans="1:18" ht="15.75" thickBot="1"/>
    <row r="20" spans="1:18" ht="34.5" customHeight="1">
      <c r="B20" s="134" t="s">
        <v>352</v>
      </c>
      <c r="C20" s="135" t="s">
        <v>353</v>
      </c>
      <c r="H20" s="365"/>
    </row>
    <row r="21" spans="1:18" s="1" customFormat="1" ht="30.75" customHeight="1">
      <c r="B21" s="262" t="s">
        <v>354</v>
      </c>
      <c r="C21" s="263">
        <f>I18</f>
        <v>154913.84</v>
      </c>
    </row>
    <row r="22" spans="1:18" s="1" customFormat="1" ht="30.75" customHeight="1">
      <c r="B22" s="264" t="s">
        <v>777</v>
      </c>
      <c r="C22" s="366">
        <f>H18</f>
        <v>2696425.1226000004</v>
      </c>
      <c r="G22" s="359"/>
      <c r="H22" s="358"/>
      <c r="I22" s="360"/>
    </row>
    <row r="23" spans="1:18" s="1" customFormat="1" ht="30.75" customHeight="1">
      <c r="B23" s="262" t="s">
        <v>355</v>
      </c>
      <c r="C23" s="263">
        <f>+G18-(C22+C21)</f>
        <v>762911.73239304917</v>
      </c>
    </row>
    <row r="24" spans="1:18" s="1" customFormat="1" ht="30.75" customHeight="1">
      <c r="B24" s="264" t="s">
        <v>574</v>
      </c>
      <c r="C24" s="265">
        <v>0</v>
      </c>
      <c r="E24" s="136"/>
      <c r="G24" s="359"/>
    </row>
    <row r="25" spans="1:18" s="1" customFormat="1" ht="30.75" customHeight="1" thickBot="1">
      <c r="B25" s="266" t="s">
        <v>356</v>
      </c>
      <c r="C25" s="267">
        <f>SUM(C21:C24)</f>
        <v>3614250.6949930494</v>
      </c>
      <c r="E25" s="136"/>
      <c r="G25" s="359"/>
      <c r="H25" s="359"/>
    </row>
    <row r="27" spans="1:18" ht="15.75" thickBot="1"/>
    <row r="28" spans="1:18" ht="19.5" thickBot="1">
      <c r="D28" s="594" t="s">
        <v>797</v>
      </c>
      <c r="E28" s="595"/>
      <c r="F28" s="596"/>
      <c r="G28" s="597"/>
    </row>
    <row r="29" spans="1:18" ht="3.75" customHeight="1" thickBot="1">
      <c r="F29" s="339"/>
    </row>
    <row r="30" spans="1:18" ht="30.75" thickBot="1">
      <c r="D30" s="591" t="s">
        <v>10</v>
      </c>
      <c r="E30" s="592" t="s">
        <v>81</v>
      </c>
      <c r="F30" s="592" t="s">
        <v>114</v>
      </c>
      <c r="G30" s="593" t="s">
        <v>188</v>
      </c>
      <c r="H30" s="571"/>
    </row>
    <row r="31" spans="1:18">
      <c r="D31" s="572"/>
      <c r="E31" s="564"/>
      <c r="F31" s="173"/>
      <c r="G31" s="573"/>
    </row>
    <row r="32" spans="1:18">
      <c r="C32" t="s">
        <v>339</v>
      </c>
      <c r="D32" s="574">
        <f>R9</f>
        <v>29088.780000000002</v>
      </c>
      <c r="E32" s="575">
        <f>S9</f>
        <v>9696.26</v>
      </c>
      <c r="F32" s="576">
        <f>T9</f>
        <v>2424.0650000000001</v>
      </c>
      <c r="G32" s="577">
        <f>U9</f>
        <v>7272.1950000000006</v>
      </c>
      <c r="H32" s="339">
        <f>SUM(D32:G32)</f>
        <v>48481.3</v>
      </c>
    </row>
    <row r="33" spans="3:9">
      <c r="C33" t="s">
        <v>731</v>
      </c>
      <c r="D33" s="574">
        <f t="shared" ref="D33:G33" si="8">R10</f>
        <v>72132.432937300706</v>
      </c>
      <c r="E33" s="575">
        <f t="shared" si="8"/>
        <v>30332.440256730428</v>
      </c>
      <c r="F33" s="576">
        <f t="shared" si="8"/>
        <v>8794.3372317742997</v>
      </c>
      <c r="G33" s="577">
        <f t="shared" si="8"/>
        <v>16778.229574194585</v>
      </c>
      <c r="H33" s="339">
        <f t="shared" ref="H33:H39" si="9">SUM(D33:G33)</f>
        <v>128037.44000000002</v>
      </c>
    </row>
    <row r="34" spans="3:9">
      <c r="C34" t="s">
        <v>732</v>
      </c>
      <c r="D34" s="574">
        <f t="shared" ref="D34:G34" si="10">R11</f>
        <v>11786.425225298339</v>
      </c>
      <c r="E34" s="575">
        <f t="shared" si="10"/>
        <v>6613.5428587167971</v>
      </c>
      <c r="F34" s="576">
        <f t="shared" si="10"/>
        <v>5181.5564444964812</v>
      </c>
      <c r="G34" s="577">
        <f t="shared" si="10"/>
        <v>3294.8754714883848</v>
      </c>
      <c r="H34" s="339">
        <f t="shared" si="9"/>
        <v>26876.399999999998</v>
      </c>
    </row>
    <row r="35" spans="3:9">
      <c r="C35" t="s">
        <v>556</v>
      </c>
      <c r="D35" s="574">
        <f t="shared" ref="D35:G35" si="11">R12</f>
        <v>298075.65177448204</v>
      </c>
      <c r="E35" s="575">
        <f t="shared" si="11"/>
        <v>90777.324483729739</v>
      </c>
      <c r="F35" s="576">
        <f t="shared" si="11"/>
        <v>20794.393435600981</v>
      </c>
      <c r="G35" s="577">
        <f t="shared" si="11"/>
        <v>40352.630306187253</v>
      </c>
      <c r="H35" s="339">
        <f t="shared" si="9"/>
        <v>450000</v>
      </c>
    </row>
    <row r="36" spans="3:9">
      <c r="C36" t="s">
        <v>558</v>
      </c>
      <c r="D36" s="574">
        <f t="shared" ref="D36:G36" si="12">R13</f>
        <v>38445.781063016751</v>
      </c>
      <c r="E36" s="575">
        <f t="shared" si="12"/>
        <v>4013.4938467912725</v>
      </c>
      <c r="F36" s="576">
        <f t="shared" si="12"/>
        <v>2208.8806723507892</v>
      </c>
      <c r="G36" s="577">
        <f t="shared" si="12"/>
        <v>4331.844417841191</v>
      </c>
      <c r="H36" s="339">
        <f t="shared" si="9"/>
        <v>49000</v>
      </c>
    </row>
    <row r="37" spans="3:9">
      <c r="C37" t="s">
        <v>572</v>
      </c>
      <c r="D37" s="574">
        <f t="shared" ref="D37:G37" si="13">R14</f>
        <v>121153.78496206268</v>
      </c>
      <c r="E37" s="575">
        <f t="shared" si="13"/>
        <v>243014.76072776856</v>
      </c>
      <c r="F37" s="576">
        <f t="shared" si="13"/>
        <v>21866.424812838599</v>
      </c>
      <c r="G37" s="577">
        <f t="shared" si="13"/>
        <v>40074.852097330157</v>
      </c>
      <c r="H37" s="339">
        <f t="shared" si="9"/>
        <v>426109.82260000001</v>
      </c>
    </row>
    <row r="38" spans="3:9">
      <c r="C38" t="s">
        <v>577</v>
      </c>
      <c r="D38" s="574">
        <f t="shared" ref="D38:G38" si="14">R15</f>
        <v>170672.01213986182</v>
      </c>
      <c r="E38" s="575">
        <f t="shared" si="14"/>
        <v>44571.940523059719</v>
      </c>
      <c r="F38" s="576">
        <f t="shared" si="14"/>
        <v>33341.17421371313</v>
      </c>
      <c r="G38" s="577">
        <f t="shared" si="14"/>
        <v>21952.873123365338</v>
      </c>
      <c r="H38" s="339">
        <f t="shared" si="9"/>
        <v>270538</v>
      </c>
    </row>
    <row r="39" spans="3:9">
      <c r="C39" t="s">
        <v>726</v>
      </c>
      <c r="D39" s="574">
        <f t="shared" ref="D39:G39" si="15">R16</f>
        <v>381774.50909241679</v>
      </c>
      <c r="E39" s="575">
        <f t="shared" si="15"/>
        <v>877023.89129627799</v>
      </c>
      <c r="F39" s="576">
        <f t="shared" si="15"/>
        <v>128218.75981536991</v>
      </c>
      <c r="G39" s="577">
        <f t="shared" si="15"/>
        <v>65278.839795935193</v>
      </c>
      <c r="H39" s="339">
        <f t="shared" si="9"/>
        <v>1452296</v>
      </c>
    </row>
    <row r="40" spans="3:9">
      <c r="D40" s="574"/>
      <c r="E40" s="575"/>
      <c r="F40" s="576"/>
      <c r="G40" s="577"/>
      <c r="H40" s="339"/>
    </row>
    <row r="41" spans="3:9">
      <c r="D41" s="572"/>
      <c r="E41" s="564"/>
      <c r="F41" s="173"/>
      <c r="G41" s="573"/>
    </row>
    <row r="42" spans="3:9" ht="15.75">
      <c r="D42" s="578">
        <f>SUM(D32:D41)</f>
        <v>1123129.3771944391</v>
      </c>
      <c r="E42" s="579">
        <f t="shared" ref="E42:G42" si="16">SUM(E32:E41)</f>
        <v>1306043.6539930743</v>
      </c>
      <c r="F42" s="579">
        <f t="shared" si="16"/>
        <v>222829.59162614419</v>
      </c>
      <c r="G42" s="580">
        <f t="shared" si="16"/>
        <v>199336.33978634211</v>
      </c>
      <c r="H42" s="339">
        <f>SUM(D42:G42)</f>
        <v>2851338.9625999993</v>
      </c>
    </row>
    <row r="43" spans="3:9" ht="15.75" thickBot="1">
      <c r="D43" s="588"/>
      <c r="E43" s="598"/>
      <c r="F43" s="599"/>
      <c r="G43" s="600"/>
    </row>
    <row r="44" spans="3:9" ht="5.25" customHeight="1" thickBot="1">
      <c r="D44" s="599"/>
      <c r="E44" s="598"/>
      <c r="F44" s="599"/>
      <c r="G44" s="599"/>
    </row>
    <row r="45" spans="3:9" ht="19.5" thickBot="1">
      <c r="D45" s="594" t="s">
        <v>730</v>
      </c>
      <c r="E45" s="595"/>
      <c r="F45" s="596"/>
      <c r="G45" s="597"/>
    </row>
    <row r="46" spans="3:9">
      <c r="D46" s="572"/>
      <c r="E46" s="564"/>
      <c r="F46" s="173"/>
      <c r="G46" s="573"/>
      <c r="H46" s="363"/>
    </row>
    <row r="47" spans="3:9">
      <c r="D47" s="574"/>
      <c r="E47" s="575"/>
      <c r="F47" s="576"/>
      <c r="G47" s="577"/>
      <c r="H47" s="339">
        <f>SUM(D47:G47)</f>
        <v>0</v>
      </c>
      <c r="I47" s="361"/>
    </row>
    <row r="48" spans="3:9">
      <c r="D48" s="574"/>
      <c r="E48" s="575"/>
      <c r="F48" s="576"/>
      <c r="G48" s="577"/>
      <c r="H48" s="339">
        <f t="shared" ref="H48:H50" si="17">SUM(D48:G48)</f>
        <v>0</v>
      </c>
    </row>
    <row r="49" spans="4:9">
      <c r="D49" s="574"/>
      <c r="E49" s="581"/>
      <c r="F49" s="581"/>
      <c r="G49" s="582"/>
      <c r="H49" s="339">
        <f t="shared" si="17"/>
        <v>0</v>
      </c>
      <c r="I49" s="1"/>
    </row>
    <row r="50" spans="4:9">
      <c r="D50" s="574"/>
      <c r="E50" s="583"/>
      <c r="F50" s="583"/>
      <c r="G50" s="584"/>
      <c r="H50" s="339">
        <f t="shared" si="17"/>
        <v>0</v>
      </c>
    </row>
    <row r="51" spans="4:9">
      <c r="D51" s="574"/>
      <c r="E51" s="583"/>
      <c r="F51" s="583"/>
      <c r="G51" s="584"/>
      <c r="H51" s="339"/>
    </row>
    <row r="52" spans="4:9">
      <c r="D52" s="574"/>
      <c r="E52" s="583"/>
      <c r="F52" s="583"/>
      <c r="G52" s="584"/>
      <c r="H52" s="339"/>
    </row>
    <row r="53" spans="4:9">
      <c r="D53" s="574"/>
      <c r="E53" s="583"/>
      <c r="F53" s="583"/>
      <c r="G53" s="584"/>
      <c r="H53" s="339"/>
    </row>
    <row r="54" spans="4:9">
      <c r="D54" s="572"/>
      <c r="E54" s="564"/>
      <c r="F54" s="173"/>
      <c r="G54" s="573"/>
      <c r="H54" s="364"/>
      <c r="I54" s="361"/>
    </row>
    <row r="55" spans="4:9" ht="15.75">
      <c r="D55" s="578">
        <f>SUM(D47:D54)</f>
        <v>0</v>
      </c>
      <c r="E55" s="579">
        <f t="shared" ref="E55:G55" si="18">SUM(E47:E54)</f>
        <v>0</v>
      </c>
      <c r="F55" s="579">
        <f t="shared" si="18"/>
        <v>0</v>
      </c>
      <c r="G55" s="580">
        <f t="shared" si="18"/>
        <v>0</v>
      </c>
      <c r="H55" s="339">
        <f>SUM(D55:G55)</f>
        <v>0</v>
      </c>
    </row>
    <row r="56" spans="4:9" ht="15.75" thickBot="1">
      <c r="D56" s="572"/>
      <c r="E56" s="564"/>
      <c r="F56" s="173"/>
      <c r="G56" s="573"/>
    </row>
    <row r="57" spans="4:9">
      <c r="D57" s="603"/>
      <c r="E57" s="602"/>
      <c r="F57" s="601"/>
      <c r="G57" s="604"/>
    </row>
    <row r="58" spans="4:9" ht="15.75">
      <c r="D58" s="585">
        <f>+D55+D42</f>
        <v>1123129.3771944391</v>
      </c>
      <c r="E58" s="586">
        <f>+E55+E42</f>
        <v>1306043.6539930743</v>
      </c>
      <c r="F58" s="586">
        <f>+F55+F42</f>
        <v>222829.59162614419</v>
      </c>
      <c r="G58" s="587">
        <f>+G55+G42</f>
        <v>199336.33978634211</v>
      </c>
      <c r="H58" s="339">
        <f>SUM(D58:G58)</f>
        <v>2851338.9625999993</v>
      </c>
    </row>
    <row r="59" spans="4:9" ht="15.75" thickBot="1">
      <c r="D59" s="588"/>
      <c r="E59" s="589"/>
      <c r="F59" s="589"/>
      <c r="G59" s="590"/>
      <c r="H59" s="365"/>
    </row>
  </sheetData>
  <mergeCells count="12">
    <mergeCell ref="N7:N8"/>
    <mergeCell ref="A18:B18"/>
    <mergeCell ref="A1:A3"/>
    <mergeCell ref="B1:L3"/>
    <mergeCell ref="A4:N4"/>
    <mergeCell ref="A5:N5"/>
    <mergeCell ref="A6:N6"/>
    <mergeCell ref="A7:A8"/>
    <mergeCell ref="B7:B8"/>
    <mergeCell ref="G7:J7"/>
    <mergeCell ref="C7:F7"/>
    <mergeCell ref="K7:M7"/>
  </mergeCells>
  <printOptions horizontalCentered="1" verticalCentered="1"/>
  <pageMargins left="0.25" right="0.25" top="0.25" bottom="0.25" header="0.3" footer="0.3"/>
  <pageSetup paperSize="9" scale="49" fitToHeight="0" orientation="landscape" r:id="rId1"/>
</worksheet>
</file>

<file path=xl/worksheets/sheet15.xml><?xml version="1.0" encoding="utf-8"?>
<worksheet xmlns="http://schemas.openxmlformats.org/spreadsheetml/2006/main" xmlns:r="http://schemas.openxmlformats.org/officeDocument/2006/relationships">
  <sheetPr>
    <tabColor theme="4" tint="0.39997558519241921"/>
    <pageSetUpPr fitToPage="1"/>
  </sheetPr>
  <dimension ref="A1:CI140"/>
  <sheetViews>
    <sheetView view="pageBreakPreview" zoomScaleSheetLayoutView="100" workbookViewId="0">
      <selection activeCell="BR106" sqref="BR106:CB106"/>
    </sheetView>
  </sheetViews>
  <sheetFormatPr defaultRowHeight="15"/>
  <cols>
    <col min="1" max="80" width="1.28515625" customWidth="1"/>
    <col min="81" max="81" width="11.5703125" bestFit="1" customWidth="1"/>
    <col min="82" max="82" width="22.28515625" customWidth="1"/>
    <col min="83" max="83" width="24.28515625" customWidth="1"/>
    <col min="84" max="84" width="18.140625" customWidth="1"/>
    <col min="85" max="85" width="13" customWidth="1"/>
    <col min="86" max="86" width="13.28515625" bestFit="1" customWidth="1"/>
  </cols>
  <sheetData>
    <row r="1" spans="1:83" ht="15" customHeight="1">
      <c r="A1" s="1563"/>
      <c r="B1" s="1563"/>
      <c r="C1" s="1563"/>
      <c r="D1" s="1563"/>
      <c r="E1" s="1563"/>
      <c r="F1" s="1563"/>
      <c r="G1" s="1563"/>
      <c r="H1" s="1563"/>
      <c r="I1" s="1564" t="s">
        <v>508</v>
      </c>
      <c r="J1" s="1565"/>
      <c r="K1" s="1565"/>
      <c r="L1" s="1565"/>
      <c r="M1" s="1565"/>
      <c r="N1" s="1565"/>
      <c r="O1" s="1565"/>
      <c r="P1" s="1565"/>
      <c r="Q1" s="1565"/>
      <c r="R1" s="1565"/>
      <c r="S1" s="1565"/>
      <c r="T1" s="1565"/>
      <c r="U1" s="1565"/>
      <c r="V1" s="1565"/>
      <c r="W1" s="1565"/>
      <c r="X1" s="1565"/>
      <c r="Y1" s="1565"/>
      <c r="Z1" s="1565"/>
      <c r="AA1" s="1565"/>
      <c r="AB1" s="1565"/>
      <c r="AC1" s="1565"/>
      <c r="AD1" s="1565"/>
      <c r="AE1" s="1565"/>
      <c r="AF1" s="1565"/>
      <c r="AG1" s="1565"/>
      <c r="AH1" s="1565"/>
      <c r="AI1" s="1565"/>
      <c r="AJ1" s="1565"/>
      <c r="AK1" s="1565"/>
      <c r="AL1" s="1565"/>
      <c r="AM1" s="1565"/>
      <c r="AN1" s="1565"/>
      <c r="AO1" s="1565"/>
      <c r="AP1" s="1565"/>
      <c r="AQ1" s="1565"/>
      <c r="AR1" s="1565"/>
      <c r="AS1" s="1565"/>
      <c r="AT1" s="1565"/>
      <c r="AU1" s="1565"/>
      <c r="AV1" s="1565"/>
      <c r="AW1" s="1565"/>
      <c r="AX1" s="1565"/>
      <c r="AY1" s="1565"/>
      <c r="AZ1" s="1565"/>
      <c r="BA1" s="1565"/>
      <c r="BB1" s="1565"/>
      <c r="BC1" s="1565"/>
      <c r="BD1" s="1565"/>
      <c r="BE1" s="1565"/>
      <c r="BF1" s="1566"/>
      <c r="BG1" s="1573" t="s">
        <v>237</v>
      </c>
      <c r="BH1" s="1574"/>
      <c r="BI1" s="1574"/>
      <c r="BJ1" s="1574"/>
      <c r="BK1" s="1574"/>
      <c r="BL1" s="1575"/>
      <c r="BM1" s="1576" t="s">
        <v>409</v>
      </c>
      <c r="BN1" s="1576"/>
      <c r="BO1" s="1576"/>
      <c r="BP1" s="1576"/>
      <c r="BQ1" s="1576"/>
      <c r="BR1" s="1576"/>
      <c r="BS1" s="1576"/>
      <c r="BT1" s="1576"/>
      <c r="BU1" s="1576"/>
      <c r="BV1" s="1576"/>
      <c r="BW1" s="1576"/>
      <c r="BX1" s="1576"/>
      <c r="BY1" s="1576"/>
      <c r="BZ1" s="1576"/>
      <c r="CA1" s="1576"/>
      <c r="CB1" s="1576"/>
    </row>
    <row r="2" spans="1:83" ht="15" customHeight="1">
      <c r="A2" s="1563"/>
      <c r="B2" s="1563"/>
      <c r="C2" s="1563"/>
      <c r="D2" s="1563"/>
      <c r="E2" s="1563"/>
      <c r="F2" s="1563"/>
      <c r="G2" s="1563"/>
      <c r="H2" s="1563"/>
      <c r="I2" s="1567"/>
      <c r="J2" s="1568"/>
      <c r="K2" s="1568"/>
      <c r="L2" s="1568"/>
      <c r="M2" s="1568"/>
      <c r="N2" s="1568"/>
      <c r="O2" s="1568"/>
      <c r="P2" s="1568"/>
      <c r="Q2" s="1568"/>
      <c r="R2" s="1568"/>
      <c r="S2" s="1568"/>
      <c r="T2" s="1568"/>
      <c r="U2" s="1568"/>
      <c r="V2" s="1568"/>
      <c r="W2" s="1568"/>
      <c r="X2" s="1568"/>
      <c r="Y2" s="1568"/>
      <c r="Z2" s="1568"/>
      <c r="AA2" s="1568"/>
      <c r="AB2" s="1568"/>
      <c r="AC2" s="1568"/>
      <c r="AD2" s="1568"/>
      <c r="AE2" s="1568"/>
      <c r="AF2" s="1568"/>
      <c r="AG2" s="1568"/>
      <c r="AH2" s="1568"/>
      <c r="AI2" s="1568"/>
      <c r="AJ2" s="1568"/>
      <c r="AK2" s="1568"/>
      <c r="AL2" s="1568"/>
      <c r="AM2" s="1568"/>
      <c r="AN2" s="1568"/>
      <c r="AO2" s="1568"/>
      <c r="AP2" s="1568"/>
      <c r="AQ2" s="1568"/>
      <c r="AR2" s="1568"/>
      <c r="AS2" s="1568"/>
      <c r="AT2" s="1568"/>
      <c r="AU2" s="1568"/>
      <c r="AV2" s="1568"/>
      <c r="AW2" s="1568"/>
      <c r="AX2" s="1568"/>
      <c r="AY2" s="1568"/>
      <c r="AZ2" s="1568"/>
      <c r="BA2" s="1568"/>
      <c r="BB2" s="1568"/>
      <c r="BC2" s="1568"/>
      <c r="BD2" s="1568"/>
      <c r="BE2" s="1568"/>
      <c r="BF2" s="1569"/>
      <c r="BG2" s="1573" t="s">
        <v>235</v>
      </c>
      <c r="BH2" s="1574"/>
      <c r="BI2" s="1574"/>
      <c r="BJ2" s="1574"/>
      <c r="BK2" s="1574"/>
      <c r="BL2" s="1575"/>
      <c r="BM2" s="1576">
        <v>0</v>
      </c>
      <c r="BN2" s="1576"/>
      <c r="BO2" s="1576"/>
      <c r="BP2" s="1576"/>
      <c r="BQ2" s="1576"/>
      <c r="BR2" s="1576"/>
      <c r="BS2" s="1576"/>
      <c r="BT2" s="1576"/>
      <c r="BU2" s="1576"/>
      <c r="BV2" s="1576"/>
      <c r="BW2" s="1576"/>
      <c r="BX2" s="1576"/>
      <c r="BY2" s="1576"/>
      <c r="BZ2" s="1576"/>
      <c r="CA2" s="1576"/>
      <c r="CB2" s="1576"/>
    </row>
    <row r="3" spans="1:83" ht="15" customHeight="1">
      <c r="A3" s="1563"/>
      <c r="B3" s="1563"/>
      <c r="C3" s="1563"/>
      <c r="D3" s="1563"/>
      <c r="E3" s="1563"/>
      <c r="F3" s="1563"/>
      <c r="G3" s="1563"/>
      <c r="H3" s="1563"/>
      <c r="I3" s="1570"/>
      <c r="J3" s="1571"/>
      <c r="K3" s="1571"/>
      <c r="L3" s="1571"/>
      <c r="M3" s="1571"/>
      <c r="N3" s="1571"/>
      <c r="O3" s="1571"/>
      <c r="P3" s="1571"/>
      <c r="Q3" s="1571"/>
      <c r="R3" s="1571"/>
      <c r="S3" s="1571"/>
      <c r="T3" s="1571"/>
      <c r="U3" s="1571"/>
      <c r="V3" s="1571"/>
      <c r="W3" s="1571"/>
      <c r="X3" s="1571"/>
      <c r="Y3" s="1571"/>
      <c r="Z3" s="1571"/>
      <c r="AA3" s="1571"/>
      <c r="AB3" s="1571"/>
      <c r="AC3" s="1571"/>
      <c r="AD3" s="1571"/>
      <c r="AE3" s="1571"/>
      <c r="AF3" s="1571"/>
      <c r="AG3" s="1571"/>
      <c r="AH3" s="1571"/>
      <c r="AI3" s="1571"/>
      <c r="AJ3" s="1571"/>
      <c r="AK3" s="1571"/>
      <c r="AL3" s="1571"/>
      <c r="AM3" s="1571"/>
      <c r="AN3" s="1571"/>
      <c r="AO3" s="1571"/>
      <c r="AP3" s="1571"/>
      <c r="AQ3" s="1571"/>
      <c r="AR3" s="1571"/>
      <c r="AS3" s="1571"/>
      <c r="AT3" s="1571"/>
      <c r="AU3" s="1571"/>
      <c r="AV3" s="1571"/>
      <c r="AW3" s="1571"/>
      <c r="AX3" s="1571"/>
      <c r="AY3" s="1571"/>
      <c r="AZ3" s="1571"/>
      <c r="BA3" s="1571"/>
      <c r="BB3" s="1571"/>
      <c r="BC3" s="1571"/>
      <c r="BD3" s="1571"/>
      <c r="BE3" s="1571"/>
      <c r="BF3" s="1572"/>
      <c r="BG3" s="1573" t="s">
        <v>236</v>
      </c>
      <c r="BH3" s="1574"/>
      <c r="BI3" s="1574"/>
      <c r="BJ3" s="1574"/>
      <c r="BK3" s="1574"/>
      <c r="BL3" s="1575"/>
      <c r="BM3" s="1577">
        <f>+'Cover '!T11</f>
        <v>42460</v>
      </c>
      <c r="BN3" s="1578"/>
      <c r="BO3" s="1578"/>
      <c r="BP3" s="1578"/>
      <c r="BQ3" s="1578"/>
      <c r="BR3" s="1578"/>
      <c r="BS3" s="1578"/>
      <c r="BT3" s="1578"/>
      <c r="BU3" s="1578"/>
      <c r="BV3" s="1578"/>
      <c r="BW3" s="1578"/>
      <c r="BX3" s="1578"/>
      <c r="BY3" s="1578"/>
      <c r="BZ3" s="1578"/>
      <c r="CA3" s="1578"/>
      <c r="CB3" s="1579"/>
    </row>
    <row r="4" spans="1:83">
      <c r="A4" s="1560"/>
      <c r="B4" s="1561"/>
      <c r="C4" s="1561"/>
      <c r="D4" s="1561"/>
      <c r="E4" s="1561"/>
      <c r="F4" s="1561"/>
      <c r="G4" s="1561"/>
      <c r="H4" s="1561"/>
      <c r="I4" s="1561"/>
      <c r="J4" s="1561"/>
      <c r="K4" s="1561"/>
      <c r="L4" s="1561"/>
      <c r="M4" s="1561"/>
      <c r="N4" s="1561"/>
      <c r="O4" s="1561"/>
      <c r="P4" s="1561"/>
      <c r="Q4" s="1561"/>
      <c r="R4" s="1561"/>
      <c r="S4" s="1561"/>
      <c r="T4" s="1561"/>
      <c r="U4" s="1561"/>
      <c r="V4" s="1561"/>
      <c r="W4" s="1561"/>
      <c r="X4" s="1561"/>
      <c r="Y4" s="1561"/>
      <c r="Z4" s="1561"/>
      <c r="AA4" s="1561"/>
      <c r="AB4" s="1561"/>
      <c r="AC4" s="1561"/>
      <c r="AD4" s="1561"/>
      <c r="AE4" s="1561"/>
      <c r="AF4" s="1561"/>
      <c r="AG4" s="1561"/>
      <c r="AH4" s="1561"/>
      <c r="AI4" s="1561"/>
      <c r="AJ4" s="1561"/>
      <c r="AK4" s="1561"/>
      <c r="AL4" s="1561"/>
      <c r="AM4" s="1561"/>
      <c r="AN4" s="1561"/>
      <c r="AO4" s="1561"/>
      <c r="AP4" s="1561"/>
      <c r="AQ4" s="1561"/>
      <c r="AR4" s="1561"/>
      <c r="AS4" s="1561"/>
      <c r="AT4" s="1561"/>
      <c r="AU4" s="1561"/>
      <c r="AV4" s="1561"/>
      <c r="AW4" s="1561"/>
      <c r="AX4" s="1561"/>
      <c r="AY4" s="1561"/>
      <c r="AZ4" s="1561"/>
      <c r="BA4" s="1561"/>
      <c r="BB4" s="1561"/>
      <c r="BC4" s="1561"/>
      <c r="BD4" s="1561"/>
      <c r="BE4" s="1561"/>
      <c r="BF4" s="1561"/>
      <c r="BG4" s="1561"/>
      <c r="BH4" s="1561"/>
      <c r="BI4" s="1561"/>
      <c r="BJ4" s="1561"/>
      <c r="BK4" s="1561"/>
      <c r="BL4" s="1561"/>
      <c r="BM4" s="1561"/>
      <c r="BN4" s="1561"/>
      <c r="BO4" s="1561"/>
      <c r="BP4" s="1561"/>
      <c r="BQ4" s="1561"/>
      <c r="BR4" s="1561"/>
      <c r="BS4" s="1561"/>
      <c r="BT4" s="1561"/>
      <c r="BU4" s="1561"/>
      <c r="BV4" s="1561"/>
      <c r="BW4" s="1561"/>
      <c r="BX4" s="1561"/>
      <c r="BY4" s="1561"/>
      <c r="BZ4" s="1561"/>
      <c r="CA4" s="1561"/>
      <c r="CB4" s="1562"/>
    </row>
    <row r="5" spans="1:83" ht="17.100000000000001" customHeight="1">
      <c r="A5" s="1282" t="s">
        <v>263</v>
      </c>
      <c r="B5" s="1283"/>
      <c r="C5" s="1283"/>
      <c r="D5" s="1283"/>
      <c r="E5" s="1283"/>
      <c r="F5" s="1283"/>
      <c r="G5" s="1283"/>
      <c r="H5" s="1283"/>
      <c r="I5" s="1283"/>
      <c r="J5" s="1283"/>
      <c r="K5" s="1283"/>
      <c r="L5" s="1283"/>
      <c r="M5" s="1283"/>
      <c r="N5" s="1283"/>
      <c r="O5" s="1283"/>
      <c r="P5" s="1283"/>
      <c r="Q5" s="1283"/>
      <c r="R5" s="1283"/>
      <c r="S5" s="1283"/>
      <c r="T5" s="1283"/>
      <c r="U5" s="1283"/>
      <c r="V5" s="1283"/>
      <c r="W5" s="1283"/>
      <c r="X5" s="1283"/>
      <c r="Y5" s="1283"/>
      <c r="Z5" s="1283"/>
      <c r="AA5" s="1283"/>
      <c r="AB5" s="1283"/>
      <c r="AC5" s="1283"/>
      <c r="AD5" s="1283"/>
      <c r="AE5" s="1283"/>
      <c r="AF5" s="1283"/>
      <c r="AG5" s="1283"/>
      <c r="AH5" s="1283"/>
      <c r="AI5" s="1283"/>
      <c r="AJ5" s="1283"/>
      <c r="AK5" s="1283"/>
      <c r="AL5" s="1283"/>
      <c r="AM5" s="1283"/>
      <c r="AN5" s="1283"/>
      <c r="AO5" s="1283"/>
      <c r="AP5" s="1283"/>
      <c r="AQ5" s="1283"/>
      <c r="AR5" s="1283"/>
      <c r="AS5" s="1283"/>
      <c r="AT5" s="1283"/>
      <c r="AU5" s="1283"/>
      <c r="AV5" s="1283"/>
      <c r="AW5" s="1283"/>
      <c r="AX5" s="1283"/>
      <c r="AY5" s="1283"/>
      <c r="AZ5" s="1283"/>
      <c r="BA5" s="1283"/>
      <c r="BB5" s="1283"/>
      <c r="BC5" s="1283"/>
      <c r="BD5" s="1283"/>
      <c r="BE5" s="1283"/>
      <c r="BF5" s="1283"/>
      <c r="BG5" s="1283"/>
      <c r="BH5" s="1283"/>
      <c r="BI5" s="1283"/>
      <c r="BJ5" s="1283"/>
      <c r="BK5" s="1283"/>
      <c r="BL5" s="1283"/>
      <c r="BM5" s="1283"/>
      <c r="BN5" s="1283"/>
      <c r="BO5" s="1283"/>
      <c r="BP5" s="1283"/>
      <c r="BQ5" s="1283"/>
      <c r="BR5" s="1283"/>
      <c r="BS5" s="1283"/>
      <c r="BT5" s="1283"/>
      <c r="BU5" s="1283"/>
      <c r="BV5" s="1283"/>
      <c r="BW5" s="1283"/>
      <c r="BX5" s="1283"/>
      <c r="BY5" s="1283"/>
      <c r="BZ5" s="1283"/>
      <c r="CA5" s="1283"/>
      <c r="CB5" s="1284"/>
    </row>
    <row r="6" spans="1:83" ht="17.100000000000001" customHeight="1">
      <c r="A6" s="1543" t="s">
        <v>328</v>
      </c>
      <c r="B6" s="1523"/>
      <c r="C6" s="1523"/>
      <c r="D6" s="1523"/>
      <c r="E6" s="1523"/>
      <c r="F6" s="1523"/>
      <c r="G6" s="1523"/>
      <c r="H6" s="1523"/>
      <c r="I6" s="1523"/>
      <c r="J6" s="1523"/>
      <c r="K6" s="1523"/>
      <c r="L6" s="1524"/>
      <c r="M6" s="1543" t="s">
        <v>478</v>
      </c>
      <c r="N6" s="1543"/>
      <c r="O6" s="1543"/>
      <c r="P6" s="1543"/>
      <c r="Q6" s="1543"/>
      <c r="R6" s="1543"/>
      <c r="S6" s="1543"/>
      <c r="T6" s="1543"/>
      <c r="U6" s="1543"/>
      <c r="V6" s="1543"/>
      <c r="W6" s="1543"/>
      <c r="X6" s="1543"/>
      <c r="Y6" s="1543"/>
      <c r="Z6" s="1543"/>
      <c r="AA6" s="1543"/>
      <c r="AB6" s="1543"/>
      <c r="AC6" s="1543"/>
      <c r="AD6" s="1543"/>
      <c r="AE6" s="1543"/>
      <c r="AF6" s="1543"/>
      <c r="AG6" s="1543"/>
      <c r="AH6" s="1543"/>
      <c r="AI6" s="1543"/>
      <c r="AJ6" s="1543"/>
      <c r="AK6" s="1543"/>
      <c r="AL6" s="1543"/>
      <c r="AM6" s="1543"/>
      <c r="AN6" s="1543"/>
      <c r="AO6" s="1543"/>
      <c r="AP6" s="1543"/>
      <c r="AQ6" s="1543"/>
      <c r="AR6" s="1543"/>
      <c r="AS6" s="1543"/>
      <c r="AT6" s="1543" t="s">
        <v>254</v>
      </c>
      <c r="AU6" s="1543"/>
      <c r="AV6" s="1543"/>
      <c r="AW6" s="1543"/>
      <c r="AX6" s="1543"/>
      <c r="AY6" s="1543"/>
      <c r="AZ6" s="1543"/>
      <c r="BA6" s="1544" t="s">
        <v>208</v>
      </c>
      <c r="BB6" s="1544"/>
      <c r="BC6" s="1544"/>
      <c r="BD6" s="1544"/>
      <c r="BE6" s="1544"/>
      <c r="BF6" s="1544"/>
      <c r="BG6" s="1544"/>
      <c r="BH6" s="1544"/>
      <c r="BI6" s="1544"/>
      <c r="BJ6" s="1544"/>
      <c r="BK6" s="1544"/>
      <c r="BL6" s="1544"/>
      <c r="BM6" s="1544"/>
      <c r="BN6" s="1544"/>
      <c r="BO6" s="1544"/>
      <c r="BP6" s="1544"/>
      <c r="BQ6" s="1544"/>
      <c r="BR6" s="1544"/>
      <c r="BS6" s="1544"/>
      <c r="BT6" s="1544"/>
      <c r="BU6" s="1544"/>
      <c r="BV6" s="1544"/>
      <c r="BW6" s="1544"/>
      <c r="BX6" s="1544"/>
      <c r="BY6" s="1544"/>
      <c r="BZ6" s="1544"/>
      <c r="CA6" s="1544"/>
      <c r="CB6" s="1544"/>
    </row>
    <row r="7" spans="1:83" s="77" customFormat="1" ht="17.100000000000001" customHeight="1">
      <c r="A7" s="1541" t="s">
        <v>225</v>
      </c>
      <c r="B7" s="1559"/>
      <c r="C7" s="1559"/>
      <c r="D7" s="1559"/>
      <c r="E7" s="1559"/>
      <c r="F7" s="1559"/>
      <c r="G7" s="1559"/>
      <c r="H7" s="1559"/>
      <c r="I7" s="1559"/>
      <c r="J7" s="1559"/>
      <c r="K7" s="1559"/>
      <c r="L7" s="1559"/>
      <c r="M7" s="1559"/>
      <c r="N7" s="1559"/>
      <c r="O7" s="1559"/>
      <c r="P7" s="1559"/>
      <c r="Q7" s="1559"/>
      <c r="R7" s="1559"/>
      <c r="S7" s="1505"/>
      <c r="T7" s="1541" t="s">
        <v>76</v>
      </c>
      <c r="U7" s="1559"/>
      <c r="V7" s="1559"/>
      <c r="W7" s="1559"/>
      <c r="X7" s="1559"/>
      <c r="Y7" s="1559"/>
      <c r="Z7" s="1559"/>
      <c r="AA7" s="1559"/>
      <c r="AB7" s="1559"/>
      <c r="AC7" s="1559"/>
      <c r="AD7" s="1559"/>
      <c r="AE7" s="1559"/>
      <c r="AF7" s="1559"/>
      <c r="AG7" s="1559"/>
      <c r="AH7" s="1559"/>
      <c r="AI7" s="1559"/>
      <c r="AJ7" s="1559"/>
      <c r="AK7" s="1559"/>
      <c r="AL7" s="1540"/>
      <c r="AM7" s="1507" t="s">
        <v>77</v>
      </c>
      <c r="AN7" s="1539"/>
      <c r="AO7" s="1539"/>
      <c r="AP7" s="1539"/>
      <c r="AQ7" s="1539"/>
      <c r="AR7" s="1539"/>
      <c r="AS7" s="1539"/>
      <c r="AT7" s="1539"/>
      <c r="AU7" s="1539"/>
      <c r="AV7" s="1539"/>
      <c r="AW7" s="1539"/>
      <c r="AX7" s="1539"/>
      <c r="AY7" s="1539"/>
      <c r="AZ7" s="1539"/>
      <c r="BA7" s="1539"/>
      <c r="BB7" s="1539"/>
      <c r="BC7" s="1539"/>
      <c r="BD7" s="1539"/>
      <c r="BE7" s="1539"/>
      <c r="BF7" s="1505"/>
      <c r="BG7" s="1541" t="s">
        <v>78</v>
      </c>
      <c r="BH7" s="1539"/>
      <c r="BI7" s="1539"/>
      <c r="BJ7" s="1539"/>
      <c r="BK7" s="1539"/>
      <c r="BL7" s="1539"/>
      <c r="BM7" s="1539"/>
      <c r="BN7" s="1539"/>
      <c r="BO7" s="1539"/>
      <c r="BP7" s="1539"/>
      <c r="BQ7" s="1540"/>
      <c r="BR7" s="1507" t="s">
        <v>79</v>
      </c>
      <c r="BS7" s="1539"/>
      <c r="BT7" s="1539"/>
      <c r="BU7" s="1539"/>
      <c r="BV7" s="1539"/>
      <c r="BW7" s="1539"/>
      <c r="BX7" s="1539"/>
      <c r="BY7" s="1539"/>
      <c r="BZ7" s="1539"/>
      <c r="CA7" s="1539"/>
      <c r="CB7" s="1540"/>
      <c r="CC7"/>
      <c r="CD7"/>
      <c r="CE7"/>
    </row>
    <row r="8" spans="1:83" s="77" customFormat="1" ht="17.100000000000001" customHeight="1">
      <c r="A8" s="1513">
        <v>608040</v>
      </c>
      <c r="B8" s="1514"/>
      <c r="C8" s="1514"/>
      <c r="D8" s="1514"/>
      <c r="E8" s="1514"/>
      <c r="F8" s="1514"/>
      <c r="G8" s="1514"/>
      <c r="H8" s="1514"/>
      <c r="I8" s="1514"/>
      <c r="J8" s="1514"/>
      <c r="K8" s="1514"/>
      <c r="L8" s="1514"/>
      <c r="M8" s="1514"/>
      <c r="N8" s="1514"/>
      <c r="O8" s="1514"/>
      <c r="P8" s="1514"/>
      <c r="Q8" s="1514"/>
      <c r="R8" s="1514"/>
      <c r="S8" s="1514"/>
      <c r="T8" s="1514">
        <v>302409.24</v>
      </c>
      <c r="U8" s="1514"/>
      <c r="V8" s="1514"/>
      <c r="W8" s="1514"/>
      <c r="X8" s="1514"/>
      <c r="Y8" s="1514"/>
      <c r="Z8" s="1514"/>
      <c r="AA8" s="1514"/>
      <c r="AB8" s="1514"/>
      <c r="AC8" s="1514"/>
      <c r="AD8" s="1514"/>
      <c r="AE8" s="1514"/>
      <c r="AF8" s="1514"/>
      <c r="AG8" s="1514"/>
      <c r="AH8" s="1514"/>
      <c r="AI8" s="1514"/>
      <c r="AJ8" s="1514"/>
      <c r="AK8" s="1514"/>
      <c r="AL8" s="1514"/>
      <c r="AM8" s="1514">
        <f>A8+T8</f>
        <v>910449.24</v>
      </c>
      <c r="AN8" s="1514"/>
      <c r="AO8" s="1514"/>
      <c r="AP8" s="1514"/>
      <c r="AQ8" s="1514"/>
      <c r="AR8" s="1514"/>
      <c r="AS8" s="1514"/>
      <c r="AT8" s="1514"/>
      <c r="AU8" s="1514"/>
      <c r="AV8" s="1514"/>
      <c r="AW8" s="1514"/>
      <c r="AX8" s="1514"/>
      <c r="AY8" s="1514"/>
      <c r="AZ8" s="1514"/>
      <c r="BA8" s="1514"/>
      <c r="BB8" s="1514"/>
      <c r="BC8" s="1514"/>
      <c r="BD8" s="1514"/>
      <c r="BE8" s="1514"/>
      <c r="BF8" s="1514"/>
      <c r="BG8" s="1514">
        <v>710614.3</v>
      </c>
      <c r="BH8" s="1514"/>
      <c r="BI8" s="1514"/>
      <c r="BJ8" s="1514"/>
      <c r="BK8" s="1514"/>
      <c r="BL8" s="1514"/>
      <c r="BM8" s="1514"/>
      <c r="BN8" s="1514"/>
      <c r="BO8" s="1514"/>
      <c r="BP8" s="1514"/>
      <c r="BQ8" s="1514"/>
      <c r="BR8" s="1515">
        <v>685096.99</v>
      </c>
      <c r="BS8" s="1516"/>
      <c r="BT8" s="1516"/>
      <c r="BU8" s="1516"/>
      <c r="BV8" s="1516"/>
      <c r="BW8" s="1516"/>
      <c r="BX8" s="1516"/>
      <c r="BY8" s="1516"/>
      <c r="BZ8" s="1516"/>
      <c r="CA8" s="1516"/>
      <c r="CB8" s="1517"/>
      <c r="CC8"/>
      <c r="CD8" s="339"/>
      <c r="CE8"/>
    </row>
    <row r="9" spans="1:83" s="77" customFormat="1" ht="19.5" customHeight="1">
      <c r="A9" s="1541" t="s">
        <v>83</v>
      </c>
      <c r="B9" s="1539"/>
      <c r="C9" s="1539"/>
      <c r="D9" s="1539"/>
      <c r="E9" s="1539"/>
      <c r="F9" s="1539"/>
      <c r="G9" s="1539"/>
      <c r="H9" s="1539"/>
      <c r="I9" s="1539"/>
      <c r="J9" s="1539" t="s">
        <v>203</v>
      </c>
      <c r="K9" s="1539"/>
      <c r="L9" s="1539"/>
      <c r="M9" s="1539"/>
      <c r="N9" s="1539"/>
      <c r="O9" s="1539"/>
      <c r="P9" s="1539"/>
      <c r="Q9" s="1539"/>
      <c r="R9" s="1539"/>
      <c r="S9" s="1539"/>
      <c r="T9" s="1539" t="s">
        <v>81</v>
      </c>
      <c r="U9" s="1539"/>
      <c r="V9" s="1539"/>
      <c r="W9" s="1539"/>
      <c r="X9" s="1539"/>
      <c r="Y9" s="1539"/>
      <c r="Z9" s="1539"/>
      <c r="AA9" s="1539"/>
      <c r="AB9" s="1539"/>
      <c r="AC9" s="1539" t="s">
        <v>10</v>
      </c>
      <c r="AD9" s="1539"/>
      <c r="AE9" s="1539"/>
      <c r="AF9" s="1539"/>
      <c r="AG9" s="1539"/>
      <c r="AH9" s="1539"/>
      <c r="AI9" s="1539"/>
      <c r="AJ9" s="1539"/>
      <c r="AK9" s="1539"/>
      <c r="AL9" s="1539"/>
      <c r="AM9" s="1542" t="s">
        <v>255</v>
      </c>
      <c r="AN9" s="1542"/>
      <c r="AO9" s="1542"/>
      <c r="AP9" s="1542"/>
      <c r="AQ9" s="1542"/>
      <c r="AR9" s="1542"/>
      <c r="AS9" s="1542"/>
      <c r="AT9" s="1542"/>
      <c r="AU9" s="1542"/>
      <c r="AV9" s="1542"/>
      <c r="AW9" s="1539" t="s">
        <v>83</v>
      </c>
      <c r="AX9" s="1539"/>
      <c r="AY9" s="1539"/>
      <c r="AZ9" s="1539"/>
      <c r="BA9" s="1539"/>
      <c r="BB9" s="1539"/>
      <c r="BC9" s="1539"/>
      <c r="BD9" s="1539"/>
      <c r="BE9" s="1539"/>
      <c r="BF9" s="1539"/>
      <c r="BG9" s="1539" t="s">
        <v>84</v>
      </c>
      <c r="BH9" s="1539"/>
      <c r="BI9" s="1539"/>
      <c r="BJ9" s="1539"/>
      <c r="BK9" s="1539"/>
      <c r="BL9" s="1539"/>
      <c r="BM9" s="1539"/>
      <c r="BN9" s="1539"/>
      <c r="BO9" s="1539"/>
      <c r="BP9" s="1539" t="s">
        <v>226</v>
      </c>
      <c r="BQ9" s="1539"/>
      <c r="BR9" s="1539"/>
      <c r="BS9" s="1539"/>
      <c r="BT9" s="1539"/>
      <c r="BU9" s="1539"/>
      <c r="BV9" s="1539"/>
      <c r="BW9" s="1539"/>
      <c r="BX9" s="1539"/>
      <c r="BY9" s="1539"/>
      <c r="BZ9" s="1539"/>
      <c r="CA9" s="1539"/>
      <c r="CB9" s="1540"/>
      <c r="CC9"/>
      <c r="CD9"/>
      <c r="CE9"/>
    </row>
    <row r="10" spans="1:83" s="77" customFormat="1" ht="17.100000000000001" customHeight="1">
      <c r="A10" s="1536" t="s">
        <v>86</v>
      </c>
      <c r="B10" s="1537"/>
      <c r="C10" s="1537"/>
      <c r="D10" s="1537"/>
      <c r="E10" s="1537"/>
      <c r="F10" s="1537"/>
      <c r="G10" s="1537"/>
      <c r="H10" s="1537"/>
      <c r="I10" s="1537"/>
      <c r="J10" s="1538">
        <v>12</v>
      </c>
      <c r="K10" s="1538"/>
      <c r="L10" s="1538"/>
      <c r="M10" s="1538"/>
      <c r="N10" s="1538"/>
      <c r="O10" s="1538"/>
      <c r="P10" s="1538"/>
      <c r="Q10" s="1538"/>
      <c r="R10" s="1538"/>
      <c r="S10" s="1538"/>
      <c r="T10" s="1538">
        <v>5</v>
      </c>
      <c r="U10" s="1538"/>
      <c r="V10" s="1538"/>
      <c r="W10" s="1538"/>
      <c r="X10" s="1538"/>
      <c r="Y10" s="1538"/>
      <c r="Z10" s="1538"/>
      <c r="AA10" s="1538"/>
      <c r="AB10" s="1538"/>
      <c r="AC10" s="1538">
        <v>19</v>
      </c>
      <c r="AD10" s="1538"/>
      <c r="AE10" s="1538"/>
      <c r="AF10" s="1538"/>
      <c r="AG10" s="1538"/>
      <c r="AH10" s="1538"/>
      <c r="AI10" s="1538"/>
      <c r="AJ10" s="1538"/>
      <c r="AK10" s="1538"/>
      <c r="AL10" s="1538"/>
      <c r="AM10" s="1538">
        <v>5</v>
      </c>
      <c r="AN10" s="1538"/>
      <c r="AO10" s="1538"/>
      <c r="AP10" s="1538"/>
      <c r="AQ10" s="1538"/>
      <c r="AR10" s="1538"/>
      <c r="AS10" s="1538"/>
      <c r="AT10" s="1538"/>
      <c r="AU10" s="1538"/>
      <c r="AV10" s="1538"/>
      <c r="AW10" s="1528">
        <v>1</v>
      </c>
      <c r="AX10" s="1528"/>
      <c r="AY10" s="1528"/>
      <c r="AZ10" s="1528"/>
      <c r="BA10" s="1528"/>
      <c r="BB10" s="1528"/>
      <c r="BC10" s="1528"/>
      <c r="BD10" s="1528"/>
      <c r="BE10" s="1528"/>
      <c r="BF10" s="1528"/>
      <c r="BG10" s="1528"/>
      <c r="BH10" s="1528"/>
      <c r="BI10" s="1528"/>
      <c r="BJ10" s="1528"/>
      <c r="BK10" s="1528"/>
      <c r="BL10" s="1528"/>
      <c r="BM10" s="1528"/>
      <c r="BN10" s="1528"/>
      <c r="BO10" s="1528"/>
      <c r="BP10" s="1528"/>
      <c r="BQ10" s="1528"/>
      <c r="BR10" s="1528"/>
      <c r="BS10" s="1528"/>
      <c r="BT10" s="1528"/>
      <c r="BU10" s="1528"/>
      <c r="BV10" s="1528"/>
      <c r="BW10" s="1528"/>
      <c r="BX10" s="1528"/>
      <c r="BY10" s="1528"/>
      <c r="BZ10" s="1528"/>
      <c r="CA10" s="1528"/>
      <c r="CB10" s="1529"/>
      <c r="CC10"/>
      <c r="CD10"/>
      <c r="CE10"/>
    </row>
    <row r="11" spans="1:83" s="77" customFormat="1" ht="17.100000000000001" customHeight="1">
      <c r="A11" s="1558" t="s">
        <v>14</v>
      </c>
      <c r="B11" s="1537"/>
      <c r="C11" s="1537"/>
      <c r="D11" s="1537"/>
      <c r="E11" s="1537"/>
      <c r="F11" s="1537"/>
      <c r="G11" s="1537"/>
      <c r="H11" s="1537"/>
      <c r="I11" s="1537"/>
      <c r="J11" s="1538">
        <v>12</v>
      </c>
      <c r="K11" s="1538"/>
      <c r="L11" s="1538"/>
      <c r="M11" s="1538"/>
      <c r="N11" s="1538"/>
      <c r="O11" s="1538"/>
      <c r="P11" s="1538"/>
      <c r="Q11" s="1538"/>
      <c r="R11" s="1538"/>
      <c r="S11" s="1538"/>
      <c r="T11" s="1538">
        <v>3</v>
      </c>
      <c r="U11" s="1538"/>
      <c r="V11" s="1538"/>
      <c r="W11" s="1538"/>
      <c r="X11" s="1538"/>
      <c r="Y11" s="1538"/>
      <c r="Z11" s="1538"/>
      <c r="AA11" s="1538"/>
      <c r="AB11" s="1538"/>
      <c r="AC11" s="1538">
        <v>19</v>
      </c>
      <c r="AD11" s="1538"/>
      <c r="AE11" s="1538"/>
      <c r="AF11" s="1538"/>
      <c r="AG11" s="1538"/>
      <c r="AH11" s="1538"/>
      <c r="AI11" s="1538"/>
      <c r="AJ11" s="1538"/>
      <c r="AK11" s="1538"/>
      <c r="AL11" s="1538"/>
      <c r="AM11" s="1538">
        <v>5</v>
      </c>
      <c r="AN11" s="1538"/>
      <c r="AO11" s="1538"/>
      <c r="AP11" s="1538"/>
      <c r="AQ11" s="1538"/>
      <c r="AR11" s="1538"/>
      <c r="AS11" s="1538"/>
      <c r="AT11" s="1538"/>
      <c r="AU11" s="1538"/>
      <c r="AV11" s="1538"/>
      <c r="AW11" s="1528">
        <v>0.95</v>
      </c>
      <c r="AX11" s="1528"/>
      <c r="AY11" s="1528"/>
      <c r="AZ11" s="1528"/>
      <c r="BA11" s="1528"/>
      <c r="BB11" s="1528"/>
      <c r="BC11" s="1528"/>
      <c r="BD11" s="1528"/>
      <c r="BE11" s="1528"/>
      <c r="BF11" s="1528"/>
      <c r="BG11" s="1528"/>
      <c r="BH11" s="1528"/>
      <c r="BI11" s="1528"/>
      <c r="BJ11" s="1528"/>
      <c r="BK11" s="1528"/>
      <c r="BL11" s="1528"/>
      <c r="BM11" s="1528"/>
      <c r="BN11" s="1528"/>
      <c r="BO11" s="1528"/>
      <c r="BP11" s="1528"/>
      <c r="BQ11" s="1528"/>
      <c r="BR11" s="1528"/>
      <c r="BS11" s="1528"/>
      <c r="BT11" s="1528"/>
      <c r="BU11" s="1528"/>
      <c r="BV11" s="1528"/>
      <c r="BW11" s="1528"/>
      <c r="BX11" s="1528"/>
      <c r="BY11" s="1528"/>
      <c r="BZ11" s="1528"/>
      <c r="CA11" s="1528"/>
      <c r="CB11" s="1529"/>
      <c r="CC11"/>
      <c r="CD11"/>
      <c r="CE11"/>
    </row>
    <row r="12" spans="1:83" s="77" customFormat="1" ht="17.100000000000001" customHeight="1">
      <c r="A12" s="1552" t="s">
        <v>12</v>
      </c>
      <c r="B12" s="1553"/>
      <c r="C12" s="1553"/>
      <c r="D12" s="1553"/>
      <c r="E12" s="1553"/>
      <c r="F12" s="1553"/>
      <c r="G12" s="1553"/>
      <c r="H12" s="1553"/>
      <c r="I12" s="1553"/>
      <c r="J12" s="1554">
        <v>0</v>
      </c>
      <c r="K12" s="1554"/>
      <c r="L12" s="1554"/>
      <c r="M12" s="1554"/>
      <c r="N12" s="1554"/>
      <c r="O12" s="1554"/>
      <c r="P12" s="1554"/>
      <c r="Q12" s="1554"/>
      <c r="R12" s="1554"/>
      <c r="S12" s="1554"/>
      <c r="T12" s="1554">
        <f>T11-T10</f>
        <v>-2</v>
      </c>
      <c r="U12" s="1554"/>
      <c r="V12" s="1554"/>
      <c r="W12" s="1554"/>
      <c r="X12" s="1554"/>
      <c r="Y12" s="1554"/>
      <c r="Z12" s="1554"/>
      <c r="AA12" s="1554"/>
      <c r="AB12" s="1554"/>
      <c r="AC12" s="1554">
        <v>0</v>
      </c>
      <c r="AD12" s="1554"/>
      <c r="AE12" s="1554"/>
      <c r="AF12" s="1554"/>
      <c r="AG12" s="1554"/>
      <c r="AH12" s="1554"/>
      <c r="AI12" s="1554"/>
      <c r="AJ12" s="1554"/>
      <c r="AK12" s="1554"/>
      <c r="AL12" s="1554"/>
      <c r="AM12" s="1554">
        <v>0</v>
      </c>
      <c r="AN12" s="1554"/>
      <c r="AO12" s="1554"/>
      <c r="AP12" s="1554"/>
      <c r="AQ12" s="1554"/>
      <c r="AR12" s="1554"/>
      <c r="AS12" s="1554"/>
      <c r="AT12" s="1554"/>
      <c r="AU12" s="1554"/>
      <c r="AV12" s="1554"/>
      <c r="AW12" s="1555">
        <f>AW11-AW10</f>
        <v>-5.0000000000000044E-2</v>
      </c>
      <c r="AX12" s="1556"/>
      <c r="AY12" s="1556"/>
      <c r="AZ12" s="1556"/>
      <c r="BA12" s="1556"/>
      <c r="BB12" s="1556"/>
      <c r="BC12" s="1556"/>
      <c r="BD12" s="1556"/>
      <c r="BE12" s="1556"/>
      <c r="BF12" s="1556"/>
      <c r="BG12" s="1555"/>
      <c r="BH12" s="1556"/>
      <c r="BI12" s="1556"/>
      <c r="BJ12" s="1556"/>
      <c r="BK12" s="1556"/>
      <c r="BL12" s="1556"/>
      <c r="BM12" s="1556"/>
      <c r="BN12" s="1556"/>
      <c r="BO12" s="1556"/>
      <c r="BP12" s="1556"/>
      <c r="BQ12" s="1556"/>
      <c r="BR12" s="1556"/>
      <c r="BS12" s="1556"/>
      <c r="BT12" s="1556"/>
      <c r="BU12" s="1556"/>
      <c r="BV12" s="1556"/>
      <c r="BW12" s="1556"/>
      <c r="BX12" s="1556"/>
      <c r="BY12" s="1556"/>
      <c r="BZ12" s="1556"/>
      <c r="CA12" s="1556"/>
      <c r="CB12" s="1557"/>
      <c r="CC12"/>
      <c r="CD12"/>
      <c r="CE12"/>
    </row>
    <row r="13" spans="1:83" s="77" customFormat="1" ht="17.100000000000001" customHeight="1">
      <c r="A13" s="1518" t="s">
        <v>62</v>
      </c>
      <c r="B13" s="1519"/>
      <c r="C13" s="1519"/>
      <c r="D13" s="1519"/>
      <c r="E13" s="1519"/>
      <c r="F13" s="1519"/>
      <c r="G13" s="1519"/>
      <c r="H13" s="1519"/>
      <c r="I13" s="1519"/>
      <c r="J13" s="1520"/>
      <c r="K13" s="1520"/>
      <c r="L13" s="1520"/>
      <c r="M13" s="1520"/>
      <c r="N13" s="1520"/>
      <c r="O13" s="1520"/>
      <c r="P13" s="1520"/>
      <c r="Q13" s="1520"/>
      <c r="R13" s="1520"/>
      <c r="S13" s="1520"/>
      <c r="T13" s="1520"/>
      <c r="U13" s="1520"/>
      <c r="V13" s="1520"/>
      <c r="W13" s="1520"/>
      <c r="X13" s="1520"/>
      <c r="Y13" s="1520"/>
      <c r="Z13" s="1520"/>
      <c r="AA13" s="1520"/>
      <c r="AB13" s="1520"/>
      <c r="AC13" s="1520"/>
      <c r="AD13" s="1520"/>
      <c r="AE13" s="1520"/>
      <c r="AF13" s="1520"/>
      <c r="AG13" s="1520"/>
      <c r="AH13" s="1520"/>
      <c r="AI13" s="1520"/>
      <c r="AJ13" s="1520"/>
      <c r="AK13" s="1520"/>
      <c r="AL13" s="1520"/>
      <c r="AM13" s="1520"/>
      <c r="AN13" s="1520"/>
      <c r="AO13" s="1520"/>
      <c r="AP13" s="1520"/>
      <c r="AQ13" s="1520"/>
      <c r="AR13" s="1520"/>
      <c r="AS13" s="1520"/>
      <c r="AT13" s="1520"/>
      <c r="AU13" s="1520"/>
      <c r="AV13" s="1520"/>
      <c r="AW13" s="1520"/>
      <c r="AX13" s="1520"/>
      <c r="AY13" s="1520"/>
      <c r="AZ13" s="1520"/>
      <c r="BA13" s="1520"/>
      <c r="BB13" s="1520"/>
      <c r="BC13" s="1520"/>
      <c r="BD13" s="1520"/>
      <c r="BE13" s="1520"/>
      <c r="BF13" s="1520"/>
      <c r="BG13" s="1520"/>
      <c r="BH13" s="1520"/>
      <c r="BI13" s="1520"/>
      <c r="BJ13" s="1520"/>
      <c r="BK13" s="1520"/>
      <c r="BL13" s="1520"/>
      <c r="BM13" s="1520"/>
      <c r="BN13" s="1520"/>
      <c r="BO13" s="1520"/>
      <c r="BP13" s="1520"/>
      <c r="BQ13" s="1520"/>
      <c r="BR13" s="1520"/>
      <c r="BS13" s="1520"/>
      <c r="BT13" s="1520"/>
      <c r="BU13" s="1520"/>
      <c r="BV13" s="1520"/>
      <c r="BW13" s="1520"/>
      <c r="BX13" s="1520"/>
      <c r="BY13" s="1520"/>
      <c r="BZ13" s="1520"/>
      <c r="CA13" s="1520"/>
      <c r="CB13" s="1521"/>
      <c r="CC13"/>
      <c r="CD13"/>
      <c r="CE13"/>
    </row>
    <row r="14" spans="1:83" ht="17.100000000000001" customHeight="1">
      <c r="A14" s="1282" t="s">
        <v>469</v>
      </c>
      <c r="B14" s="1283"/>
      <c r="C14" s="1283"/>
      <c r="D14" s="1283"/>
      <c r="E14" s="1283"/>
      <c r="F14" s="1283"/>
      <c r="G14" s="1283"/>
      <c r="H14" s="1283"/>
      <c r="I14" s="1283"/>
      <c r="J14" s="1283"/>
      <c r="K14" s="1283"/>
      <c r="L14" s="1283"/>
      <c r="M14" s="1283"/>
      <c r="N14" s="1283"/>
      <c r="O14" s="1283"/>
      <c r="P14" s="1283"/>
      <c r="Q14" s="1283"/>
      <c r="R14" s="1283"/>
      <c r="S14" s="1283"/>
      <c r="T14" s="1283"/>
      <c r="U14" s="1283"/>
      <c r="V14" s="1283"/>
      <c r="W14" s="1283"/>
      <c r="X14" s="1283"/>
      <c r="Y14" s="1283"/>
      <c r="Z14" s="1283"/>
      <c r="AA14" s="1283"/>
      <c r="AB14" s="1283"/>
      <c r="AC14" s="1283"/>
      <c r="AD14" s="1283"/>
      <c r="AE14" s="1283"/>
      <c r="AF14" s="1283"/>
      <c r="AG14" s="1283"/>
      <c r="AH14" s="1283"/>
      <c r="AI14" s="1283"/>
      <c r="AJ14" s="1283"/>
      <c r="AK14" s="1283"/>
      <c r="AL14" s="1283"/>
      <c r="AM14" s="1283"/>
      <c r="AN14" s="1283"/>
      <c r="AO14" s="1283"/>
      <c r="AP14" s="1283"/>
      <c r="AQ14" s="1283"/>
      <c r="AR14" s="1283"/>
      <c r="AS14" s="1283"/>
      <c r="AT14" s="1283"/>
      <c r="AU14" s="1283"/>
      <c r="AV14" s="1283"/>
      <c r="AW14" s="1283"/>
      <c r="AX14" s="1283"/>
      <c r="AY14" s="1283"/>
      <c r="AZ14" s="1283"/>
      <c r="BA14" s="1283"/>
      <c r="BB14" s="1283"/>
      <c r="BC14" s="1283"/>
      <c r="BD14" s="1283"/>
      <c r="BE14" s="1283"/>
      <c r="BF14" s="1283"/>
      <c r="BG14" s="1283"/>
      <c r="BH14" s="1283"/>
      <c r="BI14" s="1283"/>
      <c r="BJ14" s="1283"/>
      <c r="BK14" s="1283"/>
      <c r="BL14" s="1283"/>
      <c r="BM14" s="1283"/>
      <c r="BN14" s="1283"/>
      <c r="BO14" s="1283"/>
      <c r="BP14" s="1283"/>
      <c r="BQ14" s="1283"/>
      <c r="BR14" s="1283"/>
      <c r="BS14" s="1283"/>
      <c r="BT14" s="1283"/>
      <c r="BU14" s="1283"/>
      <c r="BV14" s="1283"/>
      <c r="BW14" s="1283"/>
      <c r="BX14" s="1283"/>
      <c r="BY14" s="1283"/>
      <c r="BZ14" s="1283"/>
      <c r="CA14" s="1283"/>
      <c r="CB14" s="1284"/>
    </row>
    <row r="15" spans="1:83" ht="17.100000000000001" customHeight="1">
      <c r="A15" s="1543" t="s">
        <v>328</v>
      </c>
      <c r="B15" s="1523"/>
      <c r="C15" s="1523"/>
      <c r="D15" s="1523"/>
      <c r="E15" s="1523"/>
      <c r="F15" s="1523"/>
      <c r="G15" s="1523"/>
      <c r="H15" s="1523"/>
      <c r="I15" s="1523"/>
      <c r="J15" s="1523"/>
      <c r="K15" s="1523"/>
      <c r="L15" s="1524"/>
      <c r="M15" s="1543" t="s">
        <v>470</v>
      </c>
      <c r="N15" s="1543"/>
      <c r="O15" s="1543"/>
      <c r="P15" s="1543"/>
      <c r="Q15" s="1543"/>
      <c r="R15" s="1543"/>
      <c r="S15" s="1543"/>
      <c r="T15" s="1543"/>
      <c r="U15" s="1543"/>
      <c r="V15" s="1543"/>
      <c r="W15" s="1543"/>
      <c r="X15" s="1543"/>
      <c r="Y15" s="1543"/>
      <c r="Z15" s="1543"/>
      <c r="AA15" s="1543"/>
      <c r="AB15" s="1543"/>
      <c r="AC15" s="1543"/>
      <c r="AD15" s="1543"/>
      <c r="AE15" s="1543"/>
      <c r="AF15" s="1543"/>
      <c r="AG15" s="1543"/>
      <c r="AH15" s="1543"/>
      <c r="AI15" s="1543"/>
      <c r="AJ15" s="1543"/>
      <c r="AK15" s="1543"/>
      <c r="AL15" s="1543"/>
      <c r="AM15" s="1543"/>
      <c r="AN15" s="1543"/>
      <c r="AO15" s="1543"/>
      <c r="AP15" s="1543"/>
      <c r="AQ15" s="1543"/>
      <c r="AR15" s="1543"/>
      <c r="AS15" s="1543"/>
      <c r="AT15" s="1543" t="s">
        <v>254</v>
      </c>
      <c r="AU15" s="1543"/>
      <c r="AV15" s="1543"/>
      <c r="AW15" s="1543"/>
      <c r="AX15" s="1543"/>
      <c r="AY15" s="1543"/>
      <c r="AZ15" s="1543"/>
      <c r="BA15" s="1544" t="s">
        <v>439</v>
      </c>
      <c r="BB15" s="1544"/>
      <c r="BC15" s="1544"/>
      <c r="BD15" s="1544"/>
      <c r="BE15" s="1544"/>
      <c r="BF15" s="1544"/>
      <c r="BG15" s="1544"/>
      <c r="BH15" s="1544"/>
      <c r="BI15" s="1544"/>
      <c r="BJ15" s="1544"/>
      <c r="BK15" s="1544"/>
      <c r="BL15" s="1544"/>
      <c r="BM15" s="1544"/>
      <c r="BN15" s="1544"/>
      <c r="BO15" s="1544"/>
      <c r="BP15" s="1544"/>
      <c r="BQ15" s="1544"/>
      <c r="BR15" s="1544"/>
      <c r="BS15" s="1544"/>
      <c r="BT15" s="1544"/>
      <c r="BU15" s="1544"/>
      <c r="BV15" s="1544"/>
      <c r="BW15" s="1544"/>
      <c r="BX15" s="1544"/>
      <c r="BY15" s="1544"/>
      <c r="BZ15" s="1544"/>
      <c r="CA15" s="1544"/>
      <c r="CB15" s="1544"/>
    </row>
    <row r="16" spans="1:83" s="77" customFormat="1" ht="17.100000000000001" customHeight="1">
      <c r="A16" s="1541" t="s">
        <v>225</v>
      </c>
      <c r="B16" s="1539"/>
      <c r="C16" s="1539"/>
      <c r="D16" s="1539"/>
      <c r="E16" s="1539"/>
      <c r="F16" s="1539"/>
      <c r="G16" s="1539"/>
      <c r="H16" s="1539"/>
      <c r="I16" s="1539"/>
      <c r="J16" s="1539"/>
      <c r="K16" s="1539"/>
      <c r="L16" s="1539"/>
      <c r="M16" s="1539"/>
      <c r="N16" s="1539"/>
      <c r="O16" s="1539"/>
      <c r="P16" s="1539"/>
      <c r="Q16" s="1539"/>
      <c r="R16" s="1539"/>
      <c r="S16" s="1505"/>
      <c r="T16" s="1541" t="s">
        <v>76</v>
      </c>
      <c r="U16" s="1539"/>
      <c r="V16" s="1539"/>
      <c r="W16" s="1539"/>
      <c r="X16" s="1539"/>
      <c r="Y16" s="1539"/>
      <c r="Z16" s="1539"/>
      <c r="AA16" s="1539"/>
      <c r="AB16" s="1539"/>
      <c r="AC16" s="1539"/>
      <c r="AD16" s="1539"/>
      <c r="AE16" s="1539"/>
      <c r="AF16" s="1539"/>
      <c r="AG16" s="1539"/>
      <c r="AH16" s="1539"/>
      <c r="AI16" s="1539"/>
      <c r="AJ16" s="1539"/>
      <c r="AK16" s="1539"/>
      <c r="AL16" s="1540"/>
      <c r="AM16" s="1507" t="s">
        <v>77</v>
      </c>
      <c r="AN16" s="1539"/>
      <c r="AO16" s="1539"/>
      <c r="AP16" s="1539"/>
      <c r="AQ16" s="1539"/>
      <c r="AR16" s="1539"/>
      <c r="AS16" s="1539"/>
      <c r="AT16" s="1539"/>
      <c r="AU16" s="1539"/>
      <c r="AV16" s="1539"/>
      <c r="AW16" s="1539"/>
      <c r="AX16" s="1539"/>
      <c r="AY16" s="1539"/>
      <c r="AZ16" s="1539"/>
      <c r="BA16" s="1539"/>
      <c r="BB16" s="1539"/>
      <c r="BC16" s="1539"/>
      <c r="BD16" s="1539"/>
      <c r="BE16" s="1539"/>
      <c r="BF16" s="1505"/>
      <c r="BG16" s="1541" t="s">
        <v>78</v>
      </c>
      <c r="BH16" s="1539"/>
      <c r="BI16" s="1539"/>
      <c r="BJ16" s="1539"/>
      <c r="BK16" s="1539"/>
      <c r="BL16" s="1539"/>
      <c r="BM16" s="1539"/>
      <c r="BN16" s="1539"/>
      <c r="BO16" s="1539"/>
      <c r="BP16" s="1539"/>
      <c r="BQ16" s="1540"/>
      <c r="BR16" s="1507" t="s">
        <v>79</v>
      </c>
      <c r="BS16" s="1539"/>
      <c r="BT16" s="1539"/>
      <c r="BU16" s="1539"/>
      <c r="BV16" s="1539"/>
      <c r="BW16" s="1539"/>
      <c r="BX16" s="1539"/>
      <c r="BY16" s="1539"/>
      <c r="BZ16" s="1539"/>
      <c r="CA16" s="1539"/>
      <c r="CB16" s="1540"/>
      <c r="CC16"/>
      <c r="CD16"/>
      <c r="CE16"/>
    </row>
    <row r="17" spans="1:83" s="77" customFormat="1" ht="17.100000000000001" customHeight="1">
      <c r="A17" s="1513">
        <v>620000</v>
      </c>
      <c r="B17" s="1514"/>
      <c r="C17" s="1514"/>
      <c r="D17" s="1514"/>
      <c r="E17" s="1514"/>
      <c r="F17" s="1514"/>
      <c r="G17" s="1514"/>
      <c r="H17" s="1514"/>
      <c r="I17" s="1514"/>
      <c r="J17" s="1514"/>
      <c r="K17" s="1514"/>
      <c r="L17" s="1514"/>
      <c r="M17" s="1514"/>
      <c r="N17" s="1514"/>
      <c r="O17" s="1514"/>
      <c r="P17" s="1514"/>
      <c r="Q17" s="1514"/>
      <c r="R17" s="1514"/>
      <c r="S17" s="1514"/>
      <c r="T17" s="1514"/>
      <c r="U17" s="1514"/>
      <c r="V17" s="1514"/>
      <c r="W17" s="1514"/>
      <c r="X17" s="1514"/>
      <c r="Y17" s="1514"/>
      <c r="Z17" s="1514"/>
      <c r="AA17" s="1514"/>
      <c r="AB17" s="1514"/>
      <c r="AC17" s="1514"/>
      <c r="AD17" s="1514"/>
      <c r="AE17" s="1514"/>
      <c r="AF17" s="1514"/>
      <c r="AG17" s="1514"/>
      <c r="AH17" s="1514"/>
      <c r="AI17" s="1514"/>
      <c r="AJ17" s="1514"/>
      <c r="AK17" s="1514"/>
      <c r="AL17" s="1514"/>
      <c r="AM17" s="1514">
        <f>A17+T17</f>
        <v>620000</v>
      </c>
      <c r="AN17" s="1514"/>
      <c r="AO17" s="1514"/>
      <c r="AP17" s="1514"/>
      <c r="AQ17" s="1514"/>
      <c r="AR17" s="1514"/>
      <c r="AS17" s="1514"/>
      <c r="AT17" s="1514"/>
      <c r="AU17" s="1514"/>
      <c r="AV17" s="1514"/>
      <c r="AW17" s="1514"/>
      <c r="AX17" s="1514"/>
      <c r="AY17" s="1514"/>
      <c r="AZ17" s="1514"/>
      <c r="BA17" s="1514"/>
      <c r="BB17" s="1514"/>
      <c r="BC17" s="1514"/>
      <c r="BD17" s="1514"/>
      <c r="BE17" s="1514"/>
      <c r="BF17" s="1514"/>
      <c r="BG17" s="1514">
        <v>620314.92999999993</v>
      </c>
      <c r="BH17" s="1514"/>
      <c r="BI17" s="1514"/>
      <c r="BJ17" s="1514"/>
      <c r="BK17" s="1514"/>
      <c r="BL17" s="1514"/>
      <c r="BM17" s="1514"/>
      <c r="BN17" s="1514"/>
      <c r="BO17" s="1514"/>
      <c r="BP17" s="1514"/>
      <c r="BQ17" s="1514"/>
      <c r="BR17" s="1514">
        <v>558018.52</v>
      </c>
      <c r="BS17" s="1514"/>
      <c r="BT17" s="1514"/>
      <c r="BU17" s="1514"/>
      <c r="BV17" s="1514"/>
      <c r="BW17" s="1514"/>
      <c r="BX17" s="1514"/>
      <c r="BY17" s="1514"/>
      <c r="BZ17" s="1514"/>
      <c r="CA17" s="1514"/>
      <c r="CB17" s="1514"/>
      <c r="CC17"/>
      <c r="CD17"/>
      <c r="CE17"/>
    </row>
    <row r="18" spans="1:83" s="77" customFormat="1" ht="21" customHeight="1">
      <c r="A18" s="1541" t="s">
        <v>83</v>
      </c>
      <c r="B18" s="1539"/>
      <c r="C18" s="1539"/>
      <c r="D18" s="1539"/>
      <c r="E18" s="1539"/>
      <c r="F18" s="1539"/>
      <c r="G18" s="1539"/>
      <c r="H18" s="1539"/>
      <c r="I18" s="1539"/>
      <c r="J18" s="1539" t="s">
        <v>203</v>
      </c>
      <c r="K18" s="1539"/>
      <c r="L18" s="1539"/>
      <c r="M18" s="1539"/>
      <c r="N18" s="1539"/>
      <c r="O18" s="1539"/>
      <c r="P18" s="1539"/>
      <c r="Q18" s="1539"/>
      <c r="R18" s="1539"/>
      <c r="S18" s="1539"/>
      <c r="T18" s="1539" t="s">
        <v>81</v>
      </c>
      <c r="U18" s="1539"/>
      <c r="V18" s="1539"/>
      <c r="W18" s="1539"/>
      <c r="X18" s="1539"/>
      <c r="Y18" s="1539"/>
      <c r="Z18" s="1539"/>
      <c r="AA18" s="1539"/>
      <c r="AB18" s="1539"/>
      <c r="AC18" s="1539" t="s">
        <v>10</v>
      </c>
      <c r="AD18" s="1539"/>
      <c r="AE18" s="1539"/>
      <c r="AF18" s="1539"/>
      <c r="AG18" s="1539"/>
      <c r="AH18" s="1539"/>
      <c r="AI18" s="1539"/>
      <c r="AJ18" s="1539"/>
      <c r="AK18" s="1539"/>
      <c r="AL18" s="1539"/>
      <c r="AM18" s="1542" t="s">
        <v>255</v>
      </c>
      <c r="AN18" s="1542"/>
      <c r="AO18" s="1542"/>
      <c r="AP18" s="1542"/>
      <c r="AQ18" s="1542"/>
      <c r="AR18" s="1542"/>
      <c r="AS18" s="1542"/>
      <c r="AT18" s="1542"/>
      <c r="AU18" s="1542"/>
      <c r="AV18" s="1542"/>
      <c r="AW18" s="1539" t="s">
        <v>83</v>
      </c>
      <c r="AX18" s="1539"/>
      <c r="AY18" s="1539"/>
      <c r="AZ18" s="1539"/>
      <c r="BA18" s="1539"/>
      <c r="BB18" s="1539"/>
      <c r="BC18" s="1539"/>
      <c r="BD18" s="1539"/>
      <c r="BE18" s="1539"/>
      <c r="BF18" s="1539"/>
      <c r="BG18" s="1539" t="s">
        <v>84</v>
      </c>
      <c r="BH18" s="1539"/>
      <c r="BI18" s="1539"/>
      <c r="BJ18" s="1539"/>
      <c r="BK18" s="1539"/>
      <c r="BL18" s="1539"/>
      <c r="BM18" s="1539"/>
      <c r="BN18" s="1539"/>
      <c r="BO18" s="1539"/>
      <c r="BP18" s="1539" t="s">
        <v>226</v>
      </c>
      <c r="BQ18" s="1539"/>
      <c r="BR18" s="1539"/>
      <c r="BS18" s="1539"/>
      <c r="BT18" s="1539"/>
      <c r="BU18" s="1539"/>
      <c r="BV18" s="1539"/>
      <c r="BW18" s="1539"/>
      <c r="BX18" s="1539"/>
      <c r="BY18" s="1539"/>
      <c r="BZ18" s="1539"/>
      <c r="CA18" s="1539"/>
      <c r="CB18" s="1540"/>
      <c r="CC18"/>
      <c r="CD18"/>
      <c r="CE18"/>
    </row>
    <row r="19" spans="1:83" s="77" customFormat="1" ht="17.100000000000001" customHeight="1">
      <c r="A19" s="1536" t="s">
        <v>86</v>
      </c>
      <c r="B19" s="1537"/>
      <c r="C19" s="1537"/>
      <c r="D19" s="1537"/>
      <c r="E19" s="1537"/>
      <c r="F19" s="1537"/>
      <c r="G19" s="1537"/>
      <c r="H19" s="1537"/>
      <c r="I19" s="1537"/>
      <c r="J19" s="1538">
        <v>32</v>
      </c>
      <c r="K19" s="1538"/>
      <c r="L19" s="1538"/>
      <c r="M19" s="1538"/>
      <c r="N19" s="1538"/>
      <c r="O19" s="1538"/>
      <c r="P19" s="1538"/>
      <c r="Q19" s="1538"/>
      <c r="R19" s="1538"/>
      <c r="S19" s="1538"/>
      <c r="T19" s="1538">
        <v>7</v>
      </c>
      <c r="U19" s="1538"/>
      <c r="V19" s="1538"/>
      <c r="W19" s="1538"/>
      <c r="X19" s="1538"/>
      <c r="Y19" s="1538"/>
      <c r="Z19" s="1538"/>
      <c r="AA19" s="1538"/>
      <c r="AB19" s="1538"/>
      <c r="AC19" s="1538">
        <v>2</v>
      </c>
      <c r="AD19" s="1538"/>
      <c r="AE19" s="1538"/>
      <c r="AF19" s="1538"/>
      <c r="AG19" s="1538"/>
      <c r="AH19" s="1538"/>
      <c r="AI19" s="1538"/>
      <c r="AJ19" s="1538"/>
      <c r="AK19" s="1538"/>
      <c r="AL19" s="1538"/>
      <c r="AM19" s="1538">
        <v>1</v>
      </c>
      <c r="AN19" s="1538"/>
      <c r="AO19" s="1538"/>
      <c r="AP19" s="1538"/>
      <c r="AQ19" s="1538"/>
      <c r="AR19" s="1538"/>
      <c r="AS19" s="1538"/>
      <c r="AT19" s="1538"/>
      <c r="AU19" s="1538"/>
      <c r="AV19" s="1538"/>
      <c r="AW19" s="1528">
        <v>1</v>
      </c>
      <c r="AX19" s="1528"/>
      <c r="AY19" s="1528"/>
      <c r="AZ19" s="1528"/>
      <c r="BA19" s="1528"/>
      <c r="BB19" s="1528"/>
      <c r="BC19" s="1528"/>
      <c r="BD19" s="1528"/>
      <c r="BE19" s="1528"/>
      <c r="BF19" s="1528"/>
      <c r="BG19" s="1528"/>
      <c r="BH19" s="1528"/>
      <c r="BI19" s="1528"/>
      <c r="BJ19" s="1528"/>
      <c r="BK19" s="1528"/>
      <c r="BL19" s="1528"/>
      <c r="BM19" s="1528"/>
      <c r="BN19" s="1528"/>
      <c r="BO19" s="1528"/>
      <c r="BP19" s="1528"/>
      <c r="BQ19" s="1528"/>
      <c r="BR19" s="1528"/>
      <c r="BS19" s="1528"/>
      <c r="BT19" s="1528"/>
      <c r="BU19" s="1528"/>
      <c r="BV19" s="1528"/>
      <c r="BW19" s="1528"/>
      <c r="BX19" s="1528"/>
      <c r="BY19" s="1528"/>
      <c r="BZ19" s="1528"/>
      <c r="CA19" s="1528"/>
      <c r="CB19" s="1529"/>
      <c r="CC19"/>
      <c r="CD19"/>
      <c r="CE19"/>
    </row>
    <row r="20" spans="1:83" s="77" customFormat="1" ht="17.100000000000001" customHeight="1">
      <c r="A20" s="1536" t="s">
        <v>14</v>
      </c>
      <c r="B20" s="1537"/>
      <c r="C20" s="1537"/>
      <c r="D20" s="1537"/>
      <c r="E20" s="1537"/>
      <c r="F20" s="1537"/>
      <c r="G20" s="1537"/>
      <c r="H20" s="1537"/>
      <c r="I20" s="1537"/>
      <c r="J20" s="1538">
        <v>32</v>
      </c>
      <c r="K20" s="1538"/>
      <c r="L20" s="1538"/>
      <c r="M20" s="1538"/>
      <c r="N20" s="1538"/>
      <c r="O20" s="1538"/>
      <c r="P20" s="1538"/>
      <c r="Q20" s="1538"/>
      <c r="R20" s="1538"/>
      <c r="S20" s="1538"/>
      <c r="T20" s="1538">
        <v>5</v>
      </c>
      <c r="U20" s="1538"/>
      <c r="V20" s="1538"/>
      <c r="W20" s="1538"/>
      <c r="X20" s="1538"/>
      <c r="Y20" s="1538"/>
      <c r="Z20" s="1538"/>
      <c r="AA20" s="1538"/>
      <c r="AB20" s="1538"/>
      <c r="AC20" s="1538">
        <v>2</v>
      </c>
      <c r="AD20" s="1538"/>
      <c r="AE20" s="1538"/>
      <c r="AF20" s="1538"/>
      <c r="AG20" s="1538"/>
      <c r="AH20" s="1538"/>
      <c r="AI20" s="1538"/>
      <c r="AJ20" s="1538"/>
      <c r="AK20" s="1538"/>
      <c r="AL20" s="1538"/>
      <c r="AM20" s="1538">
        <v>1</v>
      </c>
      <c r="AN20" s="1538"/>
      <c r="AO20" s="1538"/>
      <c r="AP20" s="1538"/>
      <c r="AQ20" s="1538"/>
      <c r="AR20" s="1538"/>
      <c r="AS20" s="1538"/>
      <c r="AT20" s="1538"/>
      <c r="AU20" s="1538"/>
      <c r="AV20" s="1538"/>
      <c r="AW20" s="1528">
        <v>0.88</v>
      </c>
      <c r="AX20" s="1528"/>
      <c r="AY20" s="1528"/>
      <c r="AZ20" s="1528"/>
      <c r="BA20" s="1528"/>
      <c r="BB20" s="1528"/>
      <c r="BC20" s="1528"/>
      <c r="BD20" s="1528"/>
      <c r="BE20" s="1528"/>
      <c r="BF20" s="1528"/>
      <c r="BG20" s="1528"/>
      <c r="BH20" s="1528"/>
      <c r="BI20" s="1528"/>
      <c r="BJ20" s="1528"/>
      <c r="BK20" s="1528"/>
      <c r="BL20" s="1528"/>
      <c r="BM20" s="1528"/>
      <c r="BN20" s="1528"/>
      <c r="BO20" s="1528"/>
      <c r="BP20" s="1528"/>
      <c r="BQ20" s="1528"/>
      <c r="BR20" s="1528"/>
      <c r="BS20" s="1528"/>
      <c r="BT20" s="1528"/>
      <c r="BU20" s="1528"/>
      <c r="BV20" s="1528"/>
      <c r="BW20" s="1528"/>
      <c r="BX20" s="1528"/>
      <c r="BY20" s="1528"/>
      <c r="BZ20" s="1528"/>
      <c r="CA20" s="1528"/>
      <c r="CB20" s="1529"/>
      <c r="CC20"/>
      <c r="CD20"/>
      <c r="CE20"/>
    </row>
    <row r="21" spans="1:83" s="77" customFormat="1" ht="17.100000000000001" customHeight="1">
      <c r="A21" s="1530" t="s">
        <v>12</v>
      </c>
      <c r="B21" s="1531"/>
      <c r="C21" s="1531"/>
      <c r="D21" s="1531"/>
      <c r="E21" s="1531"/>
      <c r="F21" s="1531"/>
      <c r="G21" s="1531"/>
      <c r="H21" s="1531"/>
      <c r="I21" s="1531"/>
      <c r="J21" s="1532">
        <v>0</v>
      </c>
      <c r="K21" s="1532"/>
      <c r="L21" s="1532"/>
      <c r="M21" s="1532"/>
      <c r="N21" s="1532"/>
      <c r="O21" s="1532"/>
      <c r="P21" s="1532"/>
      <c r="Q21" s="1532"/>
      <c r="R21" s="1532"/>
      <c r="S21" s="1532"/>
      <c r="T21" s="1532">
        <v>-2</v>
      </c>
      <c r="U21" s="1532"/>
      <c r="V21" s="1532"/>
      <c r="W21" s="1532"/>
      <c r="X21" s="1532"/>
      <c r="Y21" s="1532"/>
      <c r="Z21" s="1532"/>
      <c r="AA21" s="1532"/>
      <c r="AB21" s="1532"/>
      <c r="AC21" s="1532">
        <v>0</v>
      </c>
      <c r="AD21" s="1532"/>
      <c r="AE21" s="1532"/>
      <c r="AF21" s="1532"/>
      <c r="AG21" s="1532"/>
      <c r="AH21" s="1532"/>
      <c r="AI21" s="1532"/>
      <c r="AJ21" s="1532"/>
      <c r="AK21" s="1532"/>
      <c r="AL21" s="1532"/>
      <c r="AM21" s="1532">
        <v>0</v>
      </c>
      <c r="AN21" s="1532"/>
      <c r="AO21" s="1532"/>
      <c r="AP21" s="1532"/>
      <c r="AQ21" s="1532"/>
      <c r="AR21" s="1532"/>
      <c r="AS21" s="1532"/>
      <c r="AT21" s="1532"/>
      <c r="AU21" s="1532"/>
      <c r="AV21" s="1532"/>
      <c r="AW21" s="1533">
        <f>AW20-AW19</f>
        <v>-0.12</v>
      </c>
      <c r="AX21" s="1534"/>
      <c r="AY21" s="1534"/>
      <c r="AZ21" s="1534"/>
      <c r="BA21" s="1534"/>
      <c r="BB21" s="1534"/>
      <c r="BC21" s="1534"/>
      <c r="BD21" s="1534"/>
      <c r="BE21" s="1534"/>
      <c r="BF21" s="1534"/>
      <c r="BG21" s="1533"/>
      <c r="BH21" s="1534"/>
      <c r="BI21" s="1534"/>
      <c r="BJ21" s="1534"/>
      <c r="BK21" s="1534"/>
      <c r="BL21" s="1534"/>
      <c r="BM21" s="1534"/>
      <c r="BN21" s="1534"/>
      <c r="BO21" s="1534"/>
      <c r="BP21" s="1534"/>
      <c r="BQ21" s="1534"/>
      <c r="BR21" s="1534"/>
      <c r="BS21" s="1534"/>
      <c r="BT21" s="1534"/>
      <c r="BU21" s="1534"/>
      <c r="BV21" s="1534"/>
      <c r="BW21" s="1534"/>
      <c r="BX21" s="1534"/>
      <c r="BY21" s="1534"/>
      <c r="BZ21" s="1534"/>
      <c r="CA21" s="1534"/>
      <c r="CB21" s="1535"/>
      <c r="CC21"/>
      <c r="CD21"/>
      <c r="CE21"/>
    </row>
    <row r="22" spans="1:83" s="77" customFormat="1" ht="17.100000000000001" customHeight="1">
      <c r="A22" s="1518" t="s">
        <v>62</v>
      </c>
      <c r="B22" s="1519"/>
      <c r="C22" s="1519"/>
      <c r="D22" s="1519"/>
      <c r="E22" s="1519"/>
      <c r="F22" s="1519"/>
      <c r="G22" s="1519"/>
      <c r="H22" s="1519"/>
      <c r="I22" s="1519"/>
      <c r="J22" s="1520"/>
      <c r="K22" s="1520"/>
      <c r="L22" s="1520"/>
      <c r="M22" s="1520"/>
      <c r="N22" s="1520"/>
      <c r="O22" s="1520"/>
      <c r="P22" s="1520"/>
      <c r="Q22" s="1520"/>
      <c r="R22" s="1520"/>
      <c r="S22" s="1520"/>
      <c r="T22" s="1520"/>
      <c r="U22" s="1520"/>
      <c r="V22" s="1520"/>
      <c r="W22" s="1520"/>
      <c r="X22" s="1520"/>
      <c r="Y22" s="1520"/>
      <c r="Z22" s="1520"/>
      <c r="AA22" s="1520"/>
      <c r="AB22" s="1520"/>
      <c r="AC22" s="1520"/>
      <c r="AD22" s="1520"/>
      <c r="AE22" s="1520"/>
      <c r="AF22" s="1520"/>
      <c r="AG22" s="1520"/>
      <c r="AH22" s="1520"/>
      <c r="AI22" s="1520"/>
      <c r="AJ22" s="1520"/>
      <c r="AK22" s="1520"/>
      <c r="AL22" s="1520"/>
      <c r="AM22" s="1520"/>
      <c r="AN22" s="1520"/>
      <c r="AO22" s="1520"/>
      <c r="AP22" s="1520"/>
      <c r="AQ22" s="1520"/>
      <c r="AR22" s="1520"/>
      <c r="AS22" s="1520"/>
      <c r="AT22" s="1520"/>
      <c r="AU22" s="1520"/>
      <c r="AV22" s="1520"/>
      <c r="AW22" s="1520"/>
      <c r="AX22" s="1520"/>
      <c r="AY22" s="1520"/>
      <c r="AZ22" s="1520"/>
      <c r="BA22" s="1520"/>
      <c r="BB22" s="1520"/>
      <c r="BC22" s="1520"/>
      <c r="BD22" s="1520"/>
      <c r="BE22" s="1520"/>
      <c r="BF22" s="1520"/>
      <c r="BG22" s="1520"/>
      <c r="BH22" s="1520"/>
      <c r="BI22" s="1520"/>
      <c r="BJ22" s="1520"/>
      <c r="BK22" s="1520"/>
      <c r="BL22" s="1520"/>
      <c r="BM22" s="1520"/>
      <c r="BN22" s="1520"/>
      <c r="BO22" s="1520"/>
      <c r="BP22" s="1520"/>
      <c r="BQ22" s="1520"/>
      <c r="BR22" s="1520"/>
      <c r="BS22" s="1520"/>
      <c r="BT22" s="1520"/>
      <c r="BU22" s="1520"/>
      <c r="BV22" s="1520"/>
      <c r="BW22" s="1520"/>
      <c r="BX22" s="1520"/>
      <c r="BY22" s="1520"/>
      <c r="BZ22" s="1520"/>
      <c r="CA22" s="1520"/>
      <c r="CB22" s="1521"/>
      <c r="CC22"/>
      <c r="CD22"/>
      <c r="CE22"/>
    </row>
    <row r="23" spans="1:83" ht="10.5" customHeight="1">
      <c r="A23" s="1480"/>
      <c r="B23" s="1481"/>
      <c r="C23" s="1481"/>
      <c r="D23" s="1481"/>
      <c r="E23" s="1481"/>
      <c r="F23" s="1481"/>
      <c r="G23" s="1481"/>
      <c r="H23" s="1481"/>
      <c r="I23" s="1481"/>
      <c r="J23" s="1481"/>
      <c r="K23" s="1481"/>
      <c r="L23" s="1481"/>
      <c r="M23" s="1481"/>
      <c r="N23" s="1481"/>
      <c r="O23" s="1481"/>
      <c r="P23" s="1481"/>
      <c r="Q23" s="1481"/>
      <c r="R23" s="1481"/>
      <c r="S23" s="1481"/>
      <c r="T23" s="1481"/>
      <c r="U23" s="1481"/>
      <c r="V23" s="1481"/>
      <c r="W23" s="1481"/>
      <c r="X23" s="1481"/>
      <c r="Y23" s="1481"/>
      <c r="Z23" s="1481"/>
      <c r="AA23" s="1481"/>
      <c r="AB23" s="1481"/>
      <c r="AC23" s="1481"/>
      <c r="AD23" s="1481"/>
      <c r="AE23" s="1481"/>
      <c r="AF23" s="1481"/>
      <c r="AG23" s="1481"/>
      <c r="AH23" s="1481"/>
      <c r="AI23" s="1481"/>
      <c r="AJ23" s="1481"/>
      <c r="AK23" s="1481"/>
      <c r="AL23" s="1481"/>
      <c r="AM23" s="1481"/>
      <c r="AN23" s="1481"/>
      <c r="AO23" s="1481"/>
      <c r="AP23" s="1481"/>
      <c r="AQ23" s="1481"/>
      <c r="AR23" s="1481"/>
      <c r="AS23" s="1481"/>
      <c r="AT23" s="1481"/>
      <c r="AU23" s="1481"/>
      <c r="AV23" s="1481"/>
      <c r="AW23" s="1481"/>
      <c r="AX23" s="1481"/>
      <c r="AY23" s="1481"/>
      <c r="AZ23" s="1481"/>
      <c r="BA23" s="1481"/>
      <c r="BB23" s="1481"/>
      <c r="BC23" s="1481"/>
      <c r="BD23" s="1481"/>
      <c r="BE23" s="1481"/>
      <c r="BF23" s="1481"/>
      <c r="BG23" s="1481"/>
      <c r="BH23" s="1481"/>
      <c r="BI23" s="1481"/>
      <c r="BJ23" s="1481"/>
      <c r="BK23" s="1481"/>
      <c r="BL23" s="1481"/>
      <c r="BM23" s="1481"/>
      <c r="BN23" s="1481"/>
      <c r="BO23" s="1481"/>
      <c r="BP23" s="1481"/>
      <c r="BQ23" s="1481"/>
      <c r="BR23" s="1481"/>
      <c r="BS23" s="1481"/>
      <c r="BT23" s="1481"/>
      <c r="BU23" s="1481"/>
      <c r="BV23" s="1481"/>
      <c r="BW23" s="1481"/>
      <c r="BX23" s="1481"/>
      <c r="BY23" s="1481"/>
      <c r="BZ23" s="1481"/>
      <c r="CA23" s="1481"/>
      <c r="CB23" s="1482"/>
    </row>
    <row r="24" spans="1:83" ht="17.100000000000001" customHeight="1">
      <c r="A24" s="1282" t="s">
        <v>471</v>
      </c>
      <c r="B24" s="1283"/>
      <c r="C24" s="1283"/>
      <c r="D24" s="1283"/>
      <c r="E24" s="1283"/>
      <c r="F24" s="1283"/>
      <c r="G24" s="1283"/>
      <c r="H24" s="1283"/>
      <c r="I24" s="1283"/>
      <c r="J24" s="1283"/>
      <c r="K24" s="1283"/>
      <c r="L24" s="1283"/>
      <c r="M24" s="1283"/>
      <c r="N24" s="1283"/>
      <c r="O24" s="1283"/>
      <c r="P24" s="1283"/>
      <c r="Q24" s="1283"/>
      <c r="R24" s="1283"/>
      <c r="S24" s="1283"/>
      <c r="T24" s="1283"/>
      <c r="U24" s="1283"/>
      <c r="V24" s="1283"/>
      <c r="W24" s="1283"/>
      <c r="X24" s="1283"/>
      <c r="Y24" s="1283"/>
      <c r="Z24" s="1283"/>
      <c r="AA24" s="1283"/>
      <c r="AB24" s="1283"/>
      <c r="AC24" s="1283"/>
      <c r="AD24" s="1283"/>
      <c r="AE24" s="1283"/>
      <c r="AF24" s="1283"/>
      <c r="AG24" s="1283"/>
      <c r="AH24" s="1283"/>
      <c r="AI24" s="1283"/>
      <c r="AJ24" s="1283"/>
      <c r="AK24" s="1283"/>
      <c r="AL24" s="1283"/>
      <c r="AM24" s="1283"/>
      <c r="AN24" s="1283"/>
      <c r="AO24" s="1283"/>
      <c r="AP24" s="1283"/>
      <c r="AQ24" s="1283"/>
      <c r="AR24" s="1283"/>
      <c r="AS24" s="1283"/>
      <c r="AT24" s="1283"/>
      <c r="AU24" s="1283"/>
      <c r="AV24" s="1283"/>
      <c r="AW24" s="1283"/>
      <c r="AX24" s="1283"/>
      <c r="AY24" s="1283"/>
      <c r="AZ24" s="1283"/>
      <c r="BA24" s="1283"/>
      <c r="BB24" s="1283"/>
      <c r="BC24" s="1283"/>
      <c r="BD24" s="1283"/>
      <c r="BE24" s="1283"/>
      <c r="BF24" s="1283"/>
      <c r="BG24" s="1283"/>
      <c r="BH24" s="1283"/>
      <c r="BI24" s="1283"/>
      <c r="BJ24" s="1283"/>
      <c r="BK24" s="1283"/>
      <c r="BL24" s="1283"/>
      <c r="BM24" s="1283"/>
      <c r="BN24" s="1283"/>
      <c r="BO24" s="1283"/>
      <c r="BP24" s="1283"/>
      <c r="BQ24" s="1283"/>
      <c r="BR24" s="1283"/>
      <c r="BS24" s="1283"/>
      <c r="BT24" s="1283"/>
      <c r="BU24" s="1283"/>
      <c r="BV24" s="1283"/>
      <c r="BW24" s="1283"/>
      <c r="BX24" s="1283"/>
      <c r="BY24" s="1283"/>
      <c r="BZ24" s="1283"/>
      <c r="CA24" s="1283"/>
      <c r="CB24" s="1284"/>
    </row>
    <row r="25" spans="1:83" ht="17.100000000000001" customHeight="1">
      <c r="A25" s="1543" t="s">
        <v>328</v>
      </c>
      <c r="B25" s="1523"/>
      <c r="C25" s="1523"/>
      <c r="D25" s="1523"/>
      <c r="E25" s="1523"/>
      <c r="F25" s="1523"/>
      <c r="G25" s="1523"/>
      <c r="H25" s="1523"/>
      <c r="I25" s="1523"/>
      <c r="J25" s="1523"/>
      <c r="K25" s="1523"/>
      <c r="L25" s="1524"/>
      <c r="M25" s="1543" t="s">
        <v>472</v>
      </c>
      <c r="N25" s="1543"/>
      <c r="O25" s="1543"/>
      <c r="P25" s="1543"/>
      <c r="Q25" s="1543"/>
      <c r="R25" s="1543"/>
      <c r="S25" s="1543"/>
      <c r="T25" s="1543"/>
      <c r="U25" s="1543"/>
      <c r="V25" s="1543"/>
      <c r="W25" s="1543"/>
      <c r="X25" s="1543"/>
      <c r="Y25" s="1543"/>
      <c r="Z25" s="1543"/>
      <c r="AA25" s="1543"/>
      <c r="AB25" s="1543"/>
      <c r="AC25" s="1543"/>
      <c r="AD25" s="1543"/>
      <c r="AE25" s="1543"/>
      <c r="AF25" s="1543"/>
      <c r="AG25" s="1543"/>
      <c r="AH25" s="1543"/>
      <c r="AI25" s="1543"/>
      <c r="AJ25" s="1543"/>
      <c r="AK25" s="1543"/>
      <c r="AL25" s="1543"/>
      <c r="AM25" s="1543"/>
      <c r="AN25" s="1543"/>
      <c r="AO25" s="1543"/>
      <c r="AP25" s="1543"/>
      <c r="AQ25" s="1543"/>
      <c r="AR25" s="1543"/>
      <c r="AS25" s="1543"/>
      <c r="AT25" s="1543" t="s">
        <v>254</v>
      </c>
      <c r="AU25" s="1543"/>
      <c r="AV25" s="1543"/>
      <c r="AW25" s="1543"/>
      <c r="AX25" s="1543"/>
      <c r="AY25" s="1543"/>
      <c r="AZ25" s="1543"/>
      <c r="BA25" s="1544" t="s">
        <v>473</v>
      </c>
      <c r="BB25" s="1544"/>
      <c r="BC25" s="1544"/>
      <c r="BD25" s="1544"/>
      <c r="BE25" s="1544"/>
      <c r="BF25" s="1544"/>
      <c r="BG25" s="1544"/>
      <c r="BH25" s="1544"/>
      <c r="BI25" s="1544"/>
      <c r="BJ25" s="1544"/>
      <c r="BK25" s="1544"/>
      <c r="BL25" s="1544"/>
      <c r="BM25" s="1544"/>
      <c r="BN25" s="1544"/>
      <c r="BO25" s="1544"/>
      <c r="BP25" s="1544"/>
      <c r="BQ25" s="1544"/>
      <c r="BR25" s="1544"/>
      <c r="BS25" s="1544"/>
      <c r="BT25" s="1544"/>
      <c r="BU25" s="1544"/>
      <c r="BV25" s="1544"/>
      <c r="BW25" s="1544"/>
      <c r="BX25" s="1544"/>
      <c r="BY25" s="1544"/>
      <c r="BZ25" s="1544"/>
      <c r="CA25" s="1544"/>
      <c r="CB25" s="1544"/>
    </row>
    <row r="26" spans="1:83" s="77" customFormat="1" ht="17.100000000000001" customHeight="1">
      <c r="A26" s="1541" t="s">
        <v>225</v>
      </c>
      <c r="B26" s="1539"/>
      <c r="C26" s="1539"/>
      <c r="D26" s="1539"/>
      <c r="E26" s="1539"/>
      <c r="F26" s="1539"/>
      <c r="G26" s="1539"/>
      <c r="H26" s="1539"/>
      <c r="I26" s="1539"/>
      <c r="J26" s="1539"/>
      <c r="K26" s="1539"/>
      <c r="L26" s="1539"/>
      <c r="M26" s="1539"/>
      <c r="N26" s="1539"/>
      <c r="O26" s="1539"/>
      <c r="P26" s="1539"/>
      <c r="Q26" s="1539"/>
      <c r="R26" s="1539"/>
      <c r="S26" s="1505"/>
      <c r="T26" s="1541" t="s">
        <v>76</v>
      </c>
      <c r="U26" s="1539"/>
      <c r="V26" s="1539"/>
      <c r="W26" s="1539"/>
      <c r="X26" s="1539"/>
      <c r="Y26" s="1539"/>
      <c r="Z26" s="1539"/>
      <c r="AA26" s="1539"/>
      <c r="AB26" s="1539"/>
      <c r="AC26" s="1539"/>
      <c r="AD26" s="1539"/>
      <c r="AE26" s="1539"/>
      <c r="AF26" s="1539"/>
      <c r="AG26" s="1539"/>
      <c r="AH26" s="1539"/>
      <c r="AI26" s="1539"/>
      <c r="AJ26" s="1539"/>
      <c r="AK26" s="1539"/>
      <c r="AL26" s="1540"/>
      <c r="AM26" s="1507" t="s">
        <v>77</v>
      </c>
      <c r="AN26" s="1539"/>
      <c r="AO26" s="1539"/>
      <c r="AP26" s="1539"/>
      <c r="AQ26" s="1539"/>
      <c r="AR26" s="1539"/>
      <c r="AS26" s="1539"/>
      <c r="AT26" s="1539"/>
      <c r="AU26" s="1539"/>
      <c r="AV26" s="1539"/>
      <c r="AW26" s="1539"/>
      <c r="AX26" s="1539"/>
      <c r="AY26" s="1539"/>
      <c r="AZ26" s="1539"/>
      <c r="BA26" s="1539"/>
      <c r="BB26" s="1539"/>
      <c r="BC26" s="1539"/>
      <c r="BD26" s="1539"/>
      <c r="BE26" s="1539"/>
      <c r="BF26" s="1505"/>
      <c r="BG26" s="1541" t="s">
        <v>78</v>
      </c>
      <c r="BH26" s="1539"/>
      <c r="BI26" s="1539"/>
      <c r="BJ26" s="1539"/>
      <c r="BK26" s="1539"/>
      <c r="BL26" s="1539"/>
      <c r="BM26" s="1539"/>
      <c r="BN26" s="1539"/>
      <c r="BO26" s="1539"/>
      <c r="BP26" s="1539"/>
      <c r="BQ26" s="1540"/>
      <c r="BR26" s="1507" t="s">
        <v>79</v>
      </c>
      <c r="BS26" s="1539"/>
      <c r="BT26" s="1539"/>
      <c r="BU26" s="1539"/>
      <c r="BV26" s="1539"/>
      <c r="BW26" s="1539"/>
      <c r="BX26" s="1539"/>
      <c r="BY26" s="1539"/>
      <c r="BZ26" s="1539"/>
      <c r="CA26" s="1539"/>
      <c r="CB26" s="1540"/>
      <c r="CC26"/>
      <c r="CD26"/>
      <c r="CE26"/>
    </row>
    <row r="27" spans="1:83" s="77" customFormat="1" ht="17.100000000000001" customHeight="1">
      <c r="A27" s="1513">
        <v>424800</v>
      </c>
      <c r="B27" s="1514"/>
      <c r="C27" s="1514"/>
      <c r="D27" s="1514"/>
      <c r="E27" s="1514"/>
      <c r="F27" s="1514"/>
      <c r="G27" s="1514"/>
      <c r="H27" s="1514"/>
      <c r="I27" s="1514"/>
      <c r="J27" s="1514"/>
      <c r="K27" s="1514"/>
      <c r="L27" s="1514"/>
      <c r="M27" s="1514"/>
      <c r="N27" s="1514"/>
      <c r="O27" s="1514"/>
      <c r="P27" s="1514"/>
      <c r="Q27" s="1514"/>
      <c r="R27" s="1514"/>
      <c r="S27" s="1514"/>
      <c r="T27" s="1514"/>
      <c r="U27" s="1514"/>
      <c r="V27" s="1514"/>
      <c r="W27" s="1514"/>
      <c r="X27" s="1514"/>
      <c r="Y27" s="1514"/>
      <c r="Z27" s="1514"/>
      <c r="AA27" s="1514"/>
      <c r="AB27" s="1514"/>
      <c r="AC27" s="1514"/>
      <c r="AD27" s="1514"/>
      <c r="AE27" s="1514"/>
      <c r="AF27" s="1514"/>
      <c r="AG27" s="1514"/>
      <c r="AH27" s="1514"/>
      <c r="AI27" s="1514"/>
      <c r="AJ27" s="1514"/>
      <c r="AK27" s="1514"/>
      <c r="AL27" s="1514"/>
      <c r="AM27" s="1514">
        <f>A27+T27</f>
        <v>424800</v>
      </c>
      <c r="AN27" s="1514"/>
      <c r="AO27" s="1514"/>
      <c r="AP27" s="1514"/>
      <c r="AQ27" s="1514"/>
      <c r="AR27" s="1514"/>
      <c r="AS27" s="1514"/>
      <c r="AT27" s="1514"/>
      <c r="AU27" s="1514"/>
      <c r="AV27" s="1514"/>
      <c r="AW27" s="1514"/>
      <c r="AX27" s="1514"/>
      <c r="AY27" s="1514"/>
      <c r="AZ27" s="1514"/>
      <c r="BA27" s="1514"/>
      <c r="BB27" s="1514"/>
      <c r="BC27" s="1514"/>
      <c r="BD27" s="1514"/>
      <c r="BE27" s="1514"/>
      <c r="BF27" s="1514"/>
      <c r="BG27" s="1514">
        <v>349973.94</v>
      </c>
      <c r="BH27" s="1514"/>
      <c r="BI27" s="1514"/>
      <c r="BJ27" s="1514"/>
      <c r="BK27" s="1514"/>
      <c r="BL27" s="1514"/>
      <c r="BM27" s="1514"/>
      <c r="BN27" s="1514"/>
      <c r="BO27" s="1514"/>
      <c r="BP27" s="1514"/>
      <c r="BQ27" s="1514"/>
      <c r="BR27" s="1514">
        <v>286253.94</v>
      </c>
      <c r="BS27" s="1514"/>
      <c r="BT27" s="1514"/>
      <c r="BU27" s="1514"/>
      <c r="BV27" s="1514"/>
      <c r="BW27" s="1514"/>
      <c r="BX27" s="1514"/>
      <c r="BY27" s="1514"/>
      <c r="BZ27" s="1514"/>
      <c r="CA27" s="1514"/>
      <c r="CB27" s="1514"/>
      <c r="CC27"/>
      <c r="CD27"/>
      <c r="CE27"/>
    </row>
    <row r="28" spans="1:83" s="77" customFormat="1" ht="23.25" customHeight="1">
      <c r="A28" s="1541" t="s">
        <v>83</v>
      </c>
      <c r="B28" s="1539"/>
      <c r="C28" s="1539"/>
      <c r="D28" s="1539"/>
      <c r="E28" s="1539"/>
      <c r="F28" s="1539"/>
      <c r="G28" s="1539"/>
      <c r="H28" s="1539"/>
      <c r="I28" s="1539"/>
      <c r="J28" s="1539" t="s">
        <v>203</v>
      </c>
      <c r="K28" s="1539"/>
      <c r="L28" s="1539"/>
      <c r="M28" s="1539"/>
      <c r="N28" s="1539"/>
      <c r="O28" s="1539"/>
      <c r="P28" s="1539"/>
      <c r="Q28" s="1539"/>
      <c r="R28" s="1539"/>
      <c r="S28" s="1539"/>
      <c r="T28" s="1539" t="s">
        <v>81</v>
      </c>
      <c r="U28" s="1539"/>
      <c r="V28" s="1539"/>
      <c r="W28" s="1539"/>
      <c r="X28" s="1539"/>
      <c r="Y28" s="1539"/>
      <c r="Z28" s="1539"/>
      <c r="AA28" s="1539"/>
      <c r="AB28" s="1539"/>
      <c r="AC28" s="1539" t="s">
        <v>10</v>
      </c>
      <c r="AD28" s="1539"/>
      <c r="AE28" s="1539"/>
      <c r="AF28" s="1539"/>
      <c r="AG28" s="1539"/>
      <c r="AH28" s="1539"/>
      <c r="AI28" s="1539"/>
      <c r="AJ28" s="1539"/>
      <c r="AK28" s="1539"/>
      <c r="AL28" s="1539"/>
      <c r="AM28" s="1542" t="s">
        <v>255</v>
      </c>
      <c r="AN28" s="1542"/>
      <c r="AO28" s="1542"/>
      <c r="AP28" s="1542"/>
      <c r="AQ28" s="1542"/>
      <c r="AR28" s="1542"/>
      <c r="AS28" s="1542"/>
      <c r="AT28" s="1542"/>
      <c r="AU28" s="1542"/>
      <c r="AV28" s="1542"/>
      <c r="AW28" s="1539" t="s">
        <v>83</v>
      </c>
      <c r="AX28" s="1539"/>
      <c r="AY28" s="1539"/>
      <c r="AZ28" s="1539"/>
      <c r="BA28" s="1539"/>
      <c r="BB28" s="1539"/>
      <c r="BC28" s="1539"/>
      <c r="BD28" s="1539"/>
      <c r="BE28" s="1539"/>
      <c r="BF28" s="1539"/>
      <c r="BG28" s="1539" t="s">
        <v>84</v>
      </c>
      <c r="BH28" s="1539"/>
      <c r="BI28" s="1539"/>
      <c r="BJ28" s="1539"/>
      <c r="BK28" s="1539"/>
      <c r="BL28" s="1539"/>
      <c r="BM28" s="1539"/>
      <c r="BN28" s="1539"/>
      <c r="BO28" s="1539"/>
      <c r="BP28" s="1539" t="s">
        <v>226</v>
      </c>
      <c r="BQ28" s="1539"/>
      <c r="BR28" s="1539"/>
      <c r="BS28" s="1539"/>
      <c r="BT28" s="1539"/>
      <c r="BU28" s="1539"/>
      <c r="BV28" s="1539"/>
      <c r="BW28" s="1539"/>
      <c r="BX28" s="1539"/>
      <c r="BY28" s="1539"/>
      <c r="BZ28" s="1539"/>
      <c r="CA28" s="1539"/>
      <c r="CB28" s="1540"/>
      <c r="CC28"/>
      <c r="CD28"/>
      <c r="CE28"/>
    </row>
    <row r="29" spans="1:83" s="77" customFormat="1" ht="17.100000000000001" customHeight="1">
      <c r="A29" s="1536" t="s">
        <v>86</v>
      </c>
      <c r="B29" s="1537"/>
      <c r="C29" s="1537"/>
      <c r="D29" s="1537"/>
      <c r="E29" s="1537"/>
      <c r="F29" s="1537"/>
      <c r="G29" s="1537"/>
      <c r="H29" s="1537"/>
      <c r="I29" s="1537"/>
      <c r="J29" s="1538" t="s">
        <v>521</v>
      </c>
      <c r="K29" s="1538"/>
      <c r="L29" s="1538"/>
      <c r="M29" s="1538"/>
      <c r="N29" s="1538"/>
      <c r="O29" s="1538"/>
      <c r="P29" s="1538"/>
      <c r="Q29" s="1538"/>
      <c r="R29" s="1538"/>
      <c r="S29" s="1538"/>
      <c r="T29" s="1538">
        <v>9</v>
      </c>
      <c r="U29" s="1538"/>
      <c r="V29" s="1538"/>
      <c r="W29" s="1538"/>
      <c r="X29" s="1538"/>
      <c r="Y29" s="1538"/>
      <c r="Z29" s="1538"/>
      <c r="AA29" s="1538"/>
      <c r="AB29" s="1538"/>
      <c r="AC29" s="1538">
        <v>1</v>
      </c>
      <c r="AD29" s="1538"/>
      <c r="AE29" s="1538"/>
      <c r="AF29" s="1538"/>
      <c r="AG29" s="1538"/>
      <c r="AH29" s="1538"/>
      <c r="AI29" s="1538"/>
      <c r="AJ29" s="1538"/>
      <c r="AK29" s="1538"/>
      <c r="AL29" s="1538"/>
      <c r="AM29" s="1538">
        <v>1</v>
      </c>
      <c r="AN29" s="1538"/>
      <c r="AO29" s="1538"/>
      <c r="AP29" s="1538"/>
      <c r="AQ29" s="1538"/>
      <c r="AR29" s="1538"/>
      <c r="AS29" s="1538"/>
      <c r="AT29" s="1538"/>
      <c r="AU29" s="1538"/>
      <c r="AV29" s="1538"/>
      <c r="AW29" s="1528">
        <v>0.75</v>
      </c>
      <c r="AX29" s="1528"/>
      <c r="AY29" s="1528"/>
      <c r="AZ29" s="1528"/>
      <c r="BA29" s="1528"/>
      <c r="BB29" s="1528"/>
      <c r="BC29" s="1528"/>
      <c r="BD29" s="1528"/>
      <c r="BE29" s="1528"/>
      <c r="BF29" s="1528"/>
      <c r="BG29" s="1528"/>
      <c r="BH29" s="1528"/>
      <c r="BI29" s="1528"/>
      <c r="BJ29" s="1528"/>
      <c r="BK29" s="1528"/>
      <c r="BL29" s="1528"/>
      <c r="BM29" s="1528"/>
      <c r="BN29" s="1528"/>
      <c r="BO29" s="1528"/>
      <c r="BP29" s="1528"/>
      <c r="BQ29" s="1528"/>
      <c r="BR29" s="1528"/>
      <c r="BS29" s="1528"/>
      <c r="BT29" s="1528"/>
      <c r="BU29" s="1528"/>
      <c r="BV29" s="1528"/>
      <c r="BW29" s="1528"/>
      <c r="BX29" s="1528"/>
      <c r="BY29" s="1528"/>
      <c r="BZ29" s="1528"/>
      <c r="CA29" s="1528"/>
      <c r="CB29" s="1529"/>
      <c r="CC29"/>
      <c r="CD29"/>
      <c r="CE29"/>
    </row>
    <row r="30" spans="1:83" s="77" customFormat="1" ht="17.100000000000001" customHeight="1">
      <c r="A30" s="1536" t="s">
        <v>14</v>
      </c>
      <c r="B30" s="1537"/>
      <c r="C30" s="1537"/>
      <c r="D30" s="1537"/>
      <c r="E30" s="1537"/>
      <c r="F30" s="1537"/>
      <c r="G30" s="1537"/>
      <c r="H30" s="1537"/>
      <c r="I30" s="1537"/>
      <c r="J30" s="1538" t="s">
        <v>521</v>
      </c>
      <c r="K30" s="1538"/>
      <c r="L30" s="1538"/>
      <c r="M30" s="1538"/>
      <c r="N30" s="1538"/>
      <c r="O30" s="1538"/>
      <c r="P30" s="1538"/>
      <c r="Q30" s="1538"/>
      <c r="R30" s="1538"/>
      <c r="S30" s="1538"/>
      <c r="T30" s="1538">
        <v>5</v>
      </c>
      <c r="U30" s="1538"/>
      <c r="V30" s="1538"/>
      <c r="W30" s="1538"/>
      <c r="X30" s="1538"/>
      <c r="Y30" s="1538"/>
      <c r="Z30" s="1538"/>
      <c r="AA30" s="1538"/>
      <c r="AB30" s="1538"/>
      <c r="AC30" s="1538">
        <v>1</v>
      </c>
      <c r="AD30" s="1538"/>
      <c r="AE30" s="1538"/>
      <c r="AF30" s="1538"/>
      <c r="AG30" s="1538"/>
      <c r="AH30" s="1538"/>
      <c r="AI30" s="1538"/>
      <c r="AJ30" s="1538"/>
      <c r="AK30" s="1538"/>
      <c r="AL30" s="1538"/>
      <c r="AM30" s="1538">
        <v>1</v>
      </c>
      <c r="AN30" s="1538"/>
      <c r="AO30" s="1538"/>
      <c r="AP30" s="1538"/>
      <c r="AQ30" s="1538"/>
      <c r="AR30" s="1538"/>
      <c r="AS30" s="1538"/>
      <c r="AT30" s="1538"/>
      <c r="AU30" s="1538"/>
      <c r="AV30" s="1538"/>
      <c r="AW30" s="1528">
        <f>+BR27/AM27</f>
        <v>0.67385579096045201</v>
      </c>
      <c r="AX30" s="1528"/>
      <c r="AY30" s="1528"/>
      <c r="AZ30" s="1528"/>
      <c r="BA30" s="1528"/>
      <c r="BB30" s="1528"/>
      <c r="BC30" s="1528"/>
      <c r="BD30" s="1528"/>
      <c r="BE30" s="1528"/>
      <c r="BF30" s="1528"/>
      <c r="BG30" s="1528"/>
      <c r="BH30" s="1528"/>
      <c r="BI30" s="1528"/>
      <c r="BJ30" s="1528"/>
      <c r="BK30" s="1528"/>
      <c r="BL30" s="1528"/>
      <c r="BM30" s="1528"/>
      <c r="BN30" s="1528"/>
      <c r="BO30" s="1528"/>
      <c r="BP30" s="1528"/>
      <c r="BQ30" s="1528"/>
      <c r="BR30" s="1528"/>
      <c r="BS30" s="1528"/>
      <c r="BT30" s="1528"/>
      <c r="BU30" s="1528"/>
      <c r="BV30" s="1528"/>
      <c r="BW30" s="1528"/>
      <c r="BX30" s="1528"/>
      <c r="BY30" s="1528"/>
      <c r="BZ30" s="1528"/>
      <c r="CA30" s="1528"/>
      <c r="CB30" s="1529"/>
      <c r="CC30"/>
      <c r="CD30"/>
      <c r="CE30"/>
    </row>
    <row r="31" spans="1:83" s="77" customFormat="1" ht="17.100000000000001" customHeight="1">
      <c r="A31" s="1530" t="s">
        <v>12</v>
      </c>
      <c r="B31" s="1531"/>
      <c r="C31" s="1531"/>
      <c r="D31" s="1531"/>
      <c r="E31" s="1531"/>
      <c r="F31" s="1531"/>
      <c r="G31" s="1531"/>
      <c r="H31" s="1531"/>
      <c r="I31" s="1531"/>
      <c r="J31" s="1532" t="s">
        <v>521</v>
      </c>
      <c r="K31" s="1532"/>
      <c r="L31" s="1532"/>
      <c r="M31" s="1532"/>
      <c r="N31" s="1532"/>
      <c r="O31" s="1532"/>
      <c r="P31" s="1532"/>
      <c r="Q31" s="1532"/>
      <c r="R31" s="1532"/>
      <c r="S31" s="1532"/>
      <c r="T31" s="1532">
        <f>T30-T29</f>
        <v>-4</v>
      </c>
      <c r="U31" s="1532"/>
      <c r="V31" s="1532"/>
      <c r="W31" s="1532"/>
      <c r="X31" s="1532"/>
      <c r="Y31" s="1532"/>
      <c r="Z31" s="1532"/>
      <c r="AA31" s="1532"/>
      <c r="AB31" s="1532"/>
      <c r="AC31" s="1532">
        <v>0</v>
      </c>
      <c r="AD31" s="1532"/>
      <c r="AE31" s="1532"/>
      <c r="AF31" s="1532"/>
      <c r="AG31" s="1532"/>
      <c r="AH31" s="1532"/>
      <c r="AI31" s="1532"/>
      <c r="AJ31" s="1532"/>
      <c r="AK31" s="1532"/>
      <c r="AL31" s="1532"/>
      <c r="AM31" s="1532">
        <v>0</v>
      </c>
      <c r="AN31" s="1532"/>
      <c r="AO31" s="1532"/>
      <c r="AP31" s="1532"/>
      <c r="AQ31" s="1532"/>
      <c r="AR31" s="1532"/>
      <c r="AS31" s="1532"/>
      <c r="AT31" s="1532"/>
      <c r="AU31" s="1532"/>
      <c r="AV31" s="1532"/>
      <c r="AW31" s="1533">
        <f>AW30-AW29</f>
        <v>-7.6144209039547994E-2</v>
      </c>
      <c r="AX31" s="1534"/>
      <c r="AY31" s="1534"/>
      <c r="AZ31" s="1534"/>
      <c r="BA31" s="1534"/>
      <c r="BB31" s="1534"/>
      <c r="BC31" s="1534"/>
      <c r="BD31" s="1534"/>
      <c r="BE31" s="1534"/>
      <c r="BF31" s="1534"/>
      <c r="BG31" s="1533"/>
      <c r="BH31" s="1534"/>
      <c r="BI31" s="1534"/>
      <c r="BJ31" s="1534"/>
      <c r="BK31" s="1534"/>
      <c r="BL31" s="1534"/>
      <c r="BM31" s="1534"/>
      <c r="BN31" s="1534"/>
      <c r="BO31" s="1534"/>
      <c r="BP31" s="1534"/>
      <c r="BQ31" s="1534"/>
      <c r="BR31" s="1534"/>
      <c r="BS31" s="1534"/>
      <c r="BT31" s="1534"/>
      <c r="BU31" s="1534"/>
      <c r="BV31" s="1534"/>
      <c r="BW31" s="1534"/>
      <c r="BX31" s="1534"/>
      <c r="BY31" s="1534"/>
      <c r="BZ31" s="1534"/>
      <c r="CA31" s="1534"/>
      <c r="CB31" s="1535"/>
      <c r="CC31"/>
      <c r="CD31"/>
      <c r="CE31"/>
    </row>
    <row r="32" spans="1:83" s="77" customFormat="1" ht="17.100000000000001" customHeight="1">
      <c r="A32" s="1518" t="s">
        <v>62</v>
      </c>
      <c r="B32" s="1519"/>
      <c r="C32" s="1519"/>
      <c r="D32" s="1519"/>
      <c r="E32" s="1519"/>
      <c r="F32" s="1519"/>
      <c r="G32" s="1519"/>
      <c r="H32" s="1519"/>
      <c r="I32" s="1519"/>
      <c r="J32" s="1520"/>
      <c r="K32" s="1520"/>
      <c r="L32" s="1520"/>
      <c r="M32" s="1520"/>
      <c r="N32" s="1520"/>
      <c r="O32" s="1520"/>
      <c r="P32" s="1520"/>
      <c r="Q32" s="1520"/>
      <c r="R32" s="1520"/>
      <c r="S32" s="1520"/>
      <c r="T32" s="1520"/>
      <c r="U32" s="1520"/>
      <c r="V32" s="1520"/>
      <c r="W32" s="1520"/>
      <c r="X32" s="1520"/>
      <c r="Y32" s="1520"/>
      <c r="Z32" s="1520"/>
      <c r="AA32" s="1520"/>
      <c r="AB32" s="1520"/>
      <c r="AC32" s="1520"/>
      <c r="AD32" s="1520"/>
      <c r="AE32" s="1520"/>
      <c r="AF32" s="1520"/>
      <c r="AG32" s="1520"/>
      <c r="AH32" s="1520"/>
      <c r="AI32" s="1520"/>
      <c r="AJ32" s="1520"/>
      <c r="AK32" s="1520"/>
      <c r="AL32" s="1520"/>
      <c r="AM32" s="1520"/>
      <c r="AN32" s="1520"/>
      <c r="AO32" s="1520"/>
      <c r="AP32" s="1520"/>
      <c r="AQ32" s="1520"/>
      <c r="AR32" s="1520"/>
      <c r="AS32" s="1520"/>
      <c r="AT32" s="1520"/>
      <c r="AU32" s="1520"/>
      <c r="AV32" s="1520"/>
      <c r="AW32" s="1520"/>
      <c r="AX32" s="1520"/>
      <c r="AY32" s="1520"/>
      <c r="AZ32" s="1520"/>
      <c r="BA32" s="1520"/>
      <c r="BB32" s="1520"/>
      <c r="BC32" s="1520"/>
      <c r="BD32" s="1520"/>
      <c r="BE32" s="1520"/>
      <c r="BF32" s="1520"/>
      <c r="BG32" s="1520"/>
      <c r="BH32" s="1520"/>
      <c r="BI32" s="1520"/>
      <c r="BJ32" s="1520"/>
      <c r="BK32" s="1520"/>
      <c r="BL32" s="1520"/>
      <c r="BM32" s="1520"/>
      <c r="BN32" s="1520"/>
      <c r="BO32" s="1520"/>
      <c r="BP32" s="1520"/>
      <c r="BQ32" s="1520"/>
      <c r="BR32" s="1520"/>
      <c r="BS32" s="1520"/>
      <c r="BT32" s="1520"/>
      <c r="BU32" s="1520"/>
      <c r="BV32" s="1520"/>
      <c r="BW32" s="1520"/>
      <c r="BX32" s="1520"/>
      <c r="BY32" s="1520"/>
      <c r="BZ32" s="1520"/>
      <c r="CA32" s="1520"/>
      <c r="CB32" s="1521"/>
      <c r="CC32"/>
      <c r="CD32"/>
      <c r="CE32"/>
    </row>
    <row r="33" spans="1:83" ht="17.100000000000001" customHeight="1">
      <c r="A33" s="1282" t="s">
        <v>474</v>
      </c>
      <c r="B33" s="1283"/>
      <c r="C33" s="1283"/>
      <c r="D33" s="1283"/>
      <c r="E33" s="1283"/>
      <c r="F33" s="1283"/>
      <c r="G33" s="1283"/>
      <c r="H33" s="1283"/>
      <c r="I33" s="1283"/>
      <c r="J33" s="1283"/>
      <c r="K33" s="1283"/>
      <c r="L33" s="1283"/>
      <c r="M33" s="1283"/>
      <c r="N33" s="1283"/>
      <c r="O33" s="1283"/>
      <c r="P33" s="1283"/>
      <c r="Q33" s="1283"/>
      <c r="R33" s="1283"/>
      <c r="S33" s="1283"/>
      <c r="T33" s="1283"/>
      <c r="U33" s="1283"/>
      <c r="V33" s="1283"/>
      <c r="W33" s="1283"/>
      <c r="X33" s="1283"/>
      <c r="Y33" s="1283"/>
      <c r="Z33" s="1283"/>
      <c r="AA33" s="1283"/>
      <c r="AB33" s="1283"/>
      <c r="AC33" s="1283"/>
      <c r="AD33" s="1283"/>
      <c r="AE33" s="1283"/>
      <c r="AF33" s="1283"/>
      <c r="AG33" s="1283"/>
      <c r="AH33" s="1283"/>
      <c r="AI33" s="1283"/>
      <c r="AJ33" s="1283"/>
      <c r="AK33" s="1283"/>
      <c r="AL33" s="1283"/>
      <c r="AM33" s="1283"/>
      <c r="AN33" s="1283"/>
      <c r="AO33" s="1283"/>
      <c r="AP33" s="1283"/>
      <c r="AQ33" s="1283"/>
      <c r="AR33" s="1283"/>
      <c r="AS33" s="1283"/>
      <c r="AT33" s="1283"/>
      <c r="AU33" s="1283"/>
      <c r="AV33" s="1283"/>
      <c r="AW33" s="1283"/>
      <c r="AX33" s="1283"/>
      <c r="AY33" s="1283"/>
      <c r="AZ33" s="1283"/>
      <c r="BA33" s="1283"/>
      <c r="BB33" s="1283"/>
      <c r="BC33" s="1283"/>
      <c r="BD33" s="1283"/>
      <c r="BE33" s="1283"/>
      <c r="BF33" s="1283"/>
      <c r="BG33" s="1283"/>
      <c r="BH33" s="1283"/>
      <c r="BI33" s="1283"/>
      <c r="BJ33" s="1283"/>
      <c r="BK33" s="1283"/>
      <c r="BL33" s="1283"/>
      <c r="BM33" s="1283"/>
      <c r="BN33" s="1283"/>
      <c r="BO33" s="1283"/>
      <c r="BP33" s="1283"/>
      <c r="BQ33" s="1283"/>
      <c r="BR33" s="1283"/>
      <c r="BS33" s="1283"/>
      <c r="BT33" s="1283"/>
      <c r="BU33" s="1283"/>
      <c r="BV33" s="1283"/>
      <c r="BW33" s="1283"/>
      <c r="BX33" s="1283"/>
      <c r="BY33" s="1283"/>
      <c r="BZ33" s="1283"/>
      <c r="CA33" s="1283"/>
      <c r="CB33" s="1284"/>
    </row>
    <row r="34" spans="1:83" ht="17.100000000000001" customHeight="1">
      <c r="A34" s="1543" t="s">
        <v>328</v>
      </c>
      <c r="B34" s="1523"/>
      <c r="C34" s="1523"/>
      <c r="D34" s="1523"/>
      <c r="E34" s="1523"/>
      <c r="F34" s="1523"/>
      <c r="G34" s="1523"/>
      <c r="H34" s="1523"/>
      <c r="I34" s="1523"/>
      <c r="J34" s="1523"/>
      <c r="K34" s="1523"/>
      <c r="L34" s="1524"/>
      <c r="M34" s="1543" t="s">
        <v>475</v>
      </c>
      <c r="N34" s="1543"/>
      <c r="O34" s="1543"/>
      <c r="P34" s="1543"/>
      <c r="Q34" s="1543"/>
      <c r="R34" s="1543"/>
      <c r="S34" s="1543"/>
      <c r="T34" s="1543"/>
      <c r="U34" s="1543"/>
      <c r="V34" s="1543"/>
      <c r="W34" s="1543"/>
      <c r="X34" s="1543"/>
      <c r="Y34" s="1543"/>
      <c r="Z34" s="1543"/>
      <c r="AA34" s="1543"/>
      <c r="AB34" s="1543"/>
      <c r="AC34" s="1543"/>
      <c r="AD34" s="1543"/>
      <c r="AE34" s="1543"/>
      <c r="AF34" s="1543"/>
      <c r="AG34" s="1543"/>
      <c r="AH34" s="1543"/>
      <c r="AI34" s="1543"/>
      <c r="AJ34" s="1543"/>
      <c r="AK34" s="1543"/>
      <c r="AL34" s="1543"/>
      <c r="AM34" s="1543"/>
      <c r="AN34" s="1543"/>
      <c r="AO34" s="1543"/>
      <c r="AP34" s="1543"/>
      <c r="AQ34" s="1543"/>
      <c r="AR34" s="1543"/>
      <c r="AS34" s="1543"/>
      <c r="AT34" s="1543" t="s">
        <v>254</v>
      </c>
      <c r="AU34" s="1543"/>
      <c r="AV34" s="1543"/>
      <c r="AW34" s="1543"/>
      <c r="AX34" s="1543"/>
      <c r="AY34" s="1543"/>
      <c r="AZ34" s="1543"/>
      <c r="BA34" s="1544" t="s">
        <v>476</v>
      </c>
      <c r="BB34" s="1544"/>
      <c r="BC34" s="1544"/>
      <c r="BD34" s="1544"/>
      <c r="BE34" s="1544"/>
      <c r="BF34" s="1544"/>
      <c r="BG34" s="1544"/>
      <c r="BH34" s="1544"/>
      <c r="BI34" s="1544"/>
      <c r="BJ34" s="1544"/>
      <c r="BK34" s="1544"/>
      <c r="BL34" s="1544"/>
      <c r="BM34" s="1544"/>
      <c r="BN34" s="1544"/>
      <c r="BO34" s="1544"/>
      <c r="BP34" s="1544"/>
      <c r="BQ34" s="1544"/>
      <c r="BR34" s="1544"/>
      <c r="BS34" s="1544"/>
      <c r="BT34" s="1544"/>
      <c r="BU34" s="1544"/>
      <c r="BV34" s="1544"/>
      <c r="BW34" s="1544"/>
      <c r="BX34" s="1544"/>
      <c r="BY34" s="1544"/>
      <c r="BZ34" s="1544"/>
      <c r="CA34" s="1544"/>
      <c r="CB34" s="1544"/>
    </row>
    <row r="35" spans="1:83" s="77" customFormat="1" ht="17.100000000000001" customHeight="1">
      <c r="A35" s="1541" t="s">
        <v>225</v>
      </c>
      <c r="B35" s="1539"/>
      <c r="C35" s="1539"/>
      <c r="D35" s="1539"/>
      <c r="E35" s="1539"/>
      <c r="F35" s="1539"/>
      <c r="G35" s="1539"/>
      <c r="H35" s="1539"/>
      <c r="I35" s="1539"/>
      <c r="J35" s="1539"/>
      <c r="K35" s="1539"/>
      <c r="L35" s="1539"/>
      <c r="M35" s="1539"/>
      <c r="N35" s="1539"/>
      <c r="O35" s="1539"/>
      <c r="P35" s="1539"/>
      <c r="Q35" s="1539"/>
      <c r="R35" s="1539"/>
      <c r="S35" s="1505"/>
      <c r="T35" s="1541" t="s">
        <v>76</v>
      </c>
      <c r="U35" s="1539"/>
      <c r="V35" s="1539"/>
      <c r="W35" s="1539"/>
      <c r="X35" s="1539"/>
      <c r="Y35" s="1539"/>
      <c r="Z35" s="1539"/>
      <c r="AA35" s="1539"/>
      <c r="AB35" s="1539"/>
      <c r="AC35" s="1539"/>
      <c r="AD35" s="1539"/>
      <c r="AE35" s="1539"/>
      <c r="AF35" s="1539"/>
      <c r="AG35" s="1539"/>
      <c r="AH35" s="1539"/>
      <c r="AI35" s="1539"/>
      <c r="AJ35" s="1539"/>
      <c r="AK35" s="1539"/>
      <c r="AL35" s="1540"/>
      <c r="AM35" s="1507" t="s">
        <v>77</v>
      </c>
      <c r="AN35" s="1539"/>
      <c r="AO35" s="1539"/>
      <c r="AP35" s="1539"/>
      <c r="AQ35" s="1539"/>
      <c r="AR35" s="1539"/>
      <c r="AS35" s="1539"/>
      <c r="AT35" s="1539"/>
      <c r="AU35" s="1539"/>
      <c r="AV35" s="1539"/>
      <c r="AW35" s="1539"/>
      <c r="AX35" s="1539"/>
      <c r="AY35" s="1539"/>
      <c r="AZ35" s="1539"/>
      <c r="BA35" s="1539"/>
      <c r="BB35" s="1539"/>
      <c r="BC35" s="1539"/>
      <c r="BD35" s="1539"/>
      <c r="BE35" s="1539"/>
      <c r="BF35" s="1505"/>
      <c r="BG35" s="1541" t="s">
        <v>78</v>
      </c>
      <c r="BH35" s="1539"/>
      <c r="BI35" s="1539"/>
      <c r="BJ35" s="1539"/>
      <c r="BK35" s="1539"/>
      <c r="BL35" s="1539"/>
      <c r="BM35" s="1539"/>
      <c r="BN35" s="1539"/>
      <c r="BO35" s="1539"/>
      <c r="BP35" s="1539"/>
      <c r="BQ35" s="1540"/>
      <c r="BR35" s="1507" t="s">
        <v>79</v>
      </c>
      <c r="BS35" s="1539"/>
      <c r="BT35" s="1539"/>
      <c r="BU35" s="1539"/>
      <c r="BV35" s="1539"/>
      <c r="BW35" s="1539"/>
      <c r="BX35" s="1539"/>
      <c r="BY35" s="1539"/>
      <c r="BZ35" s="1539"/>
      <c r="CA35" s="1539"/>
      <c r="CB35" s="1540"/>
      <c r="CC35"/>
      <c r="CD35"/>
      <c r="CE35"/>
    </row>
    <row r="36" spans="1:83" s="77" customFormat="1" ht="17.100000000000001" customHeight="1">
      <c r="A36" s="1513" t="s">
        <v>477</v>
      </c>
      <c r="B36" s="1514"/>
      <c r="C36" s="1514"/>
      <c r="D36" s="1514"/>
      <c r="E36" s="1514"/>
      <c r="F36" s="1514"/>
      <c r="G36" s="1514"/>
      <c r="H36" s="1514"/>
      <c r="I36" s="1514"/>
      <c r="J36" s="1514"/>
      <c r="K36" s="1514"/>
      <c r="L36" s="1514"/>
      <c r="M36" s="1514"/>
      <c r="N36" s="1514"/>
      <c r="O36" s="1514"/>
      <c r="P36" s="1514"/>
      <c r="Q36" s="1514"/>
      <c r="R36" s="1514"/>
      <c r="S36" s="1514"/>
      <c r="T36" s="1514"/>
      <c r="U36" s="1514"/>
      <c r="V36" s="1514"/>
      <c r="W36" s="1514"/>
      <c r="X36" s="1514"/>
      <c r="Y36" s="1514"/>
      <c r="Z36" s="1514"/>
      <c r="AA36" s="1514"/>
      <c r="AB36" s="1514"/>
      <c r="AC36" s="1514"/>
      <c r="AD36" s="1514"/>
      <c r="AE36" s="1514"/>
      <c r="AF36" s="1514"/>
      <c r="AG36" s="1514"/>
      <c r="AH36" s="1514"/>
      <c r="AI36" s="1514"/>
      <c r="AJ36" s="1514"/>
      <c r="AK36" s="1514"/>
      <c r="AL36" s="1514"/>
      <c r="AM36" s="1514" t="s">
        <v>477</v>
      </c>
      <c r="AN36" s="1514"/>
      <c r="AO36" s="1514"/>
      <c r="AP36" s="1514"/>
      <c r="AQ36" s="1514"/>
      <c r="AR36" s="1514"/>
      <c r="AS36" s="1514"/>
      <c r="AT36" s="1514"/>
      <c r="AU36" s="1514"/>
      <c r="AV36" s="1514"/>
      <c r="AW36" s="1514"/>
      <c r="AX36" s="1514"/>
      <c r="AY36" s="1514"/>
      <c r="AZ36" s="1514"/>
      <c r="BA36" s="1514"/>
      <c r="BB36" s="1514"/>
      <c r="BC36" s="1514"/>
      <c r="BD36" s="1514"/>
      <c r="BE36" s="1514"/>
      <c r="BF36" s="1514"/>
      <c r="BG36" s="1514">
        <v>701691</v>
      </c>
      <c r="BH36" s="1514"/>
      <c r="BI36" s="1514"/>
      <c r="BJ36" s="1514"/>
      <c r="BK36" s="1514"/>
      <c r="BL36" s="1514"/>
      <c r="BM36" s="1514"/>
      <c r="BN36" s="1514"/>
      <c r="BO36" s="1514"/>
      <c r="BP36" s="1514"/>
      <c r="BQ36" s="1514"/>
      <c r="BR36" s="1514">
        <v>701691</v>
      </c>
      <c r="BS36" s="1514"/>
      <c r="BT36" s="1514"/>
      <c r="BU36" s="1514"/>
      <c r="BV36" s="1514"/>
      <c r="BW36" s="1514"/>
      <c r="BX36" s="1514"/>
      <c r="BY36" s="1514"/>
      <c r="BZ36" s="1514"/>
      <c r="CA36" s="1514"/>
      <c r="CB36" s="1514"/>
      <c r="CC36"/>
      <c r="CD36"/>
      <c r="CE36"/>
    </row>
    <row r="37" spans="1:83" s="77" customFormat="1" ht="19.5" customHeight="1">
      <c r="A37" s="1541" t="s">
        <v>83</v>
      </c>
      <c r="B37" s="1539"/>
      <c r="C37" s="1539"/>
      <c r="D37" s="1539"/>
      <c r="E37" s="1539"/>
      <c r="F37" s="1539"/>
      <c r="G37" s="1539"/>
      <c r="H37" s="1539"/>
      <c r="I37" s="1539"/>
      <c r="J37" s="1539" t="s">
        <v>203</v>
      </c>
      <c r="K37" s="1539"/>
      <c r="L37" s="1539"/>
      <c r="M37" s="1539"/>
      <c r="N37" s="1539"/>
      <c r="O37" s="1539"/>
      <c r="P37" s="1539"/>
      <c r="Q37" s="1539"/>
      <c r="R37" s="1539"/>
      <c r="S37" s="1539"/>
      <c r="T37" s="1539" t="s">
        <v>81</v>
      </c>
      <c r="U37" s="1539"/>
      <c r="V37" s="1539"/>
      <c r="W37" s="1539"/>
      <c r="X37" s="1539"/>
      <c r="Y37" s="1539"/>
      <c r="Z37" s="1539"/>
      <c r="AA37" s="1539"/>
      <c r="AB37" s="1539"/>
      <c r="AC37" s="1539" t="s">
        <v>10</v>
      </c>
      <c r="AD37" s="1539"/>
      <c r="AE37" s="1539"/>
      <c r="AF37" s="1539"/>
      <c r="AG37" s="1539"/>
      <c r="AH37" s="1539"/>
      <c r="AI37" s="1539"/>
      <c r="AJ37" s="1539"/>
      <c r="AK37" s="1539"/>
      <c r="AL37" s="1539"/>
      <c r="AM37" s="1542" t="s">
        <v>255</v>
      </c>
      <c r="AN37" s="1542"/>
      <c r="AO37" s="1542"/>
      <c r="AP37" s="1542"/>
      <c r="AQ37" s="1542"/>
      <c r="AR37" s="1542"/>
      <c r="AS37" s="1542"/>
      <c r="AT37" s="1542"/>
      <c r="AU37" s="1542"/>
      <c r="AV37" s="1542"/>
      <c r="AW37" s="1539" t="s">
        <v>83</v>
      </c>
      <c r="AX37" s="1539"/>
      <c r="AY37" s="1539"/>
      <c r="AZ37" s="1539"/>
      <c r="BA37" s="1539"/>
      <c r="BB37" s="1539"/>
      <c r="BC37" s="1539"/>
      <c r="BD37" s="1539"/>
      <c r="BE37" s="1539"/>
      <c r="BF37" s="1539"/>
      <c r="BG37" s="1539" t="s">
        <v>84</v>
      </c>
      <c r="BH37" s="1539"/>
      <c r="BI37" s="1539"/>
      <c r="BJ37" s="1539"/>
      <c r="BK37" s="1539"/>
      <c r="BL37" s="1539"/>
      <c r="BM37" s="1539"/>
      <c r="BN37" s="1539"/>
      <c r="BO37" s="1539"/>
      <c r="BP37" s="1539" t="s">
        <v>226</v>
      </c>
      <c r="BQ37" s="1539"/>
      <c r="BR37" s="1539"/>
      <c r="BS37" s="1539"/>
      <c r="BT37" s="1539"/>
      <c r="BU37" s="1539"/>
      <c r="BV37" s="1539"/>
      <c r="BW37" s="1539"/>
      <c r="BX37" s="1539"/>
      <c r="BY37" s="1539"/>
      <c r="BZ37" s="1539"/>
      <c r="CA37" s="1539"/>
      <c r="CB37" s="1540"/>
      <c r="CC37"/>
      <c r="CD37"/>
      <c r="CE37"/>
    </row>
    <row r="38" spans="1:83" s="77" customFormat="1" ht="17.100000000000001" customHeight="1">
      <c r="A38" s="1536" t="s">
        <v>86</v>
      </c>
      <c r="B38" s="1537"/>
      <c r="C38" s="1537"/>
      <c r="D38" s="1537"/>
      <c r="E38" s="1537"/>
      <c r="F38" s="1537"/>
      <c r="G38" s="1537"/>
      <c r="H38" s="1537"/>
      <c r="I38" s="1537"/>
      <c r="J38" s="1538" t="s">
        <v>521</v>
      </c>
      <c r="K38" s="1538"/>
      <c r="L38" s="1538"/>
      <c r="M38" s="1538"/>
      <c r="N38" s="1538"/>
      <c r="O38" s="1538"/>
      <c r="P38" s="1538"/>
      <c r="Q38" s="1538"/>
      <c r="R38" s="1538"/>
      <c r="S38" s="1538"/>
      <c r="T38" s="1538">
        <v>21</v>
      </c>
      <c r="U38" s="1538"/>
      <c r="V38" s="1538"/>
      <c r="W38" s="1538"/>
      <c r="X38" s="1538"/>
      <c r="Y38" s="1538"/>
      <c r="Z38" s="1538"/>
      <c r="AA38" s="1538"/>
      <c r="AB38" s="1538"/>
      <c r="AC38" s="1538" t="s">
        <v>521</v>
      </c>
      <c r="AD38" s="1538"/>
      <c r="AE38" s="1538"/>
      <c r="AF38" s="1538"/>
      <c r="AG38" s="1538"/>
      <c r="AH38" s="1538"/>
      <c r="AI38" s="1538"/>
      <c r="AJ38" s="1538"/>
      <c r="AK38" s="1538"/>
      <c r="AL38" s="1538"/>
      <c r="AM38" s="1538" t="s">
        <v>521</v>
      </c>
      <c r="AN38" s="1538"/>
      <c r="AO38" s="1538"/>
      <c r="AP38" s="1538"/>
      <c r="AQ38" s="1538"/>
      <c r="AR38" s="1538"/>
      <c r="AS38" s="1538"/>
      <c r="AT38" s="1538"/>
      <c r="AU38" s="1538"/>
      <c r="AV38" s="1538"/>
      <c r="AW38" s="1528">
        <v>1</v>
      </c>
      <c r="AX38" s="1528"/>
      <c r="AY38" s="1528"/>
      <c r="AZ38" s="1528"/>
      <c r="BA38" s="1528"/>
      <c r="BB38" s="1528"/>
      <c r="BC38" s="1528"/>
      <c r="BD38" s="1528"/>
      <c r="BE38" s="1528"/>
      <c r="BF38" s="1528"/>
      <c r="BG38" s="1528"/>
      <c r="BH38" s="1528"/>
      <c r="BI38" s="1528"/>
      <c r="BJ38" s="1528"/>
      <c r="BK38" s="1528"/>
      <c r="BL38" s="1528"/>
      <c r="BM38" s="1528"/>
      <c r="BN38" s="1528"/>
      <c r="BO38" s="1528"/>
      <c r="BP38" s="1528"/>
      <c r="BQ38" s="1528"/>
      <c r="BR38" s="1528"/>
      <c r="BS38" s="1528"/>
      <c r="BT38" s="1528"/>
      <c r="BU38" s="1528"/>
      <c r="BV38" s="1528"/>
      <c r="BW38" s="1528"/>
      <c r="BX38" s="1528"/>
      <c r="BY38" s="1528"/>
      <c r="BZ38" s="1528"/>
      <c r="CA38" s="1528"/>
      <c r="CB38" s="1529"/>
      <c r="CC38"/>
      <c r="CD38"/>
      <c r="CE38"/>
    </row>
    <row r="39" spans="1:83" s="77" customFormat="1" ht="17.100000000000001" customHeight="1">
      <c r="A39" s="1536" t="s">
        <v>14</v>
      </c>
      <c r="B39" s="1537"/>
      <c r="C39" s="1537"/>
      <c r="D39" s="1537"/>
      <c r="E39" s="1537"/>
      <c r="F39" s="1537"/>
      <c r="G39" s="1537"/>
      <c r="H39" s="1537"/>
      <c r="I39" s="1537"/>
      <c r="J39" s="1538" t="s">
        <v>521</v>
      </c>
      <c r="K39" s="1538"/>
      <c r="L39" s="1538"/>
      <c r="M39" s="1538"/>
      <c r="N39" s="1538"/>
      <c r="O39" s="1538"/>
      <c r="P39" s="1538"/>
      <c r="Q39" s="1538"/>
      <c r="R39" s="1538"/>
      <c r="S39" s="1538"/>
      <c r="T39" s="1538">
        <v>23</v>
      </c>
      <c r="U39" s="1538"/>
      <c r="V39" s="1538"/>
      <c r="W39" s="1538"/>
      <c r="X39" s="1538"/>
      <c r="Y39" s="1538"/>
      <c r="Z39" s="1538"/>
      <c r="AA39" s="1538"/>
      <c r="AB39" s="1538"/>
      <c r="AC39" s="1538" t="s">
        <v>521</v>
      </c>
      <c r="AD39" s="1538"/>
      <c r="AE39" s="1538"/>
      <c r="AF39" s="1538"/>
      <c r="AG39" s="1538"/>
      <c r="AH39" s="1538"/>
      <c r="AI39" s="1538"/>
      <c r="AJ39" s="1538"/>
      <c r="AK39" s="1538"/>
      <c r="AL39" s="1538"/>
      <c r="AM39" s="1538" t="s">
        <v>521</v>
      </c>
      <c r="AN39" s="1538"/>
      <c r="AO39" s="1538"/>
      <c r="AP39" s="1538"/>
      <c r="AQ39" s="1538"/>
      <c r="AR39" s="1538"/>
      <c r="AS39" s="1538"/>
      <c r="AT39" s="1538"/>
      <c r="AU39" s="1538"/>
      <c r="AV39" s="1538"/>
      <c r="AW39" s="1528">
        <v>1</v>
      </c>
      <c r="AX39" s="1528"/>
      <c r="AY39" s="1528"/>
      <c r="AZ39" s="1528"/>
      <c r="BA39" s="1528"/>
      <c r="BB39" s="1528"/>
      <c r="BC39" s="1528"/>
      <c r="BD39" s="1528"/>
      <c r="BE39" s="1528"/>
      <c r="BF39" s="1528"/>
      <c r="BG39" s="1528"/>
      <c r="BH39" s="1528"/>
      <c r="BI39" s="1528"/>
      <c r="BJ39" s="1528"/>
      <c r="BK39" s="1528"/>
      <c r="BL39" s="1528"/>
      <c r="BM39" s="1528"/>
      <c r="BN39" s="1528"/>
      <c r="BO39" s="1528"/>
      <c r="BP39" s="1528"/>
      <c r="BQ39" s="1528"/>
      <c r="BR39" s="1528"/>
      <c r="BS39" s="1528"/>
      <c r="BT39" s="1528"/>
      <c r="BU39" s="1528"/>
      <c r="BV39" s="1528"/>
      <c r="BW39" s="1528"/>
      <c r="BX39" s="1528"/>
      <c r="BY39" s="1528"/>
      <c r="BZ39" s="1528"/>
      <c r="CA39" s="1528"/>
      <c r="CB39" s="1529"/>
      <c r="CC39"/>
      <c r="CD39"/>
      <c r="CE39"/>
    </row>
    <row r="40" spans="1:83" s="77" customFormat="1" ht="17.100000000000001" customHeight="1">
      <c r="A40" s="1530" t="s">
        <v>12</v>
      </c>
      <c r="B40" s="1531"/>
      <c r="C40" s="1531"/>
      <c r="D40" s="1531"/>
      <c r="E40" s="1531"/>
      <c r="F40" s="1531"/>
      <c r="G40" s="1531"/>
      <c r="H40" s="1531"/>
      <c r="I40" s="1531"/>
      <c r="J40" s="1532" t="s">
        <v>521</v>
      </c>
      <c r="K40" s="1532"/>
      <c r="L40" s="1532"/>
      <c r="M40" s="1532"/>
      <c r="N40" s="1532"/>
      <c r="O40" s="1532"/>
      <c r="P40" s="1532"/>
      <c r="Q40" s="1532"/>
      <c r="R40" s="1532"/>
      <c r="S40" s="1532"/>
      <c r="T40" s="1532">
        <v>2</v>
      </c>
      <c r="U40" s="1532"/>
      <c r="V40" s="1532"/>
      <c r="W40" s="1532"/>
      <c r="X40" s="1532"/>
      <c r="Y40" s="1532"/>
      <c r="Z40" s="1532"/>
      <c r="AA40" s="1532"/>
      <c r="AB40" s="1532"/>
      <c r="AC40" s="1532" t="s">
        <v>521</v>
      </c>
      <c r="AD40" s="1532"/>
      <c r="AE40" s="1532"/>
      <c r="AF40" s="1532"/>
      <c r="AG40" s="1532"/>
      <c r="AH40" s="1532"/>
      <c r="AI40" s="1532"/>
      <c r="AJ40" s="1532"/>
      <c r="AK40" s="1532"/>
      <c r="AL40" s="1532"/>
      <c r="AM40" s="1532" t="s">
        <v>521</v>
      </c>
      <c r="AN40" s="1532"/>
      <c r="AO40" s="1532"/>
      <c r="AP40" s="1532"/>
      <c r="AQ40" s="1532"/>
      <c r="AR40" s="1532"/>
      <c r="AS40" s="1532"/>
      <c r="AT40" s="1532"/>
      <c r="AU40" s="1532"/>
      <c r="AV40" s="1532"/>
      <c r="AW40" s="1533">
        <v>0</v>
      </c>
      <c r="AX40" s="1534"/>
      <c r="AY40" s="1534"/>
      <c r="AZ40" s="1534"/>
      <c r="BA40" s="1534"/>
      <c r="BB40" s="1534"/>
      <c r="BC40" s="1534"/>
      <c r="BD40" s="1534"/>
      <c r="BE40" s="1534"/>
      <c r="BF40" s="1534"/>
      <c r="BG40" s="1533"/>
      <c r="BH40" s="1534"/>
      <c r="BI40" s="1534"/>
      <c r="BJ40" s="1534"/>
      <c r="BK40" s="1534"/>
      <c r="BL40" s="1534"/>
      <c r="BM40" s="1534"/>
      <c r="BN40" s="1534"/>
      <c r="BO40" s="1534"/>
      <c r="BP40" s="1534"/>
      <c r="BQ40" s="1534"/>
      <c r="BR40" s="1534"/>
      <c r="BS40" s="1534"/>
      <c r="BT40" s="1534"/>
      <c r="BU40" s="1534"/>
      <c r="BV40" s="1534"/>
      <c r="BW40" s="1534"/>
      <c r="BX40" s="1534"/>
      <c r="BY40" s="1534"/>
      <c r="BZ40" s="1534"/>
      <c r="CA40" s="1534"/>
      <c r="CB40" s="1535"/>
      <c r="CC40"/>
      <c r="CD40"/>
      <c r="CE40"/>
    </row>
    <row r="41" spans="1:83" s="77" customFormat="1" ht="17.100000000000001" customHeight="1">
      <c r="A41" s="1518" t="s">
        <v>62</v>
      </c>
      <c r="B41" s="1519"/>
      <c r="C41" s="1519"/>
      <c r="D41" s="1519"/>
      <c r="E41" s="1519"/>
      <c r="F41" s="1519"/>
      <c r="G41" s="1519"/>
      <c r="H41" s="1519"/>
      <c r="I41" s="1519"/>
      <c r="J41" s="1520" t="s">
        <v>268</v>
      </c>
      <c r="K41" s="1520"/>
      <c r="L41" s="1520"/>
      <c r="M41" s="1520"/>
      <c r="N41" s="1520"/>
      <c r="O41" s="1520"/>
      <c r="P41" s="1520"/>
      <c r="Q41" s="1520"/>
      <c r="R41" s="1520"/>
      <c r="S41" s="1520"/>
      <c r="T41" s="1520"/>
      <c r="U41" s="1520"/>
      <c r="V41" s="1520"/>
      <c r="W41" s="1520"/>
      <c r="X41" s="1520"/>
      <c r="Y41" s="1520"/>
      <c r="Z41" s="1520"/>
      <c r="AA41" s="1520"/>
      <c r="AB41" s="1520"/>
      <c r="AC41" s="1520"/>
      <c r="AD41" s="1520"/>
      <c r="AE41" s="1520"/>
      <c r="AF41" s="1520"/>
      <c r="AG41" s="1520"/>
      <c r="AH41" s="1520"/>
      <c r="AI41" s="1520"/>
      <c r="AJ41" s="1520"/>
      <c r="AK41" s="1520"/>
      <c r="AL41" s="1520"/>
      <c r="AM41" s="1520"/>
      <c r="AN41" s="1520"/>
      <c r="AO41" s="1520"/>
      <c r="AP41" s="1520"/>
      <c r="AQ41" s="1520"/>
      <c r="AR41" s="1520"/>
      <c r="AS41" s="1520"/>
      <c r="AT41" s="1520"/>
      <c r="AU41" s="1520"/>
      <c r="AV41" s="1520"/>
      <c r="AW41" s="1520"/>
      <c r="AX41" s="1520"/>
      <c r="AY41" s="1520"/>
      <c r="AZ41" s="1520"/>
      <c r="BA41" s="1520"/>
      <c r="BB41" s="1520"/>
      <c r="BC41" s="1520"/>
      <c r="BD41" s="1520"/>
      <c r="BE41" s="1520"/>
      <c r="BF41" s="1520"/>
      <c r="BG41" s="1520"/>
      <c r="BH41" s="1520"/>
      <c r="BI41" s="1520"/>
      <c r="BJ41" s="1520"/>
      <c r="BK41" s="1520"/>
      <c r="BL41" s="1520"/>
      <c r="BM41" s="1520"/>
      <c r="BN41" s="1520"/>
      <c r="BO41" s="1520"/>
      <c r="BP41" s="1520"/>
      <c r="BQ41" s="1520"/>
      <c r="BR41" s="1520"/>
      <c r="BS41" s="1520"/>
      <c r="BT41" s="1520"/>
      <c r="BU41" s="1520"/>
      <c r="BV41" s="1520"/>
      <c r="BW41" s="1520"/>
      <c r="BX41" s="1520"/>
      <c r="BY41" s="1520"/>
      <c r="BZ41" s="1520"/>
      <c r="CA41" s="1520"/>
      <c r="CB41" s="1521"/>
      <c r="CC41"/>
      <c r="CD41"/>
      <c r="CE41"/>
    </row>
    <row r="42" spans="1:83" ht="9" customHeight="1">
      <c r="A42" s="1480"/>
      <c r="B42" s="1481"/>
      <c r="C42" s="1481"/>
      <c r="D42" s="1481"/>
      <c r="E42" s="1481"/>
      <c r="F42" s="1481"/>
      <c r="G42" s="1481"/>
      <c r="H42" s="1481"/>
      <c r="I42" s="1481"/>
      <c r="J42" s="1481"/>
      <c r="K42" s="1481"/>
      <c r="L42" s="1481"/>
      <c r="M42" s="1481"/>
      <c r="N42" s="1481"/>
      <c r="O42" s="1481"/>
      <c r="P42" s="1481"/>
      <c r="Q42" s="1481"/>
      <c r="R42" s="1481"/>
      <c r="S42" s="1481"/>
      <c r="T42" s="1481"/>
      <c r="U42" s="1481"/>
      <c r="V42" s="1481"/>
      <c r="W42" s="1481"/>
      <c r="X42" s="1481"/>
      <c r="Y42" s="1481"/>
      <c r="Z42" s="1481"/>
      <c r="AA42" s="1481"/>
      <c r="AB42" s="1481"/>
      <c r="AC42" s="1481"/>
      <c r="AD42" s="1481"/>
      <c r="AE42" s="1481"/>
      <c r="AF42" s="1481"/>
      <c r="AG42" s="1481"/>
      <c r="AH42" s="1481"/>
      <c r="AI42" s="1481"/>
      <c r="AJ42" s="1481"/>
      <c r="AK42" s="1481"/>
      <c r="AL42" s="1481"/>
      <c r="AM42" s="1481"/>
      <c r="AN42" s="1481"/>
      <c r="AO42" s="1481"/>
      <c r="AP42" s="1481"/>
      <c r="AQ42" s="1481"/>
      <c r="AR42" s="1481"/>
      <c r="AS42" s="1481"/>
      <c r="AT42" s="1481"/>
      <c r="AU42" s="1481"/>
      <c r="AV42" s="1481"/>
      <c r="AW42" s="1481"/>
      <c r="AX42" s="1481"/>
      <c r="AY42" s="1481"/>
      <c r="AZ42" s="1481"/>
      <c r="BA42" s="1481"/>
      <c r="BB42" s="1481"/>
      <c r="BC42" s="1481"/>
      <c r="BD42" s="1481"/>
      <c r="BE42" s="1481"/>
      <c r="BF42" s="1481"/>
      <c r="BG42" s="1481"/>
      <c r="BH42" s="1481"/>
      <c r="BI42" s="1481"/>
      <c r="BJ42" s="1481"/>
      <c r="BK42" s="1481"/>
      <c r="BL42" s="1481"/>
      <c r="BM42" s="1481"/>
      <c r="BN42" s="1481"/>
      <c r="BO42" s="1481"/>
      <c r="BP42" s="1481"/>
      <c r="BQ42" s="1481"/>
      <c r="BR42" s="1481"/>
      <c r="BS42" s="1481"/>
      <c r="BT42" s="1481"/>
      <c r="BU42" s="1481"/>
      <c r="BV42" s="1481"/>
      <c r="BW42" s="1481"/>
      <c r="BX42" s="1481"/>
      <c r="BY42" s="1481"/>
      <c r="BZ42" s="1481"/>
      <c r="CA42" s="1481"/>
      <c r="CB42" s="1482"/>
    </row>
    <row r="43" spans="1:83" ht="17.100000000000001" customHeight="1">
      <c r="A43" s="1282" t="s">
        <v>550</v>
      </c>
      <c r="B43" s="1283"/>
      <c r="C43" s="1283"/>
      <c r="D43" s="1283"/>
      <c r="E43" s="1283"/>
      <c r="F43" s="1283"/>
      <c r="G43" s="1283"/>
      <c r="H43" s="1283"/>
      <c r="I43" s="1283"/>
      <c r="J43" s="1283"/>
      <c r="K43" s="1283"/>
      <c r="L43" s="1283"/>
      <c r="M43" s="1283"/>
      <c r="N43" s="1283"/>
      <c r="O43" s="1283"/>
      <c r="P43" s="1283"/>
      <c r="Q43" s="1283"/>
      <c r="R43" s="1283"/>
      <c r="S43" s="1283"/>
      <c r="T43" s="1283"/>
      <c r="U43" s="1283"/>
      <c r="V43" s="1283"/>
      <c r="W43" s="1283"/>
      <c r="X43" s="1283"/>
      <c r="Y43" s="1283"/>
      <c r="Z43" s="1283"/>
      <c r="AA43" s="1283"/>
      <c r="AB43" s="1283"/>
      <c r="AC43" s="1283"/>
      <c r="AD43" s="1283"/>
      <c r="AE43" s="1283"/>
      <c r="AF43" s="1283"/>
      <c r="AG43" s="1283"/>
      <c r="AH43" s="1283"/>
      <c r="AI43" s="1283"/>
      <c r="AJ43" s="1283"/>
      <c r="AK43" s="1283"/>
      <c r="AL43" s="1283"/>
      <c r="AM43" s="1283"/>
      <c r="AN43" s="1283"/>
      <c r="AO43" s="1283"/>
      <c r="AP43" s="1283"/>
      <c r="AQ43" s="1283"/>
      <c r="AR43" s="1283"/>
      <c r="AS43" s="1283"/>
      <c r="AT43" s="1283"/>
      <c r="AU43" s="1283"/>
      <c r="AV43" s="1283"/>
      <c r="AW43" s="1283"/>
      <c r="AX43" s="1283"/>
      <c r="AY43" s="1283"/>
      <c r="AZ43" s="1283"/>
      <c r="BA43" s="1283"/>
      <c r="BB43" s="1283"/>
      <c r="BC43" s="1283"/>
      <c r="BD43" s="1283"/>
      <c r="BE43" s="1283"/>
      <c r="BF43" s="1283"/>
      <c r="BG43" s="1283"/>
      <c r="BH43" s="1283"/>
      <c r="BI43" s="1283"/>
      <c r="BJ43" s="1283"/>
      <c r="BK43" s="1283"/>
      <c r="BL43" s="1283"/>
      <c r="BM43" s="1283"/>
      <c r="BN43" s="1283"/>
      <c r="BO43" s="1283"/>
      <c r="BP43" s="1283"/>
      <c r="BQ43" s="1283"/>
      <c r="BR43" s="1283"/>
      <c r="BS43" s="1283"/>
      <c r="BT43" s="1283"/>
      <c r="BU43" s="1283"/>
      <c r="BV43" s="1283"/>
      <c r="BW43" s="1283"/>
      <c r="BX43" s="1283"/>
      <c r="BY43" s="1283"/>
      <c r="BZ43" s="1283"/>
      <c r="CA43" s="1283"/>
      <c r="CB43" s="1284"/>
    </row>
    <row r="44" spans="1:83" ht="11.25" customHeight="1">
      <c r="A44" s="1549"/>
      <c r="B44" s="1550"/>
      <c r="C44" s="1550"/>
      <c r="D44" s="1550"/>
      <c r="E44" s="1550"/>
      <c r="F44" s="1550"/>
      <c r="G44" s="1550"/>
      <c r="H44" s="1550"/>
      <c r="I44" s="1550"/>
      <c r="J44" s="1550"/>
      <c r="K44" s="1550"/>
      <c r="L44" s="1550"/>
      <c r="M44" s="1550"/>
      <c r="N44" s="1550"/>
      <c r="O44" s="1550"/>
      <c r="P44" s="1550"/>
      <c r="Q44" s="1550"/>
      <c r="R44" s="1550"/>
      <c r="S44" s="1550"/>
      <c r="T44" s="1550"/>
      <c r="U44" s="1550"/>
      <c r="V44" s="1550"/>
      <c r="W44" s="1550"/>
      <c r="X44" s="1550"/>
      <c r="Y44" s="1550"/>
      <c r="Z44" s="1550"/>
      <c r="AA44" s="1550"/>
      <c r="AB44" s="1550"/>
      <c r="AC44" s="1550"/>
      <c r="AD44" s="1550"/>
      <c r="AE44" s="1550"/>
      <c r="AF44" s="1550"/>
      <c r="AG44" s="1550"/>
      <c r="AH44" s="1550"/>
      <c r="AI44" s="1550"/>
      <c r="AJ44" s="1550"/>
      <c r="AK44" s="1550"/>
      <c r="AL44" s="1550"/>
      <c r="AM44" s="1550"/>
      <c r="AN44" s="1550"/>
      <c r="AO44" s="1550"/>
      <c r="AP44" s="1550"/>
      <c r="AQ44" s="1550"/>
      <c r="AR44" s="1550"/>
      <c r="AS44" s="1550"/>
      <c r="AT44" s="1550"/>
      <c r="AU44" s="1550"/>
      <c r="AV44" s="1550"/>
      <c r="AW44" s="1550"/>
      <c r="AX44" s="1550"/>
      <c r="AY44" s="1550"/>
      <c r="AZ44" s="1550"/>
      <c r="BA44" s="1550"/>
      <c r="BB44" s="1550"/>
      <c r="BC44" s="1550"/>
      <c r="BD44" s="1550"/>
      <c r="BE44" s="1550"/>
      <c r="BF44" s="1550"/>
      <c r="BG44" s="1550"/>
      <c r="BH44" s="1550"/>
      <c r="BI44" s="1550"/>
      <c r="BJ44" s="1550"/>
      <c r="BK44" s="1550"/>
      <c r="BL44" s="1550"/>
      <c r="BM44" s="1550"/>
      <c r="BN44" s="1550"/>
      <c r="BO44" s="1550"/>
      <c r="BP44" s="1550"/>
      <c r="BQ44" s="1550"/>
      <c r="BR44" s="1550"/>
      <c r="BS44" s="1550"/>
      <c r="BT44" s="1550"/>
      <c r="BU44" s="1550"/>
      <c r="BV44" s="1550"/>
      <c r="BW44" s="1550"/>
      <c r="BX44" s="1550"/>
      <c r="BY44" s="1550"/>
      <c r="BZ44" s="1550"/>
      <c r="CA44" s="1550"/>
      <c r="CB44" s="1551"/>
    </row>
    <row r="45" spans="1:83" ht="17.100000000000001" customHeight="1">
      <c r="A45" s="1543" t="s">
        <v>328</v>
      </c>
      <c r="B45" s="1523"/>
      <c r="C45" s="1523"/>
      <c r="D45" s="1523"/>
      <c r="E45" s="1523"/>
      <c r="F45" s="1523"/>
      <c r="G45" s="1523"/>
      <c r="H45" s="1523"/>
      <c r="I45" s="1523"/>
      <c r="J45" s="1523"/>
      <c r="K45" s="1523"/>
      <c r="L45" s="1524"/>
      <c r="M45" s="1543" t="s">
        <v>472</v>
      </c>
      <c r="N45" s="1543"/>
      <c r="O45" s="1543"/>
      <c r="P45" s="1543"/>
      <c r="Q45" s="1543"/>
      <c r="R45" s="1543"/>
      <c r="S45" s="1543"/>
      <c r="T45" s="1543"/>
      <c r="U45" s="1543"/>
      <c r="V45" s="1543"/>
      <c r="W45" s="1543"/>
      <c r="X45" s="1543"/>
      <c r="Y45" s="1543"/>
      <c r="Z45" s="1543"/>
      <c r="AA45" s="1543"/>
      <c r="AB45" s="1543"/>
      <c r="AC45" s="1543"/>
      <c r="AD45" s="1543"/>
      <c r="AE45" s="1543"/>
      <c r="AF45" s="1543"/>
      <c r="AG45" s="1543"/>
      <c r="AH45" s="1543"/>
      <c r="AI45" s="1543"/>
      <c r="AJ45" s="1543"/>
      <c r="AK45" s="1543"/>
      <c r="AL45" s="1543"/>
      <c r="AM45" s="1543"/>
      <c r="AN45" s="1543"/>
      <c r="AO45" s="1543"/>
      <c r="AP45" s="1543"/>
      <c r="AQ45" s="1543"/>
      <c r="AR45" s="1543"/>
      <c r="AS45" s="1543"/>
      <c r="AT45" s="1543" t="s">
        <v>254</v>
      </c>
      <c r="AU45" s="1543"/>
      <c r="AV45" s="1543"/>
      <c r="AW45" s="1543"/>
      <c r="AX45" s="1543"/>
      <c r="AY45" s="1543"/>
      <c r="AZ45" s="1543"/>
      <c r="BA45" s="1544" t="s">
        <v>485</v>
      </c>
      <c r="BB45" s="1544"/>
      <c r="BC45" s="1544"/>
      <c r="BD45" s="1544"/>
      <c r="BE45" s="1544"/>
      <c r="BF45" s="1544"/>
      <c r="BG45" s="1544"/>
      <c r="BH45" s="1544"/>
      <c r="BI45" s="1544"/>
      <c r="BJ45" s="1544"/>
      <c r="BK45" s="1544"/>
      <c r="BL45" s="1544"/>
      <c r="BM45" s="1544"/>
      <c r="BN45" s="1544"/>
      <c r="BO45" s="1544"/>
      <c r="BP45" s="1544"/>
      <c r="BQ45" s="1544"/>
      <c r="BR45" s="1544"/>
      <c r="BS45" s="1544"/>
      <c r="BT45" s="1544"/>
      <c r="BU45" s="1544"/>
      <c r="BV45" s="1544"/>
      <c r="BW45" s="1544"/>
      <c r="BX45" s="1544"/>
      <c r="BY45" s="1544"/>
      <c r="BZ45" s="1544"/>
      <c r="CA45" s="1544"/>
      <c r="CB45" s="1544"/>
    </row>
    <row r="46" spans="1:83" s="77" customFormat="1" ht="17.100000000000001" customHeight="1">
      <c r="A46" s="1541" t="s">
        <v>225</v>
      </c>
      <c r="B46" s="1539"/>
      <c r="C46" s="1539"/>
      <c r="D46" s="1539"/>
      <c r="E46" s="1539"/>
      <c r="F46" s="1539"/>
      <c r="G46" s="1539"/>
      <c r="H46" s="1539"/>
      <c r="I46" s="1539"/>
      <c r="J46" s="1539"/>
      <c r="K46" s="1539"/>
      <c r="L46" s="1539"/>
      <c r="M46" s="1539"/>
      <c r="N46" s="1539"/>
      <c r="O46" s="1539"/>
      <c r="P46" s="1539"/>
      <c r="Q46" s="1539"/>
      <c r="R46" s="1539"/>
      <c r="S46" s="1505"/>
      <c r="T46" s="1541" t="s">
        <v>76</v>
      </c>
      <c r="U46" s="1539"/>
      <c r="V46" s="1539"/>
      <c r="W46" s="1539"/>
      <c r="X46" s="1539"/>
      <c r="Y46" s="1539"/>
      <c r="Z46" s="1539"/>
      <c r="AA46" s="1539"/>
      <c r="AB46" s="1539"/>
      <c r="AC46" s="1539"/>
      <c r="AD46" s="1539"/>
      <c r="AE46" s="1539"/>
      <c r="AF46" s="1539"/>
      <c r="AG46" s="1539"/>
      <c r="AH46" s="1539"/>
      <c r="AI46" s="1539"/>
      <c r="AJ46" s="1539"/>
      <c r="AK46" s="1539"/>
      <c r="AL46" s="1540"/>
      <c r="AM46" s="1507" t="s">
        <v>77</v>
      </c>
      <c r="AN46" s="1539"/>
      <c r="AO46" s="1539"/>
      <c r="AP46" s="1539"/>
      <c r="AQ46" s="1539"/>
      <c r="AR46" s="1539"/>
      <c r="AS46" s="1539"/>
      <c r="AT46" s="1539"/>
      <c r="AU46" s="1539"/>
      <c r="AV46" s="1539"/>
      <c r="AW46" s="1539"/>
      <c r="AX46" s="1539"/>
      <c r="AY46" s="1539"/>
      <c r="AZ46" s="1539"/>
      <c r="BA46" s="1539"/>
      <c r="BB46" s="1539"/>
      <c r="BC46" s="1539"/>
      <c r="BD46" s="1539"/>
      <c r="BE46" s="1539"/>
      <c r="BF46" s="1505"/>
      <c r="BG46" s="1541" t="s">
        <v>78</v>
      </c>
      <c r="BH46" s="1539"/>
      <c r="BI46" s="1539"/>
      <c r="BJ46" s="1539"/>
      <c r="BK46" s="1539"/>
      <c r="BL46" s="1539"/>
      <c r="BM46" s="1539"/>
      <c r="BN46" s="1539"/>
      <c r="BO46" s="1539"/>
      <c r="BP46" s="1539"/>
      <c r="BQ46" s="1540"/>
      <c r="BR46" s="1507" t="s">
        <v>79</v>
      </c>
      <c r="BS46" s="1539"/>
      <c r="BT46" s="1539"/>
      <c r="BU46" s="1539"/>
      <c r="BV46" s="1539"/>
      <c r="BW46" s="1539"/>
      <c r="BX46" s="1539"/>
      <c r="BY46" s="1539"/>
      <c r="BZ46" s="1539"/>
      <c r="CA46" s="1539"/>
      <c r="CB46" s="1540"/>
    </row>
    <row r="47" spans="1:83" s="77" customFormat="1" ht="17.100000000000001" customHeight="1">
      <c r="A47" s="1513" t="s">
        <v>477</v>
      </c>
      <c r="B47" s="1514"/>
      <c r="C47" s="1514"/>
      <c r="D47" s="1514"/>
      <c r="E47" s="1514"/>
      <c r="F47" s="1514"/>
      <c r="G47" s="1514"/>
      <c r="H47" s="1514"/>
      <c r="I47" s="1514"/>
      <c r="J47" s="1514"/>
      <c r="K47" s="1514"/>
      <c r="L47" s="1514"/>
      <c r="M47" s="1514"/>
      <c r="N47" s="1514"/>
      <c r="O47" s="1514"/>
      <c r="P47" s="1514"/>
      <c r="Q47" s="1514"/>
      <c r="R47" s="1514"/>
      <c r="S47" s="1514"/>
      <c r="T47" s="1514"/>
      <c r="U47" s="1514"/>
      <c r="V47" s="1514"/>
      <c r="W47" s="1514"/>
      <c r="X47" s="1514"/>
      <c r="Y47" s="1514"/>
      <c r="Z47" s="1514"/>
      <c r="AA47" s="1514"/>
      <c r="AB47" s="1514"/>
      <c r="AC47" s="1514"/>
      <c r="AD47" s="1514"/>
      <c r="AE47" s="1514"/>
      <c r="AF47" s="1514"/>
      <c r="AG47" s="1514"/>
      <c r="AH47" s="1514"/>
      <c r="AI47" s="1514"/>
      <c r="AJ47" s="1514"/>
      <c r="AK47" s="1514"/>
      <c r="AL47" s="1514"/>
      <c r="AM47" s="1514" t="s">
        <v>477</v>
      </c>
      <c r="AN47" s="1514"/>
      <c r="AO47" s="1514"/>
      <c r="AP47" s="1514"/>
      <c r="AQ47" s="1514"/>
      <c r="AR47" s="1514"/>
      <c r="AS47" s="1514"/>
      <c r="AT47" s="1514"/>
      <c r="AU47" s="1514"/>
      <c r="AV47" s="1514"/>
      <c r="AW47" s="1514"/>
      <c r="AX47" s="1514"/>
      <c r="AY47" s="1514"/>
      <c r="AZ47" s="1514"/>
      <c r="BA47" s="1514"/>
      <c r="BB47" s="1514"/>
      <c r="BC47" s="1514"/>
      <c r="BD47" s="1514"/>
      <c r="BE47" s="1514"/>
      <c r="BF47" s="1514"/>
      <c r="BG47" s="1514">
        <v>314568.90999999997</v>
      </c>
      <c r="BH47" s="1514"/>
      <c r="BI47" s="1514"/>
      <c r="BJ47" s="1514"/>
      <c r="BK47" s="1514"/>
      <c r="BL47" s="1514"/>
      <c r="BM47" s="1514"/>
      <c r="BN47" s="1514"/>
      <c r="BO47" s="1514"/>
      <c r="BP47" s="1514"/>
      <c r="BQ47" s="1514"/>
      <c r="BR47" s="1514">
        <v>306784.84999999998</v>
      </c>
      <c r="BS47" s="1514"/>
      <c r="BT47" s="1514"/>
      <c r="BU47" s="1514"/>
      <c r="BV47" s="1514"/>
      <c r="BW47" s="1514"/>
      <c r="BX47" s="1514"/>
      <c r="BY47" s="1514"/>
      <c r="BZ47" s="1514"/>
      <c r="CA47" s="1514"/>
      <c r="CB47" s="1514"/>
    </row>
    <row r="48" spans="1:83" s="77" customFormat="1" ht="17.100000000000001" customHeight="1">
      <c r="A48" s="1541" t="s">
        <v>83</v>
      </c>
      <c r="B48" s="1539"/>
      <c r="C48" s="1539"/>
      <c r="D48" s="1539"/>
      <c r="E48" s="1539"/>
      <c r="F48" s="1539"/>
      <c r="G48" s="1539"/>
      <c r="H48" s="1539"/>
      <c r="I48" s="1539"/>
      <c r="J48" s="1539" t="s">
        <v>203</v>
      </c>
      <c r="K48" s="1539"/>
      <c r="L48" s="1539"/>
      <c r="M48" s="1539"/>
      <c r="N48" s="1539"/>
      <c r="O48" s="1539"/>
      <c r="P48" s="1539"/>
      <c r="Q48" s="1539"/>
      <c r="R48" s="1539"/>
      <c r="S48" s="1539"/>
      <c r="T48" s="1539" t="s">
        <v>81</v>
      </c>
      <c r="U48" s="1539"/>
      <c r="V48" s="1539"/>
      <c r="W48" s="1539"/>
      <c r="X48" s="1539"/>
      <c r="Y48" s="1539"/>
      <c r="Z48" s="1539"/>
      <c r="AA48" s="1539"/>
      <c r="AB48" s="1539"/>
      <c r="AC48" s="1539" t="s">
        <v>10</v>
      </c>
      <c r="AD48" s="1539"/>
      <c r="AE48" s="1539"/>
      <c r="AF48" s="1539"/>
      <c r="AG48" s="1539"/>
      <c r="AH48" s="1539"/>
      <c r="AI48" s="1539"/>
      <c r="AJ48" s="1539"/>
      <c r="AK48" s="1539"/>
      <c r="AL48" s="1539"/>
      <c r="AM48" s="1542" t="s">
        <v>255</v>
      </c>
      <c r="AN48" s="1542"/>
      <c r="AO48" s="1542"/>
      <c r="AP48" s="1542"/>
      <c r="AQ48" s="1542"/>
      <c r="AR48" s="1542"/>
      <c r="AS48" s="1542"/>
      <c r="AT48" s="1542"/>
      <c r="AU48" s="1542"/>
      <c r="AV48" s="1542"/>
      <c r="AW48" s="1539" t="s">
        <v>83</v>
      </c>
      <c r="AX48" s="1539"/>
      <c r="AY48" s="1539"/>
      <c r="AZ48" s="1539"/>
      <c r="BA48" s="1539"/>
      <c r="BB48" s="1539"/>
      <c r="BC48" s="1539"/>
      <c r="BD48" s="1539"/>
      <c r="BE48" s="1539"/>
      <c r="BF48" s="1539"/>
      <c r="BG48" s="1539" t="s">
        <v>84</v>
      </c>
      <c r="BH48" s="1539"/>
      <c r="BI48" s="1539"/>
      <c r="BJ48" s="1539"/>
      <c r="BK48" s="1539"/>
      <c r="BL48" s="1539"/>
      <c r="BM48" s="1539"/>
      <c r="BN48" s="1539"/>
      <c r="BO48" s="1539"/>
      <c r="BP48" s="1539" t="s">
        <v>226</v>
      </c>
      <c r="BQ48" s="1539"/>
      <c r="BR48" s="1539"/>
      <c r="BS48" s="1539"/>
      <c r="BT48" s="1539"/>
      <c r="BU48" s="1539"/>
      <c r="BV48" s="1539"/>
      <c r="BW48" s="1539"/>
      <c r="BX48" s="1539"/>
      <c r="BY48" s="1539"/>
      <c r="BZ48" s="1539"/>
      <c r="CA48" s="1539"/>
      <c r="CB48" s="1540"/>
    </row>
    <row r="49" spans="1:80" s="77" customFormat="1" ht="17.100000000000001" customHeight="1">
      <c r="A49" s="1536" t="s">
        <v>86</v>
      </c>
      <c r="B49" s="1537"/>
      <c r="C49" s="1537"/>
      <c r="D49" s="1537"/>
      <c r="E49" s="1537"/>
      <c r="F49" s="1537"/>
      <c r="G49" s="1537"/>
      <c r="H49" s="1537"/>
      <c r="I49" s="1537"/>
      <c r="J49" s="1538"/>
      <c r="K49" s="1538"/>
      <c r="L49" s="1538"/>
      <c r="M49" s="1538"/>
      <c r="N49" s="1538"/>
      <c r="O49" s="1538"/>
      <c r="P49" s="1538"/>
      <c r="Q49" s="1538"/>
      <c r="R49" s="1538"/>
      <c r="S49" s="1538"/>
      <c r="T49" s="1538"/>
      <c r="U49" s="1538"/>
      <c r="V49" s="1538"/>
      <c r="W49" s="1538"/>
      <c r="X49" s="1538"/>
      <c r="Y49" s="1538"/>
      <c r="Z49" s="1538"/>
      <c r="AA49" s="1538"/>
      <c r="AB49" s="1538"/>
      <c r="AC49" s="1538"/>
      <c r="AD49" s="1538"/>
      <c r="AE49" s="1538"/>
      <c r="AF49" s="1538"/>
      <c r="AG49" s="1538"/>
      <c r="AH49" s="1538"/>
      <c r="AI49" s="1538"/>
      <c r="AJ49" s="1538"/>
      <c r="AK49" s="1538"/>
      <c r="AL49" s="1538"/>
      <c r="AM49" s="1538"/>
      <c r="AN49" s="1538"/>
      <c r="AO49" s="1538"/>
      <c r="AP49" s="1538"/>
      <c r="AQ49" s="1538"/>
      <c r="AR49" s="1538"/>
      <c r="AS49" s="1538"/>
      <c r="AT49" s="1538"/>
      <c r="AU49" s="1538"/>
      <c r="AV49" s="1538"/>
      <c r="AW49" s="1528">
        <v>1</v>
      </c>
      <c r="AX49" s="1528"/>
      <c r="AY49" s="1528"/>
      <c r="AZ49" s="1528"/>
      <c r="BA49" s="1528"/>
      <c r="BB49" s="1528"/>
      <c r="BC49" s="1528"/>
      <c r="BD49" s="1528"/>
      <c r="BE49" s="1528"/>
      <c r="BF49" s="1528"/>
      <c r="BG49" s="1528"/>
      <c r="BH49" s="1528"/>
      <c r="BI49" s="1528"/>
      <c r="BJ49" s="1528"/>
      <c r="BK49" s="1528"/>
      <c r="BL49" s="1528"/>
      <c r="BM49" s="1528"/>
      <c r="BN49" s="1528"/>
      <c r="BO49" s="1528"/>
      <c r="BP49" s="1528"/>
      <c r="BQ49" s="1528"/>
      <c r="BR49" s="1528"/>
      <c r="BS49" s="1528"/>
      <c r="BT49" s="1528"/>
      <c r="BU49" s="1528"/>
      <c r="BV49" s="1528"/>
      <c r="BW49" s="1528"/>
      <c r="BX49" s="1528"/>
      <c r="BY49" s="1528"/>
      <c r="BZ49" s="1528"/>
      <c r="CA49" s="1528"/>
      <c r="CB49" s="1529"/>
    </row>
    <row r="50" spans="1:80" s="77" customFormat="1" ht="17.100000000000001" customHeight="1">
      <c r="A50" s="1536" t="s">
        <v>14</v>
      </c>
      <c r="B50" s="1537"/>
      <c r="C50" s="1537"/>
      <c r="D50" s="1537"/>
      <c r="E50" s="1537"/>
      <c r="F50" s="1537"/>
      <c r="G50" s="1537"/>
      <c r="H50" s="1537"/>
      <c r="I50" s="1537"/>
      <c r="J50" s="1538"/>
      <c r="K50" s="1538"/>
      <c r="L50" s="1538"/>
      <c r="M50" s="1538"/>
      <c r="N50" s="1538"/>
      <c r="O50" s="1538"/>
      <c r="P50" s="1538"/>
      <c r="Q50" s="1538"/>
      <c r="R50" s="1538"/>
      <c r="S50" s="1538"/>
      <c r="T50" s="1538"/>
      <c r="U50" s="1538"/>
      <c r="V50" s="1538"/>
      <c r="W50" s="1538"/>
      <c r="X50" s="1538"/>
      <c r="Y50" s="1538"/>
      <c r="Z50" s="1538"/>
      <c r="AA50" s="1538"/>
      <c r="AB50" s="1538"/>
      <c r="AC50" s="1538"/>
      <c r="AD50" s="1538"/>
      <c r="AE50" s="1538"/>
      <c r="AF50" s="1538"/>
      <c r="AG50" s="1538"/>
      <c r="AH50" s="1538"/>
      <c r="AI50" s="1538"/>
      <c r="AJ50" s="1538"/>
      <c r="AK50" s="1538"/>
      <c r="AL50" s="1538"/>
      <c r="AM50" s="1538"/>
      <c r="AN50" s="1538"/>
      <c r="AO50" s="1538"/>
      <c r="AP50" s="1538"/>
      <c r="AQ50" s="1538"/>
      <c r="AR50" s="1538"/>
      <c r="AS50" s="1538"/>
      <c r="AT50" s="1538"/>
      <c r="AU50" s="1538"/>
      <c r="AV50" s="1538"/>
      <c r="AW50" s="1528">
        <v>1</v>
      </c>
      <c r="AX50" s="1528"/>
      <c r="AY50" s="1528"/>
      <c r="AZ50" s="1528"/>
      <c r="BA50" s="1528"/>
      <c r="BB50" s="1528"/>
      <c r="BC50" s="1528"/>
      <c r="BD50" s="1528"/>
      <c r="BE50" s="1528"/>
      <c r="BF50" s="1528"/>
      <c r="BG50" s="1528"/>
      <c r="BH50" s="1528"/>
      <c r="BI50" s="1528"/>
      <c r="BJ50" s="1528"/>
      <c r="BK50" s="1528"/>
      <c r="BL50" s="1528"/>
      <c r="BM50" s="1528"/>
      <c r="BN50" s="1528"/>
      <c r="BO50" s="1528"/>
      <c r="BP50" s="1528"/>
      <c r="BQ50" s="1528"/>
      <c r="BR50" s="1528"/>
      <c r="BS50" s="1528"/>
      <c r="BT50" s="1528"/>
      <c r="BU50" s="1528"/>
      <c r="BV50" s="1528"/>
      <c r="BW50" s="1528"/>
      <c r="BX50" s="1528"/>
      <c r="BY50" s="1528"/>
      <c r="BZ50" s="1528"/>
      <c r="CA50" s="1528"/>
      <c r="CB50" s="1529"/>
    </row>
    <row r="51" spans="1:80" s="77" customFormat="1" ht="17.100000000000001" customHeight="1">
      <c r="A51" s="1530" t="s">
        <v>12</v>
      </c>
      <c r="B51" s="1531"/>
      <c r="C51" s="1531"/>
      <c r="D51" s="1531"/>
      <c r="E51" s="1531"/>
      <c r="F51" s="1531"/>
      <c r="G51" s="1531"/>
      <c r="H51" s="1531"/>
      <c r="I51" s="1531"/>
      <c r="J51" s="1532"/>
      <c r="K51" s="1532"/>
      <c r="L51" s="1532"/>
      <c r="M51" s="1532"/>
      <c r="N51" s="1532"/>
      <c r="O51" s="1532"/>
      <c r="P51" s="1532"/>
      <c r="Q51" s="1532"/>
      <c r="R51" s="1532"/>
      <c r="S51" s="1532"/>
      <c r="T51" s="1532"/>
      <c r="U51" s="1532"/>
      <c r="V51" s="1532"/>
      <c r="W51" s="1532"/>
      <c r="X51" s="1532"/>
      <c r="Y51" s="1532"/>
      <c r="Z51" s="1532"/>
      <c r="AA51" s="1532"/>
      <c r="AB51" s="1532"/>
      <c r="AC51" s="1532"/>
      <c r="AD51" s="1532"/>
      <c r="AE51" s="1532"/>
      <c r="AF51" s="1532"/>
      <c r="AG51" s="1532"/>
      <c r="AH51" s="1532"/>
      <c r="AI51" s="1532"/>
      <c r="AJ51" s="1532"/>
      <c r="AK51" s="1532"/>
      <c r="AL51" s="1532"/>
      <c r="AM51" s="1532"/>
      <c r="AN51" s="1532"/>
      <c r="AO51" s="1532"/>
      <c r="AP51" s="1532"/>
      <c r="AQ51" s="1532"/>
      <c r="AR51" s="1532"/>
      <c r="AS51" s="1532"/>
      <c r="AT51" s="1532"/>
      <c r="AU51" s="1532"/>
      <c r="AV51" s="1532"/>
      <c r="AW51" s="1533">
        <v>0</v>
      </c>
      <c r="AX51" s="1534"/>
      <c r="AY51" s="1534"/>
      <c r="AZ51" s="1534"/>
      <c r="BA51" s="1534"/>
      <c r="BB51" s="1534"/>
      <c r="BC51" s="1534"/>
      <c r="BD51" s="1534"/>
      <c r="BE51" s="1534"/>
      <c r="BF51" s="1534"/>
      <c r="BG51" s="1533"/>
      <c r="BH51" s="1534"/>
      <c r="BI51" s="1534"/>
      <c r="BJ51" s="1534"/>
      <c r="BK51" s="1534"/>
      <c r="BL51" s="1534"/>
      <c r="BM51" s="1534"/>
      <c r="BN51" s="1534"/>
      <c r="BO51" s="1534"/>
      <c r="BP51" s="1534"/>
      <c r="BQ51" s="1534"/>
      <c r="BR51" s="1534"/>
      <c r="BS51" s="1534"/>
      <c r="BT51" s="1534"/>
      <c r="BU51" s="1534"/>
      <c r="BV51" s="1534"/>
      <c r="BW51" s="1534"/>
      <c r="BX51" s="1534"/>
      <c r="BY51" s="1534"/>
      <c r="BZ51" s="1534"/>
      <c r="CA51" s="1534"/>
      <c r="CB51" s="1535"/>
    </row>
    <row r="52" spans="1:80" s="77" customFormat="1" ht="17.100000000000001" customHeight="1">
      <c r="A52" s="1518" t="s">
        <v>62</v>
      </c>
      <c r="B52" s="1519"/>
      <c r="C52" s="1519"/>
      <c r="D52" s="1519"/>
      <c r="E52" s="1519"/>
      <c r="F52" s="1519"/>
      <c r="G52" s="1519"/>
      <c r="H52" s="1519"/>
      <c r="I52" s="1519"/>
      <c r="J52" s="1520" t="s">
        <v>268</v>
      </c>
      <c r="K52" s="1520"/>
      <c r="L52" s="1520"/>
      <c r="M52" s="1520"/>
      <c r="N52" s="1520"/>
      <c r="O52" s="1520"/>
      <c r="P52" s="1520"/>
      <c r="Q52" s="1520"/>
      <c r="R52" s="1520"/>
      <c r="S52" s="1520"/>
      <c r="T52" s="1520"/>
      <c r="U52" s="1520"/>
      <c r="V52" s="1520"/>
      <c r="W52" s="1520"/>
      <c r="X52" s="1520"/>
      <c r="Y52" s="1520"/>
      <c r="Z52" s="1520"/>
      <c r="AA52" s="1520"/>
      <c r="AB52" s="1520"/>
      <c r="AC52" s="1520"/>
      <c r="AD52" s="1520"/>
      <c r="AE52" s="1520"/>
      <c r="AF52" s="1520"/>
      <c r="AG52" s="1520"/>
      <c r="AH52" s="1520"/>
      <c r="AI52" s="1520"/>
      <c r="AJ52" s="1520"/>
      <c r="AK52" s="1520"/>
      <c r="AL52" s="1520"/>
      <c r="AM52" s="1520"/>
      <c r="AN52" s="1520"/>
      <c r="AO52" s="1520"/>
      <c r="AP52" s="1520"/>
      <c r="AQ52" s="1520"/>
      <c r="AR52" s="1520"/>
      <c r="AS52" s="1520"/>
      <c r="AT52" s="1520"/>
      <c r="AU52" s="1520"/>
      <c r="AV52" s="1520"/>
      <c r="AW52" s="1520"/>
      <c r="AX52" s="1520"/>
      <c r="AY52" s="1520"/>
      <c r="AZ52" s="1520"/>
      <c r="BA52" s="1520"/>
      <c r="BB52" s="1520"/>
      <c r="BC52" s="1520"/>
      <c r="BD52" s="1520"/>
      <c r="BE52" s="1520"/>
      <c r="BF52" s="1520"/>
      <c r="BG52" s="1520"/>
      <c r="BH52" s="1520"/>
      <c r="BI52" s="1520"/>
      <c r="BJ52" s="1520"/>
      <c r="BK52" s="1520"/>
      <c r="BL52" s="1520"/>
      <c r="BM52" s="1520"/>
      <c r="BN52" s="1520"/>
      <c r="BO52" s="1520"/>
      <c r="BP52" s="1520"/>
      <c r="BQ52" s="1520"/>
      <c r="BR52" s="1520"/>
      <c r="BS52" s="1520"/>
      <c r="BT52" s="1520"/>
      <c r="BU52" s="1520"/>
      <c r="BV52" s="1520"/>
      <c r="BW52" s="1520"/>
      <c r="BX52" s="1520"/>
      <c r="BY52" s="1520"/>
      <c r="BZ52" s="1520"/>
      <c r="CA52" s="1520"/>
      <c r="CB52" s="1521"/>
    </row>
    <row r="53" spans="1:80" ht="17.100000000000001" customHeight="1">
      <c r="A53" s="1480"/>
      <c r="B53" s="1481"/>
      <c r="C53" s="1481"/>
      <c r="D53" s="1481"/>
      <c r="E53" s="1481"/>
      <c r="F53" s="1481"/>
      <c r="G53" s="1481"/>
      <c r="H53" s="1481"/>
      <c r="I53" s="1481"/>
      <c r="J53" s="1481"/>
      <c r="K53" s="1481"/>
      <c r="L53" s="1481"/>
      <c r="M53" s="1481"/>
      <c r="N53" s="1481"/>
      <c r="O53" s="1481"/>
      <c r="P53" s="1481"/>
      <c r="Q53" s="1481"/>
      <c r="R53" s="1481"/>
      <c r="S53" s="1481"/>
      <c r="T53" s="1481"/>
      <c r="U53" s="1481"/>
      <c r="V53" s="1481"/>
      <c r="W53" s="1481"/>
      <c r="X53" s="1481"/>
      <c r="Y53" s="1481"/>
      <c r="Z53" s="1481"/>
      <c r="AA53" s="1481"/>
      <c r="AB53" s="1481"/>
      <c r="AC53" s="1481"/>
      <c r="AD53" s="1481"/>
      <c r="AE53" s="1481"/>
      <c r="AF53" s="1481"/>
      <c r="AG53" s="1481"/>
      <c r="AH53" s="1481"/>
      <c r="AI53" s="1481"/>
      <c r="AJ53" s="1481"/>
      <c r="AK53" s="1481"/>
      <c r="AL53" s="1481"/>
      <c r="AM53" s="1481"/>
      <c r="AN53" s="1481"/>
      <c r="AO53" s="1481"/>
      <c r="AP53" s="1481"/>
      <c r="AQ53" s="1481"/>
      <c r="AR53" s="1481"/>
      <c r="AS53" s="1481"/>
      <c r="AT53" s="1481"/>
      <c r="AU53" s="1481"/>
      <c r="AV53" s="1481"/>
      <c r="AW53" s="1481"/>
      <c r="AX53" s="1481"/>
      <c r="AY53" s="1481"/>
      <c r="AZ53" s="1481"/>
      <c r="BA53" s="1481"/>
      <c r="BB53" s="1481"/>
      <c r="BC53" s="1481"/>
      <c r="BD53" s="1481"/>
      <c r="BE53" s="1481"/>
      <c r="BF53" s="1481"/>
      <c r="BG53" s="1481"/>
      <c r="BH53" s="1481"/>
      <c r="BI53" s="1481"/>
      <c r="BJ53" s="1481"/>
      <c r="BK53" s="1481"/>
      <c r="BL53" s="1481"/>
      <c r="BM53" s="1481"/>
      <c r="BN53" s="1481"/>
      <c r="BO53" s="1481"/>
      <c r="BP53" s="1481"/>
      <c r="BQ53" s="1481"/>
      <c r="BR53" s="1481"/>
      <c r="BS53" s="1481"/>
      <c r="BT53" s="1481"/>
      <c r="BU53" s="1481"/>
      <c r="BV53" s="1481"/>
      <c r="BW53" s="1481"/>
      <c r="BX53" s="1481"/>
      <c r="BY53" s="1481"/>
      <c r="BZ53" s="1481"/>
      <c r="CA53" s="1481"/>
      <c r="CB53" s="1482"/>
    </row>
    <row r="54" spans="1:80" ht="17.100000000000001" customHeight="1">
      <c r="A54" s="1282" t="s">
        <v>549</v>
      </c>
      <c r="B54" s="1283"/>
      <c r="C54" s="1283"/>
      <c r="D54" s="1283"/>
      <c r="E54" s="1283"/>
      <c r="F54" s="1283"/>
      <c r="G54" s="1283"/>
      <c r="H54" s="1283"/>
      <c r="I54" s="1283"/>
      <c r="J54" s="1283"/>
      <c r="K54" s="1283"/>
      <c r="L54" s="1283"/>
      <c r="M54" s="1283"/>
      <c r="N54" s="1283"/>
      <c r="O54" s="1283"/>
      <c r="P54" s="1283"/>
      <c r="Q54" s="1283"/>
      <c r="R54" s="1283"/>
      <c r="S54" s="1283"/>
      <c r="T54" s="1283"/>
      <c r="U54" s="1283"/>
      <c r="V54" s="1283"/>
      <c r="W54" s="1283"/>
      <c r="X54" s="1283"/>
      <c r="Y54" s="1283"/>
      <c r="Z54" s="1283"/>
      <c r="AA54" s="1283"/>
      <c r="AB54" s="1283"/>
      <c r="AC54" s="1283"/>
      <c r="AD54" s="1283"/>
      <c r="AE54" s="1283"/>
      <c r="AF54" s="1283"/>
      <c r="AG54" s="1283"/>
      <c r="AH54" s="1283"/>
      <c r="AI54" s="1283"/>
      <c r="AJ54" s="1283"/>
      <c r="AK54" s="1283"/>
      <c r="AL54" s="1283"/>
      <c r="AM54" s="1283"/>
      <c r="AN54" s="1283"/>
      <c r="AO54" s="1283"/>
      <c r="AP54" s="1283"/>
      <c r="AQ54" s="1283"/>
      <c r="AR54" s="1283"/>
      <c r="AS54" s="1283"/>
      <c r="AT54" s="1283"/>
      <c r="AU54" s="1283"/>
      <c r="AV54" s="1283"/>
      <c r="AW54" s="1283"/>
      <c r="AX54" s="1283"/>
      <c r="AY54" s="1283"/>
      <c r="AZ54" s="1283"/>
      <c r="BA54" s="1283"/>
      <c r="BB54" s="1283"/>
      <c r="BC54" s="1283"/>
      <c r="BD54" s="1283"/>
      <c r="BE54" s="1283"/>
      <c r="BF54" s="1283"/>
      <c r="BG54" s="1283"/>
      <c r="BH54" s="1283"/>
      <c r="BI54" s="1283"/>
      <c r="BJ54" s="1283"/>
      <c r="BK54" s="1283"/>
      <c r="BL54" s="1283"/>
      <c r="BM54" s="1283"/>
      <c r="BN54" s="1283"/>
      <c r="BO54" s="1283"/>
      <c r="BP54" s="1283"/>
      <c r="BQ54" s="1283"/>
      <c r="BR54" s="1283"/>
      <c r="BS54" s="1283"/>
      <c r="BT54" s="1283"/>
      <c r="BU54" s="1283"/>
      <c r="BV54" s="1283"/>
      <c r="BW54" s="1283"/>
      <c r="BX54" s="1283"/>
      <c r="BY54" s="1283"/>
      <c r="BZ54" s="1283"/>
      <c r="CA54" s="1283"/>
      <c r="CB54" s="1284"/>
    </row>
    <row r="55" spans="1:80" ht="9" customHeight="1">
      <c r="A55" s="1549"/>
      <c r="B55" s="1550"/>
      <c r="C55" s="1550"/>
      <c r="D55" s="1550"/>
      <c r="E55" s="1550"/>
      <c r="F55" s="1550"/>
      <c r="G55" s="1550"/>
      <c r="H55" s="1550"/>
      <c r="I55" s="1550"/>
      <c r="J55" s="1550"/>
      <c r="K55" s="1550"/>
      <c r="L55" s="1550"/>
      <c r="M55" s="1550"/>
      <c r="N55" s="1550"/>
      <c r="O55" s="1550"/>
      <c r="P55" s="1550"/>
      <c r="Q55" s="1550"/>
      <c r="R55" s="1550"/>
      <c r="S55" s="1550"/>
      <c r="T55" s="1550"/>
      <c r="U55" s="1550"/>
      <c r="V55" s="1550"/>
      <c r="W55" s="1550"/>
      <c r="X55" s="1550"/>
      <c r="Y55" s="1550"/>
      <c r="Z55" s="1550"/>
      <c r="AA55" s="1550"/>
      <c r="AB55" s="1550"/>
      <c r="AC55" s="1550"/>
      <c r="AD55" s="1550"/>
      <c r="AE55" s="1550"/>
      <c r="AF55" s="1550"/>
      <c r="AG55" s="1550"/>
      <c r="AH55" s="1550"/>
      <c r="AI55" s="1550"/>
      <c r="AJ55" s="1550"/>
      <c r="AK55" s="1550"/>
      <c r="AL55" s="1550"/>
      <c r="AM55" s="1550"/>
      <c r="AN55" s="1550"/>
      <c r="AO55" s="1550"/>
      <c r="AP55" s="1550"/>
      <c r="AQ55" s="1550"/>
      <c r="AR55" s="1550"/>
      <c r="AS55" s="1550"/>
      <c r="AT55" s="1550"/>
      <c r="AU55" s="1550"/>
      <c r="AV55" s="1550"/>
      <c r="AW55" s="1550"/>
      <c r="AX55" s="1550"/>
      <c r="AY55" s="1550"/>
      <c r="AZ55" s="1550"/>
      <c r="BA55" s="1550"/>
      <c r="BB55" s="1550"/>
      <c r="BC55" s="1550"/>
      <c r="BD55" s="1550"/>
      <c r="BE55" s="1550"/>
      <c r="BF55" s="1550"/>
      <c r="BG55" s="1550"/>
      <c r="BH55" s="1550"/>
      <c r="BI55" s="1550"/>
      <c r="BJ55" s="1550"/>
      <c r="BK55" s="1550"/>
      <c r="BL55" s="1550"/>
      <c r="BM55" s="1550"/>
      <c r="BN55" s="1550"/>
      <c r="BO55" s="1550"/>
      <c r="BP55" s="1550"/>
      <c r="BQ55" s="1550"/>
      <c r="BR55" s="1550"/>
      <c r="BS55" s="1550"/>
      <c r="BT55" s="1550"/>
      <c r="BU55" s="1550"/>
      <c r="BV55" s="1550"/>
      <c r="BW55" s="1550"/>
      <c r="BX55" s="1550"/>
      <c r="BY55" s="1550"/>
      <c r="BZ55" s="1550"/>
      <c r="CA55" s="1550"/>
      <c r="CB55" s="1551"/>
    </row>
    <row r="56" spans="1:80" ht="17.100000000000001" customHeight="1">
      <c r="A56" s="1543" t="s">
        <v>328</v>
      </c>
      <c r="B56" s="1523"/>
      <c r="C56" s="1523"/>
      <c r="D56" s="1523"/>
      <c r="E56" s="1523"/>
      <c r="F56" s="1523"/>
      <c r="G56" s="1523"/>
      <c r="H56" s="1523"/>
      <c r="I56" s="1523"/>
      <c r="J56" s="1523"/>
      <c r="K56" s="1523"/>
      <c r="L56" s="1524"/>
      <c r="M56" s="1543" t="s">
        <v>547</v>
      </c>
      <c r="N56" s="1543"/>
      <c r="O56" s="1543"/>
      <c r="P56" s="1543"/>
      <c r="Q56" s="1543"/>
      <c r="R56" s="1543"/>
      <c r="S56" s="1543"/>
      <c r="T56" s="1543"/>
      <c r="U56" s="1543"/>
      <c r="V56" s="1543"/>
      <c r="W56" s="1543"/>
      <c r="X56" s="1543"/>
      <c r="Y56" s="1543"/>
      <c r="Z56" s="1543"/>
      <c r="AA56" s="1543"/>
      <c r="AB56" s="1543"/>
      <c r="AC56" s="1543"/>
      <c r="AD56" s="1543"/>
      <c r="AE56" s="1543"/>
      <c r="AF56" s="1543"/>
      <c r="AG56" s="1543"/>
      <c r="AH56" s="1543"/>
      <c r="AI56" s="1543"/>
      <c r="AJ56" s="1543"/>
      <c r="AK56" s="1543"/>
      <c r="AL56" s="1543"/>
      <c r="AM56" s="1543"/>
      <c r="AN56" s="1543"/>
      <c r="AO56" s="1543"/>
      <c r="AP56" s="1543"/>
      <c r="AQ56" s="1543"/>
      <c r="AR56" s="1543"/>
      <c r="AS56" s="1543"/>
      <c r="AT56" s="1543" t="s">
        <v>254</v>
      </c>
      <c r="AU56" s="1543"/>
      <c r="AV56" s="1543"/>
      <c r="AW56" s="1543"/>
      <c r="AX56" s="1543"/>
      <c r="AY56" s="1543"/>
      <c r="AZ56" s="1543"/>
      <c r="BA56" s="1544" t="s">
        <v>546</v>
      </c>
      <c r="BB56" s="1544"/>
      <c r="BC56" s="1544"/>
      <c r="BD56" s="1544"/>
      <c r="BE56" s="1544"/>
      <c r="BF56" s="1544"/>
      <c r="BG56" s="1544"/>
      <c r="BH56" s="1544"/>
      <c r="BI56" s="1544"/>
      <c r="BJ56" s="1544"/>
      <c r="BK56" s="1544"/>
      <c r="BL56" s="1544"/>
      <c r="BM56" s="1544"/>
      <c r="BN56" s="1544"/>
      <c r="BO56" s="1544"/>
      <c r="BP56" s="1544"/>
      <c r="BQ56" s="1544"/>
      <c r="BR56" s="1544"/>
      <c r="BS56" s="1544"/>
      <c r="BT56" s="1544"/>
      <c r="BU56" s="1544"/>
      <c r="BV56" s="1544"/>
      <c r="BW56" s="1544"/>
      <c r="BX56" s="1544"/>
      <c r="BY56" s="1544"/>
      <c r="BZ56" s="1544"/>
      <c r="CA56" s="1544"/>
      <c r="CB56" s="1544"/>
    </row>
    <row r="57" spans="1:80" s="77" customFormat="1" ht="17.100000000000001" customHeight="1">
      <c r="A57" s="1541" t="s">
        <v>225</v>
      </c>
      <c r="B57" s="1539"/>
      <c r="C57" s="1539"/>
      <c r="D57" s="1539"/>
      <c r="E57" s="1539"/>
      <c r="F57" s="1539"/>
      <c r="G57" s="1539"/>
      <c r="H57" s="1539"/>
      <c r="I57" s="1539"/>
      <c r="J57" s="1539"/>
      <c r="K57" s="1539"/>
      <c r="L57" s="1539"/>
      <c r="M57" s="1539"/>
      <c r="N57" s="1539"/>
      <c r="O57" s="1539"/>
      <c r="P57" s="1539"/>
      <c r="Q57" s="1539"/>
      <c r="R57" s="1539"/>
      <c r="S57" s="1505"/>
      <c r="T57" s="1541" t="s">
        <v>76</v>
      </c>
      <c r="U57" s="1539"/>
      <c r="V57" s="1539"/>
      <c r="W57" s="1539"/>
      <c r="X57" s="1539"/>
      <c r="Y57" s="1539"/>
      <c r="Z57" s="1539"/>
      <c r="AA57" s="1539"/>
      <c r="AB57" s="1539"/>
      <c r="AC57" s="1539"/>
      <c r="AD57" s="1539"/>
      <c r="AE57" s="1539"/>
      <c r="AF57" s="1539"/>
      <c r="AG57" s="1539"/>
      <c r="AH57" s="1539"/>
      <c r="AI57" s="1539"/>
      <c r="AJ57" s="1539"/>
      <c r="AK57" s="1539"/>
      <c r="AL57" s="1540"/>
      <c r="AM57" s="1507" t="s">
        <v>77</v>
      </c>
      <c r="AN57" s="1539"/>
      <c r="AO57" s="1539"/>
      <c r="AP57" s="1539"/>
      <c r="AQ57" s="1539"/>
      <c r="AR57" s="1539"/>
      <c r="AS57" s="1539"/>
      <c r="AT57" s="1539"/>
      <c r="AU57" s="1539"/>
      <c r="AV57" s="1539"/>
      <c r="AW57" s="1539"/>
      <c r="AX57" s="1539"/>
      <c r="AY57" s="1539"/>
      <c r="AZ57" s="1539"/>
      <c r="BA57" s="1539"/>
      <c r="BB57" s="1539"/>
      <c r="BC57" s="1539"/>
      <c r="BD57" s="1539"/>
      <c r="BE57" s="1539"/>
      <c r="BF57" s="1505"/>
      <c r="BG57" s="1541" t="s">
        <v>78</v>
      </c>
      <c r="BH57" s="1539"/>
      <c r="BI57" s="1539"/>
      <c r="BJ57" s="1539"/>
      <c r="BK57" s="1539"/>
      <c r="BL57" s="1539"/>
      <c r="BM57" s="1539"/>
      <c r="BN57" s="1539"/>
      <c r="BO57" s="1539"/>
      <c r="BP57" s="1539"/>
      <c r="BQ57" s="1540"/>
      <c r="BR57" s="1507" t="s">
        <v>79</v>
      </c>
      <c r="BS57" s="1539"/>
      <c r="BT57" s="1539"/>
      <c r="BU57" s="1539"/>
      <c r="BV57" s="1539"/>
      <c r="BW57" s="1539"/>
      <c r="BX57" s="1539"/>
      <c r="BY57" s="1539"/>
      <c r="BZ57" s="1539"/>
      <c r="CA57" s="1539"/>
      <c r="CB57" s="1540"/>
    </row>
    <row r="58" spans="1:80" s="77" customFormat="1" ht="17.100000000000001" customHeight="1">
      <c r="A58" s="1513" t="s">
        <v>477</v>
      </c>
      <c r="B58" s="1514"/>
      <c r="C58" s="1514"/>
      <c r="D58" s="1514"/>
      <c r="E58" s="1514"/>
      <c r="F58" s="1514"/>
      <c r="G58" s="1514"/>
      <c r="H58" s="1514"/>
      <c r="I58" s="1514"/>
      <c r="J58" s="1514"/>
      <c r="K58" s="1514"/>
      <c r="L58" s="1514"/>
      <c r="M58" s="1514"/>
      <c r="N58" s="1514"/>
      <c r="O58" s="1514"/>
      <c r="P58" s="1514"/>
      <c r="Q58" s="1514"/>
      <c r="R58" s="1514"/>
      <c r="S58" s="1514"/>
      <c r="T58" s="1514"/>
      <c r="U58" s="1514"/>
      <c r="V58" s="1514"/>
      <c r="W58" s="1514"/>
      <c r="X58" s="1514"/>
      <c r="Y58" s="1514"/>
      <c r="Z58" s="1514"/>
      <c r="AA58" s="1514"/>
      <c r="AB58" s="1514"/>
      <c r="AC58" s="1514"/>
      <c r="AD58" s="1514"/>
      <c r="AE58" s="1514"/>
      <c r="AF58" s="1514"/>
      <c r="AG58" s="1514"/>
      <c r="AH58" s="1514"/>
      <c r="AI58" s="1514"/>
      <c r="AJ58" s="1514"/>
      <c r="AK58" s="1514"/>
      <c r="AL58" s="1514"/>
      <c r="AM58" s="1514" t="s">
        <v>477</v>
      </c>
      <c r="AN58" s="1514"/>
      <c r="AO58" s="1514"/>
      <c r="AP58" s="1514"/>
      <c r="AQ58" s="1514"/>
      <c r="AR58" s="1514"/>
      <c r="AS58" s="1514"/>
      <c r="AT58" s="1514"/>
      <c r="AU58" s="1514"/>
      <c r="AV58" s="1514"/>
      <c r="AW58" s="1514"/>
      <c r="AX58" s="1514"/>
      <c r="AY58" s="1514"/>
      <c r="AZ58" s="1514"/>
      <c r="BA58" s="1514"/>
      <c r="BB58" s="1514"/>
      <c r="BC58" s="1514"/>
      <c r="BD58" s="1514"/>
      <c r="BE58" s="1514"/>
      <c r="BF58" s="1514"/>
      <c r="BG58" s="1514">
        <v>165894</v>
      </c>
      <c r="BH58" s="1514"/>
      <c r="BI58" s="1514"/>
      <c r="BJ58" s="1514"/>
      <c r="BK58" s="1514"/>
      <c r="BL58" s="1514"/>
      <c r="BM58" s="1514"/>
      <c r="BN58" s="1514"/>
      <c r="BO58" s="1514"/>
      <c r="BP58" s="1514"/>
      <c r="BQ58" s="1514"/>
      <c r="BR58" s="1514">
        <v>165894</v>
      </c>
      <c r="BS58" s="1514"/>
      <c r="BT58" s="1514"/>
      <c r="BU58" s="1514"/>
      <c r="BV58" s="1514"/>
      <c r="BW58" s="1514"/>
      <c r="BX58" s="1514"/>
      <c r="BY58" s="1514"/>
      <c r="BZ58" s="1514"/>
      <c r="CA58" s="1514"/>
      <c r="CB58" s="1514"/>
    </row>
    <row r="59" spans="1:80" s="77" customFormat="1" ht="17.100000000000001" customHeight="1">
      <c r="A59" s="1541" t="s">
        <v>83</v>
      </c>
      <c r="B59" s="1539"/>
      <c r="C59" s="1539"/>
      <c r="D59" s="1539"/>
      <c r="E59" s="1539"/>
      <c r="F59" s="1539"/>
      <c r="G59" s="1539"/>
      <c r="H59" s="1539"/>
      <c r="I59" s="1539"/>
      <c r="J59" s="1539" t="s">
        <v>203</v>
      </c>
      <c r="K59" s="1539"/>
      <c r="L59" s="1539"/>
      <c r="M59" s="1539"/>
      <c r="N59" s="1539"/>
      <c r="O59" s="1539"/>
      <c r="P59" s="1539"/>
      <c r="Q59" s="1539"/>
      <c r="R59" s="1539"/>
      <c r="S59" s="1539"/>
      <c r="T59" s="1539" t="s">
        <v>81</v>
      </c>
      <c r="U59" s="1539"/>
      <c r="V59" s="1539"/>
      <c r="W59" s="1539"/>
      <c r="X59" s="1539"/>
      <c r="Y59" s="1539"/>
      <c r="Z59" s="1539"/>
      <c r="AA59" s="1539"/>
      <c r="AB59" s="1539"/>
      <c r="AC59" s="1539" t="s">
        <v>10</v>
      </c>
      <c r="AD59" s="1539"/>
      <c r="AE59" s="1539"/>
      <c r="AF59" s="1539"/>
      <c r="AG59" s="1539"/>
      <c r="AH59" s="1539"/>
      <c r="AI59" s="1539"/>
      <c r="AJ59" s="1539"/>
      <c r="AK59" s="1539"/>
      <c r="AL59" s="1539"/>
      <c r="AM59" s="1542" t="s">
        <v>255</v>
      </c>
      <c r="AN59" s="1542"/>
      <c r="AO59" s="1542"/>
      <c r="AP59" s="1542"/>
      <c r="AQ59" s="1542"/>
      <c r="AR59" s="1542"/>
      <c r="AS59" s="1542"/>
      <c r="AT59" s="1542"/>
      <c r="AU59" s="1542"/>
      <c r="AV59" s="1542"/>
      <c r="AW59" s="1539" t="s">
        <v>83</v>
      </c>
      <c r="AX59" s="1539"/>
      <c r="AY59" s="1539"/>
      <c r="AZ59" s="1539"/>
      <c r="BA59" s="1539"/>
      <c r="BB59" s="1539"/>
      <c r="BC59" s="1539"/>
      <c r="BD59" s="1539"/>
      <c r="BE59" s="1539"/>
      <c r="BF59" s="1539"/>
      <c r="BG59" s="1539" t="s">
        <v>84</v>
      </c>
      <c r="BH59" s="1539"/>
      <c r="BI59" s="1539"/>
      <c r="BJ59" s="1539"/>
      <c r="BK59" s="1539"/>
      <c r="BL59" s="1539"/>
      <c r="BM59" s="1539"/>
      <c r="BN59" s="1539"/>
      <c r="BO59" s="1539"/>
      <c r="BP59" s="1539" t="s">
        <v>226</v>
      </c>
      <c r="BQ59" s="1539"/>
      <c r="BR59" s="1539"/>
      <c r="BS59" s="1539"/>
      <c r="BT59" s="1539"/>
      <c r="BU59" s="1539"/>
      <c r="BV59" s="1539"/>
      <c r="BW59" s="1539"/>
      <c r="BX59" s="1539"/>
      <c r="BY59" s="1539"/>
      <c r="BZ59" s="1539"/>
      <c r="CA59" s="1539"/>
      <c r="CB59" s="1540"/>
    </row>
    <row r="60" spans="1:80" s="77" customFormat="1" ht="17.100000000000001" customHeight="1">
      <c r="A60" s="1536" t="s">
        <v>86</v>
      </c>
      <c r="B60" s="1537"/>
      <c r="C60" s="1537"/>
      <c r="D60" s="1537"/>
      <c r="E60" s="1537"/>
      <c r="F60" s="1537"/>
      <c r="G60" s="1537"/>
      <c r="H60" s="1537"/>
      <c r="I60" s="1537"/>
      <c r="J60" s="1538"/>
      <c r="K60" s="1538"/>
      <c r="L60" s="1538"/>
      <c r="M60" s="1538"/>
      <c r="N60" s="1538"/>
      <c r="O60" s="1538"/>
      <c r="P60" s="1538"/>
      <c r="Q60" s="1538"/>
      <c r="R60" s="1538"/>
      <c r="S60" s="1538"/>
      <c r="T60" s="1538"/>
      <c r="U60" s="1538"/>
      <c r="V60" s="1538"/>
      <c r="W60" s="1538"/>
      <c r="X60" s="1538"/>
      <c r="Y60" s="1538"/>
      <c r="Z60" s="1538"/>
      <c r="AA60" s="1538"/>
      <c r="AB60" s="1538"/>
      <c r="AC60" s="1538"/>
      <c r="AD60" s="1538"/>
      <c r="AE60" s="1538"/>
      <c r="AF60" s="1538"/>
      <c r="AG60" s="1538"/>
      <c r="AH60" s="1538"/>
      <c r="AI60" s="1538"/>
      <c r="AJ60" s="1538"/>
      <c r="AK60" s="1538"/>
      <c r="AL60" s="1538"/>
      <c r="AM60" s="1538"/>
      <c r="AN60" s="1538"/>
      <c r="AO60" s="1538"/>
      <c r="AP60" s="1538"/>
      <c r="AQ60" s="1538"/>
      <c r="AR60" s="1538"/>
      <c r="AS60" s="1538"/>
      <c r="AT60" s="1538"/>
      <c r="AU60" s="1538"/>
      <c r="AV60" s="1538"/>
      <c r="AW60" s="1528">
        <v>1</v>
      </c>
      <c r="AX60" s="1528"/>
      <c r="AY60" s="1528"/>
      <c r="AZ60" s="1528"/>
      <c r="BA60" s="1528"/>
      <c r="BB60" s="1528"/>
      <c r="BC60" s="1528"/>
      <c r="BD60" s="1528"/>
      <c r="BE60" s="1528"/>
      <c r="BF60" s="1528"/>
      <c r="BG60" s="1528"/>
      <c r="BH60" s="1528"/>
      <c r="BI60" s="1528"/>
      <c r="BJ60" s="1528"/>
      <c r="BK60" s="1528"/>
      <c r="BL60" s="1528"/>
      <c r="BM60" s="1528"/>
      <c r="BN60" s="1528"/>
      <c r="BO60" s="1528"/>
      <c r="BP60" s="1528"/>
      <c r="BQ60" s="1528"/>
      <c r="BR60" s="1528"/>
      <c r="BS60" s="1528"/>
      <c r="BT60" s="1528"/>
      <c r="BU60" s="1528"/>
      <c r="BV60" s="1528"/>
      <c r="BW60" s="1528"/>
      <c r="BX60" s="1528"/>
      <c r="BY60" s="1528"/>
      <c r="BZ60" s="1528"/>
      <c r="CA60" s="1528"/>
      <c r="CB60" s="1529"/>
    </row>
    <row r="61" spans="1:80" s="77" customFormat="1" ht="17.100000000000001" customHeight="1">
      <c r="A61" s="1536" t="s">
        <v>14</v>
      </c>
      <c r="B61" s="1537"/>
      <c r="C61" s="1537"/>
      <c r="D61" s="1537"/>
      <c r="E61" s="1537"/>
      <c r="F61" s="1537"/>
      <c r="G61" s="1537"/>
      <c r="H61" s="1537"/>
      <c r="I61" s="1537"/>
      <c r="J61" s="1538"/>
      <c r="K61" s="1538"/>
      <c r="L61" s="1538"/>
      <c r="M61" s="1538"/>
      <c r="N61" s="1538"/>
      <c r="O61" s="1538"/>
      <c r="P61" s="1538"/>
      <c r="Q61" s="1538"/>
      <c r="R61" s="1538"/>
      <c r="S61" s="1538"/>
      <c r="T61" s="1538"/>
      <c r="U61" s="1538"/>
      <c r="V61" s="1538"/>
      <c r="W61" s="1538"/>
      <c r="X61" s="1538"/>
      <c r="Y61" s="1538"/>
      <c r="Z61" s="1538"/>
      <c r="AA61" s="1538"/>
      <c r="AB61" s="1538"/>
      <c r="AC61" s="1538"/>
      <c r="AD61" s="1538"/>
      <c r="AE61" s="1538"/>
      <c r="AF61" s="1538"/>
      <c r="AG61" s="1538"/>
      <c r="AH61" s="1538"/>
      <c r="AI61" s="1538"/>
      <c r="AJ61" s="1538"/>
      <c r="AK61" s="1538"/>
      <c r="AL61" s="1538"/>
      <c r="AM61" s="1538"/>
      <c r="AN61" s="1538"/>
      <c r="AO61" s="1538"/>
      <c r="AP61" s="1538"/>
      <c r="AQ61" s="1538"/>
      <c r="AR61" s="1538"/>
      <c r="AS61" s="1538"/>
      <c r="AT61" s="1538"/>
      <c r="AU61" s="1538"/>
      <c r="AV61" s="1538"/>
      <c r="AW61" s="1528">
        <v>1</v>
      </c>
      <c r="AX61" s="1528"/>
      <c r="AY61" s="1528"/>
      <c r="AZ61" s="1528"/>
      <c r="BA61" s="1528"/>
      <c r="BB61" s="1528"/>
      <c r="BC61" s="1528"/>
      <c r="BD61" s="1528"/>
      <c r="BE61" s="1528"/>
      <c r="BF61" s="1528"/>
      <c r="BG61" s="1528"/>
      <c r="BH61" s="1528"/>
      <c r="BI61" s="1528"/>
      <c r="BJ61" s="1528"/>
      <c r="BK61" s="1528"/>
      <c r="BL61" s="1528"/>
      <c r="BM61" s="1528"/>
      <c r="BN61" s="1528"/>
      <c r="BO61" s="1528"/>
      <c r="BP61" s="1528"/>
      <c r="BQ61" s="1528"/>
      <c r="BR61" s="1528"/>
      <c r="BS61" s="1528"/>
      <c r="BT61" s="1528"/>
      <c r="BU61" s="1528"/>
      <c r="BV61" s="1528"/>
      <c r="BW61" s="1528"/>
      <c r="BX61" s="1528"/>
      <c r="BY61" s="1528"/>
      <c r="BZ61" s="1528"/>
      <c r="CA61" s="1528"/>
      <c r="CB61" s="1529"/>
    </row>
    <row r="62" spans="1:80" s="77" customFormat="1" ht="17.100000000000001" customHeight="1">
      <c r="A62" s="1530" t="s">
        <v>12</v>
      </c>
      <c r="B62" s="1531"/>
      <c r="C62" s="1531"/>
      <c r="D62" s="1531"/>
      <c r="E62" s="1531"/>
      <c r="F62" s="1531"/>
      <c r="G62" s="1531"/>
      <c r="H62" s="1531"/>
      <c r="I62" s="1531"/>
      <c r="J62" s="1532"/>
      <c r="K62" s="1532"/>
      <c r="L62" s="1532"/>
      <c r="M62" s="1532"/>
      <c r="N62" s="1532"/>
      <c r="O62" s="1532"/>
      <c r="P62" s="1532"/>
      <c r="Q62" s="1532"/>
      <c r="R62" s="1532"/>
      <c r="S62" s="1532"/>
      <c r="T62" s="1532"/>
      <c r="U62" s="1532"/>
      <c r="V62" s="1532"/>
      <c r="W62" s="1532"/>
      <c r="X62" s="1532"/>
      <c r="Y62" s="1532"/>
      <c r="Z62" s="1532"/>
      <c r="AA62" s="1532"/>
      <c r="AB62" s="1532"/>
      <c r="AC62" s="1532"/>
      <c r="AD62" s="1532"/>
      <c r="AE62" s="1532"/>
      <c r="AF62" s="1532"/>
      <c r="AG62" s="1532"/>
      <c r="AH62" s="1532"/>
      <c r="AI62" s="1532"/>
      <c r="AJ62" s="1532"/>
      <c r="AK62" s="1532"/>
      <c r="AL62" s="1532"/>
      <c r="AM62" s="1532"/>
      <c r="AN62" s="1532"/>
      <c r="AO62" s="1532"/>
      <c r="AP62" s="1532"/>
      <c r="AQ62" s="1532"/>
      <c r="AR62" s="1532"/>
      <c r="AS62" s="1532"/>
      <c r="AT62" s="1532"/>
      <c r="AU62" s="1532"/>
      <c r="AV62" s="1532"/>
      <c r="AW62" s="1533">
        <v>0</v>
      </c>
      <c r="AX62" s="1534"/>
      <c r="AY62" s="1534"/>
      <c r="AZ62" s="1534"/>
      <c r="BA62" s="1534"/>
      <c r="BB62" s="1534"/>
      <c r="BC62" s="1534"/>
      <c r="BD62" s="1534"/>
      <c r="BE62" s="1534"/>
      <c r="BF62" s="1534"/>
      <c r="BG62" s="1533"/>
      <c r="BH62" s="1534"/>
      <c r="BI62" s="1534"/>
      <c r="BJ62" s="1534"/>
      <c r="BK62" s="1534"/>
      <c r="BL62" s="1534"/>
      <c r="BM62" s="1534"/>
      <c r="BN62" s="1534"/>
      <c r="BO62" s="1534"/>
      <c r="BP62" s="1534"/>
      <c r="BQ62" s="1534"/>
      <c r="BR62" s="1534"/>
      <c r="BS62" s="1534"/>
      <c r="BT62" s="1534"/>
      <c r="BU62" s="1534"/>
      <c r="BV62" s="1534"/>
      <c r="BW62" s="1534"/>
      <c r="BX62" s="1534"/>
      <c r="BY62" s="1534"/>
      <c r="BZ62" s="1534"/>
      <c r="CA62" s="1534"/>
      <c r="CB62" s="1535"/>
    </row>
    <row r="63" spans="1:80" s="77" customFormat="1" ht="17.100000000000001" customHeight="1">
      <c r="A63" s="1518" t="s">
        <v>62</v>
      </c>
      <c r="B63" s="1519"/>
      <c r="C63" s="1519"/>
      <c r="D63" s="1519"/>
      <c r="E63" s="1519"/>
      <c r="F63" s="1519"/>
      <c r="G63" s="1519"/>
      <c r="H63" s="1519"/>
      <c r="I63" s="1519"/>
      <c r="J63" s="1520" t="s">
        <v>522</v>
      </c>
      <c r="K63" s="1520"/>
      <c r="L63" s="1520"/>
      <c r="M63" s="1520"/>
      <c r="N63" s="1520"/>
      <c r="O63" s="1520"/>
      <c r="P63" s="1520"/>
      <c r="Q63" s="1520"/>
      <c r="R63" s="1520"/>
      <c r="S63" s="1520"/>
      <c r="T63" s="1520"/>
      <c r="U63" s="1520"/>
      <c r="V63" s="1520"/>
      <c r="W63" s="1520"/>
      <c r="X63" s="1520"/>
      <c r="Y63" s="1520"/>
      <c r="Z63" s="1520"/>
      <c r="AA63" s="1520"/>
      <c r="AB63" s="1520"/>
      <c r="AC63" s="1520"/>
      <c r="AD63" s="1520"/>
      <c r="AE63" s="1520"/>
      <c r="AF63" s="1520"/>
      <c r="AG63" s="1520"/>
      <c r="AH63" s="1520"/>
      <c r="AI63" s="1520"/>
      <c r="AJ63" s="1520"/>
      <c r="AK63" s="1520"/>
      <c r="AL63" s="1520"/>
      <c r="AM63" s="1520"/>
      <c r="AN63" s="1520"/>
      <c r="AO63" s="1520"/>
      <c r="AP63" s="1520"/>
      <c r="AQ63" s="1520"/>
      <c r="AR63" s="1520"/>
      <c r="AS63" s="1520"/>
      <c r="AT63" s="1520"/>
      <c r="AU63" s="1520"/>
      <c r="AV63" s="1520"/>
      <c r="AW63" s="1520"/>
      <c r="AX63" s="1520"/>
      <c r="AY63" s="1520"/>
      <c r="AZ63" s="1520"/>
      <c r="BA63" s="1520"/>
      <c r="BB63" s="1520"/>
      <c r="BC63" s="1520"/>
      <c r="BD63" s="1520"/>
      <c r="BE63" s="1520"/>
      <c r="BF63" s="1520"/>
      <c r="BG63" s="1520"/>
      <c r="BH63" s="1520"/>
      <c r="BI63" s="1520"/>
      <c r="BJ63" s="1520"/>
      <c r="BK63" s="1520"/>
      <c r="BL63" s="1520"/>
      <c r="BM63" s="1520"/>
      <c r="BN63" s="1520"/>
      <c r="BO63" s="1520"/>
      <c r="BP63" s="1520"/>
      <c r="BQ63" s="1520"/>
      <c r="BR63" s="1520"/>
      <c r="BS63" s="1520"/>
      <c r="BT63" s="1520"/>
      <c r="BU63" s="1520"/>
      <c r="BV63" s="1520"/>
      <c r="BW63" s="1520"/>
      <c r="BX63" s="1520"/>
      <c r="BY63" s="1520"/>
      <c r="BZ63" s="1520"/>
      <c r="CA63" s="1520"/>
      <c r="CB63" s="1521"/>
    </row>
    <row r="64" spans="1:80" ht="8.25" customHeight="1">
      <c r="A64" s="1480"/>
      <c r="B64" s="1481"/>
      <c r="C64" s="1481"/>
      <c r="D64" s="1481"/>
      <c r="E64" s="1481"/>
      <c r="F64" s="1481"/>
      <c r="G64" s="1481"/>
      <c r="H64" s="1481"/>
      <c r="I64" s="1481"/>
      <c r="J64" s="1481"/>
      <c r="K64" s="1481"/>
      <c r="L64" s="1481"/>
      <c r="M64" s="1481"/>
      <c r="N64" s="1481"/>
      <c r="O64" s="1481"/>
      <c r="P64" s="1481"/>
      <c r="Q64" s="1481"/>
      <c r="R64" s="1481"/>
      <c r="S64" s="1481"/>
      <c r="T64" s="1481"/>
      <c r="U64" s="1481"/>
      <c r="V64" s="1481"/>
      <c r="W64" s="1481"/>
      <c r="X64" s="1481"/>
      <c r="Y64" s="1481"/>
      <c r="Z64" s="1481"/>
      <c r="AA64" s="1481"/>
      <c r="AB64" s="1481"/>
      <c r="AC64" s="1481"/>
      <c r="AD64" s="1481"/>
      <c r="AE64" s="1481"/>
      <c r="AF64" s="1481"/>
      <c r="AG64" s="1481"/>
      <c r="AH64" s="1481"/>
      <c r="AI64" s="1481"/>
      <c r="AJ64" s="1481"/>
      <c r="AK64" s="1481"/>
      <c r="AL64" s="1481"/>
      <c r="AM64" s="1481"/>
      <c r="AN64" s="1481"/>
      <c r="AO64" s="1481"/>
      <c r="AP64" s="1481"/>
      <c r="AQ64" s="1481"/>
      <c r="AR64" s="1481"/>
      <c r="AS64" s="1481"/>
      <c r="AT64" s="1481"/>
      <c r="AU64" s="1481"/>
      <c r="AV64" s="1481"/>
      <c r="AW64" s="1481"/>
      <c r="AX64" s="1481"/>
      <c r="AY64" s="1481"/>
      <c r="AZ64" s="1481"/>
      <c r="BA64" s="1481"/>
      <c r="BB64" s="1481"/>
      <c r="BC64" s="1481"/>
      <c r="BD64" s="1481"/>
      <c r="BE64" s="1481"/>
      <c r="BF64" s="1481"/>
      <c r="BG64" s="1481"/>
      <c r="BH64" s="1481"/>
      <c r="BI64" s="1481"/>
      <c r="BJ64" s="1481"/>
      <c r="BK64" s="1481"/>
      <c r="BL64" s="1481"/>
      <c r="BM64" s="1481"/>
      <c r="BN64" s="1481"/>
      <c r="BO64" s="1481"/>
      <c r="BP64" s="1481"/>
      <c r="BQ64" s="1481"/>
      <c r="BR64" s="1481"/>
      <c r="BS64" s="1481"/>
      <c r="BT64" s="1481"/>
      <c r="BU64" s="1481"/>
      <c r="BV64" s="1481"/>
      <c r="BW64" s="1481"/>
      <c r="BX64" s="1481"/>
      <c r="BY64" s="1481"/>
      <c r="BZ64" s="1481"/>
      <c r="CA64" s="1481"/>
      <c r="CB64" s="1482"/>
    </row>
    <row r="65" spans="1:83" ht="17.100000000000001" customHeight="1">
      <c r="A65" s="1282" t="s">
        <v>548</v>
      </c>
      <c r="B65" s="1283"/>
      <c r="C65" s="1283"/>
      <c r="D65" s="1283"/>
      <c r="E65" s="1283"/>
      <c r="F65" s="1283"/>
      <c r="G65" s="1283"/>
      <c r="H65" s="1283"/>
      <c r="I65" s="1283"/>
      <c r="J65" s="1283"/>
      <c r="K65" s="1283"/>
      <c r="L65" s="1283"/>
      <c r="M65" s="1283"/>
      <c r="N65" s="1283"/>
      <c r="O65" s="1283"/>
      <c r="P65" s="1283"/>
      <c r="Q65" s="1283"/>
      <c r="R65" s="1283"/>
      <c r="S65" s="1283"/>
      <c r="T65" s="1283"/>
      <c r="U65" s="1283"/>
      <c r="V65" s="1283"/>
      <c r="W65" s="1283"/>
      <c r="X65" s="1283"/>
      <c r="Y65" s="1283"/>
      <c r="Z65" s="1283"/>
      <c r="AA65" s="1283"/>
      <c r="AB65" s="1283"/>
      <c r="AC65" s="1283"/>
      <c r="AD65" s="1283"/>
      <c r="AE65" s="1283"/>
      <c r="AF65" s="1283"/>
      <c r="AG65" s="1283"/>
      <c r="AH65" s="1283"/>
      <c r="AI65" s="1283"/>
      <c r="AJ65" s="1283"/>
      <c r="AK65" s="1283"/>
      <c r="AL65" s="1283"/>
      <c r="AM65" s="1283"/>
      <c r="AN65" s="1283"/>
      <c r="AO65" s="1283"/>
      <c r="AP65" s="1283"/>
      <c r="AQ65" s="1283"/>
      <c r="AR65" s="1283"/>
      <c r="AS65" s="1283"/>
      <c r="AT65" s="1283"/>
      <c r="AU65" s="1283"/>
      <c r="AV65" s="1283"/>
      <c r="AW65" s="1283"/>
      <c r="AX65" s="1283"/>
      <c r="AY65" s="1283"/>
      <c r="AZ65" s="1283"/>
      <c r="BA65" s="1283"/>
      <c r="BB65" s="1283"/>
      <c r="BC65" s="1283"/>
      <c r="BD65" s="1283"/>
      <c r="BE65" s="1283"/>
      <c r="BF65" s="1283"/>
      <c r="BG65" s="1283"/>
      <c r="BH65" s="1283"/>
      <c r="BI65" s="1283"/>
      <c r="BJ65" s="1283"/>
      <c r="BK65" s="1283"/>
      <c r="BL65" s="1283"/>
      <c r="BM65" s="1283"/>
      <c r="BN65" s="1283"/>
      <c r="BO65" s="1283"/>
      <c r="BP65" s="1283"/>
      <c r="BQ65" s="1283"/>
      <c r="BR65" s="1283"/>
      <c r="BS65" s="1283"/>
      <c r="BT65" s="1283"/>
      <c r="BU65" s="1283"/>
      <c r="BV65" s="1283"/>
      <c r="BW65" s="1283"/>
      <c r="BX65" s="1283"/>
      <c r="BY65" s="1283"/>
      <c r="BZ65" s="1283"/>
      <c r="CA65" s="1283"/>
      <c r="CB65" s="1284"/>
    </row>
    <row r="66" spans="1:83" ht="17.100000000000001" customHeight="1">
      <c r="A66" s="1543" t="s">
        <v>328</v>
      </c>
      <c r="B66" s="1523"/>
      <c r="C66" s="1523"/>
      <c r="D66" s="1523"/>
      <c r="E66" s="1523"/>
      <c r="F66" s="1523"/>
      <c r="G66" s="1523"/>
      <c r="H66" s="1523"/>
      <c r="I66" s="1523"/>
      <c r="J66" s="1523"/>
      <c r="K66" s="1523"/>
      <c r="L66" s="1524"/>
      <c r="M66" s="1543" t="s">
        <v>487</v>
      </c>
      <c r="N66" s="1543"/>
      <c r="O66" s="1543"/>
      <c r="P66" s="1543"/>
      <c r="Q66" s="1543"/>
      <c r="R66" s="1543"/>
      <c r="S66" s="1543"/>
      <c r="T66" s="1543"/>
      <c r="U66" s="1543"/>
      <c r="V66" s="1543"/>
      <c r="W66" s="1543"/>
      <c r="X66" s="1543"/>
      <c r="Y66" s="1543"/>
      <c r="Z66" s="1543"/>
      <c r="AA66" s="1543"/>
      <c r="AB66" s="1543"/>
      <c r="AC66" s="1543"/>
      <c r="AD66" s="1543"/>
      <c r="AE66" s="1543"/>
      <c r="AF66" s="1543"/>
      <c r="AG66" s="1543"/>
      <c r="AH66" s="1543"/>
      <c r="AI66" s="1543"/>
      <c r="AJ66" s="1543"/>
      <c r="AK66" s="1543"/>
      <c r="AL66" s="1543"/>
      <c r="AM66" s="1543"/>
      <c r="AN66" s="1543"/>
      <c r="AO66" s="1543"/>
      <c r="AP66" s="1543"/>
      <c r="AQ66" s="1543"/>
      <c r="AR66" s="1543"/>
      <c r="AS66" s="1543"/>
      <c r="AT66" s="1543" t="s">
        <v>254</v>
      </c>
      <c r="AU66" s="1543"/>
      <c r="AV66" s="1543"/>
      <c r="AW66" s="1543"/>
      <c r="AX66" s="1543"/>
      <c r="AY66" s="1543"/>
      <c r="AZ66" s="1543"/>
      <c r="BA66" s="1544" t="s">
        <v>488</v>
      </c>
      <c r="BB66" s="1544"/>
      <c r="BC66" s="1544"/>
      <c r="BD66" s="1544"/>
      <c r="BE66" s="1544"/>
      <c r="BF66" s="1544"/>
      <c r="BG66" s="1544"/>
      <c r="BH66" s="1544"/>
      <c r="BI66" s="1544"/>
      <c r="BJ66" s="1544"/>
      <c r="BK66" s="1544"/>
      <c r="BL66" s="1544"/>
      <c r="BM66" s="1544"/>
      <c r="BN66" s="1544"/>
      <c r="BO66" s="1544"/>
      <c r="BP66" s="1544"/>
      <c r="BQ66" s="1544"/>
      <c r="BR66" s="1544"/>
      <c r="BS66" s="1544"/>
      <c r="BT66" s="1544"/>
      <c r="BU66" s="1544"/>
      <c r="BV66" s="1544"/>
      <c r="BW66" s="1544"/>
      <c r="BX66" s="1544"/>
      <c r="BY66" s="1544"/>
      <c r="BZ66" s="1544"/>
      <c r="CA66" s="1544"/>
      <c r="CB66" s="1544"/>
    </row>
    <row r="67" spans="1:83" s="77" customFormat="1" ht="17.100000000000001" customHeight="1">
      <c r="A67" s="1541" t="s">
        <v>225</v>
      </c>
      <c r="B67" s="1539"/>
      <c r="C67" s="1539"/>
      <c r="D67" s="1539"/>
      <c r="E67" s="1539"/>
      <c r="F67" s="1539"/>
      <c r="G67" s="1539"/>
      <c r="H67" s="1539"/>
      <c r="I67" s="1539"/>
      <c r="J67" s="1539"/>
      <c r="K67" s="1539"/>
      <c r="L67" s="1539"/>
      <c r="M67" s="1539"/>
      <c r="N67" s="1539"/>
      <c r="O67" s="1539"/>
      <c r="P67" s="1539"/>
      <c r="Q67" s="1539"/>
      <c r="R67" s="1539"/>
      <c r="S67" s="1505"/>
      <c r="T67" s="1541" t="s">
        <v>76</v>
      </c>
      <c r="U67" s="1539"/>
      <c r="V67" s="1539"/>
      <c r="W67" s="1539"/>
      <c r="X67" s="1539"/>
      <c r="Y67" s="1539"/>
      <c r="Z67" s="1539"/>
      <c r="AA67" s="1539"/>
      <c r="AB67" s="1539"/>
      <c r="AC67" s="1539"/>
      <c r="AD67" s="1539"/>
      <c r="AE67" s="1539"/>
      <c r="AF67" s="1539"/>
      <c r="AG67" s="1539"/>
      <c r="AH67" s="1539"/>
      <c r="AI67" s="1539"/>
      <c r="AJ67" s="1539"/>
      <c r="AK67" s="1539"/>
      <c r="AL67" s="1540"/>
      <c r="AM67" s="1507" t="s">
        <v>77</v>
      </c>
      <c r="AN67" s="1539"/>
      <c r="AO67" s="1539"/>
      <c r="AP67" s="1539"/>
      <c r="AQ67" s="1539"/>
      <c r="AR67" s="1539"/>
      <c r="AS67" s="1539"/>
      <c r="AT67" s="1539"/>
      <c r="AU67" s="1539"/>
      <c r="AV67" s="1539"/>
      <c r="AW67" s="1539"/>
      <c r="AX67" s="1539"/>
      <c r="AY67" s="1539"/>
      <c r="AZ67" s="1539"/>
      <c r="BA67" s="1539"/>
      <c r="BB67" s="1539"/>
      <c r="BC67" s="1539"/>
      <c r="BD67" s="1539"/>
      <c r="BE67" s="1539"/>
      <c r="BF67" s="1505"/>
      <c r="BG67" s="1541" t="s">
        <v>78</v>
      </c>
      <c r="BH67" s="1539"/>
      <c r="BI67" s="1539"/>
      <c r="BJ67" s="1539"/>
      <c r="BK67" s="1539"/>
      <c r="BL67" s="1539"/>
      <c r="BM67" s="1539"/>
      <c r="BN67" s="1539"/>
      <c r="BO67" s="1539"/>
      <c r="BP67" s="1539"/>
      <c r="BQ67" s="1540"/>
      <c r="BR67" s="1507" t="s">
        <v>79</v>
      </c>
      <c r="BS67" s="1539"/>
      <c r="BT67" s="1539"/>
      <c r="BU67" s="1539"/>
      <c r="BV67" s="1539"/>
      <c r="BW67" s="1539"/>
      <c r="BX67" s="1539"/>
      <c r="BY67" s="1539"/>
      <c r="BZ67" s="1539"/>
      <c r="CA67" s="1539"/>
      <c r="CB67" s="1540"/>
      <c r="CC67"/>
      <c r="CD67"/>
      <c r="CE67"/>
    </row>
    <row r="68" spans="1:83" s="77" customFormat="1" ht="17.100000000000001" customHeight="1">
      <c r="A68" s="1513" t="s">
        <v>477</v>
      </c>
      <c r="B68" s="1514"/>
      <c r="C68" s="1514"/>
      <c r="D68" s="1514"/>
      <c r="E68" s="1514"/>
      <c r="F68" s="1514"/>
      <c r="G68" s="1514"/>
      <c r="H68" s="1514"/>
      <c r="I68" s="1514"/>
      <c r="J68" s="1514"/>
      <c r="K68" s="1514"/>
      <c r="L68" s="1514"/>
      <c r="M68" s="1514"/>
      <c r="N68" s="1514"/>
      <c r="O68" s="1514"/>
      <c r="P68" s="1514"/>
      <c r="Q68" s="1514"/>
      <c r="R68" s="1514"/>
      <c r="S68" s="1514"/>
      <c r="T68" s="1514"/>
      <c r="U68" s="1514"/>
      <c r="V68" s="1514"/>
      <c r="W68" s="1514"/>
      <c r="X68" s="1514"/>
      <c r="Y68" s="1514"/>
      <c r="Z68" s="1514"/>
      <c r="AA68" s="1514"/>
      <c r="AB68" s="1514"/>
      <c r="AC68" s="1514"/>
      <c r="AD68" s="1514"/>
      <c r="AE68" s="1514"/>
      <c r="AF68" s="1514"/>
      <c r="AG68" s="1514"/>
      <c r="AH68" s="1514"/>
      <c r="AI68" s="1514"/>
      <c r="AJ68" s="1514"/>
      <c r="AK68" s="1514"/>
      <c r="AL68" s="1514"/>
      <c r="AM68" s="1514" t="s">
        <v>477</v>
      </c>
      <c r="AN68" s="1514"/>
      <c r="AO68" s="1514"/>
      <c r="AP68" s="1514"/>
      <c r="AQ68" s="1514"/>
      <c r="AR68" s="1514"/>
      <c r="AS68" s="1514"/>
      <c r="AT68" s="1514"/>
      <c r="AU68" s="1514"/>
      <c r="AV68" s="1514"/>
      <c r="AW68" s="1514"/>
      <c r="AX68" s="1514"/>
      <c r="AY68" s="1514"/>
      <c r="AZ68" s="1514"/>
      <c r="BA68" s="1514"/>
      <c r="BB68" s="1514"/>
      <c r="BC68" s="1514"/>
      <c r="BD68" s="1514"/>
      <c r="BE68" s="1514"/>
      <c r="BF68" s="1514"/>
      <c r="BG68" s="1514">
        <v>58369</v>
      </c>
      <c r="BH68" s="1514"/>
      <c r="BI68" s="1514"/>
      <c r="BJ68" s="1514"/>
      <c r="BK68" s="1514"/>
      <c r="BL68" s="1514"/>
      <c r="BM68" s="1514"/>
      <c r="BN68" s="1514"/>
      <c r="BO68" s="1514"/>
      <c r="BP68" s="1514"/>
      <c r="BQ68" s="1514"/>
      <c r="BR68" s="1514">
        <v>55980.5</v>
      </c>
      <c r="BS68" s="1514"/>
      <c r="BT68" s="1514"/>
      <c r="BU68" s="1514"/>
      <c r="BV68" s="1514"/>
      <c r="BW68" s="1514"/>
      <c r="BX68" s="1514"/>
      <c r="BY68" s="1514"/>
      <c r="BZ68" s="1514"/>
      <c r="CA68" s="1514"/>
      <c r="CB68" s="1514"/>
      <c r="CC68"/>
      <c r="CD68"/>
      <c r="CE68"/>
    </row>
    <row r="69" spans="1:83" s="77" customFormat="1" ht="17.100000000000001" customHeight="1">
      <c r="A69" s="1541" t="s">
        <v>83</v>
      </c>
      <c r="B69" s="1539"/>
      <c r="C69" s="1539"/>
      <c r="D69" s="1539"/>
      <c r="E69" s="1539"/>
      <c r="F69" s="1539"/>
      <c r="G69" s="1539"/>
      <c r="H69" s="1539"/>
      <c r="I69" s="1539"/>
      <c r="J69" s="1539" t="s">
        <v>203</v>
      </c>
      <c r="K69" s="1539"/>
      <c r="L69" s="1539"/>
      <c r="M69" s="1539"/>
      <c r="N69" s="1539"/>
      <c r="O69" s="1539"/>
      <c r="P69" s="1539"/>
      <c r="Q69" s="1539"/>
      <c r="R69" s="1539"/>
      <c r="S69" s="1539"/>
      <c r="T69" s="1539" t="s">
        <v>81</v>
      </c>
      <c r="U69" s="1539"/>
      <c r="V69" s="1539"/>
      <c r="W69" s="1539"/>
      <c r="X69" s="1539"/>
      <c r="Y69" s="1539"/>
      <c r="Z69" s="1539"/>
      <c r="AA69" s="1539"/>
      <c r="AB69" s="1539"/>
      <c r="AC69" s="1539" t="s">
        <v>10</v>
      </c>
      <c r="AD69" s="1539"/>
      <c r="AE69" s="1539"/>
      <c r="AF69" s="1539"/>
      <c r="AG69" s="1539"/>
      <c r="AH69" s="1539"/>
      <c r="AI69" s="1539"/>
      <c r="AJ69" s="1539"/>
      <c r="AK69" s="1539"/>
      <c r="AL69" s="1539"/>
      <c r="AM69" s="1542" t="s">
        <v>255</v>
      </c>
      <c r="AN69" s="1542"/>
      <c r="AO69" s="1542"/>
      <c r="AP69" s="1542"/>
      <c r="AQ69" s="1542"/>
      <c r="AR69" s="1542"/>
      <c r="AS69" s="1542"/>
      <c r="AT69" s="1542"/>
      <c r="AU69" s="1542"/>
      <c r="AV69" s="1542"/>
      <c r="AW69" s="1539" t="s">
        <v>83</v>
      </c>
      <c r="AX69" s="1539"/>
      <c r="AY69" s="1539"/>
      <c r="AZ69" s="1539"/>
      <c r="BA69" s="1539"/>
      <c r="BB69" s="1539"/>
      <c r="BC69" s="1539"/>
      <c r="BD69" s="1539"/>
      <c r="BE69" s="1539"/>
      <c r="BF69" s="1539"/>
      <c r="BG69" s="1539" t="s">
        <v>84</v>
      </c>
      <c r="BH69" s="1539"/>
      <c r="BI69" s="1539"/>
      <c r="BJ69" s="1539"/>
      <c r="BK69" s="1539"/>
      <c r="BL69" s="1539"/>
      <c r="BM69" s="1539"/>
      <c r="BN69" s="1539"/>
      <c r="BO69" s="1539"/>
      <c r="BP69" s="1539" t="s">
        <v>226</v>
      </c>
      <c r="BQ69" s="1539"/>
      <c r="BR69" s="1539"/>
      <c r="BS69" s="1539"/>
      <c r="BT69" s="1539"/>
      <c r="BU69" s="1539"/>
      <c r="BV69" s="1539"/>
      <c r="BW69" s="1539"/>
      <c r="BX69" s="1539"/>
      <c r="BY69" s="1539"/>
      <c r="BZ69" s="1539"/>
      <c r="CA69" s="1539"/>
      <c r="CB69" s="1540"/>
      <c r="CC69"/>
      <c r="CD69"/>
      <c r="CE69"/>
    </row>
    <row r="70" spans="1:83" s="77" customFormat="1" ht="17.100000000000001" customHeight="1">
      <c r="A70" s="1536" t="s">
        <v>86</v>
      </c>
      <c r="B70" s="1537"/>
      <c r="C70" s="1537"/>
      <c r="D70" s="1537"/>
      <c r="E70" s="1537"/>
      <c r="F70" s="1537"/>
      <c r="G70" s="1537"/>
      <c r="H70" s="1537"/>
      <c r="I70" s="1537"/>
      <c r="J70" s="1538"/>
      <c r="K70" s="1538"/>
      <c r="L70" s="1538"/>
      <c r="M70" s="1538"/>
      <c r="N70" s="1538"/>
      <c r="O70" s="1538"/>
      <c r="P70" s="1538"/>
      <c r="Q70" s="1538"/>
      <c r="R70" s="1538"/>
      <c r="S70" s="1538"/>
      <c r="T70" s="1538"/>
      <c r="U70" s="1538"/>
      <c r="V70" s="1538"/>
      <c r="W70" s="1538"/>
      <c r="X70" s="1538"/>
      <c r="Y70" s="1538"/>
      <c r="Z70" s="1538"/>
      <c r="AA70" s="1538"/>
      <c r="AB70" s="1538"/>
      <c r="AC70" s="1538"/>
      <c r="AD70" s="1538"/>
      <c r="AE70" s="1538"/>
      <c r="AF70" s="1538"/>
      <c r="AG70" s="1538"/>
      <c r="AH70" s="1538"/>
      <c r="AI70" s="1538"/>
      <c r="AJ70" s="1538"/>
      <c r="AK70" s="1538"/>
      <c r="AL70" s="1538"/>
      <c r="AM70" s="1538"/>
      <c r="AN70" s="1538"/>
      <c r="AO70" s="1538"/>
      <c r="AP70" s="1538"/>
      <c r="AQ70" s="1538"/>
      <c r="AR70" s="1538"/>
      <c r="AS70" s="1538"/>
      <c r="AT70" s="1538"/>
      <c r="AU70" s="1538"/>
      <c r="AV70" s="1538"/>
      <c r="AW70" s="1528">
        <v>1</v>
      </c>
      <c r="AX70" s="1528"/>
      <c r="AY70" s="1528"/>
      <c r="AZ70" s="1528"/>
      <c r="BA70" s="1528"/>
      <c r="BB70" s="1528"/>
      <c r="BC70" s="1528"/>
      <c r="BD70" s="1528"/>
      <c r="BE70" s="1528"/>
      <c r="BF70" s="1528"/>
      <c r="BG70" s="1528"/>
      <c r="BH70" s="1528"/>
      <c r="BI70" s="1528"/>
      <c r="BJ70" s="1528"/>
      <c r="BK70" s="1528"/>
      <c r="BL70" s="1528"/>
      <c r="BM70" s="1528"/>
      <c r="BN70" s="1528"/>
      <c r="BO70" s="1528"/>
      <c r="BP70" s="1528"/>
      <c r="BQ70" s="1528"/>
      <c r="BR70" s="1528"/>
      <c r="BS70" s="1528"/>
      <c r="BT70" s="1528"/>
      <c r="BU70" s="1528"/>
      <c r="BV70" s="1528"/>
      <c r="BW70" s="1528"/>
      <c r="BX70" s="1528"/>
      <c r="BY70" s="1528"/>
      <c r="BZ70" s="1528"/>
      <c r="CA70" s="1528"/>
      <c r="CB70" s="1529"/>
      <c r="CC70"/>
      <c r="CD70"/>
      <c r="CE70"/>
    </row>
    <row r="71" spans="1:83" s="77" customFormat="1" ht="17.100000000000001" customHeight="1">
      <c r="A71" s="1536" t="s">
        <v>14</v>
      </c>
      <c r="B71" s="1537"/>
      <c r="C71" s="1537"/>
      <c r="D71" s="1537"/>
      <c r="E71" s="1537"/>
      <c r="F71" s="1537"/>
      <c r="G71" s="1537"/>
      <c r="H71" s="1537"/>
      <c r="I71" s="1537"/>
      <c r="J71" s="1538"/>
      <c r="K71" s="1538"/>
      <c r="L71" s="1538"/>
      <c r="M71" s="1538"/>
      <c r="N71" s="1538"/>
      <c r="O71" s="1538"/>
      <c r="P71" s="1538"/>
      <c r="Q71" s="1538"/>
      <c r="R71" s="1538"/>
      <c r="S71" s="1538"/>
      <c r="T71" s="1538"/>
      <c r="U71" s="1538"/>
      <c r="V71" s="1538"/>
      <c r="W71" s="1538"/>
      <c r="X71" s="1538"/>
      <c r="Y71" s="1538"/>
      <c r="Z71" s="1538"/>
      <c r="AA71" s="1538"/>
      <c r="AB71" s="1538"/>
      <c r="AC71" s="1538"/>
      <c r="AD71" s="1538"/>
      <c r="AE71" s="1538"/>
      <c r="AF71" s="1538"/>
      <c r="AG71" s="1538"/>
      <c r="AH71" s="1538"/>
      <c r="AI71" s="1538"/>
      <c r="AJ71" s="1538"/>
      <c r="AK71" s="1538"/>
      <c r="AL71" s="1538"/>
      <c r="AM71" s="1538"/>
      <c r="AN71" s="1538"/>
      <c r="AO71" s="1538"/>
      <c r="AP71" s="1538"/>
      <c r="AQ71" s="1538"/>
      <c r="AR71" s="1538"/>
      <c r="AS71" s="1538"/>
      <c r="AT71" s="1538"/>
      <c r="AU71" s="1538"/>
      <c r="AV71" s="1538"/>
      <c r="AW71" s="1528">
        <v>1</v>
      </c>
      <c r="AX71" s="1528"/>
      <c r="AY71" s="1528"/>
      <c r="AZ71" s="1528"/>
      <c r="BA71" s="1528"/>
      <c r="BB71" s="1528"/>
      <c r="BC71" s="1528"/>
      <c r="BD71" s="1528"/>
      <c r="BE71" s="1528"/>
      <c r="BF71" s="1528"/>
      <c r="BG71" s="1528"/>
      <c r="BH71" s="1528"/>
      <c r="BI71" s="1528"/>
      <c r="BJ71" s="1528"/>
      <c r="BK71" s="1528"/>
      <c r="BL71" s="1528"/>
      <c r="BM71" s="1528"/>
      <c r="BN71" s="1528"/>
      <c r="BO71" s="1528"/>
      <c r="BP71" s="1528"/>
      <c r="BQ71" s="1528"/>
      <c r="BR71" s="1528"/>
      <c r="BS71" s="1528"/>
      <c r="BT71" s="1528"/>
      <c r="BU71" s="1528"/>
      <c r="BV71" s="1528"/>
      <c r="BW71" s="1528"/>
      <c r="BX71" s="1528"/>
      <c r="BY71" s="1528"/>
      <c r="BZ71" s="1528"/>
      <c r="CA71" s="1528"/>
      <c r="CB71" s="1529"/>
      <c r="CC71"/>
      <c r="CD71"/>
      <c r="CE71"/>
    </row>
    <row r="72" spans="1:83" s="77" customFormat="1" ht="17.100000000000001" customHeight="1">
      <c r="A72" s="1530" t="s">
        <v>12</v>
      </c>
      <c r="B72" s="1531"/>
      <c r="C72" s="1531"/>
      <c r="D72" s="1531"/>
      <c r="E72" s="1531"/>
      <c r="F72" s="1531"/>
      <c r="G72" s="1531"/>
      <c r="H72" s="1531"/>
      <c r="I72" s="1531"/>
      <c r="J72" s="1532"/>
      <c r="K72" s="1532"/>
      <c r="L72" s="1532"/>
      <c r="M72" s="1532"/>
      <c r="N72" s="1532"/>
      <c r="O72" s="1532"/>
      <c r="P72" s="1532"/>
      <c r="Q72" s="1532"/>
      <c r="R72" s="1532"/>
      <c r="S72" s="1532"/>
      <c r="T72" s="1532"/>
      <c r="U72" s="1532"/>
      <c r="V72" s="1532"/>
      <c r="W72" s="1532"/>
      <c r="X72" s="1532"/>
      <c r="Y72" s="1532"/>
      <c r="Z72" s="1532"/>
      <c r="AA72" s="1532"/>
      <c r="AB72" s="1532"/>
      <c r="AC72" s="1532"/>
      <c r="AD72" s="1532"/>
      <c r="AE72" s="1532"/>
      <c r="AF72" s="1532"/>
      <c r="AG72" s="1532"/>
      <c r="AH72" s="1532"/>
      <c r="AI72" s="1532"/>
      <c r="AJ72" s="1532"/>
      <c r="AK72" s="1532"/>
      <c r="AL72" s="1532"/>
      <c r="AM72" s="1532"/>
      <c r="AN72" s="1532"/>
      <c r="AO72" s="1532"/>
      <c r="AP72" s="1532"/>
      <c r="AQ72" s="1532"/>
      <c r="AR72" s="1532"/>
      <c r="AS72" s="1532"/>
      <c r="AT72" s="1532"/>
      <c r="AU72" s="1532"/>
      <c r="AV72" s="1532"/>
      <c r="AW72" s="1533">
        <v>0</v>
      </c>
      <c r="AX72" s="1534"/>
      <c r="AY72" s="1534"/>
      <c r="AZ72" s="1534"/>
      <c r="BA72" s="1534"/>
      <c r="BB72" s="1534"/>
      <c r="BC72" s="1534"/>
      <c r="BD72" s="1534"/>
      <c r="BE72" s="1534"/>
      <c r="BF72" s="1534"/>
      <c r="BG72" s="1533"/>
      <c r="BH72" s="1534"/>
      <c r="BI72" s="1534"/>
      <c r="BJ72" s="1534"/>
      <c r="BK72" s="1534"/>
      <c r="BL72" s="1534"/>
      <c r="BM72" s="1534"/>
      <c r="BN72" s="1534"/>
      <c r="BO72" s="1534"/>
      <c r="BP72" s="1534"/>
      <c r="BQ72" s="1534"/>
      <c r="BR72" s="1534"/>
      <c r="BS72" s="1534"/>
      <c r="BT72" s="1534"/>
      <c r="BU72" s="1534"/>
      <c r="BV72" s="1534"/>
      <c r="BW72" s="1534"/>
      <c r="BX72" s="1534"/>
      <c r="BY72" s="1534"/>
      <c r="BZ72" s="1534"/>
      <c r="CA72" s="1534"/>
      <c r="CB72" s="1535"/>
      <c r="CC72"/>
      <c r="CD72"/>
      <c r="CE72"/>
    </row>
    <row r="73" spans="1:83" s="77" customFormat="1" ht="17.100000000000001" customHeight="1">
      <c r="A73" s="1518" t="s">
        <v>62</v>
      </c>
      <c r="B73" s="1519"/>
      <c r="C73" s="1519"/>
      <c r="D73" s="1519"/>
      <c r="E73" s="1519"/>
      <c r="F73" s="1519"/>
      <c r="G73" s="1519"/>
      <c r="H73" s="1519"/>
      <c r="I73" s="1519"/>
      <c r="J73" s="1520" t="s">
        <v>522</v>
      </c>
      <c r="K73" s="1520"/>
      <c r="L73" s="1520"/>
      <c r="M73" s="1520"/>
      <c r="N73" s="1520"/>
      <c r="O73" s="1520"/>
      <c r="P73" s="1520"/>
      <c r="Q73" s="1520"/>
      <c r="R73" s="1520"/>
      <c r="S73" s="1520"/>
      <c r="T73" s="1520"/>
      <c r="U73" s="1520"/>
      <c r="V73" s="1520"/>
      <c r="W73" s="1520"/>
      <c r="X73" s="1520"/>
      <c r="Y73" s="1520"/>
      <c r="Z73" s="1520"/>
      <c r="AA73" s="1520"/>
      <c r="AB73" s="1520"/>
      <c r="AC73" s="1520"/>
      <c r="AD73" s="1520"/>
      <c r="AE73" s="1520"/>
      <c r="AF73" s="1520"/>
      <c r="AG73" s="1520"/>
      <c r="AH73" s="1520"/>
      <c r="AI73" s="1520"/>
      <c r="AJ73" s="1520"/>
      <c r="AK73" s="1520"/>
      <c r="AL73" s="1520"/>
      <c r="AM73" s="1520"/>
      <c r="AN73" s="1520"/>
      <c r="AO73" s="1520"/>
      <c r="AP73" s="1520"/>
      <c r="AQ73" s="1520"/>
      <c r="AR73" s="1520"/>
      <c r="AS73" s="1520"/>
      <c r="AT73" s="1520"/>
      <c r="AU73" s="1520"/>
      <c r="AV73" s="1520"/>
      <c r="AW73" s="1520"/>
      <c r="AX73" s="1520"/>
      <c r="AY73" s="1520"/>
      <c r="AZ73" s="1520"/>
      <c r="BA73" s="1520"/>
      <c r="BB73" s="1520"/>
      <c r="BC73" s="1520"/>
      <c r="BD73" s="1520"/>
      <c r="BE73" s="1520"/>
      <c r="BF73" s="1520"/>
      <c r="BG73" s="1520"/>
      <c r="BH73" s="1520"/>
      <c r="BI73" s="1520"/>
      <c r="BJ73" s="1520"/>
      <c r="BK73" s="1520"/>
      <c r="BL73" s="1520"/>
      <c r="BM73" s="1520"/>
      <c r="BN73" s="1520"/>
      <c r="BO73" s="1520"/>
      <c r="BP73" s="1520"/>
      <c r="BQ73" s="1520"/>
      <c r="BR73" s="1520"/>
      <c r="BS73" s="1520"/>
      <c r="BT73" s="1520"/>
      <c r="BU73" s="1520"/>
      <c r="BV73" s="1520"/>
      <c r="BW73" s="1520"/>
      <c r="BX73" s="1520"/>
      <c r="BY73" s="1520"/>
      <c r="BZ73" s="1520"/>
      <c r="CA73" s="1520"/>
      <c r="CB73" s="1521"/>
      <c r="CC73"/>
      <c r="CD73"/>
      <c r="CE73"/>
    </row>
    <row r="74" spans="1:83" ht="17.100000000000001" customHeight="1">
      <c r="A74" s="1282" t="s">
        <v>486</v>
      </c>
      <c r="B74" s="1283"/>
      <c r="C74" s="1283"/>
      <c r="D74" s="1283"/>
      <c r="E74" s="1283"/>
      <c r="F74" s="1283"/>
      <c r="G74" s="1283"/>
      <c r="H74" s="1283"/>
      <c r="I74" s="1283"/>
      <c r="J74" s="1283"/>
      <c r="K74" s="1283"/>
      <c r="L74" s="1283"/>
      <c r="M74" s="1283"/>
      <c r="N74" s="1283"/>
      <c r="O74" s="1283"/>
      <c r="P74" s="1283"/>
      <c r="Q74" s="1283"/>
      <c r="R74" s="1283"/>
      <c r="S74" s="1283"/>
      <c r="T74" s="1283"/>
      <c r="U74" s="1283"/>
      <c r="V74" s="1283"/>
      <c r="W74" s="1283"/>
      <c r="X74" s="1283"/>
      <c r="Y74" s="1283"/>
      <c r="Z74" s="1283"/>
      <c r="AA74" s="1283"/>
      <c r="AB74" s="1283"/>
      <c r="AC74" s="1283"/>
      <c r="AD74" s="1283"/>
      <c r="AE74" s="1283"/>
      <c r="AF74" s="1283"/>
      <c r="AG74" s="1283"/>
      <c r="AH74" s="1283"/>
      <c r="AI74" s="1283"/>
      <c r="AJ74" s="1283"/>
      <c r="AK74" s="1283"/>
      <c r="AL74" s="1283"/>
      <c r="AM74" s="1283"/>
      <c r="AN74" s="1283"/>
      <c r="AO74" s="1283"/>
      <c r="AP74" s="1283"/>
      <c r="AQ74" s="1283"/>
      <c r="AR74" s="1283"/>
      <c r="AS74" s="1283"/>
      <c r="AT74" s="1283"/>
      <c r="AU74" s="1283"/>
      <c r="AV74" s="1283"/>
      <c r="AW74" s="1283"/>
      <c r="AX74" s="1283"/>
      <c r="AY74" s="1283"/>
      <c r="AZ74" s="1283"/>
      <c r="BA74" s="1283"/>
      <c r="BB74" s="1283"/>
      <c r="BC74" s="1283"/>
      <c r="BD74" s="1283"/>
      <c r="BE74" s="1283"/>
      <c r="BF74" s="1283"/>
      <c r="BG74" s="1283"/>
      <c r="BH74" s="1283"/>
      <c r="BI74" s="1283"/>
      <c r="BJ74" s="1283"/>
      <c r="BK74" s="1283"/>
      <c r="BL74" s="1283"/>
      <c r="BM74" s="1283"/>
      <c r="BN74" s="1283"/>
      <c r="BO74" s="1283"/>
      <c r="BP74" s="1283"/>
      <c r="BQ74" s="1283"/>
      <c r="BR74" s="1283"/>
      <c r="BS74" s="1283"/>
      <c r="BT74" s="1283"/>
      <c r="BU74" s="1283"/>
      <c r="BV74" s="1283"/>
      <c r="BW74" s="1283"/>
      <c r="BX74" s="1283"/>
      <c r="BY74" s="1283"/>
      <c r="BZ74" s="1283"/>
      <c r="CA74" s="1283"/>
      <c r="CB74" s="1284"/>
    </row>
    <row r="75" spans="1:83" ht="17.100000000000001" customHeight="1">
      <c r="A75" s="1549"/>
      <c r="B75" s="1550"/>
      <c r="C75" s="1550"/>
      <c r="D75" s="1550"/>
      <c r="E75" s="1550"/>
      <c r="F75" s="1550"/>
      <c r="G75" s="1550"/>
      <c r="H75" s="1550"/>
      <c r="I75" s="1550"/>
      <c r="J75" s="1550"/>
      <c r="K75" s="1550"/>
      <c r="L75" s="1550"/>
      <c r="M75" s="1550"/>
      <c r="N75" s="1550"/>
      <c r="O75" s="1550"/>
      <c r="P75" s="1550"/>
      <c r="Q75" s="1550"/>
      <c r="R75" s="1550"/>
      <c r="S75" s="1550"/>
      <c r="T75" s="1550"/>
      <c r="U75" s="1550"/>
      <c r="V75" s="1550"/>
      <c r="W75" s="1550"/>
      <c r="X75" s="1550"/>
      <c r="Y75" s="1550"/>
      <c r="Z75" s="1550"/>
      <c r="AA75" s="1550"/>
      <c r="AB75" s="1550"/>
      <c r="AC75" s="1550"/>
      <c r="AD75" s="1550"/>
      <c r="AE75" s="1550"/>
      <c r="AF75" s="1550"/>
      <c r="AG75" s="1550"/>
      <c r="AH75" s="1550"/>
      <c r="AI75" s="1550"/>
      <c r="AJ75" s="1550"/>
      <c r="AK75" s="1550"/>
      <c r="AL75" s="1550"/>
      <c r="AM75" s="1550"/>
      <c r="AN75" s="1550"/>
      <c r="AO75" s="1550"/>
      <c r="AP75" s="1550"/>
      <c r="AQ75" s="1550"/>
      <c r="AR75" s="1550"/>
      <c r="AS75" s="1550"/>
      <c r="AT75" s="1550"/>
      <c r="AU75" s="1550"/>
      <c r="AV75" s="1550"/>
      <c r="AW75" s="1550"/>
      <c r="AX75" s="1550"/>
      <c r="AY75" s="1550"/>
      <c r="AZ75" s="1550"/>
      <c r="BA75" s="1550"/>
      <c r="BB75" s="1550"/>
      <c r="BC75" s="1550"/>
      <c r="BD75" s="1550"/>
      <c r="BE75" s="1550"/>
      <c r="BF75" s="1550"/>
      <c r="BG75" s="1550"/>
      <c r="BH75" s="1550"/>
      <c r="BI75" s="1550"/>
      <c r="BJ75" s="1550"/>
      <c r="BK75" s="1550"/>
      <c r="BL75" s="1550"/>
      <c r="BM75" s="1550"/>
      <c r="BN75" s="1550"/>
      <c r="BO75" s="1550"/>
      <c r="BP75" s="1550"/>
      <c r="BQ75" s="1550"/>
      <c r="BR75" s="1550"/>
      <c r="BS75" s="1550"/>
      <c r="BT75" s="1550"/>
      <c r="BU75" s="1550"/>
      <c r="BV75" s="1550"/>
      <c r="BW75" s="1550"/>
      <c r="BX75" s="1550"/>
      <c r="BY75" s="1550"/>
      <c r="BZ75" s="1550"/>
      <c r="CA75" s="1550"/>
      <c r="CB75" s="1551"/>
    </row>
    <row r="76" spans="1:83" ht="17.100000000000001" customHeight="1">
      <c r="A76" s="1543" t="s">
        <v>328</v>
      </c>
      <c r="B76" s="1523"/>
      <c r="C76" s="1523"/>
      <c r="D76" s="1523"/>
      <c r="E76" s="1523"/>
      <c r="F76" s="1523"/>
      <c r="G76" s="1523"/>
      <c r="H76" s="1523"/>
      <c r="I76" s="1523"/>
      <c r="J76" s="1523"/>
      <c r="K76" s="1523"/>
      <c r="L76" s="1524"/>
      <c r="M76" s="1543" t="s">
        <v>544</v>
      </c>
      <c r="N76" s="1543"/>
      <c r="O76" s="1543"/>
      <c r="P76" s="1543"/>
      <c r="Q76" s="1543"/>
      <c r="R76" s="1543"/>
      <c r="S76" s="1543"/>
      <c r="T76" s="1543"/>
      <c r="U76" s="1543"/>
      <c r="V76" s="1543"/>
      <c r="W76" s="1543"/>
      <c r="X76" s="1543"/>
      <c r="Y76" s="1543"/>
      <c r="Z76" s="1543"/>
      <c r="AA76" s="1543"/>
      <c r="AB76" s="1543"/>
      <c r="AC76" s="1543"/>
      <c r="AD76" s="1543"/>
      <c r="AE76" s="1543"/>
      <c r="AF76" s="1543"/>
      <c r="AG76" s="1543"/>
      <c r="AH76" s="1543"/>
      <c r="AI76" s="1543"/>
      <c r="AJ76" s="1543"/>
      <c r="AK76" s="1543"/>
      <c r="AL76" s="1543"/>
      <c r="AM76" s="1543"/>
      <c r="AN76" s="1543"/>
      <c r="AO76" s="1543"/>
      <c r="AP76" s="1543"/>
      <c r="AQ76" s="1543"/>
      <c r="AR76" s="1543"/>
      <c r="AS76" s="1543"/>
      <c r="AT76" s="1543" t="s">
        <v>254</v>
      </c>
      <c r="AU76" s="1543"/>
      <c r="AV76" s="1543"/>
      <c r="AW76" s="1543"/>
      <c r="AX76" s="1543"/>
      <c r="AY76" s="1543"/>
      <c r="AZ76" s="1543"/>
      <c r="BA76" s="1544" t="s">
        <v>485</v>
      </c>
      <c r="BB76" s="1544"/>
      <c r="BC76" s="1544"/>
      <c r="BD76" s="1544"/>
      <c r="BE76" s="1544"/>
      <c r="BF76" s="1544"/>
      <c r="BG76" s="1544"/>
      <c r="BH76" s="1544"/>
      <c r="BI76" s="1544"/>
      <c r="BJ76" s="1544"/>
      <c r="BK76" s="1544"/>
      <c r="BL76" s="1544"/>
      <c r="BM76" s="1544"/>
      <c r="BN76" s="1544"/>
      <c r="BO76" s="1544"/>
      <c r="BP76" s="1544"/>
      <c r="BQ76" s="1544"/>
      <c r="BR76" s="1544"/>
      <c r="BS76" s="1544"/>
      <c r="BT76" s="1544"/>
      <c r="BU76" s="1544"/>
      <c r="BV76" s="1544"/>
      <c r="BW76" s="1544"/>
      <c r="BX76" s="1544"/>
      <c r="BY76" s="1544"/>
      <c r="BZ76" s="1544"/>
      <c r="CA76" s="1544"/>
      <c r="CB76" s="1544"/>
    </row>
    <row r="77" spans="1:83" s="77" customFormat="1" ht="17.100000000000001" customHeight="1">
      <c r="A77" s="1541" t="s">
        <v>225</v>
      </c>
      <c r="B77" s="1539"/>
      <c r="C77" s="1539"/>
      <c r="D77" s="1539"/>
      <c r="E77" s="1539"/>
      <c r="F77" s="1539"/>
      <c r="G77" s="1539"/>
      <c r="H77" s="1539"/>
      <c r="I77" s="1539"/>
      <c r="J77" s="1539"/>
      <c r="K77" s="1539"/>
      <c r="L77" s="1539"/>
      <c r="M77" s="1539"/>
      <c r="N77" s="1539"/>
      <c r="O77" s="1539"/>
      <c r="P77" s="1539"/>
      <c r="Q77" s="1539"/>
      <c r="R77" s="1539"/>
      <c r="S77" s="1505"/>
      <c r="T77" s="1541" t="s">
        <v>76</v>
      </c>
      <c r="U77" s="1539"/>
      <c r="V77" s="1539"/>
      <c r="W77" s="1539"/>
      <c r="X77" s="1539"/>
      <c r="Y77" s="1539"/>
      <c r="Z77" s="1539"/>
      <c r="AA77" s="1539"/>
      <c r="AB77" s="1539"/>
      <c r="AC77" s="1539"/>
      <c r="AD77" s="1539"/>
      <c r="AE77" s="1539"/>
      <c r="AF77" s="1539"/>
      <c r="AG77" s="1539"/>
      <c r="AH77" s="1539"/>
      <c r="AI77" s="1539"/>
      <c r="AJ77" s="1539"/>
      <c r="AK77" s="1539"/>
      <c r="AL77" s="1540"/>
      <c r="AM77" s="1507" t="s">
        <v>77</v>
      </c>
      <c r="AN77" s="1539"/>
      <c r="AO77" s="1539"/>
      <c r="AP77" s="1539"/>
      <c r="AQ77" s="1539"/>
      <c r="AR77" s="1539"/>
      <c r="AS77" s="1539"/>
      <c r="AT77" s="1539"/>
      <c r="AU77" s="1539"/>
      <c r="AV77" s="1539"/>
      <c r="AW77" s="1539"/>
      <c r="AX77" s="1539"/>
      <c r="AY77" s="1539"/>
      <c r="AZ77" s="1539"/>
      <c r="BA77" s="1539"/>
      <c r="BB77" s="1539"/>
      <c r="BC77" s="1539"/>
      <c r="BD77" s="1539"/>
      <c r="BE77" s="1539"/>
      <c r="BF77" s="1505"/>
      <c r="BG77" s="1541" t="s">
        <v>78</v>
      </c>
      <c r="BH77" s="1539"/>
      <c r="BI77" s="1539"/>
      <c r="BJ77" s="1539"/>
      <c r="BK77" s="1539"/>
      <c r="BL77" s="1539"/>
      <c r="BM77" s="1539"/>
      <c r="BN77" s="1539"/>
      <c r="BO77" s="1539"/>
      <c r="BP77" s="1539"/>
      <c r="BQ77" s="1540"/>
      <c r="BR77" s="1507" t="s">
        <v>79</v>
      </c>
      <c r="BS77" s="1539"/>
      <c r="BT77" s="1539"/>
      <c r="BU77" s="1539"/>
      <c r="BV77" s="1539"/>
      <c r="BW77" s="1539"/>
      <c r="BX77" s="1539"/>
      <c r="BY77" s="1539"/>
      <c r="BZ77" s="1539"/>
      <c r="CA77" s="1539"/>
      <c r="CB77" s="1540"/>
    </row>
    <row r="78" spans="1:83" s="77" customFormat="1" ht="17.100000000000001" customHeight="1">
      <c r="A78" s="1513" t="s">
        <v>477</v>
      </c>
      <c r="B78" s="1514"/>
      <c r="C78" s="1514"/>
      <c r="D78" s="1514"/>
      <c r="E78" s="1514"/>
      <c r="F78" s="1514"/>
      <c r="G78" s="1514"/>
      <c r="H78" s="1514"/>
      <c r="I78" s="1514"/>
      <c r="J78" s="1514"/>
      <c r="K78" s="1514"/>
      <c r="L78" s="1514"/>
      <c r="M78" s="1514"/>
      <c r="N78" s="1514"/>
      <c r="O78" s="1514"/>
      <c r="P78" s="1514"/>
      <c r="Q78" s="1514"/>
      <c r="R78" s="1514"/>
      <c r="S78" s="1514"/>
      <c r="T78" s="1514"/>
      <c r="U78" s="1514"/>
      <c r="V78" s="1514"/>
      <c r="W78" s="1514"/>
      <c r="X78" s="1514"/>
      <c r="Y78" s="1514"/>
      <c r="Z78" s="1514"/>
      <c r="AA78" s="1514"/>
      <c r="AB78" s="1514"/>
      <c r="AC78" s="1514"/>
      <c r="AD78" s="1514"/>
      <c r="AE78" s="1514"/>
      <c r="AF78" s="1514"/>
      <c r="AG78" s="1514"/>
      <c r="AH78" s="1514"/>
      <c r="AI78" s="1514"/>
      <c r="AJ78" s="1514"/>
      <c r="AK78" s="1514"/>
      <c r="AL78" s="1514"/>
      <c r="AM78" s="1514" t="s">
        <v>477</v>
      </c>
      <c r="AN78" s="1514"/>
      <c r="AO78" s="1514"/>
      <c r="AP78" s="1514"/>
      <c r="AQ78" s="1514"/>
      <c r="AR78" s="1514"/>
      <c r="AS78" s="1514"/>
      <c r="AT78" s="1514"/>
      <c r="AU78" s="1514"/>
      <c r="AV78" s="1514"/>
      <c r="AW78" s="1514"/>
      <c r="AX78" s="1514"/>
      <c r="AY78" s="1514"/>
      <c r="AZ78" s="1514"/>
      <c r="BA78" s="1514"/>
      <c r="BB78" s="1514"/>
      <c r="BC78" s="1514"/>
      <c r="BD78" s="1514"/>
      <c r="BE78" s="1514"/>
      <c r="BF78" s="1514"/>
      <c r="BG78" s="1514">
        <v>20250</v>
      </c>
      <c r="BH78" s="1514"/>
      <c r="BI78" s="1514"/>
      <c r="BJ78" s="1514"/>
      <c r="BK78" s="1514"/>
      <c r="BL78" s="1514"/>
      <c r="BM78" s="1514"/>
      <c r="BN78" s="1514"/>
      <c r="BO78" s="1514"/>
      <c r="BP78" s="1514"/>
      <c r="BQ78" s="1514"/>
      <c r="BR78" s="1514">
        <v>19237.5</v>
      </c>
      <c r="BS78" s="1514"/>
      <c r="BT78" s="1514"/>
      <c r="BU78" s="1514"/>
      <c r="BV78" s="1514"/>
      <c r="BW78" s="1514"/>
      <c r="BX78" s="1514"/>
      <c r="BY78" s="1514"/>
      <c r="BZ78" s="1514"/>
      <c r="CA78" s="1514"/>
      <c r="CB78" s="1514"/>
    </row>
    <row r="79" spans="1:83" s="77" customFormat="1" ht="17.100000000000001" customHeight="1">
      <c r="A79" s="1541" t="s">
        <v>83</v>
      </c>
      <c r="B79" s="1539"/>
      <c r="C79" s="1539"/>
      <c r="D79" s="1539"/>
      <c r="E79" s="1539"/>
      <c r="F79" s="1539"/>
      <c r="G79" s="1539"/>
      <c r="H79" s="1539"/>
      <c r="I79" s="1539"/>
      <c r="J79" s="1539" t="s">
        <v>203</v>
      </c>
      <c r="K79" s="1539"/>
      <c r="L79" s="1539"/>
      <c r="M79" s="1539"/>
      <c r="N79" s="1539"/>
      <c r="O79" s="1539"/>
      <c r="P79" s="1539"/>
      <c r="Q79" s="1539"/>
      <c r="R79" s="1539"/>
      <c r="S79" s="1539"/>
      <c r="T79" s="1539" t="s">
        <v>81</v>
      </c>
      <c r="U79" s="1539"/>
      <c r="V79" s="1539"/>
      <c r="W79" s="1539"/>
      <c r="X79" s="1539"/>
      <c r="Y79" s="1539"/>
      <c r="Z79" s="1539"/>
      <c r="AA79" s="1539"/>
      <c r="AB79" s="1539"/>
      <c r="AC79" s="1539" t="s">
        <v>10</v>
      </c>
      <c r="AD79" s="1539"/>
      <c r="AE79" s="1539"/>
      <c r="AF79" s="1539"/>
      <c r="AG79" s="1539"/>
      <c r="AH79" s="1539"/>
      <c r="AI79" s="1539"/>
      <c r="AJ79" s="1539"/>
      <c r="AK79" s="1539"/>
      <c r="AL79" s="1539"/>
      <c r="AM79" s="1542" t="s">
        <v>255</v>
      </c>
      <c r="AN79" s="1542"/>
      <c r="AO79" s="1542"/>
      <c r="AP79" s="1542"/>
      <c r="AQ79" s="1542"/>
      <c r="AR79" s="1542"/>
      <c r="AS79" s="1542"/>
      <c r="AT79" s="1542"/>
      <c r="AU79" s="1542"/>
      <c r="AV79" s="1542"/>
      <c r="AW79" s="1539" t="s">
        <v>83</v>
      </c>
      <c r="AX79" s="1539"/>
      <c r="AY79" s="1539"/>
      <c r="AZ79" s="1539"/>
      <c r="BA79" s="1539"/>
      <c r="BB79" s="1539"/>
      <c r="BC79" s="1539"/>
      <c r="BD79" s="1539"/>
      <c r="BE79" s="1539"/>
      <c r="BF79" s="1539"/>
      <c r="BG79" s="1539" t="s">
        <v>84</v>
      </c>
      <c r="BH79" s="1539"/>
      <c r="BI79" s="1539"/>
      <c r="BJ79" s="1539"/>
      <c r="BK79" s="1539"/>
      <c r="BL79" s="1539"/>
      <c r="BM79" s="1539"/>
      <c r="BN79" s="1539"/>
      <c r="BO79" s="1539"/>
      <c r="BP79" s="1539" t="s">
        <v>226</v>
      </c>
      <c r="BQ79" s="1539"/>
      <c r="BR79" s="1539"/>
      <c r="BS79" s="1539"/>
      <c r="BT79" s="1539"/>
      <c r="BU79" s="1539"/>
      <c r="BV79" s="1539"/>
      <c r="BW79" s="1539"/>
      <c r="BX79" s="1539"/>
      <c r="BY79" s="1539"/>
      <c r="BZ79" s="1539"/>
      <c r="CA79" s="1539"/>
      <c r="CB79" s="1540"/>
    </row>
    <row r="80" spans="1:83" s="77" customFormat="1" ht="17.100000000000001" customHeight="1">
      <c r="A80" s="1536" t="s">
        <v>86</v>
      </c>
      <c r="B80" s="1537"/>
      <c r="C80" s="1537"/>
      <c r="D80" s="1537"/>
      <c r="E80" s="1537"/>
      <c r="F80" s="1537"/>
      <c r="G80" s="1537"/>
      <c r="H80" s="1537"/>
      <c r="I80" s="1537"/>
      <c r="J80" s="1538"/>
      <c r="K80" s="1538"/>
      <c r="L80" s="1538"/>
      <c r="M80" s="1538"/>
      <c r="N80" s="1538"/>
      <c r="O80" s="1538"/>
      <c r="P80" s="1538"/>
      <c r="Q80" s="1538"/>
      <c r="R80" s="1538"/>
      <c r="S80" s="1538"/>
      <c r="T80" s="1538"/>
      <c r="U80" s="1538"/>
      <c r="V80" s="1538"/>
      <c r="W80" s="1538"/>
      <c r="X80" s="1538"/>
      <c r="Y80" s="1538"/>
      <c r="Z80" s="1538"/>
      <c r="AA80" s="1538"/>
      <c r="AB80" s="1538"/>
      <c r="AC80" s="1538"/>
      <c r="AD80" s="1538"/>
      <c r="AE80" s="1538"/>
      <c r="AF80" s="1538"/>
      <c r="AG80" s="1538"/>
      <c r="AH80" s="1538"/>
      <c r="AI80" s="1538"/>
      <c r="AJ80" s="1538"/>
      <c r="AK80" s="1538"/>
      <c r="AL80" s="1538"/>
      <c r="AM80" s="1538"/>
      <c r="AN80" s="1538"/>
      <c r="AO80" s="1538"/>
      <c r="AP80" s="1538"/>
      <c r="AQ80" s="1538"/>
      <c r="AR80" s="1538"/>
      <c r="AS80" s="1538"/>
      <c r="AT80" s="1538"/>
      <c r="AU80" s="1538"/>
      <c r="AV80" s="1538"/>
      <c r="AW80" s="1528">
        <v>1</v>
      </c>
      <c r="AX80" s="1528"/>
      <c r="AY80" s="1528"/>
      <c r="AZ80" s="1528"/>
      <c r="BA80" s="1528"/>
      <c r="BB80" s="1528"/>
      <c r="BC80" s="1528"/>
      <c r="BD80" s="1528"/>
      <c r="BE80" s="1528"/>
      <c r="BF80" s="1528"/>
      <c r="BG80" s="1528"/>
      <c r="BH80" s="1528"/>
      <c r="BI80" s="1528"/>
      <c r="BJ80" s="1528"/>
      <c r="BK80" s="1528"/>
      <c r="BL80" s="1528"/>
      <c r="BM80" s="1528"/>
      <c r="BN80" s="1528"/>
      <c r="BO80" s="1528"/>
      <c r="BP80" s="1528"/>
      <c r="BQ80" s="1528"/>
      <c r="BR80" s="1528"/>
      <c r="BS80" s="1528"/>
      <c r="BT80" s="1528"/>
      <c r="BU80" s="1528"/>
      <c r="BV80" s="1528"/>
      <c r="BW80" s="1528"/>
      <c r="BX80" s="1528"/>
      <c r="BY80" s="1528"/>
      <c r="BZ80" s="1528"/>
      <c r="CA80" s="1528"/>
      <c r="CB80" s="1529"/>
    </row>
    <row r="81" spans="1:83" s="77" customFormat="1" ht="17.100000000000001" customHeight="1">
      <c r="A81" s="1536" t="s">
        <v>14</v>
      </c>
      <c r="B81" s="1537"/>
      <c r="C81" s="1537"/>
      <c r="D81" s="1537"/>
      <c r="E81" s="1537"/>
      <c r="F81" s="1537"/>
      <c r="G81" s="1537"/>
      <c r="H81" s="1537"/>
      <c r="I81" s="1537"/>
      <c r="J81" s="1538"/>
      <c r="K81" s="1538"/>
      <c r="L81" s="1538"/>
      <c r="M81" s="1538"/>
      <c r="N81" s="1538"/>
      <c r="O81" s="1538"/>
      <c r="P81" s="1538"/>
      <c r="Q81" s="1538"/>
      <c r="R81" s="1538"/>
      <c r="S81" s="1538"/>
      <c r="T81" s="1538"/>
      <c r="U81" s="1538"/>
      <c r="V81" s="1538"/>
      <c r="W81" s="1538"/>
      <c r="X81" s="1538"/>
      <c r="Y81" s="1538"/>
      <c r="Z81" s="1538"/>
      <c r="AA81" s="1538"/>
      <c r="AB81" s="1538"/>
      <c r="AC81" s="1538"/>
      <c r="AD81" s="1538"/>
      <c r="AE81" s="1538"/>
      <c r="AF81" s="1538"/>
      <c r="AG81" s="1538"/>
      <c r="AH81" s="1538"/>
      <c r="AI81" s="1538"/>
      <c r="AJ81" s="1538"/>
      <c r="AK81" s="1538"/>
      <c r="AL81" s="1538"/>
      <c r="AM81" s="1538"/>
      <c r="AN81" s="1538"/>
      <c r="AO81" s="1538"/>
      <c r="AP81" s="1538"/>
      <c r="AQ81" s="1538"/>
      <c r="AR81" s="1538"/>
      <c r="AS81" s="1538"/>
      <c r="AT81" s="1538"/>
      <c r="AU81" s="1538"/>
      <c r="AV81" s="1538"/>
      <c r="AW81" s="1528">
        <v>1</v>
      </c>
      <c r="AX81" s="1528"/>
      <c r="AY81" s="1528"/>
      <c r="AZ81" s="1528"/>
      <c r="BA81" s="1528"/>
      <c r="BB81" s="1528"/>
      <c r="BC81" s="1528"/>
      <c r="BD81" s="1528"/>
      <c r="BE81" s="1528"/>
      <c r="BF81" s="1528"/>
      <c r="BG81" s="1528"/>
      <c r="BH81" s="1528"/>
      <c r="BI81" s="1528"/>
      <c r="BJ81" s="1528"/>
      <c r="BK81" s="1528"/>
      <c r="BL81" s="1528"/>
      <c r="BM81" s="1528"/>
      <c r="BN81" s="1528"/>
      <c r="BO81" s="1528"/>
      <c r="BP81" s="1528"/>
      <c r="BQ81" s="1528"/>
      <c r="BR81" s="1528"/>
      <c r="BS81" s="1528"/>
      <c r="BT81" s="1528"/>
      <c r="BU81" s="1528"/>
      <c r="BV81" s="1528"/>
      <c r="BW81" s="1528"/>
      <c r="BX81" s="1528"/>
      <c r="BY81" s="1528"/>
      <c r="BZ81" s="1528"/>
      <c r="CA81" s="1528"/>
      <c r="CB81" s="1529"/>
    </row>
    <row r="82" spans="1:83" s="77" customFormat="1" ht="17.100000000000001" customHeight="1">
      <c r="A82" s="1530" t="s">
        <v>12</v>
      </c>
      <c r="B82" s="1531"/>
      <c r="C82" s="1531"/>
      <c r="D82" s="1531"/>
      <c r="E82" s="1531"/>
      <c r="F82" s="1531"/>
      <c r="G82" s="1531"/>
      <c r="H82" s="1531"/>
      <c r="I82" s="1531"/>
      <c r="J82" s="1532"/>
      <c r="K82" s="1532"/>
      <c r="L82" s="1532"/>
      <c r="M82" s="1532"/>
      <c r="N82" s="1532"/>
      <c r="O82" s="1532"/>
      <c r="P82" s="1532"/>
      <c r="Q82" s="1532"/>
      <c r="R82" s="1532"/>
      <c r="S82" s="1532"/>
      <c r="T82" s="1532"/>
      <c r="U82" s="1532"/>
      <c r="V82" s="1532"/>
      <c r="W82" s="1532"/>
      <c r="X82" s="1532"/>
      <c r="Y82" s="1532"/>
      <c r="Z82" s="1532"/>
      <c r="AA82" s="1532"/>
      <c r="AB82" s="1532"/>
      <c r="AC82" s="1532"/>
      <c r="AD82" s="1532"/>
      <c r="AE82" s="1532"/>
      <c r="AF82" s="1532"/>
      <c r="AG82" s="1532"/>
      <c r="AH82" s="1532"/>
      <c r="AI82" s="1532"/>
      <c r="AJ82" s="1532"/>
      <c r="AK82" s="1532"/>
      <c r="AL82" s="1532"/>
      <c r="AM82" s="1532"/>
      <c r="AN82" s="1532"/>
      <c r="AO82" s="1532"/>
      <c r="AP82" s="1532"/>
      <c r="AQ82" s="1532"/>
      <c r="AR82" s="1532"/>
      <c r="AS82" s="1532"/>
      <c r="AT82" s="1532"/>
      <c r="AU82" s="1532"/>
      <c r="AV82" s="1532"/>
      <c r="AW82" s="1533">
        <v>0</v>
      </c>
      <c r="AX82" s="1534"/>
      <c r="AY82" s="1534"/>
      <c r="AZ82" s="1534"/>
      <c r="BA82" s="1534"/>
      <c r="BB82" s="1534"/>
      <c r="BC82" s="1534"/>
      <c r="BD82" s="1534"/>
      <c r="BE82" s="1534"/>
      <c r="BF82" s="1534"/>
      <c r="BG82" s="1533"/>
      <c r="BH82" s="1534"/>
      <c r="BI82" s="1534"/>
      <c r="BJ82" s="1534"/>
      <c r="BK82" s="1534"/>
      <c r="BL82" s="1534"/>
      <c r="BM82" s="1534"/>
      <c r="BN82" s="1534"/>
      <c r="BO82" s="1534"/>
      <c r="BP82" s="1534"/>
      <c r="BQ82" s="1534"/>
      <c r="BR82" s="1534"/>
      <c r="BS82" s="1534"/>
      <c r="BT82" s="1534"/>
      <c r="BU82" s="1534"/>
      <c r="BV82" s="1534"/>
      <c r="BW82" s="1534"/>
      <c r="BX82" s="1534"/>
      <c r="BY82" s="1534"/>
      <c r="BZ82" s="1534"/>
      <c r="CA82" s="1534"/>
      <c r="CB82" s="1535"/>
    </row>
    <row r="83" spans="1:83" s="77" customFormat="1" ht="17.100000000000001" customHeight="1">
      <c r="A83" s="1518" t="s">
        <v>62</v>
      </c>
      <c r="B83" s="1519"/>
      <c r="C83" s="1519"/>
      <c r="D83" s="1519"/>
      <c r="E83" s="1519"/>
      <c r="F83" s="1519"/>
      <c r="G83" s="1519"/>
      <c r="H83" s="1519"/>
      <c r="I83" s="1519"/>
      <c r="J83" s="1520" t="s">
        <v>268</v>
      </c>
      <c r="K83" s="1520"/>
      <c r="L83" s="1520"/>
      <c r="M83" s="1520"/>
      <c r="N83" s="1520"/>
      <c r="O83" s="1520"/>
      <c r="P83" s="1520"/>
      <c r="Q83" s="1520"/>
      <c r="R83" s="1520"/>
      <c r="S83" s="1520"/>
      <c r="T83" s="1520"/>
      <c r="U83" s="1520"/>
      <c r="V83" s="1520"/>
      <c r="W83" s="1520"/>
      <c r="X83" s="1520"/>
      <c r="Y83" s="1520"/>
      <c r="Z83" s="1520"/>
      <c r="AA83" s="1520"/>
      <c r="AB83" s="1520"/>
      <c r="AC83" s="1520"/>
      <c r="AD83" s="1520"/>
      <c r="AE83" s="1520"/>
      <c r="AF83" s="1520"/>
      <c r="AG83" s="1520"/>
      <c r="AH83" s="1520"/>
      <c r="AI83" s="1520"/>
      <c r="AJ83" s="1520"/>
      <c r="AK83" s="1520"/>
      <c r="AL83" s="1520"/>
      <c r="AM83" s="1520"/>
      <c r="AN83" s="1520"/>
      <c r="AO83" s="1520"/>
      <c r="AP83" s="1520"/>
      <c r="AQ83" s="1520"/>
      <c r="AR83" s="1520"/>
      <c r="AS83" s="1520"/>
      <c r="AT83" s="1520"/>
      <c r="AU83" s="1520"/>
      <c r="AV83" s="1520"/>
      <c r="AW83" s="1520"/>
      <c r="AX83" s="1520"/>
      <c r="AY83" s="1520"/>
      <c r="AZ83" s="1520"/>
      <c r="BA83" s="1520"/>
      <c r="BB83" s="1520"/>
      <c r="BC83" s="1520"/>
      <c r="BD83" s="1520"/>
      <c r="BE83" s="1520"/>
      <c r="BF83" s="1520"/>
      <c r="BG83" s="1520"/>
      <c r="BH83" s="1520"/>
      <c r="BI83" s="1520"/>
      <c r="BJ83" s="1520"/>
      <c r="BK83" s="1520"/>
      <c r="BL83" s="1520"/>
      <c r="BM83" s="1520"/>
      <c r="BN83" s="1520"/>
      <c r="BO83" s="1520"/>
      <c r="BP83" s="1520"/>
      <c r="BQ83" s="1520"/>
      <c r="BR83" s="1520"/>
      <c r="BS83" s="1520"/>
      <c r="BT83" s="1520"/>
      <c r="BU83" s="1520"/>
      <c r="BV83" s="1520"/>
      <c r="BW83" s="1520"/>
      <c r="BX83" s="1520"/>
      <c r="BY83" s="1520"/>
      <c r="BZ83" s="1520"/>
      <c r="CA83" s="1520"/>
      <c r="CB83" s="1521"/>
    </row>
    <row r="84" spans="1:83" ht="17.100000000000001" customHeight="1">
      <c r="A84" s="1480"/>
      <c r="B84" s="1481"/>
      <c r="C84" s="1481"/>
      <c r="D84" s="1481"/>
      <c r="E84" s="1481"/>
      <c r="F84" s="1481"/>
      <c r="G84" s="1481"/>
      <c r="H84" s="1481"/>
      <c r="I84" s="1481"/>
      <c r="J84" s="1481"/>
      <c r="K84" s="1481"/>
      <c r="L84" s="1481"/>
      <c r="M84" s="1481"/>
      <c r="N84" s="1481"/>
      <c r="O84" s="1481"/>
      <c r="P84" s="1481"/>
      <c r="Q84" s="1481"/>
      <c r="R84" s="1481"/>
      <c r="S84" s="1481"/>
      <c r="T84" s="1481"/>
      <c r="U84" s="1481"/>
      <c r="V84" s="1481"/>
      <c r="W84" s="1481"/>
      <c r="X84" s="1481"/>
      <c r="Y84" s="1481"/>
      <c r="Z84" s="1481"/>
      <c r="AA84" s="1481"/>
      <c r="AB84" s="1481"/>
      <c r="AC84" s="1481"/>
      <c r="AD84" s="1481"/>
      <c r="AE84" s="1481"/>
      <c r="AF84" s="1481"/>
      <c r="AG84" s="1481"/>
      <c r="AH84" s="1481"/>
      <c r="AI84" s="1481"/>
      <c r="AJ84" s="1481"/>
      <c r="AK84" s="1481"/>
      <c r="AL84" s="1481"/>
      <c r="AM84" s="1481"/>
      <c r="AN84" s="1481"/>
      <c r="AO84" s="1481"/>
      <c r="AP84" s="1481"/>
      <c r="AQ84" s="1481"/>
      <c r="AR84" s="1481"/>
      <c r="AS84" s="1481"/>
      <c r="AT84" s="1481"/>
      <c r="AU84" s="1481"/>
      <c r="AV84" s="1481"/>
      <c r="AW84" s="1481"/>
      <c r="AX84" s="1481"/>
      <c r="AY84" s="1481"/>
      <c r="AZ84" s="1481"/>
      <c r="BA84" s="1481"/>
      <c r="BB84" s="1481"/>
      <c r="BC84" s="1481"/>
      <c r="BD84" s="1481"/>
      <c r="BE84" s="1481"/>
      <c r="BF84" s="1481"/>
      <c r="BG84" s="1481"/>
      <c r="BH84" s="1481"/>
      <c r="BI84" s="1481"/>
      <c r="BJ84" s="1481"/>
      <c r="BK84" s="1481"/>
      <c r="BL84" s="1481"/>
      <c r="BM84" s="1481"/>
      <c r="BN84" s="1481"/>
      <c r="BO84" s="1481"/>
      <c r="BP84" s="1481"/>
      <c r="BQ84" s="1481"/>
      <c r="BR84" s="1481"/>
      <c r="BS84" s="1481"/>
      <c r="BT84" s="1481"/>
      <c r="BU84" s="1481"/>
      <c r="BV84" s="1481"/>
      <c r="BW84" s="1481"/>
      <c r="BX84" s="1481"/>
      <c r="BY84" s="1481"/>
      <c r="BZ84" s="1481"/>
      <c r="CA84" s="1481"/>
      <c r="CB84" s="1482"/>
    </row>
    <row r="85" spans="1:83" ht="17.100000000000001" customHeight="1">
      <c r="A85" s="1282" t="s">
        <v>545</v>
      </c>
      <c r="B85" s="1283"/>
      <c r="C85" s="1283"/>
      <c r="D85" s="1283"/>
      <c r="E85" s="1283"/>
      <c r="F85" s="1283"/>
      <c r="G85" s="1283"/>
      <c r="H85" s="1283"/>
      <c r="I85" s="1283"/>
      <c r="J85" s="1283"/>
      <c r="K85" s="1283"/>
      <c r="L85" s="1283"/>
      <c r="M85" s="1283"/>
      <c r="N85" s="1283"/>
      <c r="O85" s="1283"/>
      <c r="P85" s="1283"/>
      <c r="Q85" s="1283"/>
      <c r="R85" s="1283"/>
      <c r="S85" s="1283"/>
      <c r="T85" s="1283"/>
      <c r="U85" s="1283"/>
      <c r="V85" s="1283"/>
      <c r="W85" s="1283"/>
      <c r="X85" s="1283"/>
      <c r="Y85" s="1283"/>
      <c r="Z85" s="1283"/>
      <c r="AA85" s="1283"/>
      <c r="AB85" s="1283"/>
      <c r="AC85" s="1283"/>
      <c r="AD85" s="1283"/>
      <c r="AE85" s="1283"/>
      <c r="AF85" s="1283"/>
      <c r="AG85" s="1283"/>
      <c r="AH85" s="1283"/>
      <c r="AI85" s="1283"/>
      <c r="AJ85" s="1283"/>
      <c r="AK85" s="1283"/>
      <c r="AL85" s="1283"/>
      <c r="AM85" s="1283"/>
      <c r="AN85" s="1283"/>
      <c r="AO85" s="1283"/>
      <c r="AP85" s="1283"/>
      <c r="AQ85" s="1283"/>
      <c r="AR85" s="1283"/>
      <c r="AS85" s="1283"/>
      <c r="AT85" s="1283"/>
      <c r="AU85" s="1283"/>
      <c r="AV85" s="1283"/>
      <c r="AW85" s="1283"/>
      <c r="AX85" s="1283"/>
      <c r="AY85" s="1283"/>
      <c r="AZ85" s="1283"/>
      <c r="BA85" s="1283"/>
      <c r="BB85" s="1283"/>
      <c r="BC85" s="1283"/>
      <c r="BD85" s="1283"/>
      <c r="BE85" s="1283"/>
      <c r="BF85" s="1283"/>
      <c r="BG85" s="1283"/>
      <c r="BH85" s="1283"/>
      <c r="BI85" s="1283"/>
      <c r="BJ85" s="1283"/>
      <c r="BK85" s="1283"/>
      <c r="BL85" s="1283"/>
      <c r="BM85" s="1283"/>
      <c r="BN85" s="1283"/>
      <c r="BO85" s="1283"/>
      <c r="BP85" s="1283"/>
      <c r="BQ85" s="1283"/>
      <c r="BR85" s="1283"/>
      <c r="BS85" s="1283"/>
      <c r="BT85" s="1283"/>
      <c r="BU85" s="1283"/>
      <c r="BV85" s="1283"/>
      <c r="BW85" s="1283"/>
      <c r="BX85" s="1283"/>
      <c r="BY85" s="1283"/>
      <c r="BZ85" s="1283"/>
      <c r="CA85" s="1283"/>
      <c r="CB85" s="1284"/>
    </row>
    <row r="86" spans="1:83" ht="17.100000000000001" customHeight="1">
      <c r="A86" s="1543" t="s">
        <v>328</v>
      </c>
      <c r="B86" s="1523"/>
      <c r="C86" s="1523"/>
      <c r="D86" s="1523"/>
      <c r="E86" s="1523"/>
      <c r="F86" s="1523"/>
      <c r="G86" s="1523"/>
      <c r="H86" s="1523"/>
      <c r="I86" s="1523"/>
      <c r="J86" s="1523"/>
      <c r="K86" s="1523"/>
      <c r="L86" s="1524"/>
      <c r="M86" s="1543" t="s">
        <v>490</v>
      </c>
      <c r="N86" s="1543"/>
      <c r="O86" s="1543"/>
      <c r="P86" s="1543"/>
      <c r="Q86" s="1543"/>
      <c r="R86" s="1543"/>
      <c r="S86" s="1543"/>
      <c r="T86" s="1543"/>
      <c r="U86" s="1543"/>
      <c r="V86" s="1543"/>
      <c r="W86" s="1543"/>
      <c r="X86" s="1543"/>
      <c r="Y86" s="1543"/>
      <c r="Z86" s="1543"/>
      <c r="AA86" s="1543"/>
      <c r="AB86" s="1543"/>
      <c r="AC86" s="1543"/>
      <c r="AD86" s="1543"/>
      <c r="AE86" s="1543"/>
      <c r="AF86" s="1543"/>
      <c r="AG86" s="1543"/>
      <c r="AH86" s="1543"/>
      <c r="AI86" s="1543"/>
      <c r="AJ86" s="1543"/>
      <c r="AK86" s="1543"/>
      <c r="AL86" s="1543"/>
      <c r="AM86" s="1543"/>
      <c r="AN86" s="1543"/>
      <c r="AO86" s="1543"/>
      <c r="AP86" s="1543"/>
      <c r="AQ86" s="1543"/>
      <c r="AR86" s="1543"/>
      <c r="AS86" s="1543"/>
      <c r="AT86" s="1543" t="s">
        <v>254</v>
      </c>
      <c r="AU86" s="1543"/>
      <c r="AV86" s="1543"/>
      <c r="AW86" s="1543"/>
      <c r="AX86" s="1543"/>
      <c r="AY86" s="1543"/>
      <c r="AZ86" s="1543"/>
      <c r="BA86" s="1544" t="s">
        <v>491</v>
      </c>
      <c r="BB86" s="1544"/>
      <c r="BC86" s="1544"/>
      <c r="BD86" s="1544"/>
      <c r="BE86" s="1544"/>
      <c r="BF86" s="1544"/>
      <c r="BG86" s="1544"/>
      <c r="BH86" s="1544"/>
      <c r="BI86" s="1544"/>
      <c r="BJ86" s="1544"/>
      <c r="BK86" s="1544"/>
      <c r="BL86" s="1544"/>
      <c r="BM86" s="1544"/>
      <c r="BN86" s="1544"/>
      <c r="BO86" s="1544"/>
      <c r="BP86" s="1544"/>
      <c r="BQ86" s="1544"/>
      <c r="BR86" s="1544"/>
      <c r="BS86" s="1544"/>
      <c r="BT86" s="1544"/>
      <c r="BU86" s="1544"/>
      <c r="BV86" s="1544"/>
      <c r="BW86" s="1544"/>
      <c r="BX86" s="1544"/>
      <c r="BY86" s="1544"/>
      <c r="BZ86" s="1544"/>
      <c r="CA86" s="1544"/>
      <c r="CB86" s="1544"/>
    </row>
    <row r="87" spans="1:83" s="77" customFormat="1" ht="17.100000000000001" customHeight="1">
      <c r="A87" s="1541" t="s">
        <v>225</v>
      </c>
      <c r="B87" s="1539"/>
      <c r="C87" s="1539"/>
      <c r="D87" s="1539"/>
      <c r="E87" s="1539"/>
      <c r="F87" s="1539"/>
      <c r="G87" s="1539"/>
      <c r="H87" s="1539"/>
      <c r="I87" s="1539"/>
      <c r="J87" s="1539"/>
      <c r="K87" s="1539"/>
      <c r="L87" s="1539"/>
      <c r="M87" s="1539"/>
      <c r="N87" s="1539"/>
      <c r="O87" s="1539"/>
      <c r="P87" s="1539"/>
      <c r="Q87" s="1539"/>
      <c r="R87" s="1539"/>
      <c r="S87" s="1505"/>
      <c r="T87" s="1541" t="s">
        <v>76</v>
      </c>
      <c r="U87" s="1539"/>
      <c r="V87" s="1539"/>
      <c r="W87" s="1539"/>
      <c r="X87" s="1539"/>
      <c r="Y87" s="1539"/>
      <c r="Z87" s="1539"/>
      <c r="AA87" s="1539"/>
      <c r="AB87" s="1539"/>
      <c r="AC87" s="1539"/>
      <c r="AD87" s="1539"/>
      <c r="AE87" s="1539"/>
      <c r="AF87" s="1539"/>
      <c r="AG87" s="1539"/>
      <c r="AH87" s="1539"/>
      <c r="AI87" s="1539"/>
      <c r="AJ87" s="1539"/>
      <c r="AK87" s="1539"/>
      <c r="AL87" s="1540"/>
      <c r="AM87" s="1507" t="s">
        <v>77</v>
      </c>
      <c r="AN87" s="1539"/>
      <c r="AO87" s="1539"/>
      <c r="AP87" s="1539"/>
      <c r="AQ87" s="1539"/>
      <c r="AR87" s="1539"/>
      <c r="AS87" s="1539"/>
      <c r="AT87" s="1539"/>
      <c r="AU87" s="1539"/>
      <c r="AV87" s="1539"/>
      <c r="AW87" s="1539"/>
      <c r="AX87" s="1539"/>
      <c r="AY87" s="1539"/>
      <c r="AZ87" s="1539"/>
      <c r="BA87" s="1539"/>
      <c r="BB87" s="1539"/>
      <c r="BC87" s="1539"/>
      <c r="BD87" s="1539"/>
      <c r="BE87" s="1539"/>
      <c r="BF87" s="1505"/>
      <c r="BG87" s="1541" t="s">
        <v>78</v>
      </c>
      <c r="BH87" s="1539"/>
      <c r="BI87" s="1539"/>
      <c r="BJ87" s="1539"/>
      <c r="BK87" s="1539"/>
      <c r="BL87" s="1539"/>
      <c r="BM87" s="1539"/>
      <c r="BN87" s="1539"/>
      <c r="BO87" s="1539"/>
      <c r="BP87" s="1539"/>
      <c r="BQ87" s="1540"/>
      <c r="BR87" s="1507" t="s">
        <v>79</v>
      </c>
      <c r="BS87" s="1539"/>
      <c r="BT87" s="1539"/>
      <c r="BU87" s="1539"/>
      <c r="BV87" s="1539"/>
      <c r="BW87" s="1539"/>
      <c r="BX87" s="1539"/>
      <c r="BY87" s="1539"/>
      <c r="BZ87" s="1539"/>
      <c r="CA87" s="1539"/>
      <c r="CB87" s="1540"/>
      <c r="CC87"/>
      <c r="CD87"/>
      <c r="CE87"/>
    </row>
    <row r="88" spans="1:83" s="77" customFormat="1" ht="17.100000000000001" customHeight="1">
      <c r="A88" s="1513">
        <v>116730</v>
      </c>
      <c r="B88" s="1514"/>
      <c r="C88" s="1514"/>
      <c r="D88" s="1514"/>
      <c r="E88" s="1514"/>
      <c r="F88" s="1514"/>
      <c r="G88" s="1514"/>
      <c r="H88" s="1514"/>
      <c r="I88" s="1514"/>
      <c r="J88" s="1514"/>
      <c r="K88" s="1514"/>
      <c r="L88" s="1514"/>
      <c r="M88" s="1514"/>
      <c r="N88" s="1514"/>
      <c r="O88" s="1514"/>
      <c r="P88" s="1514"/>
      <c r="Q88" s="1514"/>
      <c r="R88" s="1514"/>
      <c r="S88" s="1514"/>
      <c r="T88" s="1514">
        <v>6480</v>
      </c>
      <c r="U88" s="1514"/>
      <c r="V88" s="1514"/>
      <c r="W88" s="1514"/>
      <c r="X88" s="1514"/>
      <c r="Y88" s="1514"/>
      <c r="Z88" s="1514"/>
      <c r="AA88" s="1514"/>
      <c r="AB88" s="1514"/>
      <c r="AC88" s="1514"/>
      <c r="AD88" s="1514"/>
      <c r="AE88" s="1514"/>
      <c r="AF88" s="1514"/>
      <c r="AG88" s="1514"/>
      <c r="AH88" s="1514"/>
      <c r="AI88" s="1514"/>
      <c r="AJ88" s="1514"/>
      <c r="AK88" s="1514"/>
      <c r="AL88" s="1514"/>
      <c r="AM88" s="1514">
        <f>A88+T88</f>
        <v>123210</v>
      </c>
      <c r="AN88" s="1514"/>
      <c r="AO88" s="1514"/>
      <c r="AP88" s="1514"/>
      <c r="AQ88" s="1514"/>
      <c r="AR88" s="1514"/>
      <c r="AS88" s="1514"/>
      <c r="AT88" s="1514"/>
      <c r="AU88" s="1514"/>
      <c r="AV88" s="1514"/>
      <c r="AW88" s="1514"/>
      <c r="AX88" s="1514"/>
      <c r="AY88" s="1514"/>
      <c r="AZ88" s="1514"/>
      <c r="BA88" s="1514"/>
      <c r="BB88" s="1514"/>
      <c r="BC88" s="1514"/>
      <c r="BD88" s="1514"/>
      <c r="BE88" s="1514"/>
      <c r="BF88" s="1514"/>
      <c r="BG88" s="1514">
        <v>90677.5</v>
      </c>
      <c r="BH88" s="1514"/>
      <c r="BI88" s="1514"/>
      <c r="BJ88" s="1514"/>
      <c r="BK88" s="1514"/>
      <c r="BL88" s="1514"/>
      <c r="BM88" s="1514"/>
      <c r="BN88" s="1514"/>
      <c r="BO88" s="1514"/>
      <c r="BP88" s="1514"/>
      <c r="BQ88" s="1514"/>
      <c r="BR88" s="1514">
        <v>90677.5</v>
      </c>
      <c r="BS88" s="1514"/>
      <c r="BT88" s="1514"/>
      <c r="BU88" s="1514"/>
      <c r="BV88" s="1514"/>
      <c r="BW88" s="1514"/>
      <c r="BX88" s="1514"/>
      <c r="BY88" s="1514"/>
      <c r="BZ88" s="1514"/>
      <c r="CA88" s="1514"/>
      <c r="CB88" s="1514"/>
      <c r="CC88"/>
      <c r="CD88"/>
      <c r="CE88"/>
    </row>
    <row r="89" spans="1:83" s="77" customFormat="1" ht="25.5" customHeight="1">
      <c r="A89" s="1541" t="s">
        <v>83</v>
      </c>
      <c r="B89" s="1539"/>
      <c r="C89" s="1539"/>
      <c r="D89" s="1539"/>
      <c r="E89" s="1539"/>
      <c r="F89" s="1539"/>
      <c r="G89" s="1539"/>
      <c r="H89" s="1539"/>
      <c r="I89" s="1539"/>
      <c r="J89" s="1539" t="s">
        <v>203</v>
      </c>
      <c r="K89" s="1539"/>
      <c r="L89" s="1539"/>
      <c r="M89" s="1539"/>
      <c r="N89" s="1539"/>
      <c r="O89" s="1539"/>
      <c r="P89" s="1539"/>
      <c r="Q89" s="1539"/>
      <c r="R89" s="1539"/>
      <c r="S89" s="1539"/>
      <c r="T89" s="1539" t="s">
        <v>81</v>
      </c>
      <c r="U89" s="1539"/>
      <c r="V89" s="1539"/>
      <c r="W89" s="1539"/>
      <c r="X89" s="1539"/>
      <c r="Y89" s="1539"/>
      <c r="Z89" s="1539"/>
      <c r="AA89" s="1539"/>
      <c r="AB89" s="1539"/>
      <c r="AC89" s="1539" t="s">
        <v>10</v>
      </c>
      <c r="AD89" s="1539"/>
      <c r="AE89" s="1539"/>
      <c r="AF89" s="1539"/>
      <c r="AG89" s="1539"/>
      <c r="AH89" s="1539"/>
      <c r="AI89" s="1539"/>
      <c r="AJ89" s="1539"/>
      <c r="AK89" s="1539"/>
      <c r="AL89" s="1539"/>
      <c r="AM89" s="1542" t="s">
        <v>255</v>
      </c>
      <c r="AN89" s="1542"/>
      <c r="AO89" s="1542"/>
      <c r="AP89" s="1542"/>
      <c r="AQ89" s="1542"/>
      <c r="AR89" s="1542"/>
      <c r="AS89" s="1542"/>
      <c r="AT89" s="1542"/>
      <c r="AU89" s="1542"/>
      <c r="AV89" s="1542"/>
      <c r="AW89" s="1539" t="s">
        <v>83</v>
      </c>
      <c r="AX89" s="1539"/>
      <c r="AY89" s="1539"/>
      <c r="AZ89" s="1539"/>
      <c r="BA89" s="1539"/>
      <c r="BB89" s="1539"/>
      <c r="BC89" s="1539"/>
      <c r="BD89" s="1539"/>
      <c r="BE89" s="1539"/>
      <c r="BF89" s="1539"/>
      <c r="BG89" s="1539" t="s">
        <v>84</v>
      </c>
      <c r="BH89" s="1539"/>
      <c r="BI89" s="1539"/>
      <c r="BJ89" s="1539"/>
      <c r="BK89" s="1539"/>
      <c r="BL89" s="1539"/>
      <c r="BM89" s="1539"/>
      <c r="BN89" s="1539"/>
      <c r="BO89" s="1539"/>
      <c r="BP89" s="1539" t="s">
        <v>226</v>
      </c>
      <c r="BQ89" s="1539"/>
      <c r="BR89" s="1539"/>
      <c r="BS89" s="1539"/>
      <c r="BT89" s="1539"/>
      <c r="BU89" s="1539"/>
      <c r="BV89" s="1539"/>
      <c r="BW89" s="1539"/>
      <c r="BX89" s="1539"/>
      <c r="BY89" s="1539"/>
      <c r="BZ89" s="1539"/>
      <c r="CA89" s="1539"/>
      <c r="CB89" s="1540"/>
      <c r="CC89"/>
      <c r="CD89"/>
      <c r="CE89"/>
    </row>
    <row r="90" spans="1:83" s="77" customFormat="1" ht="17.100000000000001" customHeight="1">
      <c r="A90" s="1536" t="s">
        <v>86</v>
      </c>
      <c r="B90" s="1537"/>
      <c r="C90" s="1537"/>
      <c r="D90" s="1537"/>
      <c r="E90" s="1537"/>
      <c r="F90" s="1537"/>
      <c r="G90" s="1537"/>
      <c r="H90" s="1537"/>
      <c r="I90" s="1537"/>
      <c r="J90" s="1538" t="s">
        <v>521</v>
      </c>
      <c r="K90" s="1538"/>
      <c r="L90" s="1538"/>
      <c r="M90" s="1538"/>
      <c r="N90" s="1538"/>
      <c r="O90" s="1538"/>
      <c r="P90" s="1538"/>
      <c r="Q90" s="1538"/>
      <c r="R90" s="1538"/>
      <c r="S90" s="1538"/>
      <c r="T90" s="1538"/>
      <c r="U90" s="1538"/>
      <c r="V90" s="1538"/>
      <c r="W90" s="1538"/>
      <c r="X90" s="1538"/>
      <c r="Y90" s="1538"/>
      <c r="Z90" s="1538"/>
      <c r="AA90" s="1538"/>
      <c r="AB90" s="1538"/>
      <c r="AC90" s="1538" t="s">
        <v>521</v>
      </c>
      <c r="AD90" s="1538"/>
      <c r="AE90" s="1538"/>
      <c r="AF90" s="1538"/>
      <c r="AG90" s="1538"/>
      <c r="AH90" s="1538"/>
      <c r="AI90" s="1538"/>
      <c r="AJ90" s="1538"/>
      <c r="AK90" s="1538"/>
      <c r="AL90" s="1538"/>
      <c r="AM90" s="1538" t="s">
        <v>521</v>
      </c>
      <c r="AN90" s="1538"/>
      <c r="AO90" s="1538"/>
      <c r="AP90" s="1538"/>
      <c r="AQ90" s="1538"/>
      <c r="AR90" s="1538"/>
      <c r="AS90" s="1538"/>
      <c r="AT90" s="1538"/>
      <c r="AU90" s="1538"/>
      <c r="AV90" s="1538"/>
      <c r="AW90" s="1528">
        <v>1</v>
      </c>
      <c r="AX90" s="1528"/>
      <c r="AY90" s="1528"/>
      <c r="AZ90" s="1528"/>
      <c r="BA90" s="1528"/>
      <c r="BB90" s="1528"/>
      <c r="BC90" s="1528"/>
      <c r="BD90" s="1528"/>
      <c r="BE90" s="1528"/>
      <c r="BF90" s="1528"/>
      <c r="BG90" s="1528"/>
      <c r="BH90" s="1528"/>
      <c r="BI90" s="1528"/>
      <c r="BJ90" s="1528"/>
      <c r="BK90" s="1528"/>
      <c r="BL90" s="1528"/>
      <c r="BM90" s="1528"/>
      <c r="BN90" s="1528"/>
      <c r="BO90" s="1528"/>
      <c r="BP90" s="1528"/>
      <c r="BQ90" s="1528"/>
      <c r="BR90" s="1528"/>
      <c r="BS90" s="1528"/>
      <c r="BT90" s="1528"/>
      <c r="BU90" s="1528"/>
      <c r="BV90" s="1528"/>
      <c r="BW90" s="1528"/>
      <c r="BX90" s="1528"/>
      <c r="BY90" s="1528"/>
      <c r="BZ90" s="1528"/>
      <c r="CA90" s="1528"/>
      <c r="CB90" s="1529"/>
      <c r="CC90"/>
      <c r="CD90"/>
      <c r="CE90"/>
    </row>
    <row r="91" spans="1:83" s="77" customFormat="1" ht="17.100000000000001" customHeight="1">
      <c r="A91" s="1536" t="s">
        <v>14</v>
      </c>
      <c r="B91" s="1537"/>
      <c r="C91" s="1537"/>
      <c r="D91" s="1537"/>
      <c r="E91" s="1537"/>
      <c r="F91" s="1537"/>
      <c r="G91" s="1537"/>
      <c r="H91" s="1537"/>
      <c r="I91" s="1537"/>
      <c r="J91" s="1538" t="s">
        <v>521</v>
      </c>
      <c r="K91" s="1538"/>
      <c r="L91" s="1538"/>
      <c r="M91" s="1538"/>
      <c r="N91" s="1538"/>
      <c r="O91" s="1538"/>
      <c r="P91" s="1538"/>
      <c r="Q91" s="1538"/>
      <c r="R91" s="1538"/>
      <c r="S91" s="1538"/>
      <c r="T91" s="1538"/>
      <c r="U91" s="1538"/>
      <c r="V91" s="1538"/>
      <c r="W91" s="1538"/>
      <c r="X91" s="1538"/>
      <c r="Y91" s="1538"/>
      <c r="Z91" s="1538"/>
      <c r="AA91" s="1538"/>
      <c r="AB91" s="1538"/>
      <c r="AC91" s="1538" t="s">
        <v>521</v>
      </c>
      <c r="AD91" s="1538"/>
      <c r="AE91" s="1538"/>
      <c r="AF91" s="1538"/>
      <c r="AG91" s="1538"/>
      <c r="AH91" s="1538"/>
      <c r="AI91" s="1538"/>
      <c r="AJ91" s="1538"/>
      <c r="AK91" s="1538"/>
      <c r="AL91" s="1538"/>
      <c r="AM91" s="1538" t="s">
        <v>521</v>
      </c>
      <c r="AN91" s="1538"/>
      <c r="AO91" s="1538"/>
      <c r="AP91" s="1538"/>
      <c r="AQ91" s="1538"/>
      <c r="AR91" s="1538"/>
      <c r="AS91" s="1538"/>
      <c r="AT91" s="1538"/>
      <c r="AU91" s="1538"/>
      <c r="AV91" s="1538"/>
      <c r="AW91" s="1528">
        <v>0.95</v>
      </c>
      <c r="AX91" s="1528"/>
      <c r="AY91" s="1528"/>
      <c r="AZ91" s="1528"/>
      <c r="BA91" s="1528"/>
      <c r="BB91" s="1528"/>
      <c r="BC91" s="1528"/>
      <c r="BD91" s="1528"/>
      <c r="BE91" s="1528"/>
      <c r="BF91" s="1528"/>
      <c r="BG91" s="1528"/>
      <c r="BH91" s="1528"/>
      <c r="BI91" s="1528"/>
      <c r="BJ91" s="1528"/>
      <c r="BK91" s="1528"/>
      <c r="BL91" s="1528"/>
      <c r="BM91" s="1528"/>
      <c r="BN91" s="1528"/>
      <c r="BO91" s="1528"/>
      <c r="BP91" s="1528"/>
      <c r="BQ91" s="1528"/>
      <c r="BR91" s="1528"/>
      <c r="BS91" s="1528"/>
      <c r="BT91" s="1528"/>
      <c r="BU91" s="1528"/>
      <c r="BV91" s="1528"/>
      <c r="BW91" s="1528"/>
      <c r="BX91" s="1528"/>
      <c r="BY91" s="1528"/>
      <c r="BZ91" s="1528"/>
      <c r="CA91" s="1528"/>
      <c r="CB91" s="1529"/>
      <c r="CC91"/>
      <c r="CD91"/>
      <c r="CE91"/>
    </row>
    <row r="92" spans="1:83" s="77" customFormat="1" ht="17.100000000000001" customHeight="1">
      <c r="A92" s="1530" t="s">
        <v>12</v>
      </c>
      <c r="B92" s="1531"/>
      <c r="C92" s="1531"/>
      <c r="D92" s="1531"/>
      <c r="E92" s="1531"/>
      <c r="F92" s="1531"/>
      <c r="G92" s="1531"/>
      <c r="H92" s="1531"/>
      <c r="I92" s="1531"/>
      <c r="J92" s="1532" t="s">
        <v>521</v>
      </c>
      <c r="K92" s="1532"/>
      <c r="L92" s="1532"/>
      <c r="M92" s="1532"/>
      <c r="N92" s="1532"/>
      <c r="O92" s="1532"/>
      <c r="P92" s="1532"/>
      <c r="Q92" s="1532"/>
      <c r="R92" s="1532"/>
      <c r="S92" s="1532"/>
      <c r="T92" s="1532"/>
      <c r="U92" s="1532"/>
      <c r="V92" s="1532"/>
      <c r="W92" s="1532"/>
      <c r="X92" s="1532"/>
      <c r="Y92" s="1532"/>
      <c r="Z92" s="1532"/>
      <c r="AA92" s="1532"/>
      <c r="AB92" s="1532"/>
      <c r="AC92" s="1532" t="s">
        <v>521</v>
      </c>
      <c r="AD92" s="1532"/>
      <c r="AE92" s="1532"/>
      <c r="AF92" s="1532"/>
      <c r="AG92" s="1532"/>
      <c r="AH92" s="1532"/>
      <c r="AI92" s="1532"/>
      <c r="AJ92" s="1532"/>
      <c r="AK92" s="1532"/>
      <c r="AL92" s="1532"/>
      <c r="AM92" s="1532" t="s">
        <v>521</v>
      </c>
      <c r="AN92" s="1532"/>
      <c r="AO92" s="1532"/>
      <c r="AP92" s="1532"/>
      <c r="AQ92" s="1532"/>
      <c r="AR92" s="1532"/>
      <c r="AS92" s="1532"/>
      <c r="AT92" s="1532"/>
      <c r="AU92" s="1532"/>
      <c r="AV92" s="1532"/>
      <c r="AW92" s="1533">
        <f>AW91-AW90</f>
        <v>-5.0000000000000044E-2</v>
      </c>
      <c r="AX92" s="1534"/>
      <c r="AY92" s="1534"/>
      <c r="AZ92" s="1534"/>
      <c r="BA92" s="1534"/>
      <c r="BB92" s="1534"/>
      <c r="BC92" s="1534"/>
      <c r="BD92" s="1534"/>
      <c r="BE92" s="1534"/>
      <c r="BF92" s="1534"/>
      <c r="BG92" s="1533"/>
      <c r="BH92" s="1534"/>
      <c r="BI92" s="1534"/>
      <c r="BJ92" s="1534"/>
      <c r="BK92" s="1534"/>
      <c r="BL92" s="1534"/>
      <c r="BM92" s="1534"/>
      <c r="BN92" s="1534"/>
      <c r="BO92" s="1534"/>
      <c r="BP92" s="1534"/>
      <c r="BQ92" s="1534"/>
      <c r="BR92" s="1534"/>
      <c r="BS92" s="1534"/>
      <c r="BT92" s="1534"/>
      <c r="BU92" s="1534"/>
      <c r="BV92" s="1534"/>
      <c r="BW92" s="1534"/>
      <c r="BX92" s="1534"/>
      <c r="BY92" s="1534"/>
      <c r="BZ92" s="1534"/>
      <c r="CA92" s="1534"/>
      <c r="CB92" s="1535"/>
      <c r="CC92"/>
      <c r="CD92"/>
      <c r="CE92"/>
    </row>
    <row r="93" spans="1:83" s="77" customFormat="1" ht="17.100000000000001" customHeight="1">
      <c r="A93" s="1518" t="s">
        <v>62</v>
      </c>
      <c r="B93" s="1519"/>
      <c r="C93" s="1519"/>
      <c r="D93" s="1519"/>
      <c r="E93" s="1519"/>
      <c r="F93" s="1519"/>
      <c r="G93" s="1519"/>
      <c r="H93" s="1519"/>
      <c r="I93" s="1519"/>
      <c r="J93" s="1477" t="s">
        <v>570</v>
      </c>
      <c r="K93" s="1478"/>
      <c r="L93" s="1478"/>
      <c r="M93" s="1478"/>
      <c r="N93" s="1478"/>
      <c r="O93" s="1478"/>
      <c r="P93" s="1478"/>
      <c r="Q93" s="1478"/>
      <c r="R93" s="1478"/>
      <c r="S93" s="1478"/>
      <c r="T93" s="1478"/>
      <c r="U93" s="1478"/>
      <c r="V93" s="1478"/>
      <c r="W93" s="1478"/>
      <c r="X93" s="1478"/>
      <c r="Y93" s="1478"/>
      <c r="Z93" s="1478"/>
      <c r="AA93" s="1478"/>
      <c r="AB93" s="1478"/>
      <c r="AC93" s="1478"/>
      <c r="AD93" s="1478"/>
      <c r="AE93" s="1478"/>
      <c r="AF93" s="1478"/>
      <c r="AG93" s="1478"/>
      <c r="AH93" s="1478"/>
      <c r="AI93" s="1478"/>
      <c r="AJ93" s="1478"/>
      <c r="AK93" s="1478"/>
      <c r="AL93" s="1478"/>
      <c r="AM93" s="1478"/>
      <c r="AN93" s="1478"/>
      <c r="AO93" s="1478"/>
      <c r="AP93" s="1478"/>
      <c r="AQ93" s="1478"/>
      <c r="AR93" s="1478"/>
      <c r="AS93" s="1478"/>
      <c r="AT93" s="1478"/>
      <c r="AU93" s="1478"/>
      <c r="AV93" s="1478"/>
      <c r="AW93" s="1478"/>
      <c r="AX93" s="1478"/>
      <c r="AY93" s="1478"/>
      <c r="AZ93" s="1478"/>
      <c r="BA93" s="1478"/>
      <c r="BB93" s="1478"/>
      <c r="BC93" s="1478"/>
      <c r="BD93" s="1478"/>
      <c r="BE93" s="1478"/>
      <c r="BF93" s="1478"/>
      <c r="BG93" s="1478"/>
      <c r="BH93" s="1478"/>
      <c r="BI93" s="1478"/>
      <c r="BJ93" s="1478"/>
      <c r="BK93" s="1478"/>
      <c r="BL93" s="1478"/>
      <c r="BM93" s="1478"/>
      <c r="BN93" s="1478"/>
      <c r="BO93" s="1478"/>
      <c r="BP93" s="1478"/>
      <c r="BQ93" s="1478"/>
      <c r="BR93" s="1478"/>
      <c r="BS93" s="1478"/>
      <c r="BT93" s="1478"/>
      <c r="BU93" s="1478"/>
      <c r="BV93" s="1478"/>
      <c r="BW93" s="1478"/>
      <c r="BX93" s="1478"/>
      <c r="BY93" s="1478"/>
      <c r="BZ93" s="1478"/>
      <c r="CA93" s="1478"/>
      <c r="CB93" s="1479"/>
      <c r="CC93"/>
      <c r="CD93"/>
      <c r="CE93"/>
    </row>
    <row r="94" spans="1:83" ht="17.100000000000001" customHeight="1">
      <c r="A94" s="1282" t="s">
        <v>489</v>
      </c>
      <c r="B94" s="1283"/>
      <c r="C94" s="1283"/>
      <c r="D94" s="1283"/>
      <c r="E94" s="1283"/>
      <c r="F94" s="1283"/>
      <c r="G94" s="1283"/>
      <c r="H94" s="1283"/>
      <c r="I94" s="1283"/>
      <c r="J94" s="1283"/>
      <c r="K94" s="1283"/>
      <c r="L94" s="1283"/>
      <c r="M94" s="1283"/>
      <c r="N94" s="1283"/>
      <c r="O94" s="1283"/>
      <c r="P94" s="1283"/>
      <c r="Q94" s="1283"/>
      <c r="R94" s="1283"/>
      <c r="S94" s="1283"/>
      <c r="T94" s="1283"/>
      <c r="U94" s="1283"/>
      <c r="V94" s="1283"/>
      <c r="W94" s="1283"/>
      <c r="X94" s="1283"/>
      <c r="Y94" s="1283"/>
      <c r="Z94" s="1283"/>
      <c r="AA94" s="1283"/>
      <c r="AB94" s="1283"/>
      <c r="AC94" s="1283"/>
      <c r="AD94" s="1283"/>
      <c r="AE94" s="1283"/>
      <c r="AF94" s="1283"/>
      <c r="AG94" s="1283"/>
      <c r="AH94" s="1283"/>
      <c r="AI94" s="1283"/>
      <c r="AJ94" s="1283"/>
      <c r="AK94" s="1283"/>
      <c r="AL94" s="1283"/>
      <c r="AM94" s="1283"/>
      <c r="AN94" s="1283"/>
      <c r="AO94" s="1283"/>
      <c r="AP94" s="1283"/>
      <c r="AQ94" s="1283"/>
      <c r="AR94" s="1283"/>
      <c r="AS94" s="1283"/>
      <c r="AT94" s="1283"/>
      <c r="AU94" s="1283"/>
      <c r="AV94" s="1283"/>
      <c r="AW94" s="1283"/>
      <c r="AX94" s="1283"/>
      <c r="AY94" s="1283"/>
      <c r="AZ94" s="1283"/>
      <c r="BA94" s="1283"/>
      <c r="BB94" s="1283"/>
      <c r="BC94" s="1283"/>
      <c r="BD94" s="1283"/>
      <c r="BE94" s="1283"/>
      <c r="BF94" s="1283"/>
      <c r="BG94" s="1283"/>
      <c r="BH94" s="1283"/>
      <c r="BI94" s="1283"/>
      <c r="BJ94" s="1283"/>
      <c r="BK94" s="1283"/>
      <c r="BL94" s="1283"/>
      <c r="BM94" s="1283"/>
      <c r="BN94" s="1283"/>
      <c r="BO94" s="1283"/>
      <c r="BP94" s="1283"/>
      <c r="BQ94" s="1283"/>
      <c r="BR94" s="1283"/>
      <c r="BS94" s="1283"/>
      <c r="BT94" s="1283"/>
      <c r="BU94" s="1283"/>
      <c r="BV94" s="1283"/>
      <c r="BW94" s="1283"/>
      <c r="BX94" s="1283"/>
      <c r="BY94" s="1283"/>
      <c r="BZ94" s="1283"/>
      <c r="CA94" s="1283"/>
      <c r="CB94" s="1284"/>
    </row>
    <row r="95" spans="1:83" ht="17.100000000000001" customHeight="1">
      <c r="A95" s="1522" t="s">
        <v>328</v>
      </c>
      <c r="B95" s="1523"/>
      <c r="C95" s="1523"/>
      <c r="D95" s="1523"/>
      <c r="E95" s="1523"/>
      <c r="F95" s="1523"/>
      <c r="G95" s="1523"/>
      <c r="H95" s="1523"/>
      <c r="I95" s="1523"/>
      <c r="J95" s="1523"/>
      <c r="K95" s="1523"/>
      <c r="L95" s="1524"/>
      <c r="M95" s="1522" t="s">
        <v>493</v>
      </c>
      <c r="N95" s="1523"/>
      <c r="O95" s="1523"/>
      <c r="P95" s="1523"/>
      <c r="Q95" s="1523"/>
      <c r="R95" s="1523"/>
      <c r="S95" s="1523"/>
      <c r="T95" s="1523"/>
      <c r="U95" s="1523"/>
      <c r="V95" s="1523"/>
      <c r="W95" s="1523"/>
      <c r="X95" s="1523"/>
      <c r="Y95" s="1523"/>
      <c r="Z95" s="1523"/>
      <c r="AA95" s="1523"/>
      <c r="AB95" s="1523"/>
      <c r="AC95" s="1523"/>
      <c r="AD95" s="1523"/>
      <c r="AE95" s="1523"/>
      <c r="AF95" s="1523"/>
      <c r="AG95" s="1523"/>
      <c r="AH95" s="1523"/>
      <c r="AI95" s="1523"/>
      <c r="AJ95" s="1523"/>
      <c r="AK95" s="1523"/>
      <c r="AL95" s="1523"/>
      <c r="AM95" s="1523"/>
      <c r="AN95" s="1523"/>
      <c r="AO95" s="1523"/>
      <c r="AP95" s="1523"/>
      <c r="AQ95" s="1523"/>
      <c r="AR95" s="1523"/>
      <c r="AS95" s="1524"/>
      <c r="AT95" s="1522" t="s">
        <v>254</v>
      </c>
      <c r="AU95" s="1523"/>
      <c r="AV95" s="1523"/>
      <c r="AW95" s="1523"/>
      <c r="AX95" s="1523"/>
      <c r="AY95" s="1523"/>
      <c r="AZ95" s="1524"/>
      <c r="BA95" s="1525" t="s">
        <v>494</v>
      </c>
      <c r="BB95" s="1526"/>
      <c r="BC95" s="1526"/>
      <c r="BD95" s="1526"/>
      <c r="BE95" s="1526"/>
      <c r="BF95" s="1526"/>
      <c r="BG95" s="1526"/>
      <c r="BH95" s="1526"/>
      <c r="BI95" s="1526"/>
      <c r="BJ95" s="1526"/>
      <c r="BK95" s="1526"/>
      <c r="BL95" s="1526"/>
      <c r="BM95" s="1526"/>
      <c r="BN95" s="1526"/>
      <c r="BO95" s="1526"/>
      <c r="BP95" s="1526"/>
      <c r="BQ95" s="1526"/>
      <c r="BR95" s="1526"/>
      <c r="BS95" s="1526"/>
      <c r="BT95" s="1526"/>
      <c r="BU95" s="1526"/>
      <c r="BV95" s="1526"/>
      <c r="BW95" s="1526"/>
      <c r="BX95" s="1526"/>
      <c r="BY95" s="1526"/>
      <c r="BZ95" s="1526"/>
      <c r="CA95" s="1526"/>
      <c r="CB95" s="1527"/>
    </row>
    <row r="96" spans="1:83" s="77" customFormat="1" ht="17.100000000000001" customHeight="1">
      <c r="A96" s="1509" t="s">
        <v>225</v>
      </c>
      <c r="B96" s="1506"/>
      <c r="C96" s="1506"/>
      <c r="D96" s="1506"/>
      <c r="E96" s="1506"/>
      <c r="F96" s="1506"/>
      <c r="G96" s="1506"/>
      <c r="H96" s="1506"/>
      <c r="I96" s="1506"/>
      <c r="J96" s="1506"/>
      <c r="K96" s="1506"/>
      <c r="L96" s="1506"/>
      <c r="M96" s="1506"/>
      <c r="N96" s="1506"/>
      <c r="O96" s="1506"/>
      <c r="P96" s="1506"/>
      <c r="Q96" s="1506"/>
      <c r="R96" s="1506"/>
      <c r="S96" s="1508"/>
      <c r="T96" s="1509" t="s">
        <v>76</v>
      </c>
      <c r="U96" s="1506"/>
      <c r="V96" s="1506"/>
      <c r="W96" s="1506"/>
      <c r="X96" s="1506"/>
      <c r="Y96" s="1506"/>
      <c r="Z96" s="1506"/>
      <c r="AA96" s="1506"/>
      <c r="AB96" s="1506"/>
      <c r="AC96" s="1506"/>
      <c r="AD96" s="1506"/>
      <c r="AE96" s="1506"/>
      <c r="AF96" s="1506"/>
      <c r="AG96" s="1506"/>
      <c r="AH96" s="1506"/>
      <c r="AI96" s="1506"/>
      <c r="AJ96" s="1506"/>
      <c r="AK96" s="1506"/>
      <c r="AL96" s="1508"/>
      <c r="AM96" s="1509" t="s">
        <v>77</v>
      </c>
      <c r="AN96" s="1506"/>
      <c r="AO96" s="1506"/>
      <c r="AP96" s="1506"/>
      <c r="AQ96" s="1506"/>
      <c r="AR96" s="1506"/>
      <c r="AS96" s="1506"/>
      <c r="AT96" s="1506"/>
      <c r="AU96" s="1506"/>
      <c r="AV96" s="1506"/>
      <c r="AW96" s="1506"/>
      <c r="AX96" s="1506"/>
      <c r="AY96" s="1506"/>
      <c r="AZ96" s="1506"/>
      <c r="BA96" s="1506"/>
      <c r="BB96" s="1506"/>
      <c r="BC96" s="1506"/>
      <c r="BD96" s="1506"/>
      <c r="BE96" s="1506"/>
      <c r="BF96" s="1508"/>
      <c r="BG96" s="1509" t="s">
        <v>78</v>
      </c>
      <c r="BH96" s="1506"/>
      <c r="BI96" s="1506"/>
      <c r="BJ96" s="1506"/>
      <c r="BK96" s="1506"/>
      <c r="BL96" s="1506"/>
      <c r="BM96" s="1506"/>
      <c r="BN96" s="1506"/>
      <c r="BO96" s="1506"/>
      <c r="BP96" s="1506"/>
      <c r="BQ96" s="1508"/>
      <c r="BR96" s="1509" t="s">
        <v>79</v>
      </c>
      <c r="BS96" s="1506"/>
      <c r="BT96" s="1506"/>
      <c r="BU96" s="1506"/>
      <c r="BV96" s="1506"/>
      <c r="BW96" s="1506"/>
      <c r="BX96" s="1506"/>
      <c r="BY96" s="1506"/>
      <c r="BZ96" s="1506"/>
      <c r="CA96" s="1506"/>
      <c r="CB96" s="1508"/>
      <c r="CC96"/>
      <c r="CD96"/>
      <c r="CE96"/>
    </row>
    <row r="97" spans="1:87" s="77" customFormat="1" ht="17.100000000000001" customHeight="1">
      <c r="A97" s="1548">
        <v>140000</v>
      </c>
      <c r="B97" s="1516"/>
      <c r="C97" s="1516"/>
      <c r="D97" s="1516"/>
      <c r="E97" s="1516"/>
      <c r="F97" s="1516"/>
      <c r="G97" s="1516"/>
      <c r="H97" s="1516"/>
      <c r="I97" s="1516"/>
      <c r="J97" s="1516"/>
      <c r="K97" s="1516"/>
      <c r="L97" s="1516"/>
      <c r="M97" s="1516"/>
      <c r="N97" s="1516"/>
      <c r="O97" s="1516"/>
      <c r="P97" s="1516"/>
      <c r="Q97" s="1516"/>
      <c r="R97" s="1516"/>
      <c r="S97" s="1517"/>
      <c r="T97" s="1515"/>
      <c r="U97" s="1516"/>
      <c r="V97" s="1516"/>
      <c r="W97" s="1516"/>
      <c r="X97" s="1516"/>
      <c r="Y97" s="1516"/>
      <c r="Z97" s="1516"/>
      <c r="AA97" s="1516"/>
      <c r="AB97" s="1516"/>
      <c r="AC97" s="1516"/>
      <c r="AD97" s="1516"/>
      <c r="AE97" s="1516"/>
      <c r="AF97" s="1516"/>
      <c r="AG97" s="1516"/>
      <c r="AH97" s="1516"/>
      <c r="AI97" s="1516"/>
      <c r="AJ97" s="1516"/>
      <c r="AK97" s="1516"/>
      <c r="AL97" s="1517"/>
      <c r="AM97" s="1515">
        <f>A97+T97</f>
        <v>140000</v>
      </c>
      <c r="AN97" s="1516"/>
      <c r="AO97" s="1516"/>
      <c r="AP97" s="1516"/>
      <c r="AQ97" s="1516"/>
      <c r="AR97" s="1516"/>
      <c r="AS97" s="1516"/>
      <c r="AT97" s="1516"/>
      <c r="AU97" s="1516"/>
      <c r="AV97" s="1516"/>
      <c r="AW97" s="1516"/>
      <c r="AX97" s="1516"/>
      <c r="AY97" s="1516"/>
      <c r="AZ97" s="1516"/>
      <c r="BA97" s="1516"/>
      <c r="BB97" s="1516"/>
      <c r="BC97" s="1516"/>
      <c r="BD97" s="1516"/>
      <c r="BE97" s="1516"/>
      <c r="BF97" s="1517"/>
      <c r="BG97" s="1515">
        <v>132978.29999999999</v>
      </c>
      <c r="BH97" s="1516"/>
      <c r="BI97" s="1516"/>
      <c r="BJ97" s="1516"/>
      <c r="BK97" s="1516"/>
      <c r="BL97" s="1516"/>
      <c r="BM97" s="1516"/>
      <c r="BN97" s="1516"/>
      <c r="BO97" s="1516"/>
      <c r="BP97" s="1516"/>
      <c r="BQ97" s="1517"/>
      <c r="BR97" s="1515">
        <v>97978.3</v>
      </c>
      <c r="BS97" s="1516"/>
      <c r="BT97" s="1516"/>
      <c r="BU97" s="1516"/>
      <c r="BV97" s="1516"/>
      <c r="BW97" s="1516"/>
      <c r="BX97" s="1516"/>
      <c r="BY97" s="1516"/>
      <c r="BZ97" s="1516"/>
      <c r="CA97" s="1516"/>
      <c r="CB97" s="1517"/>
      <c r="CC97"/>
      <c r="CD97"/>
      <c r="CE97"/>
    </row>
    <row r="98" spans="1:87" s="77" customFormat="1" ht="23.25" customHeight="1">
      <c r="A98" s="1509" t="s">
        <v>83</v>
      </c>
      <c r="B98" s="1506"/>
      <c r="C98" s="1506"/>
      <c r="D98" s="1506"/>
      <c r="E98" s="1506"/>
      <c r="F98" s="1506"/>
      <c r="G98" s="1506"/>
      <c r="H98" s="1506"/>
      <c r="I98" s="1507"/>
      <c r="J98" s="1505" t="s">
        <v>203</v>
      </c>
      <c r="K98" s="1506"/>
      <c r="L98" s="1506"/>
      <c r="M98" s="1506"/>
      <c r="N98" s="1506"/>
      <c r="O98" s="1506"/>
      <c r="P98" s="1506"/>
      <c r="Q98" s="1506"/>
      <c r="R98" s="1506"/>
      <c r="S98" s="1507"/>
      <c r="T98" s="1505" t="s">
        <v>81</v>
      </c>
      <c r="U98" s="1506"/>
      <c r="V98" s="1506"/>
      <c r="W98" s="1506"/>
      <c r="X98" s="1506"/>
      <c r="Y98" s="1506"/>
      <c r="Z98" s="1506"/>
      <c r="AA98" s="1506"/>
      <c r="AB98" s="1507"/>
      <c r="AC98" s="1505" t="s">
        <v>10</v>
      </c>
      <c r="AD98" s="1506"/>
      <c r="AE98" s="1506"/>
      <c r="AF98" s="1506"/>
      <c r="AG98" s="1506"/>
      <c r="AH98" s="1506"/>
      <c r="AI98" s="1506"/>
      <c r="AJ98" s="1506"/>
      <c r="AK98" s="1506"/>
      <c r="AL98" s="1507"/>
      <c r="AM98" s="1510" t="s">
        <v>255</v>
      </c>
      <c r="AN98" s="1511"/>
      <c r="AO98" s="1511"/>
      <c r="AP98" s="1511"/>
      <c r="AQ98" s="1511"/>
      <c r="AR98" s="1511"/>
      <c r="AS98" s="1511"/>
      <c r="AT98" s="1511"/>
      <c r="AU98" s="1511"/>
      <c r="AV98" s="1512"/>
      <c r="AW98" s="1505" t="s">
        <v>83</v>
      </c>
      <c r="AX98" s="1506"/>
      <c r="AY98" s="1506"/>
      <c r="AZ98" s="1506"/>
      <c r="BA98" s="1506"/>
      <c r="BB98" s="1506"/>
      <c r="BC98" s="1506"/>
      <c r="BD98" s="1506"/>
      <c r="BE98" s="1506"/>
      <c r="BF98" s="1507"/>
      <c r="BG98" s="1505" t="s">
        <v>84</v>
      </c>
      <c r="BH98" s="1506"/>
      <c r="BI98" s="1506"/>
      <c r="BJ98" s="1506"/>
      <c r="BK98" s="1506"/>
      <c r="BL98" s="1506"/>
      <c r="BM98" s="1506"/>
      <c r="BN98" s="1506"/>
      <c r="BO98" s="1507"/>
      <c r="BP98" s="1505" t="s">
        <v>226</v>
      </c>
      <c r="BQ98" s="1506"/>
      <c r="BR98" s="1506"/>
      <c r="BS98" s="1506"/>
      <c r="BT98" s="1506"/>
      <c r="BU98" s="1506"/>
      <c r="BV98" s="1506"/>
      <c r="BW98" s="1506"/>
      <c r="BX98" s="1506"/>
      <c r="BY98" s="1506"/>
      <c r="BZ98" s="1506"/>
      <c r="CA98" s="1506"/>
      <c r="CB98" s="1508"/>
      <c r="CC98"/>
      <c r="CD98"/>
      <c r="CE98"/>
    </row>
    <row r="99" spans="1:87" s="77" customFormat="1" ht="17.100000000000001" customHeight="1">
      <c r="A99" s="1499" t="s">
        <v>86</v>
      </c>
      <c r="B99" s="1500"/>
      <c r="C99" s="1500"/>
      <c r="D99" s="1500"/>
      <c r="E99" s="1500"/>
      <c r="F99" s="1500"/>
      <c r="G99" s="1500"/>
      <c r="H99" s="1500"/>
      <c r="I99" s="1501"/>
      <c r="J99" s="1502" t="s">
        <v>521</v>
      </c>
      <c r="K99" s="1503"/>
      <c r="L99" s="1503"/>
      <c r="M99" s="1503"/>
      <c r="N99" s="1503"/>
      <c r="O99" s="1503"/>
      <c r="P99" s="1503"/>
      <c r="Q99" s="1503"/>
      <c r="R99" s="1503"/>
      <c r="S99" s="1504"/>
      <c r="T99" s="1502">
        <v>6</v>
      </c>
      <c r="U99" s="1503"/>
      <c r="V99" s="1503"/>
      <c r="W99" s="1503"/>
      <c r="X99" s="1503"/>
      <c r="Y99" s="1503"/>
      <c r="Z99" s="1503"/>
      <c r="AA99" s="1503"/>
      <c r="AB99" s="1504"/>
      <c r="AC99" s="1502" t="s">
        <v>521</v>
      </c>
      <c r="AD99" s="1503"/>
      <c r="AE99" s="1503"/>
      <c r="AF99" s="1503"/>
      <c r="AG99" s="1503"/>
      <c r="AH99" s="1503"/>
      <c r="AI99" s="1503"/>
      <c r="AJ99" s="1503"/>
      <c r="AK99" s="1503"/>
      <c r="AL99" s="1504"/>
      <c r="AM99" s="1502" t="s">
        <v>521</v>
      </c>
      <c r="AN99" s="1503"/>
      <c r="AO99" s="1503"/>
      <c r="AP99" s="1503"/>
      <c r="AQ99" s="1503"/>
      <c r="AR99" s="1503"/>
      <c r="AS99" s="1503"/>
      <c r="AT99" s="1503"/>
      <c r="AU99" s="1503"/>
      <c r="AV99" s="1504"/>
      <c r="AW99" s="1483">
        <v>1</v>
      </c>
      <c r="AX99" s="1484"/>
      <c r="AY99" s="1484"/>
      <c r="AZ99" s="1484"/>
      <c r="BA99" s="1484"/>
      <c r="BB99" s="1484"/>
      <c r="BC99" s="1484"/>
      <c r="BD99" s="1484"/>
      <c r="BE99" s="1484"/>
      <c r="BF99" s="1485"/>
      <c r="BG99" s="1483"/>
      <c r="BH99" s="1484"/>
      <c r="BI99" s="1484"/>
      <c r="BJ99" s="1484"/>
      <c r="BK99" s="1484"/>
      <c r="BL99" s="1484"/>
      <c r="BM99" s="1484"/>
      <c r="BN99" s="1484"/>
      <c r="BO99" s="1485"/>
      <c r="BP99" s="1483"/>
      <c r="BQ99" s="1484"/>
      <c r="BR99" s="1484"/>
      <c r="BS99" s="1484"/>
      <c r="BT99" s="1484"/>
      <c r="BU99" s="1484"/>
      <c r="BV99" s="1484"/>
      <c r="BW99" s="1484"/>
      <c r="BX99" s="1484"/>
      <c r="BY99" s="1484"/>
      <c r="BZ99" s="1484"/>
      <c r="CA99" s="1484"/>
      <c r="CB99" s="1486"/>
      <c r="CC99"/>
      <c r="CD99"/>
      <c r="CE99"/>
    </row>
    <row r="100" spans="1:87" s="77" customFormat="1" ht="17.100000000000001" customHeight="1">
      <c r="A100" s="1499" t="s">
        <v>14</v>
      </c>
      <c r="B100" s="1500"/>
      <c r="C100" s="1500"/>
      <c r="D100" s="1500"/>
      <c r="E100" s="1500"/>
      <c r="F100" s="1500"/>
      <c r="G100" s="1500"/>
      <c r="H100" s="1500"/>
      <c r="I100" s="1501"/>
      <c r="J100" s="1502" t="s">
        <v>521</v>
      </c>
      <c r="K100" s="1503"/>
      <c r="L100" s="1503"/>
      <c r="M100" s="1503"/>
      <c r="N100" s="1503"/>
      <c r="O100" s="1503"/>
      <c r="P100" s="1503"/>
      <c r="Q100" s="1503"/>
      <c r="R100" s="1503"/>
      <c r="S100" s="1504"/>
      <c r="T100" s="1502">
        <v>3</v>
      </c>
      <c r="U100" s="1503"/>
      <c r="V100" s="1503"/>
      <c r="W100" s="1503"/>
      <c r="X100" s="1503"/>
      <c r="Y100" s="1503"/>
      <c r="Z100" s="1503"/>
      <c r="AA100" s="1503"/>
      <c r="AB100" s="1504"/>
      <c r="AC100" s="1502" t="s">
        <v>521</v>
      </c>
      <c r="AD100" s="1503"/>
      <c r="AE100" s="1503"/>
      <c r="AF100" s="1503"/>
      <c r="AG100" s="1503"/>
      <c r="AH100" s="1503"/>
      <c r="AI100" s="1503"/>
      <c r="AJ100" s="1503"/>
      <c r="AK100" s="1503"/>
      <c r="AL100" s="1504"/>
      <c r="AM100" s="1502" t="s">
        <v>521</v>
      </c>
      <c r="AN100" s="1503"/>
      <c r="AO100" s="1503"/>
      <c r="AP100" s="1503"/>
      <c r="AQ100" s="1503"/>
      <c r="AR100" s="1503"/>
      <c r="AS100" s="1503"/>
      <c r="AT100" s="1503"/>
      <c r="AU100" s="1503"/>
      <c r="AV100" s="1504"/>
      <c r="AW100" s="1483">
        <v>0.75</v>
      </c>
      <c r="AX100" s="1484"/>
      <c r="AY100" s="1484"/>
      <c r="AZ100" s="1484"/>
      <c r="BA100" s="1484"/>
      <c r="BB100" s="1484"/>
      <c r="BC100" s="1484"/>
      <c r="BD100" s="1484"/>
      <c r="BE100" s="1484"/>
      <c r="BF100" s="1485"/>
      <c r="BG100" s="1483"/>
      <c r="BH100" s="1484"/>
      <c r="BI100" s="1484"/>
      <c r="BJ100" s="1484"/>
      <c r="BK100" s="1484"/>
      <c r="BL100" s="1484"/>
      <c r="BM100" s="1484"/>
      <c r="BN100" s="1484"/>
      <c r="BO100" s="1485"/>
      <c r="BP100" s="1483"/>
      <c r="BQ100" s="1484"/>
      <c r="BR100" s="1484"/>
      <c r="BS100" s="1484"/>
      <c r="BT100" s="1484"/>
      <c r="BU100" s="1484"/>
      <c r="BV100" s="1484"/>
      <c r="BW100" s="1484"/>
      <c r="BX100" s="1484"/>
      <c r="BY100" s="1484"/>
      <c r="BZ100" s="1484"/>
      <c r="CA100" s="1484"/>
      <c r="CB100" s="1486"/>
      <c r="CC100"/>
      <c r="CD100"/>
      <c r="CE100"/>
    </row>
    <row r="101" spans="1:87" s="77" customFormat="1" ht="17.100000000000001" customHeight="1">
      <c r="A101" s="1487" t="s">
        <v>12</v>
      </c>
      <c r="B101" s="1488"/>
      <c r="C101" s="1488"/>
      <c r="D101" s="1488"/>
      <c r="E101" s="1488"/>
      <c r="F101" s="1488"/>
      <c r="G101" s="1488"/>
      <c r="H101" s="1488"/>
      <c r="I101" s="1489"/>
      <c r="J101" s="1490" t="s">
        <v>521</v>
      </c>
      <c r="K101" s="1491"/>
      <c r="L101" s="1491"/>
      <c r="M101" s="1491"/>
      <c r="N101" s="1491"/>
      <c r="O101" s="1491"/>
      <c r="P101" s="1491"/>
      <c r="Q101" s="1491"/>
      <c r="R101" s="1491"/>
      <c r="S101" s="1492"/>
      <c r="T101" s="1490">
        <f>T100-T99</f>
        <v>-3</v>
      </c>
      <c r="U101" s="1491"/>
      <c r="V101" s="1491"/>
      <c r="W101" s="1491"/>
      <c r="X101" s="1491"/>
      <c r="Y101" s="1491"/>
      <c r="Z101" s="1491"/>
      <c r="AA101" s="1491"/>
      <c r="AB101" s="1492"/>
      <c r="AC101" s="1490" t="s">
        <v>521</v>
      </c>
      <c r="AD101" s="1491"/>
      <c r="AE101" s="1491"/>
      <c r="AF101" s="1491"/>
      <c r="AG101" s="1491"/>
      <c r="AH101" s="1491"/>
      <c r="AI101" s="1491"/>
      <c r="AJ101" s="1491"/>
      <c r="AK101" s="1491"/>
      <c r="AL101" s="1492"/>
      <c r="AM101" s="1490" t="s">
        <v>521</v>
      </c>
      <c r="AN101" s="1491"/>
      <c r="AO101" s="1491"/>
      <c r="AP101" s="1491"/>
      <c r="AQ101" s="1491"/>
      <c r="AR101" s="1491"/>
      <c r="AS101" s="1491"/>
      <c r="AT101" s="1491"/>
      <c r="AU101" s="1491"/>
      <c r="AV101" s="1492"/>
      <c r="AW101" s="1493">
        <v>-0.25</v>
      </c>
      <c r="AX101" s="1494"/>
      <c r="AY101" s="1494"/>
      <c r="AZ101" s="1494"/>
      <c r="BA101" s="1494"/>
      <c r="BB101" s="1494"/>
      <c r="BC101" s="1494"/>
      <c r="BD101" s="1494"/>
      <c r="BE101" s="1494"/>
      <c r="BF101" s="1495"/>
      <c r="BG101" s="1493"/>
      <c r="BH101" s="1494"/>
      <c r="BI101" s="1494"/>
      <c r="BJ101" s="1494"/>
      <c r="BK101" s="1494"/>
      <c r="BL101" s="1494"/>
      <c r="BM101" s="1494"/>
      <c r="BN101" s="1494"/>
      <c r="BO101" s="1495"/>
      <c r="BP101" s="1496"/>
      <c r="BQ101" s="1497"/>
      <c r="BR101" s="1497"/>
      <c r="BS101" s="1497"/>
      <c r="BT101" s="1497"/>
      <c r="BU101" s="1497"/>
      <c r="BV101" s="1497"/>
      <c r="BW101" s="1497"/>
      <c r="BX101" s="1497"/>
      <c r="BY101" s="1497"/>
      <c r="BZ101" s="1497"/>
      <c r="CA101" s="1497"/>
      <c r="CB101" s="1498"/>
      <c r="CC101"/>
      <c r="CD101"/>
      <c r="CE101"/>
    </row>
    <row r="102" spans="1:87" s="77" customFormat="1" ht="17.100000000000001" customHeight="1">
      <c r="A102" s="1474" t="s">
        <v>62</v>
      </c>
      <c r="B102" s="1475"/>
      <c r="C102" s="1475"/>
      <c r="D102" s="1475"/>
      <c r="E102" s="1475"/>
      <c r="F102" s="1475"/>
      <c r="G102" s="1475"/>
      <c r="H102" s="1475"/>
      <c r="I102" s="1476"/>
      <c r="J102" s="1477"/>
      <c r="K102" s="1478"/>
      <c r="L102" s="1478"/>
      <c r="M102" s="1478"/>
      <c r="N102" s="1478"/>
      <c r="O102" s="1478"/>
      <c r="P102" s="1478"/>
      <c r="Q102" s="1478"/>
      <c r="R102" s="1478"/>
      <c r="S102" s="1478"/>
      <c r="T102" s="1478"/>
      <c r="U102" s="1478"/>
      <c r="V102" s="1478"/>
      <c r="W102" s="1478"/>
      <c r="X102" s="1478"/>
      <c r="Y102" s="1478"/>
      <c r="Z102" s="1478"/>
      <c r="AA102" s="1478"/>
      <c r="AB102" s="1478"/>
      <c r="AC102" s="1478"/>
      <c r="AD102" s="1478"/>
      <c r="AE102" s="1478"/>
      <c r="AF102" s="1478"/>
      <c r="AG102" s="1478"/>
      <c r="AH102" s="1478"/>
      <c r="AI102" s="1478"/>
      <c r="AJ102" s="1478"/>
      <c r="AK102" s="1478"/>
      <c r="AL102" s="1478"/>
      <c r="AM102" s="1478"/>
      <c r="AN102" s="1478"/>
      <c r="AO102" s="1478"/>
      <c r="AP102" s="1478"/>
      <c r="AQ102" s="1478"/>
      <c r="AR102" s="1478"/>
      <c r="AS102" s="1478"/>
      <c r="AT102" s="1478"/>
      <c r="AU102" s="1478"/>
      <c r="AV102" s="1478"/>
      <c r="AW102" s="1478"/>
      <c r="AX102" s="1478"/>
      <c r="AY102" s="1478"/>
      <c r="AZ102" s="1478"/>
      <c r="BA102" s="1478"/>
      <c r="BB102" s="1478"/>
      <c r="BC102" s="1478"/>
      <c r="BD102" s="1478"/>
      <c r="BE102" s="1478"/>
      <c r="BF102" s="1478"/>
      <c r="BG102" s="1478"/>
      <c r="BH102" s="1478"/>
      <c r="BI102" s="1478"/>
      <c r="BJ102" s="1478"/>
      <c r="BK102" s="1478"/>
      <c r="BL102" s="1478"/>
      <c r="BM102" s="1478"/>
      <c r="BN102" s="1478"/>
      <c r="BO102" s="1478"/>
      <c r="BP102" s="1478"/>
      <c r="BQ102" s="1478"/>
      <c r="BR102" s="1478"/>
      <c r="BS102" s="1478"/>
      <c r="BT102" s="1478"/>
      <c r="BU102" s="1478"/>
      <c r="BV102" s="1478"/>
      <c r="BW102" s="1478"/>
      <c r="BX102" s="1478"/>
      <c r="BY102" s="1478"/>
      <c r="BZ102" s="1478"/>
      <c r="CA102" s="1478"/>
      <c r="CB102" s="1479"/>
      <c r="CC102"/>
      <c r="CD102"/>
      <c r="CE102"/>
    </row>
    <row r="103" spans="1:87" ht="17.100000000000001" customHeight="1">
      <c r="A103" s="1282" t="s">
        <v>492</v>
      </c>
      <c r="B103" s="1283"/>
      <c r="C103" s="1283"/>
      <c r="D103" s="1283"/>
      <c r="E103" s="1283"/>
      <c r="F103" s="1283"/>
      <c r="G103" s="1283"/>
      <c r="H103" s="1283"/>
      <c r="I103" s="1283"/>
      <c r="J103" s="1283"/>
      <c r="K103" s="1283"/>
      <c r="L103" s="1283"/>
      <c r="M103" s="1283"/>
      <c r="N103" s="1283"/>
      <c r="O103" s="1283"/>
      <c r="P103" s="1283"/>
      <c r="Q103" s="1283"/>
      <c r="R103" s="1283"/>
      <c r="S103" s="1283"/>
      <c r="T103" s="1283"/>
      <c r="U103" s="1283"/>
      <c r="V103" s="1283"/>
      <c r="W103" s="1283"/>
      <c r="X103" s="1283"/>
      <c r="Y103" s="1283"/>
      <c r="Z103" s="1283"/>
      <c r="AA103" s="1283"/>
      <c r="AB103" s="1283"/>
      <c r="AC103" s="1283"/>
      <c r="AD103" s="1283"/>
      <c r="AE103" s="1283"/>
      <c r="AF103" s="1283"/>
      <c r="AG103" s="1283"/>
      <c r="AH103" s="1283"/>
      <c r="AI103" s="1283"/>
      <c r="AJ103" s="1283"/>
      <c r="AK103" s="1283"/>
      <c r="AL103" s="1283"/>
      <c r="AM103" s="1283"/>
      <c r="AN103" s="1283"/>
      <c r="AO103" s="1283"/>
      <c r="AP103" s="1283"/>
      <c r="AQ103" s="1283"/>
      <c r="AR103" s="1283"/>
      <c r="AS103" s="1283"/>
      <c r="AT103" s="1283"/>
      <c r="AU103" s="1283"/>
      <c r="AV103" s="1283"/>
      <c r="AW103" s="1283"/>
      <c r="AX103" s="1283"/>
      <c r="AY103" s="1283"/>
      <c r="AZ103" s="1283"/>
      <c r="BA103" s="1283"/>
      <c r="BB103" s="1283"/>
      <c r="BC103" s="1283"/>
      <c r="BD103" s="1283"/>
      <c r="BE103" s="1283"/>
      <c r="BF103" s="1283"/>
      <c r="BG103" s="1283"/>
      <c r="BH103" s="1283"/>
      <c r="BI103" s="1283"/>
      <c r="BJ103" s="1283"/>
      <c r="BK103" s="1283"/>
      <c r="BL103" s="1283"/>
      <c r="BM103" s="1283"/>
      <c r="BN103" s="1283"/>
      <c r="BO103" s="1283"/>
      <c r="BP103" s="1283"/>
      <c r="BQ103" s="1283"/>
      <c r="BR103" s="1283"/>
      <c r="BS103" s="1283"/>
      <c r="BT103" s="1283"/>
      <c r="BU103" s="1283"/>
      <c r="BV103" s="1283"/>
      <c r="BW103" s="1283"/>
      <c r="BX103" s="1283"/>
      <c r="BY103" s="1283"/>
      <c r="BZ103" s="1283"/>
      <c r="CA103" s="1283"/>
      <c r="CB103" s="1284"/>
    </row>
    <row r="104" spans="1:87" ht="17.100000000000001" customHeight="1">
      <c r="A104" s="1543" t="s">
        <v>328</v>
      </c>
      <c r="B104" s="1523"/>
      <c r="C104" s="1523"/>
      <c r="D104" s="1523"/>
      <c r="E104" s="1523"/>
      <c r="F104" s="1523"/>
      <c r="G104" s="1523"/>
      <c r="H104" s="1523"/>
      <c r="I104" s="1523"/>
      <c r="J104" s="1523"/>
      <c r="K104" s="1523"/>
      <c r="L104" s="1524"/>
      <c r="M104" s="1543" t="s">
        <v>543</v>
      </c>
      <c r="N104" s="1543"/>
      <c r="O104" s="1543"/>
      <c r="P104" s="1543"/>
      <c r="Q104" s="1543"/>
      <c r="R104" s="1543"/>
      <c r="S104" s="1543"/>
      <c r="T104" s="1543"/>
      <c r="U104" s="1543"/>
      <c r="V104" s="1543"/>
      <c r="W104" s="1543"/>
      <c r="X104" s="1543"/>
      <c r="Y104" s="1543"/>
      <c r="Z104" s="1543"/>
      <c r="AA104" s="1543"/>
      <c r="AB104" s="1543"/>
      <c r="AC104" s="1543"/>
      <c r="AD104" s="1543"/>
      <c r="AE104" s="1543"/>
      <c r="AF104" s="1543"/>
      <c r="AG104" s="1543"/>
      <c r="AH104" s="1543"/>
      <c r="AI104" s="1543"/>
      <c r="AJ104" s="1543"/>
      <c r="AK104" s="1543"/>
      <c r="AL104" s="1543"/>
      <c r="AM104" s="1543"/>
      <c r="AN104" s="1543"/>
      <c r="AO104" s="1543"/>
      <c r="AP104" s="1543"/>
      <c r="AQ104" s="1543"/>
      <c r="AR104" s="1543"/>
      <c r="AS104" s="1543"/>
      <c r="AT104" s="1543" t="s">
        <v>254</v>
      </c>
      <c r="AU104" s="1543"/>
      <c r="AV104" s="1543"/>
      <c r="AW104" s="1543"/>
      <c r="AX104" s="1543"/>
      <c r="AY104" s="1543"/>
      <c r="AZ104" s="1543"/>
      <c r="BA104" s="1545" t="s">
        <v>542</v>
      </c>
      <c r="BB104" s="1546"/>
      <c r="BC104" s="1546"/>
      <c r="BD104" s="1546"/>
      <c r="BE104" s="1546"/>
      <c r="BF104" s="1546"/>
      <c r="BG104" s="1546"/>
      <c r="BH104" s="1546"/>
      <c r="BI104" s="1546"/>
      <c r="BJ104" s="1546"/>
      <c r="BK104" s="1546"/>
      <c r="BL104" s="1546"/>
      <c r="BM104" s="1546"/>
      <c r="BN104" s="1546"/>
      <c r="BO104" s="1546"/>
      <c r="BP104" s="1546"/>
      <c r="BQ104" s="1546"/>
      <c r="BR104" s="1546"/>
      <c r="BS104" s="1546"/>
      <c r="BT104" s="1546"/>
      <c r="BU104" s="1546"/>
      <c r="BV104" s="1546"/>
      <c r="BW104" s="1546"/>
      <c r="BX104" s="1546"/>
      <c r="BY104" s="1546"/>
      <c r="BZ104" s="1546"/>
      <c r="CA104" s="1546"/>
      <c r="CB104" s="1547"/>
    </row>
    <row r="105" spans="1:87" s="77" customFormat="1" ht="17.100000000000001" customHeight="1">
      <c r="A105" s="1541" t="s">
        <v>225</v>
      </c>
      <c r="B105" s="1539"/>
      <c r="C105" s="1539"/>
      <c r="D105" s="1539"/>
      <c r="E105" s="1539"/>
      <c r="F105" s="1539"/>
      <c r="G105" s="1539"/>
      <c r="H105" s="1539"/>
      <c r="I105" s="1539"/>
      <c r="J105" s="1539"/>
      <c r="K105" s="1539"/>
      <c r="L105" s="1539"/>
      <c r="M105" s="1539"/>
      <c r="N105" s="1539"/>
      <c r="O105" s="1539"/>
      <c r="P105" s="1539"/>
      <c r="Q105" s="1539"/>
      <c r="R105" s="1539"/>
      <c r="S105" s="1505"/>
      <c r="T105" s="1541" t="s">
        <v>76</v>
      </c>
      <c r="U105" s="1539"/>
      <c r="V105" s="1539"/>
      <c r="W105" s="1539"/>
      <c r="X105" s="1539"/>
      <c r="Y105" s="1539"/>
      <c r="Z105" s="1539"/>
      <c r="AA105" s="1539"/>
      <c r="AB105" s="1539"/>
      <c r="AC105" s="1539"/>
      <c r="AD105" s="1539"/>
      <c r="AE105" s="1539"/>
      <c r="AF105" s="1539"/>
      <c r="AG105" s="1539"/>
      <c r="AH105" s="1539"/>
      <c r="AI105" s="1539"/>
      <c r="AJ105" s="1539"/>
      <c r="AK105" s="1539"/>
      <c r="AL105" s="1540"/>
      <c r="AM105" s="1507" t="s">
        <v>77</v>
      </c>
      <c r="AN105" s="1539"/>
      <c r="AO105" s="1539"/>
      <c r="AP105" s="1539"/>
      <c r="AQ105" s="1539"/>
      <c r="AR105" s="1539"/>
      <c r="AS105" s="1539"/>
      <c r="AT105" s="1539"/>
      <c r="AU105" s="1539"/>
      <c r="AV105" s="1539"/>
      <c r="AW105" s="1539"/>
      <c r="AX105" s="1539"/>
      <c r="AY105" s="1539"/>
      <c r="AZ105" s="1539"/>
      <c r="BA105" s="1539"/>
      <c r="BB105" s="1539"/>
      <c r="BC105" s="1539"/>
      <c r="BD105" s="1539"/>
      <c r="BE105" s="1539"/>
      <c r="BF105" s="1505"/>
      <c r="BG105" s="1541" t="s">
        <v>78</v>
      </c>
      <c r="BH105" s="1539"/>
      <c r="BI105" s="1539"/>
      <c r="BJ105" s="1539"/>
      <c r="BK105" s="1539"/>
      <c r="BL105" s="1539"/>
      <c r="BM105" s="1539"/>
      <c r="BN105" s="1539"/>
      <c r="BO105" s="1539"/>
      <c r="BP105" s="1539"/>
      <c r="BQ105" s="1540"/>
      <c r="BR105" s="1507" t="s">
        <v>79</v>
      </c>
      <c r="BS105" s="1539"/>
      <c r="BT105" s="1539"/>
      <c r="BU105" s="1539"/>
      <c r="BV105" s="1539"/>
      <c r="BW105" s="1539"/>
      <c r="BX105" s="1539"/>
      <c r="BY105" s="1539"/>
      <c r="BZ105" s="1539"/>
      <c r="CA105" s="1539"/>
      <c r="CB105" s="1540"/>
      <c r="CC105"/>
      <c r="CD105"/>
      <c r="CE105"/>
    </row>
    <row r="106" spans="1:87" s="77" customFormat="1" ht="17.100000000000001" customHeight="1">
      <c r="A106" s="1513">
        <v>40000</v>
      </c>
      <c r="B106" s="1514"/>
      <c r="C106" s="1514"/>
      <c r="D106" s="1514"/>
      <c r="E106" s="1514"/>
      <c r="F106" s="1514"/>
      <c r="G106" s="1514"/>
      <c r="H106" s="1514"/>
      <c r="I106" s="1514"/>
      <c r="J106" s="1514"/>
      <c r="K106" s="1514"/>
      <c r="L106" s="1514"/>
      <c r="M106" s="1514"/>
      <c r="N106" s="1514"/>
      <c r="O106" s="1514"/>
      <c r="P106" s="1514"/>
      <c r="Q106" s="1514"/>
      <c r="R106" s="1514"/>
      <c r="S106" s="1514"/>
      <c r="T106" s="1514"/>
      <c r="U106" s="1514"/>
      <c r="V106" s="1514"/>
      <c r="W106" s="1514"/>
      <c r="X106" s="1514"/>
      <c r="Y106" s="1514"/>
      <c r="Z106" s="1514"/>
      <c r="AA106" s="1514"/>
      <c r="AB106" s="1514"/>
      <c r="AC106" s="1514"/>
      <c r="AD106" s="1514"/>
      <c r="AE106" s="1514"/>
      <c r="AF106" s="1514"/>
      <c r="AG106" s="1514"/>
      <c r="AH106" s="1514"/>
      <c r="AI106" s="1514"/>
      <c r="AJ106" s="1514"/>
      <c r="AK106" s="1514"/>
      <c r="AL106" s="1514"/>
      <c r="AM106" s="1514">
        <f>A106+T106</f>
        <v>40000</v>
      </c>
      <c r="AN106" s="1514"/>
      <c r="AO106" s="1514"/>
      <c r="AP106" s="1514"/>
      <c r="AQ106" s="1514"/>
      <c r="AR106" s="1514"/>
      <c r="AS106" s="1514"/>
      <c r="AT106" s="1514"/>
      <c r="AU106" s="1514"/>
      <c r="AV106" s="1514"/>
      <c r="AW106" s="1514"/>
      <c r="AX106" s="1514"/>
      <c r="AY106" s="1514"/>
      <c r="AZ106" s="1514"/>
      <c r="BA106" s="1514"/>
      <c r="BB106" s="1514"/>
      <c r="BC106" s="1514"/>
      <c r="BD106" s="1514"/>
      <c r="BE106" s="1514"/>
      <c r="BF106" s="1514"/>
      <c r="BG106" s="1514"/>
      <c r="BH106" s="1514"/>
      <c r="BI106" s="1514"/>
      <c r="BJ106" s="1514"/>
      <c r="BK106" s="1514"/>
      <c r="BL106" s="1514"/>
      <c r="BM106" s="1514"/>
      <c r="BN106" s="1514"/>
      <c r="BO106" s="1514"/>
      <c r="BP106" s="1514"/>
      <c r="BQ106" s="1514"/>
      <c r="BR106" s="1515"/>
      <c r="BS106" s="1516"/>
      <c r="BT106" s="1516"/>
      <c r="BU106" s="1516"/>
      <c r="BV106" s="1516"/>
      <c r="BW106" s="1516"/>
      <c r="BX106" s="1516"/>
      <c r="BY106" s="1516"/>
      <c r="BZ106" s="1516"/>
      <c r="CA106" s="1516"/>
      <c r="CB106" s="1517"/>
      <c r="CC106"/>
      <c r="CD106"/>
      <c r="CE106"/>
    </row>
    <row r="107" spans="1:87" s="77" customFormat="1" ht="23.25" customHeight="1">
      <c r="A107" s="1541" t="s">
        <v>83</v>
      </c>
      <c r="B107" s="1539"/>
      <c r="C107" s="1539"/>
      <c r="D107" s="1539"/>
      <c r="E107" s="1539"/>
      <c r="F107" s="1539"/>
      <c r="G107" s="1539"/>
      <c r="H107" s="1539"/>
      <c r="I107" s="1539"/>
      <c r="J107" s="1539" t="s">
        <v>203</v>
      </c>
      <c r="K107" s="1539"/>
      <c r="L107" s="1539"/>
      <c r="M107" s="1539"/>
      <c r="N107" s="1539"/>
      <c r="O107" s="1539"/>
      <c r="P107" s="1539"/>
      <c r="Q107" s="1539"/>
      <c r="R107" s="1539"/>
      <c r="S107" s="1539"/>
      <c r="T107" s="1539" t="s">
        <v>81</v>
      </c>
      <c r="U107" s="1539"/>
      <c r="V107" s="1539"/>
      <c r="W107" s="1539"/>
      <c r="X107" s="1539"/>
      <c r="Y107" s="1539"/>
      <c r="Z107" s="1539"/>
      <c r="AA107" s="1539"/>
      <c r="AB107" s="1539"/>
      <c r="AC107" s="1539" t="s">
        <v>10</v>
      </c>
      <c r="AD107" s="1539"/>
      <c r="AE107" s="1539"/>
      <c r="AF107" s="1539"/>
      <c r="AG107" s="1539"/>
      <c r="AH107" s="1539"/>
      <c r="AI107" s="1539"/>
      <c r="AJ107" s="1539"/>
      <c r="AK107" s="1539"/>
      <c r="AL107" s="1539"/>
      <c r="AM107" s="1542" t="s">
        <v>255</v>
      </c>
      <c r="AN107" s="1542"/>
      <c r="AO107" s="1542"/>
      <c r="AP107" s="1542"/>
      <c r="AQ107" s="1542"/>
      <c r="AR107" s="1542"/>
      <c r="AS107" s="1542"/>
      <c r="AT107" s="1542"/>
      <c r="AU107" s="1542"/>
      <c r="AV107" s="1542"/>
      <c r="AW107" s="1539" t="s">
        <v>83</v>
      </c>
      <c r="AX107" s="1539"/>
      <c r="AY107" s="1539"/>
      <c r="AZ107" s="1539"/>
      <c r="BA107" s="1539"/>
      <c r="BB107" s="1539"/>
      <c r="BC107" s="1539"/>
      <c r="BD107" s="1539"/>
      <c r="BE107" s="1539"/>
      <c r="BF107" s="1539"/>
      <c r="BG107" s="1539" t="s">
        <v>84</v>
      </c>
      <c r="BH107" s="1539"/>
      <c r="BI107" s="1539"/>
      <c r="BJ107" s="1539"/>
      <c r="BK107" s="1539"/>
      <c r="BL107" s="1539"/>
      <c r="BM107" s="1539"/>
      <c r="BN107" s="1539"/>
      <c r="BO107" s="1539"/>
      <c r="BP107" s="1539" t="s">
        <v>226</v>
      </c>
      <c r="BQ107" s="1539"/>
      <c r="BR107" s="1539"/>
      <c r="BS107" s="1539"/>
      <c r="BT107" s="1539"/>
      <c r="BU107" s="1539"/>
      <c r="BV107" s="1539"/>
      <c r="BW107" s="1539"/>
      <c r="BX107" s="1539"/>
      <c r="BY107" s="1539"/>
      <c r="BZ107" s="1539"/>
      <c r="CA107" s="1539"/>
      <c r="CB107" s="1540"/>
      <c r="CC107"/>
      <c r="CI107" s="297"/>
    </row>
    <row r="108" spans="1:87" s="77" customFormat="1" ht="17.100000000000001" customHeight="1">
      <c r="A108" s="1536" t="s">
        <v>86</v>
      </c>
      <c r="B108" s="1537"/>
      <c r="C108" s="1537"/>
      <c r="D108" s="1537"/>
      <c r="E108" s="1537"/>
      <c r="F108" s="1537"/>
      <c r="G108" s="1537"/>
      <c r="H108" s="1537"/>
      <c r="I108" s="1537"/>
      <c r="J108" s="1538" t="s">
        <v>521</v>
      </c>
      <c r="K108" s="1538"/>
      <c r="L108" s="1538"/>
      <c r="M108" s="1538"/>
      <c r="N108" s="1538"/>
      <c r="O108" s="1538"/>
      <c r="P108" s="1538"/>
      <c r="Q108" s="1538"/>
      <c r="R108" s="1538"/>
      <c r="S108" s="1538"/>
      <c r="T108" s="1538">
        <v>8</v>
      </c>
      <c r="U108" s="1538"/>
      <c r="V108" s="1538"/>
      <c r="W108" s="1538"/>
      <c r="X108" s="1538"/>
      <c r="Y108" s="1538"/>
      <c r="Z108" s="1538"/>
      <c r="AA108" s="1538"/>
      <c r="AB108" s="1538"/>
      <c r="AC108" s="1538" t="s">
        <v>521</v>
      </c>
      <c r="AD108" s="1538"/>
      <c r="AE108" s="1538"/>
      <c r="AF108" s="1538"/>
      <c r="AG108" s="1538"/>
      <c r="AH108" s="1538"/>
      <c r="AI108" s="1538"/>
      <c r="AJ108" s="1538"/>
      <c r="AK108" s="1538"/>
      <c r="AL108" s="1538"/>
      <c r="AM108" s="1538" t="s">
        <v>521</v>
      </c>
      <c r="AN108" s="1538"/>
      <c r="AO108" s="1538"/>
      <c r="AP108" s="1538"/>
      <c r="AQ108" s="1538"/>
      <c r="AR108" s="1538"/>
      <c r="AS108" s="1538"/>
      <c r="AT108" s="1538"/>
      <c r="AU108" s="1538"/>
      <c r="AV108" s="1538"/>
      <c r="AW108" s="1528">
        <v>1</v>
      </c>
      <c r="AX108" s="1528"/>
      <c r="AY108" s="1528"/>
      <c r="AZ108" s="1528"/>
      <c r="BA108" s="1528"/>
      <c r="BB108" s="1528"/>
      <c r="BC108" s="1528"/>
      <c r="BD108" s="1528"/>
      <c r="BE108" s="1528"/>
      <c r="BF108" s="1528"/>
      <c r="BG108" s="1528"/>
      <c r="BH108" s="1528"/>
      <c r="BI108" s="1528"/>
      <c r="BJ108" s="1528"/>
      <c r="BK108" s="1528"/>
      <c r="BL108" s="1528"/>
      <c r="BM108" s="1528"/>
      <c r="BN108" s="1528"/>
      <c r="BO108" s="1528"/>
      <c r="BP108" s="1528"/>
      <c r="BQ108" s="1528"/>
      <c r="BR108" s="1528"/>
      <c r="BS108" s="1528"/>
      <c r="BT108" s="1528"/>
      <c r="BU108" s="1528"/>
      <c r="BV108" s="1528"/>
      <c r="BW108" s="1528"/>
      <c r="BX108" s="1528"/>
      <c r="BY108" s="1528"/>
      <c r="BZ108" s="1528"/>
      <c r="CA108" s="1528"/>
      <c r="CB108" s="1529"/>
      <c r="CC108"/>
      <c r="CI108" s="297"/>
    </row>
    <row r="109" spans="1:87" s="77" customFormat="1" ht="17.100000000000001" customHeight="1">
      <c r="A109" s="1536" t="s">
        <v>14</v>
      </c>
      <c r="B109" s="1537"/>
      <c r="C109" s="1537"/>
      <c r="D109" s="1537"/>
      <c r="E109" s="1537"/>
      <c r="F109" s="1537"/>
      <c r="G109" s="1537"/>
      <c r="H109" s="1537"/>
      <c r="I109" s="1537"/>
      <c r="J109" s="1538" t="s">
        <v>521</v>
      </c>
      <c r="K109" s="1538"/>
      <c r="L109" s="1538"/>
      <c r="M109" s="1538"/>
      <c r="N109" s="1538"/>
      <c r="O109" s="1538"/>
      <c r="P109" s="1538"/>
      <c r="Q109" s="1538"/>
      <c r="R109" s="1538"/>
      <c r="S109" s="1538"/>
      <c r="T109" s="1538">
        <v>5</v>
      </c>
      <c r="U109" s="1538"/>
      <c r="V109" s="1538"/>
      <c r="W109" s="1538"/>
      <c r="X109" s="1538"/>
      <c r="Y109" s="1538"/>
      <c r="Z109" s="1538"/>
      <c r="AA109" s="1538"/>
      <c r="AB109" s="1538"/>
      <c r="AC109" s="1538" t="s">
        <v>521</v>
      </c>
      <c r="AD109" s="1538"/>
      <c r="AE109" s="1538"/>
      <c r="AF109" s="1538"/>
      <c r="AG109" s="1538"/>
      <c r="AH109" s="1538"/>
      <c r="AI109" s="1538"/>
      <c r="AJ109" s="1538"/>
      <c r="AK109" s="1538"/>
      <c r="AL109" s="1538"/>
      <c r="AM109" s="1538" t="s">
        <v>521</v>
      </c>
      <c r="AN109" s="1538"/>
      <c r="AO109" s="1538"/>
      <c r="AP109" s="1538"/>
      <c r="AQ109" s="1538"/>
      <c r="AR109" s="1538"/>
      <c r="AS109" s="1538"/>
      <c r="AT109" s="1538"/>
      <c r="AU109" s="1538"/>
      <c r="AV109" s="1538"/>
      <c r="AW109" s="1528">
        <v>0.4</v>
      </c>
      <c r="AX109" s="1528"/>
      <c r="AY109" s="1528"/>
      <c r="AZ109" s="1528"/>
      <c r="BA109" s="1528"/>
      <c r="BB109" s="1528"/>
      <c r="BC109" s="1528"/>
      <c r="BD109" s="1528"/>
      <c r="BE109" s="1528"/>
      <c r="BF109" s="1528"/>
      <c r="BG109" s="1528"/>
      <c r="BH109" s="1528"/>
      <c r="BI109" s="1528"/>
      <c r="BJ109" s="1528"/>
      <c r="BK109" s="1528"/>
      <c r="BL109" s="1528"/>
      <c r="BM109" s="1528"/>
      <c r="BN109" s="1528"/>
      <c r="BO109" s="1528"/>
      <c r="BP109" s="1528"/>
      <c r="BQ109" s="1528"/>
      <c r="BR109" s="1528"/>
      <c r="BS109" s="1528"/>
      <c r="BT109" s="1528"/>
      <c r="BU109" s="1528"/>
      <c r="BV109" s="1528"/>
      <c r="BW109" s="1528"/>
      <c r="BX109" s="1528"/>
      <c r="BY109" s="1528"/>
      <c r="BZ109" s="1528"/>
      <c r="CA109" s="1528"/>
      <c r="CB109" s="1529"/>
      <c r="CC109"/>
      <c r="CI109" s="297"/>
    </row>
    <row r="110" spans="1:87" s="77" customFormat="1" ht="17.100000000000001" customHeight="1">
      <c r="A110" s="1530" t="s">
        <v>12</v>
      </c>
      <c r="B110" s="1531"/>
      <c r="C110" s="1531"/>
      <c r="D110" s="1531"/>
      <c r="E110" s="1531"/>
      <c r="F110" s="1531"/>
      <c r="G110" s="1531"/>
      <c r="H110" s="1531"/>
      <c r="I110" s="1531"/>
      <c r="J110" s="1532" t="s">
        <v>521</v>
      </c>
      <c r="K110" s="1532"/>
      <c r="L110" s="1532"/>
      <c r="M110" s="1532"/>
      <c r="N110" s="1532"/>
      <c r="O110" s="1532"/>
      <c r="P110" s="1532"/>
      <c r="Q110" s="1532"/>
      <c r="R110" s="1532"/>
      <c r="S110" s="1532"/>
      <c r="T110" s="1532">
        <v>-3</v>
      </c>
      <c r="U110" s="1532"/>
      <c r="V110" s="1532"/>
      <c r="W110" s="1532"/>
      <c r="X110" s="1532"/>
      <c r="Y110" s="1532"/>
      <c r="Z110" s="1532"/>
      <c r="AA110" s="1532"/>
      <c r="AB110" s="1532"/>
      <c r="AC110" s="1532" t="s">
        <v>521</v>
      </c>
      <c r="AD110" s="1532"/>
      <c r="AE110" s="1532"/>
      <c r="AF110" s="1532"/>
      <c r="AG110" s="1532"/>
      <c r="AH110" s="1532"/>
      <c r="AI110" s="1532"/>
      <c r="AJ110" s="1532"/>
      <c r="AK110" s="1532"/>
      <c r="AL110" s="1532"/>
      <c r="AM110" s="1532" t="s">
        <v>521</v>
      </c>
      <c r="AN110" s="1532"/>
      <c r="AO110" s="1532"/>
      <c r="AP110" s="1532"/>
      <c r="AQ110" s="1532"/>
      <c r="AR110" s="1532"/>
      <c r="AS110" s="1532"/>
      <c r="AT110" s="1532"/>
      <c r="AU110" s="1532"/>
      <c r="AV110" s="1532"/>
      <c r="AW110" s="1533">
        <v>-0.6</v>
      </c>
      <c r="AX110" s="1534"/>
      <c r="AY110" s="1534"/>
      <c r="AZ110" s="1534"/>
      <c r="BA110" s="1534"/>
      <c r="BB110" s="1534"/>
      <c r="BC110" s="1534"/>
      <c r="BD110" s="1534"/>
      <c r="BE110" s="1534"/>
      <c r="BF110" s="1534"/>
      <c r="BG110" s="1533"/>
      <c r="BH110" s="1534"/>
      <c r="BI110" s="1534"/>
      <c r="BJ110" s="1534"/>
      <c r="BK110" s="1534"/>
      <c r="BL110" s="1534"/>
      <c r="BM110" s="1534"/>
      <c r="BN110" s="1534"/>
      <c r="BO110" s="1534"/>
      <c r="BP110" s="1534"/>
      <c r="BQ110" s="1534"/>
      <c r="BR110" s="1534"/>
      <c r="BS110" s="1534"/>
      <c r="BT110" s="1534"/>
      <c r="BU110" s="1534"/>
      <c r="BV110" s="1534"/>
      <c r="BW110" s="1534"/>
      <c r="BX110" s="1534"/>
      <c r="BY110" s="1534"/>
      <c r="BZ110" s="1534"/>
      <c r="CA110" s="1534"/>
      <c r="CB110" s="1535"/>
      <c r="CC110"/>
      <c r="CI110" s="297"/>
    </row>
    <row r="111" spans="1:87" s="77" customFormat="1" ht="17.100000000000001" customHeight="1">
      <c r="A111" s="1518" t="s">
        <v>62</v>
      </c>
      <c r="B111" s="1519"/>
      <c r="C111" s="1519"/>
      <c r="D111" s="1519"/>
      <c r="E111" s="1519"/>
      <c r="F111" s="1519"/>
      <c r="G111" s="1519"/>
      <c r="H111" s="1519"/>
      <c r="I111" s="1519"/>
      <c r="J111" s="1520"/>
      <c r="K111" s="1520"/>
      <c r="L111" s="1520"/>
      <c r="M111" s="1520"/>
      <c r="N111" s="1520"/>
      <c r="O111" s="1520"/>
      <c r="P111" s="1520"/>
      <c r="Q111" s="1520"/>
      <c r="R111" s="1520"/>
      <c r="S111" s="1520"/>
      <c r="T111" s="1520"/>
      <c r="U111" s="1520"/>
      <c r="V111" s="1520"/>
      <c r="W111" s="1520"/>
      <c r="X111" s="1520"/>
      <c r="Y111" s="1520"/>
      <c r="Z111" s="1520"/>
      <c r="AA111" s="1520"/>
      <c r="AB111" s="1520"/>
      <c r="AC111" s="1520"/>
      <c r="AD111" s="1520"/>
      <c r="AE111" s="1520"/>
      <c r="AF111" s="1520"/>
      <c r="AG111" s="1520"/>
      <c r="AH111" s="1520"/>
      <c r="AI111" s="1520"/>
      <c r="AJ111" s="1520"/>
      <c r="AK111" s="1520"/>
      <c r="AL111" s="1520"/>
      <c r="AM111" s="1520"/>
      <c r="AN111" s="1520"/>
      <c r="AO111" s="1520"/>
      <c r="AP111" s="1520"/>
      <c r="AQ111" s="1520"/>
      <c r="AR111" s="1520"/>
      <c r="AS111" s="1520"/>
      <c r="AT111" s="1520"/>
      <c r="AU111" s="1520"/>
      <c r="AV111" s="1520"/>
      <c r="AW111" s="1520"/>
      <c r="AX111" s="1520"/>
      <c r="AY111" s="1520"/>
      <c r="AZ111" s="1520"/>
      <c r="BA111" s="1520"/>
      <c r="BB111" s="1520"/>
      <c r="BC111" s="1520"/>
      <c r="BD111" s="1520"/>
      <c r="BE111" s="1520"/>
      <c r="BF111" s="1520"/>
      <c r="BG111" s="1520"/>
      <c r="BH111" s="1520"/>
      <c r="BI111" s="1520"/>
      <c r="BJ111" s="1520"/>
      <c r="BK111" s="1520"/>
      <c r="BL111" s="1520"/>
      <c r="BM111" s="1520"/>
      <c r="BN111" s="1520"/>
      <c r="BO111" s="1520"/>
      <c r="BP111" s="1520"/>
      <c r="BQ111" s="1520"/>
      <c r="BR111" s="1520"/>
      <c r="BS111" s="1520"/>
      <c r="BT111" s="1520"/>
      <c r="BU111" s="1520"/>
      <c r="BV111" s="1520"/>
      <c r="BW111" s="1520"/>
      <c r="BX111" s="1520"/>
      <c r="BY111" s="1520"/>
      <c r="BZ111" s="1520"/>
      <c r="CA111" s="1520"/>
      <c r="CB111" s="1521"/>
      <c r="CC111"/>
      <c r="CI111" s="297"/>
    </row>
    <row r="112" spans="1:87" ht="17.100000000000001" customHeight="1">
      <c r="A112" s="1282" t="s">
        <v>495</v>
      </c>
      <c r="B112" s="1283"/>
      <c r="C112" s="1283"/>
      <c r="D112" s="1283"/>
      <c r="E112" s="1283"/>
      <c r="F112" s="1283"/>
      <c r="G112" s="1283"/>
      <c r="H112" s="1283"/>
      <c r="I112" s="1283"/>
      <c r="J112" s="1283"/>
      <c r="K112" s="1283"/>
      <c r="L112" s="1283"/>
      <c r="M112" s="1283"/>
      <c r="N112" s="1283"/>
      <c r="O112" s="1283"/>
      <c r="P112" s="1283"/>
      <c r="Q112" s="1283"/>
      <c r="R112" s="1283"/>
      <c r="S112" s="1283"/>
      <c r="T112" s="1283"/>
      <c r="U112" s="1283"/>
      <c r="V112" s="1283"/>
      <c r="W112" s="1283"/>
      <c r="X112" s="1283"/>
      <c r="Y112" s="1283"/>
      <c r="Z112" s="1283"/>
      <c r="AA112" s="1283"/>
      <c r="AB112" s="1283"/>
      <c r="AC112" s="1283"/>
      <c r="AD112" s="1283"/>
      <c r="AE112" s="1283"/>
      <c r="AF112" s="1283"/>
      <c r="AG112" s="1283"/>
      <c r="AH112" s="1283"/>
      <c r="AI112" s="1283"/>
      <c r="AJ112" s="1283"/>
      <c r="AK112" s="1283"/>
      <c r="AL112" s="1283"/>
      <c r="AM112" s="1283"/>
      <c r="AN112" s="1283"/>
      <c r="AO112" s="1283"/>
      <c r="AP112" s="1283"/>
      <c r="AQ112" s="1283"/>
      <c r="AR112" s="1283"/>
      <c r="AS112" s="1283"/>
      <c r="AT112" s="1283"/>
      <c r="AU112" s="1283"/>
      <c r="AV112" s="1283"/>
      <c r="AW112" s="1283"/>
      <c r="AX112" s="1283"/>
      <c r="AY112" s="1283"/>
      <c r="AZ112" s="1283"/>
      <c r="BA112" s="1283"/>
      <c r="BB112" s="1283"/>
      <c r="BC112" s="1283"/>
      <c r="BD112" s="1283"/>
      <c r="BE112" s="1283"/>
      <c r="BF112" s="1283"/>
      <c r="BG112" s="1283"/>
      <c r="BH112" s="1283"/>
      <c r="BI112" s="1283"/>
      <c r="BJ112" s="1283"/>
      <c r="BK112" s="1283"/>
      <c r="BL112" s="1283"/>
      <c r="BM112" s="1283"/>
      <c r="BN112" s="1283"/>
      <c r="BO112" s="1283"/>
      <c r="BP112" s="1283"/>
      <c r="BQ112" s="1283"/>
      <c r="BR112" s="1283"/>
      <c r="BS112" s="1283"/>
      <c r="BT112" s="1283"/>
      <c r="BU112" s="1283"/>
      <c r="BV112" s="1283"/>
      <c r="BW112" s="1283"/>
      <c r="BX112" s="1283"/>
      <c r="BY112" s="1283"/>
      <c r="BZ112" s="1283"/>
      <c r="CA112" s="1283"/>
      <c r="CB112" s="1284"/>
      <c r="CI112" s="296"/>
    </row>
    <row r="113" spans="1:87" ht="17.100000000000001" customHeight="1">
      <c r="A113" s="1543" t="s">
        <v>328</v>
      </c>
      <c r="B113" s="1523"/>
      <c r="C113" s="1523"/>
      <c r="D113" s="1523"/>
      <c r="E113" s="1523"/>
      <c r="F113" s="1523"/>
      <c r="G113" s="1523"/>
      <c r="H113" s="1523"/>
      <c r="I113" s="1523"/>
      <c r="J113" s="1523"/>
      <c r="K113" s="1523"/>
      <c r="L113" s="1524"/>
      <c r="M113" s="1543" t="s">
        <v>496</v>
      </c>
      <c r="N113" s="1543"/>
      <c r="O113" s="1543"/>
      <c r="P113" s="1543"/>
      <c r="Q113" s="1543"/>
      <c r="R113" s="1543"/>
      <c r="S113" s="1543"/>
      <c r="T113" s="1543"/>
      <c r="U113" s="1543"/>
      <c r="V113" s="1543"/>
      <c r="W113" s="1543"/>
      <c r="X113" s="1543"/>
      <c r="Y113" s="1543"/>
      <c r="Z113" s="1543"/>
      <c r="AA113" s="1543"/>
      <c r="AB113" s="1543"/>
      <c r="AC113" s="1543"/>
      <c r="AD113" s="1543"/>
      <c r="AE113" s="1543"/>
      <c r="AF113" s="1543"/>
      <c r="AG113" s="1543"/>
      <c r="AH113" s="1543"/>
      <c r="AI113" s="1543"/>
      <c r="AJ113" s="1543"/>
      <c r="AK113" s="1543"/>
      <c r="AL113" s="1543"/>
      <c r="AM113" s="1543"/>
      <c r="AN113" s="1543"/>
      <c r="AO113" s="1543"/>
      <c r="AP113" s="1543"/>
      <c r="AQ113" s="1543"/>
      <c r="AR113" s="1543"/>
      <c r="AS113" s="1543"/>
      <c r="AT113" s="1543" t="s">
        <v>254</v>
      </c>
      <c r="AU113" s="1543"/>
      <c r="AV113" s="1543"/>
      <c r="AW113" s="1543"/>
      <c r="AX113" s="1543"/>
      <c r="AY113" s="1543"/>
      <c r="AZ113" s="1543"/>
      <c r="BA113" s="1544" t="s">
        <v>497</v>
      </c>
      <c r="BB113" s="1544"/>
      <c r="BC113" s="1544"/>
      <c r="BD113" s="1544"/>
      <c r="BE113" s="1544"/>
      <c r="BF113" s="1544"/>
      <c r="BG113" s="1544"/>
      <c r="BH113" s="1544"/>
      <c r="BI113" s="1544"/>
      <c r="BJ113" s="1544"/>
      <c r="BK113" s="1544"/>
      <c r="BL113" s="1544"/>
      <c r="BM113" s="1544"/>
      <c r="BN113" s="1544"/>
      <c r="BO113" s="1544"/>
      <c r="BP113" s="1544"/>
      <c r="BQ113" s="1544"/>
      <c r="BR113" s="1544"/>
      <c r="BS113" s="1544"/>
      <c r="BT113" s="1544"/>
      <c r="BU113" s="1544"/>
      <c r="BV113" s="1544"/>
      <c r="BW113" s="1544"/>
      <c r="BX113" s="1544"/>
      <c r="BY113" s="1544"/>
      <c r="BZ113" s="1544"/>
      <c r="CA113" s="1544"/>
      <c r="CB113" s="1544"/>
      <c r="CI113" s="296"/>
    </row>
    <row r="114" spans="1:87" s="77" customFormat="1" ht="17.100000000000001" customHeight="1">
      <c r="A114" s="1541" t="s">
        <v>225</v>
      </c>
      <c r="B114" s="1539"/>
      <c r="C114" s="1539"/>
      <c r="D114" s="1539"/>
      <c r="E114" s="1539"/>
      <c r="F114" s="1539"/>
      <c r="G114" s="1539"/>
      <c r="H114" s="1539"/>
      <c r="I114" s="1539"/>
      <c r="J114" s="1539"/>
      <c r="K114" s="1539"/>
      <c r="L114" s="1539"/>
      <c r="M114" s="1539"/>
      <c r="N114" s="1539"/>
      <c r="O114" s="1539"/>
      <c r="P114" s="1539"/>
      <c r="Q114" s="1539"/>
      <c r="R114" s="1539"/>
      <c r="S114" s="1505"/>
      <c r="T114" s="1541" t="s">
        <v>76</v>
      </c>
      <c r="U114" s="1539"/>
      <c r="V114" s="1539"/>
      <c r="W114" s="1539"/>
      <c r="X114" s="1539"/>
      <c r="Y114" s="1539"/>
      <c r="Z114" s="1539"/>
      <c r="AA114" s="1539"/>
      <c r="AB114" s="1539"/>
      <c r="AC114" s="1539"/>
      <c r="AD114" s="1539"/>
      <c r="AE114" s="1539"/>
      <c r="AF114" s="1539"/>
      <c r="AG114" s="1539"/>
      <c r="AH114" s="1539"/>
      <c r="AI114" s="1539"/>
      <c r="AJ114" s="1539"/>
      <c r="AK114" s="1539"/>
      <c r="AL114" s="1540"/>
      <c r="AM114" s="1507" t="s">
        <v>77</v>
      </c>
      <c r="AN114" s="1539"/>
      <c r="AO114" s="1539"/>
      <c r="AP114" s="1539"/>
      <c r="AQ114" s="1539"/>
      <c r="AR114" s="1539"/>
      <c r="AS114" s="1539"/>
      <c r="AT114" s="1539"/>
      <c r="AU114" s="1539"/>
      <c r="AV114" s="1539"/>
      <c r="AW114" s="1539"/>
      <c r="AX114" s="1539"/>
      <c r="AY114" s="1539"/>
      <c r="AZ114" s="1539"/>
      <c r="BA114" s="1539"/>
      <c r="BB114" s="1539"/>
      <c r="BC114" s="1539"/>
      <c r="BD114" s="1539"/>
      <c r="BE114" s="1539"/>
      <c r="BF114" s="1505"/>
      <c r="BG114" s="1541" t="s">
        <v>78</v>
      </c>
      <c r="BH114" s="1539"/>
      <c r="BI114" s="1539"/>
      <c r="BJ114" s="1539"/>
      <c r="BK114" s="1539"/>
      <c r="BL114" s="1539"/>
      <c r="BM114" s="1539"/>
      <c r="BN114" s="1539"/>
      <c r="BO114" s="1539"/>
      <c r="BP114" s="1539"/>
      <c r="BQ114" s="1540"/>
      <c r="BR114" s="1507" t="s">
        <v>79</v>
      </c>
      <c r="BS114" s="1539"/>
      <c r="BT114" s="1539"/>
      <c r="BU114" s="1539"/>
      <c r="BV114" s="1539"/>
      <c r="BW114" s="1539"/>
      <c r="BX114" s="1539"/>
      <c r="BY114" s="1539"/>
      <c r="BZ114" s="1539"/>
      <c r="CA114" s="1539"/>
      <c r="CB114" s="1540"/>
      <c r="CC114"/>
      <c r="CI114" s="297"/>
    </row>
    <row r="115" spans="1:87" s="77" customFormat="1" ht="17.100000000000001" customHeight="1">
      <c r="A115" s="1513" t="s">
        <v>498</v>
      </c>
      <c r="B115" s="1514"/>
      <c r="C115" s="1514"/>
      <c r="D115" s="1514"/>
      <c r="E115" s="1514"/>
      <c r="F115" s="1514"/>
      <c r="G115" s="1514"/>
      <c r="H115" s="1514"/>
      <c r="I115" s="1514"/>
      <c r="J115" s="1514"/>
      <c r="K115" s="1514"/>
      <c r="L115" s="1514"/>
      <c r="M115" s="1514"/>
      <c r="N115" s="1514"/>
      <c r="O115" s="1514"/>
      <c r="P115" s="1514"/>
      <c r="Q115" s="1514"/>
      <c r="R115" s="1514"/>
      <c r="S115" s="1514"/>
      <c r="T115" s="1514"/>
      <c r="U115" s="1514"/>
      <c r="V115" s="1514"/>
      <c r="W115" s="1514"/>
      <c r="X115" s="1514"/>
      <c r="Y115" s="1514"/>
      <c r="Z115" s="1514"/>
      <c r="AA115" s="1514"/>
      <c r="AB115" s="1514"/>
      <c r="AC115" s="1514"/>
      <c r="AD115" s="1514"/>
      <c r="AE115" s="1514"/>
      <c r="AF115" s="1514"/>
      <c r="AG115" s="1514"/>
      <c r="AH115" s="1514"/>
      <c r="AI115" s="1514"/>
      <c r="AJ115" s="1514"/>
      <c r="AK115" s="1514"/>
      <c r="AL115" s="1514"/>
      <c r="AM115" s="1514" t="s">
        <v>498</v>
      </c>
      <c r="AN115" s="1514"/>
      <c r="AO115" s="1514"/>
      <c r="AP115" s="1514"/>
      <c r="AQ115" s="1514"/>
      <c r="AR115" s="1514"/>
      <c r="AS115" s="1514"/>
      <c r="AT115" s="1514"/>
      <c r="AU115" s="1514"/>
      <c r="AV115" s="1514"/>
      <c r="AW115" s="1514"/>
      <c r="AX115" s="1514"/>
      <c r="AY115" s="1514"/>
      <c r="AZ115" s="1514"/>
      <c r="BA115" s="1514"/>
      <c r="BB115" s="1514"/>
      <c r="BC115" s="1514"/>
      <c r="BD115" s="1514"/>
      <c r="BE115" s="1514"/>
      <c r="BF115" s="1514"/>
      <c r="BG115" s="1515">
        <v>265058.38</v>
      </c>
      <c r="BH115" s="1516"/>
      <c r="BI115" s="1516"/>
      <c r="BJ115" s="1516"/>
      <c r="BK115" s="1516"/>
      <c r="BL115" s="1516"/>
      <c r="BM115" s="1516"/>
      <c r="BN115" s="1516"/>
      <c r="BO115" s="1516"/>
      <c r="BP115" s="1516"/>
      <c r="BQ115" s="1517"/>
      <c r="BR115" s="1515">
        <v>261079.15000000002</v>
      </c>
      <c r="BS115" s="1516"/>
      <c r="BT115" s="1516"/>
      <c r="BU115" s="1516"/>
      <c r="BV115" s="1516"/>
      <c r="BW115" s="1516"/>
      <c r="BX115" s="1516"/>
      <c r="BY115" s="1516"/>
      <c r="BZ115" s="1516"/>
      <c r="CA115" s="1516"/>
      <c r="CB115" s="1517"/>
      <c r="CC115"/>
      <c r="CI115" s="297"/>
    </row>
    <row r="116" spans="1:87" s="77" customFormat="1" ht="20.25" customHeight="1">
      <c r="A116" s="1541" t="s">
        <v>83</v>
      </c>
      <c r="B116" s="1539"/>
      <c r="C116" s="1539"/>
      <c r="D116" s="1539"/>
      <c r="E116" s="1539"/>
      <c r="F116" s="1539"/>
      <c r="G116" s="1539"/>
      <c r="H116" s="1539"/>
      <c r="I116" s="1539"/>
      <c r="J116" s="1539" t="s">
        <v>203</v>
      </c>
      <c r="K116" s="1539"/>
      <c r="L116" s="1539"/>
      <c r="M116" s="1539"/>
      <c r="N116" s="1539"/>
      <c r="O116" s="1539"/>
      <c r="P116" s="1539"/>
      <c r="Q116" s="1539"/>
      <c r="R116" s="1539"/>
      <c r="S116" s="1539"/>
      <c r="T116" s="1539" t="s">
        <v>81</v>
      </c>
      <c r="U116" s="1539"/>
      <c r="V116" s="1539"/>
      <c r="W116" s="1539"/>
      <c r="X116" s="1539"/>
      <c r="Y116" s="1539"/>
      <c r="Z116" s="1539"/>
      <c r="AA116" s="1539"/>
      <c r="AB116" s="1539"/>
      <c r="AC116" s="1539" t="s">
        <v>10</v>
      </c>
      <c r="AD116" s="1539"/>
      <c r="AE116" s="1539"/>
      <c r="AF116" s="1539"/>
      <c r="AG116" s="1539"/>
      <c r="AH116" s="1539"/>
      <c r="AI116" s="1539"/>
      <c r="AJ116" s="1539"/>
      <c r="AK116" s="1539"/>
      <c r="AL116" s="1539"/>
      <c r="AM116" s="1542" t="s">
        <v>255</v>
      </c>
      <c r="AN116" s="1542"/>
      <c r="AO116" s="1542"/>
      <c r="AP116" s="1542"/>
      <c r="AQ116" s="1542"/>
      <c r="AR116" s="1542"/>
      <c r="AS116" s="1542"/>
      <c r="AT116" s="1542"/>
      <c r="AU116" s="1542"/>
      <c r="AV116" s="1542"/>
      <c r="AW116" s="1539" t="s">
        <v>83</v>
      </c>
      <c r="AX116" s="1539"/>
      <c r="AY116" s="1539"/>
      <c r="AZ116" s="1539"/>
      <c r="BA116" s="1539"/>
      <c r="BB116" s="1539"/>
      <c r="BC116" s="1539"/>
      <c r="BD116" s="1539"/>
      <c r="BE116" s="1539"/>
      <c r="BF116" s="1539"/>
      <c r="BG116" s="1539" t="s">
        <v>84</v>
      </c>
      <c r="BH116" s="1539"/>
      <c r="BI116" s="1539"/>
      <c r="BJ116" s="1539"/>
      <c r="BK116" s="1539"/>
      <c r="BL116" s="1539"/>
      <c r="BM116" s="1539"/>
      <c r="BN116" s="1539"/>
      <c r="BO116" s="1539"/>
      <c r="BP116" s="1539" t="s">
        <v>226</v>
      </c>
      <c r="BQ116" s="1539"/>
      <c r="BR116" s="1539"/>
      <c r="BS116" s="1539"/>
      <c r="BT116" s="1539"/>
      <c r="BU116" s="1539"/>
      <c r="BV116" s="1539"/>
      <c r="BW116" s="1539"/>
      <c r="BX116" s="1539"/>
      <c r="BY116" s="1539"/>
      <c r="BZ116" s="1539"/>
      <c r="CA116" s="1539"/>
      <c r="CB116" s="1540"/>
      <c r="CC116"/>
      <c r="CI116" s="297"/>
    </row>
    <row r="117" spans="1:87" s="77" customFormat="1" ht="17.100000000000001" customHeight="1">
      <c r="A117" s="1536" t="s">
        <v>86</v>
      </c>
      <c r="B117" s="1537"/>
      <c r="C117" s="1537"/>
      <c r="D117" s="1537"/>
      <c r="E117" s="1537"/>
      <c r="F117" s="1537"/>
      <c r="G117" s="1537"/>
      <c r="H117" s="1537"/>
      <c r="I117" s="1537"/>
      <c r="J117" s="1538"/>
      <c r="K117" s="1538"/>
      <c r="L117" s="1538"/>
      <c r="M117" s="1538"/>
      <c r="N117" s="1538"/>
      <c r="O117" s="1538"/>
      <c r="P117" s="1538"/>
      <c r="Q117" s="1538"/>
      <c r="R117" s="1538"/>
      <c r="S117" s="1538"/>
      <c r="T117" s="1538"/>
      <c r="U117" s="1538"/>
      <c r="V117" s="1538"/>
      <c r="W117" s="1538"/>
      <c r="X117" s="1538"/>
      <c r="Y117" s="1538"/>
      <c r="Z117" s="1538"/>
      <c r="AA117" s="1538"/>
      <c r="AB117" s="1538"/>
      <c r="AC117" s="1538"/>
      <c r="AD117" s="1538"/>
      <c r="AE117" s="1538"/>
      <c r="AF117" s="1538"/>
      <c r="AG117" s="1538"/>
      <c r="AH117" s="1538"/>
      <c r="AI117" s="1538"/>
      <c r="AJ117" s="1538"/>
      <c r="AK117" s="1538"/>
      <c r="AL117" s="1538"/>
      <c r="AM117" s="1538"/>
      <c r="AN117" s="1538"/>
      <c r="AO117" s="1538"/>
      <c r="AP117" s="1538"/>
      <c r="AQ117" s="1538"/>
      <c r="AR117" s="1538"/>
      <c r="AS117" s="1538"/>
      <c r="AT117" s="1538"/>
      <c r="AU117" s="1538"/>
      <c r="AV117" s="1538"/>
      <c r="AW117" s="1528"/>
      <c r="AX117" s="1528"/>
      <c r="AY117" s="1528"/>
      <c r="AZ117" s="1528"/>
      <c r="BA117" s="1528"/>
      <c r="BB117" s="1528"/>
      <c r="BC117" s="1528"/>
      <c r="BD117" s="1528"/>
      <c r="BE117" s="1528"/>
      <c r="BF117" s="1528"/>
      <c r="BG117" s="1528"/>
      <c r="BH117" s="1528"/>
      <c r="BI117" s="1528"/>
      <c r="BJ117" s="1528"/>
      <c r="BK117" s="1528"/>
      <c r="BL117" s="1528"/>
      <c r="BM117" s="1528"/>
      <c r="BN117" s="1528"/>
      <c r="BO117" s="1528"/>
      <c r="BP117" s="1528"/>
      <c r="BQ117" s="1528"/>
      <c r="BR117" s="1528"/>
      <c r="BS117" s="1528"/>
      <c r="BT117" s="1528"/>
      <c r="BU117" s="1528"/>
      <c r="BV117" s="1528"/>
      <c r="BW117" s="1528"/>
      <c r="BX117" s="1528"/>
      <c r="BY117" s="1528"/>
      <c r="BZ117" s="1528"/>
      <c r="CA117" s="1528"/>
      <c r="CB117" s="1529"/>
      <c r="CC117"/>
      <c r="CI117" s="297"/>
    </row>
    <row r="118" spans="1:87" s="77" customFormat="1" ht="17.100000000000001" customHeight="1">
      <c r="A118" s="1536" t="s">
        <v>14</v>
      </c>
      <c r="B118" s="1537"/>
      <c r="C118" s="1537"/>
      <c r="D118" s="1537"/>
      <c r="E118" s="1537"/>
      <c r="F118" s="1537"/>
      <c r="G118" s="1537"/>
      <c r="H118" s="1537"/>
      <c r="I118" s="1537"/>
      <c r="J118" s="1538"/>
      <c r="K118" s="1538"/>
      <c r="L118" s="1538"/>
      <c r="M118" s="1538"/>
      <c r="N118" s="1538"/>
      <c r="O118" s="1538"/>
      <c r="P118" s="1538"/>
      <c r="Q118" s="1538"/>
      <c r="R118" s="1538"/>
      <c r="S118" s="1538"/>
      <c r="T118" s="1538"/>
      <c r="U118" s="1538"/>
      <c r="V118" s="1538"/>
      <c r="W118" s="1538"/>
      <c r="X118" s="1538"/>
      <c r="Y118" s="1538"/>
      <c r="Z118" s="1538"/>
      <c r="AA118" s="1538"/>
      <c r="AB118" s="1538"/>
      <c r="AC118" s="1538"/>
      <c r="AD118" s="1538"/>
      <c r="AE118" s="1538"/>
      <c r="AF118" s="1538"/>
      <c r="AG118" s="1538"/>
      <c r="AH118" s="1538"/>
      <c r="AI118" s="1538"/>
      <c r="AJ118" s="1538"/>
      <c r="AK118" s="1538"/>
      <c r="AL118" s="1538"/>
      <c r="AM118" s="1538"/>
      <c r="AN118" s="1538"/>
      <c r="AO118" s="1538"/>
      <c r="AP118" s="1538"/>
      <c r="AQ118" s="1538"/>
      <c r="AR118" s="1538"/>
      <c r="AS118" s="1538"/>
      <c r="AT118" s="1538"/>
      <c r="AU118" s="1538"/>
      <c r="AV118" s="1538"/>
      <c r="AW118" s="1528"/>
      <c r="AX118" s="1528"/>
      <c r="AY118" s="1528"/>
      <c r="AZ118" s="1528"/>
      <c r="BA118" s="1528"/>
      <c r="BB118" s="1528"/>
      <c r="BC118" s="1528"/>
      <c r="BD118" s="1528"/>
      <c r="BE118" s="1528"/>
      <c r="BF118" s="1528"/>
      <c r="BG118" s="1528"/>
      <c r="BH118" s="1528"/>
      <c r="BI118" s="1528"/>
      <c r="BJ118" s="1528"/>
      <c r="BK118" s="1528"/>
      <c r="BL118" s="1528"/>
      <c r="BM118" s="1528"/>
      <c r="BN118" s="1528"/>
      <c r="BO118" s="1528"/>
      <c r="BP118" s="1528"/>
      <c r="BQ118" s="1528"/>
      <c r="BR118" s="1528"/>
      <c r="BS118" s="1528"/>
      <c r="BT118" s="1528"/>
      <c r="BU118" s="1528"/>
      <c r="BV118" s="1528"/>
      <c r="BW118" s="1528"/>
      <c r="BX118" s="1528"/>
      <c r="BY118" s="1528"/>
      <c r="BZ118" s="1528"/>
      <c r="CA118" s="1528"/>
      <c r="CB118" s="1529"/>
      <c r="CC118"/>
      <c r="CI118" s="297"/>
    </row>
    <row r="119" spans="1:87" s="77" customFormat="1" ht="17.100000000000001" customHeight="1">
      <c r="A119" s="1530" t="s">
        <v>12</v>
      </c>
      <c r="B119" s="1531"/>
      <c r="C119" s="1531"/>
      <c r="D119" s="1531"/>
      <c r="E119" s="1531"/>
      <c r="F119" s="1531"/>
      <c r="G119" s="1531"/>
      <c r="H119" s="1531"/>
      <c r="I119" s="1531"/>
      <c r="J119" s="1532"/>
      <c r="K119" s="1532"/>
      <c r="L119" s="1532"/>
      <c r="M119" s="1532"/>
      <c r="N119" s="1532"/>
      <c r="O119" s="1532"/>
      <c r="P119" s="1532"/>
      <c r="Q119" s="1532"/>
      <c r="R119" s="1532"/>
      <c r="S119" s="1532"/>
      <c r="T119" s="1532"/>
      <c r="U119" s="1532"/>
      <c r="V119" s="1532"/>
      <c r="W119" s="1532"/>
      <c r="X119" s="1532"/>
      <c r="Y119" s="1532"/>
      <c r="Z119" s="1532"/>
      <c r="AA119" s="1532"/>
      <c r="AB119" s="1532"/>
      <c r="AC119" s="1532"/>
      <c r="AD119" s="1532"/>
      <c r="AE119" s="1532"/>
      <c r="AF119" s="1532"/>
      <c r="AG119" s="1532"/>
      <c r="AH119" s="1532"/>
      <c r="AI119" s="1532"/>
      <c r="AJ119" s="1532"/>
      <c r="AK119" s="1532"/>
      <c r="AL119" s="1532"/>
      <c r="AM119" s="1532"/>
      <c r="AN119" s="1532"/>
      <c r="AO119" s="1532"/>
      <c r="AP119" s="1532"/>
      <c r="AQ119" s="1532"/>
      <c r="AR119" s="1532"/>
      <c r="AS119" s="1532"/>
      <c r="AT119" s="1532"/>
      <c r="AU119" s="1532"/>
      <c r="AV119" s="1532"/>
      <c r="AW119" s="1533"/>
      <c r="AX119" s="1534"/>
      <c r="AY119" s="1534"/>
      <c r="AZ119" s="1534"/>
      <c r="BA119" s="1534"/>
      <c r="BB119" s="1534"/>
      <c r="BC119" s="1534"/>
      <c r="BD119" s="1534"/>
      <c r="BE119" s="1534"/>
      <c r="BF119" s="1534"/>
      <c r="BG119" s="1533"/>
      <c r="BH119" s="1534"/>
      <c r="BI119" s="1534"/>
      <c r="BJ119" s="1534"/>
      <c r="BK119" s="1534"/>
      <c r="BL119" s="1534"/>
      <c r="BM119" s="1534"/>
      <c r="BN119" s="1534"/>
      <c r="BO119" s="1534"/>
      <c r="BP119" s="1534"/>
      <c r="BQ119" s="1534"/>
      <c r="BR119" s="1534"/>
      <c r="BS119" s="1534"/>
      <c r="BT119" s="1534"/>
      <c r="BU119" s="1534"/>
      <c r="BV119" s="1534"/>
      <c r="BW119" s="1534"/>
      <c r="BX119" s="1534"/>
      <c r="BY119" s="1534"/>
      <c r="BZ119" s="1534"/>
      <c r="CA119" s="1534"/>
      <c r="CB119" s="1535"/>
      <c r="CC119"/>
      <c r="CI119" s="297"/>
    </row>
    <row r="120" spans="1:87" s="77" customFormat="1" ht="17.100000000000001" customHeight="1">
      <c r="A120" s="1518" t="s">
        <v>62</v>
      </c>
      <c r="B120" s="1519"/>
      <c r="C120" s="1519"/>
      <c r="D120" s="1519"/>
      <c r="E120" s="1519"/>
      <c r="F120" s="1519"/>
      <c r="G120" s="1519"/>
      <c r="H120" s="1519"/>
      <c r="I120" s="1519"/>
      <c r="J120" s="1520"/>
      <c r="K120" s="1520"/>
      <c r="L120" s="1520"/>
      <c r="M120" s="1520"/>
      <c r="N120" s="1520"/>
      <c r="O120" s="1520"/>
      <c r="P120" s="1520"/>
      <c r="Q120" s="1520"/>
      <c r="R120" s="1520"/>
      <c r="S120" s="1520"/>
      <c r="T120" s="1520"/>
      <c r="U120" s="1520"/>
      <c r="V120" s="1520"/>
      <c r="W120" s="1520"/>
      <c r="X120" s="1520"/>
      <c r="Y120" s="1520"/>
      <c r="Z120" s="1520"/>
      <c r="AA120" s="1520"/>
      <c r="AB120" s="1520"/>
      <c r="AC120" s="1520"/>
      <c r="AD120" s="1520"/>
      <c r="AE120" s="1520"/>
      <c r="AF120" s="1520"/>
      <c r="AG120" s="1520"/>
      <c r="AH120" s="1520"/>
      <c r="AI120" s="1520"/>
      <c r="AJ120" s="1520"/>
      <c r="AK120" s="1520"/>
      <c r="AL120" s="1520"/>
      <c r="AM120" s="1520"/>
      <c r="AN120" s="1520"/>
      <c r="AO120" s="1520"/>
      <c r="AP120" s="1520"/>
      <c r="AQ120" s="1520"/>
      <c r="AR120" s="1520"/>
      <c r="AS120" s="1520"/>
      <c r="AT120" s="1520"/>
      <c r="AU120" s="1520"/>
      <c r="AV120" s="1520"/>
      <c r="AW120" s="1520"/>
      <c r="AX120" s="1520"/>
      <c r="AY120" s="1520"/>
      <c r="AZ120" s="1520"/>
      <c r="BA120" s="1520"/>
      <c r="BB120" s="1520"/>
      <c r="BC120" s="1520"/>
      <c r="BD120" s="1520"/>
      <c r="BE120" s="1520"/>
      <c r="BF120" s="1520"/>
      <c r="BG120" s="1520"/>
      <c r="BH120" s="1520"/>
      <c r="BI120" s="1520"/>
      <c r="BJ120" s="1520"/>
      <c r="BK120" s="1520"/>
      <c r="BL120" s="1520"/>
      <c r="BM120" s="1520"/>
      <c r="BN120" s="1520"/>
      <c r="BO120" s="1520"/>
      <c r="BP120" s="1520"/>
      <c r="BQ120" s="1520"/>
      <c r="BR120" s="1520"/>
      <c r="BS120" s="1520"/>
      <c r="BT120" s="1520"/>
      <c r="BU120" s="1520"/>
      <c r="BV120" s="1520"/>
      <c r="BW120" s="1520"/>
      <c r="BX120" s="1520"/>
      <c r="BY120" s="1520"/>
      <c r="BZ120" s="1520"/>
      <c r="CA120" s="1520"/>
      <c r="CB120" s="1521"/>
      <c r="CC120"/>
      <c r="CI120" s="297"/>
    </row>
    <row r="121" spans="1:87" ht="17.100000000000001" customHeight="1">
      <c r="A121" s="1282" t="s">
        <v>499</v>
      </c>
      <c r="B121" s="1283"/>
      <c r="C121" s="1283"/>
      <c r="D121" s="1283"/>
      <c r="E121" s="1283"/>
      <c r="F121" s="1283"/>
      <c r="G121" s="1283"/>
      <c r="H121" s="1283"/>
      <c r="I121" s="1283"/>
      <c r="J121" s="1283"/>
      <c r="K121" s="1283"/>
      <c r="L121" s="1283"/>
      <c r="M121" s="1283"/>
      <c r="N121" s="1283"/>
      <c r="O121" s="1283"/>
      <c r="P121" s="1283"/>
      <c r="Q121" s="1283"/>
      <c r="R121" s="1283"/>
      <c r="S121" s="1283"/>
      <c r="T121" s="1283"/>
      <c r="U121" s="1283"/>
      <c r="V121" s="1283"/>
      <c r="W121" s="1283"/>
      <c r="X121" s="1283"/>
      <c r="Y121" s="1283"/>
      <c r="Z121" s="1283"/>
      <c r="AA121" s="1283"/>
      <c r="AB121" s="1283"/>
      <c r="AC121" s="1283"/>
      <c r="AD121" s="1283"/>
      <c r="AE121" s="1283"/>
      <c r="AF121" s="1283"/>
      <c r="AG121" s="1283"/>
      <c r="AH121" s="1283"/>
      <c r="AI121" s="1283"/>
      <c r="AJ121" s="1283"/>
      <c r="AK121" s="1283"/>
      <c r="AL121" s="1283"/>
      <c r="AM121" s="1283"/>
      <c r="AN121" s="1283"/>
      <c r="AO121" s="1283"/>
      <c r="AP121" s="1283"/>
      <c r="AQ121" s="1283"/>
      <c r="AR121" s="1283"/>
      <c r="AS121" s="1283"/>
      <c r="AT121" s="1283"/>
      <c r="AU121" s="1283"/>
      <c r="AV121" s="1283"/>
      <c r="AW121" s="1283"/>
      <c r="AX121" s="1283"/>
      <c r="AY121" s="1283"/>
      <c r="AZ121" s="1283"/>
      <c r="BA121" s="1283"/>
      <c r="BB121" s="1283"/>
      <c r="BC121" s="1283"/>
      <c r="BD121" s="1283"/>
      <c r="BE121" s="1283"/>
      <c r="BF121" s="1283"/>
      <c r="BG121" s="1283"/>
      <c r="BH121" s="1283"/>
      <c r="BI121" s="1283"/>
      <c r="BJ121" s="1283"/>
      <c r="BK121" s="1283"/>
      <c r="BL121" s="1283"/>
      <c r="BM121" s="1283"/>
      <c r="BN121" s="1283"/>
      <c r="BO121" s="1283"/>
      <c r="BP121" s="1283"/>
      <c r="BQ121" s="1283"/>
      <c r="BR121" s="1283"/>
      <c r="BS121" s="1283"/>
      <c r="BT121" s="1283"/>
      <c r="BU121" s="1283"/>
      <c r="BV121" s="1283"/>
      <c r="BW121" s="1283"/>
      <c r="BX121" s="1283"/>
      <c r="BY121" s="1283"/>
      <c r="BZ121" s="1283"/>
      <c r="CA121" s="1283"/>
      <c r="CB121" s="1284"/>
      <c r="CI121" s="296"/>
    </row>
    <row r="122" spans="1:87" ht="17.100000000000001" customHeight="1">
      <c r="A122" s="1543" t="s">
        <v>328</v>
      </c>
      <c r="B122" s="1523"/>
      <c r="C122" s="1523"/>
      <c r="D122" s="1523"/>
      <c r="E122" s="1523"/>
      <c r="F122" s="1523"/>
      <c r="G122" s="1523"/>
      <c r="H122" s="1523"/>
      <c r="I122" s="1523"/>
      <c r="J122" s="1523"/>
      <c r="K122" s="1523"/>
      <c r="L122" s="1524"/>
      <c r="M122" s="1543" t="s">
        <v>500</v>
      </c>
      <c r="N122" s="1543"/>
      <c r="O122" s="1543"/>
      <c r="P122" s="1543"/>
      <c r="Q122" s="1543"/>
      <c r="R122" s="1543"/>
      <c r="S122" s="1543"/>
      <c r="T122" s="1543"/>
      <c r="U122" s="1543"/>
      <c r="V122" s="1543"/>
      <c r="W122" s="1543"/>
      <c r="X122" s="1543"/>
      <c r="Y122" s="1543"/>
      <c r="Z122" s="1543"/>
      <c r="AA122" s="1543"/>
      <c r="AB122" s="1543"/>
      <c r="AC122" s="1543"/>
      <c r="AD122" s="1543"/>
      <c r="AE122" s="1543"/>
      <c r="AF122" s="1543"/>
      <c r="AG122" s="1543"/>
      <c r="AH122" s="1543"/>
      <c r="AI122" s="1543"/>
      <c r="AJ122" s="1543"/>
      <c r="AK122" s="1543"/>
      <c r="AL122" s="1543"/>
      <c r="AM122" s="1543"/>
      <c r="AN122" s="1543"/>
      <c r="AO122" s="1543"/>
      <c r="AP122" s="1543"/>
      <c r="AQ122" s="1543"/>
      <c r="AR122" s="1543"/>
      <c r="AS122" s="1543"/>
      <c r="AT122" s="1543" t="s">
        <v>254</v>
      </c>
      <c r="AU122" s="1543"/>
      <c r="AV122" s="1543"/>
      <c r="AW122" s="1543"/>
      <c r="AX122" s="1543"/>
      <c r="AY122" s="1543"/>
      <c r="AZ122" s="1543"/>
      <c r="BA122" s="1544" t="s">
        <v>500</v>
      </c>
      <c r="BB122" s="1544"/>
      <c r="BC122" s="1544"/>
      <c r="BD122" s="1544"/>
      <c r="BE122" s="1544"/>
      <c r="BF122" s="1544"/>
      <c r="BG122" s="1544"/>
      <c r="BH122" s="1544"/>
      <c r="BI122" s="1544"/>
      <c r="BJ122" s="1544"/>
      <c r="BK122" s="1544"/>
      <c r="BL122" s="1544"/>
      <c r="BM122" s="1544"/>
      <c r="BN122" s="1544"/>
      <c r="BO122" s="1544"/>
      <c r="BP122" s="1544"/>
      <c r="BQ122" s="1544"/>
      <c r="BR122" s="1544"/>
      <c r="BS122" s="1544"/>
      <c r="BT122" s="1544"/>
      <c r="BU122" s="1544"/>
      <c r="BV122" s="1544"/>
      <c r="BW122" s="1544"/>
      <c r="BX122" s="1544"/>
      <c r="BY122" s="1544"/>
      <c r="BZ122" s="1544"/>
      <c r="CA122" s="1544"/>
      <c r="CB122" s="1544"/>
      <c r="CI122" s="296"/>
    </row>
    <row r="123" spans="1:87" s="77" customFormat="1" ht="17.100000000000001" customHeight="1">
      <c r="A123" s="1541" t="s">
        <v>225</v>
      </c>
      <c r="B123" s="1539"/>
      <c r="C123" s="1539"/>
      <c r="D123" s="1539"/>
      <c r="E123" s="1539"/>
      <c r="F123" s="1539"/>
      <c r="G123" s="1539"/>
      <c r="H123" s="1539"/>
      <c r="I123" s="1539"/>
      <c r="J123" s="1539"/>
      <c r="K123" s="1539"/>
      <c r="L123" s="1539"/>
      <c r="M123" s="1539"/>
      <c r="N123" s="1539"/>
      <c r="O123" s="1539"/>
      <c r="P123" s="1539"/>
      <c r="Q123" s="1539"/>
      <c r="R123" s="1539"/>
      <c r="S123" s="1505"/>
      <c r="T123" s="1541" t="s">
        <v>76</v>
      </c>
      <c r="U123" s="1539"/>
      <c r="V123" s="1539"/>
      <c r="W123" s="1539"/>
      <c r="X123" s="1539"/>
      <c r="Y123" s="1539"/>
      <c r="Z123" s="1539"/>
      <c r="AA123" s="1539"/>
      <c r="AB123" s="1539"/>
      <c r="AC123" s="1539"/>
      <c r="AD123" s="1539"/>
      <c r="AE123" s="1539"/>
      <c r="AF123" s="1539"/>
      <c r="AG123" s="1539"/>
      <c r="AH123" s="1539"/>
      <c r="AI123" s="1539"/>
      <c r="AJ123" s="1539"/>
      <c r="AK123" s="1539"/>
      <c r="AL123" s="1540"/>
      <c r="AM123" s="1507" t="s">
        <v>77</v>
      </c>
      <c r="AN123" s="1539"/>
      <c r="AO123" s="1539"/>
      <c r="AP123" s="1539"/>
      <c r="AQ123" s="1539"/>
      <c r="AR123" s="1539"/>
      <c r="AS123" s="1539"/>
      <c r="AT123" s="1539"/>
      <c r="AU123" s="1539"/>
      <c r="AV123" s="1539"/>
      <c r="AW123" s="1539"/>
      <c r="AX123" s="1539"/>
      <c r="AY123" s="1539"/>
      <c r="AZ123" s="1539"/>
      <c r="BA123" s="1539"/>
      <c r="BB123" s="1539"/>
      <c r="BC123" s="1539"/>
      <c r="BD123" s="1539"/>
      <c r="BE123" s="1539"/>
      <c r="BF123" s="1505"/>
      <c r="BG123" s="1541" t="s">
        <v>78</v>
      </c>
      <c r="BH123" s="1539"/>
      <c r="BI123" s="1539"/>
      <c r="BJ123" s="1539"/>
      <c r="BK123" s="1539"/>
      <c r="BL123" s="1539"/>
      <c r="BM123" s="1539"/>
      <c r="BN123" s="1539"/>
      <c r="BO123" s="1539"/>
      <c r="BP123" s="1539"/>
      <c r="BQ123" s="1540"/>
      <c r="BR123" s="1507" t="s">
        <v>79</v>
      </c>
      <c r="BS123" s="1539"/>
      <c r="BT123" s="1539"/>
      <c r="BU123" s="1539"/>
      <c r="BV123" s="1539"/>
      <c r="BW123" s="1539"/>
      <c r="BX123" s="1539"/>
      <c r="BY123" s="1539"/>
      <c r="BZ123" s="1539"/>
      <c r="CA123" s="1539"/>
      <c r="CB123" s="1540"/>
      <c r="CC123"/>
      <c r="CI123" s="297"/>
    </row>
    <row r="124" spans="1:87" s="77" customFormat="1" ht="17.100000000000001" customHeight="1">
      <c r="A124" s="1513" t="s">
        <v>477</v>
      </c>
      <c r="B124" s="1514"/>
      <c r="C124" s="1514"/>
      <c r="D124" s="1514"/>
      <c r="E124" s="1514"/>
      <c r="F124" s="1514"/>
      <c r="G124" s="1514"/>
      <c r="H124" s="1514"/>
      <c r="I124" s="1514"/>
      <c r="J124" s="1514"/>
      <c r="K124" s="1514"/>
      <c r="L124" s="1514"/>
      <c r="M124" s="1514"/>
      <c r="N124" s="1514"/>
      <c r="O124" s="1514"/>
      <c r="P124" s="1514"/>
      <c r="Q124" s="1514"/>
      <c r="R124" s="1514"/>
      <c r="S124" s="1514"/>
      <c r="T124" s="1514"/>
      <c r="U124" s="1514"/>
      <c r="V124" s="1514"/>
      <c r="W124" s="1514"/>
      <c r="X124" s="1514"/>
      <c r="Y124" s="1514"/>
      <c r="Z124" s="1514"/>
      <c r="AA124" s="1514"/>
      <c r="AB124" s="1514"/>
      <c r="AC124" s="1514"/>
      <c r="AD124" s="1514"/>
      <c r="AE124" s="1514"/>
      <c r="AF124" s="1514"/>
      <c r="AG124" s="1514"/>
      <c r="AH124" s="1514"/>
      <c r="AI124" s="1514"/>
      <c r="AJ124" s="1514"/>
      <c r="AK124" s="1514"/>
      <c r="AL124" s="1514"/>
      <c r="AM124" s="1514" t="s">
        <v>477</v>
      </c>
      <c r="AN124" s="1514"/>
      <c r="AO124" s="1514"/>
      <c r="AP124" s="1514"/>
      <c r="AQ124" s="1514"/>
      <c r="AR124" s="1514"/>
      <c r="AS124" s="1514"/>
      <c r="AT124" s="1514"/>
      <c r="AU124" s="1514"/>
      <c r="AV124" s="1514"/>
      <c r="AW124" s="1514"/>
      <c r="AX124" s="1514"/>
      <c r="AY124" s="1514"/>
      <c r="AZ124" s="1514"/>
      <c r="BA124" s="1514"/>
      <c r="BB124" s="1514"/>
      <c r="BC124" s="1514"/>
      <c r="BD124" s="1514"/>
      <c r="BE124" s="1514"/>
      <c r="BF124" s="1514"/>
      <c r="BG124" s="1514">
        <v>6188308.3799999999</v>
      </c>
      <c r="BH124" s="1514"/>
      <c r="BI124" s="1514"/>
      <c r="BJ124" s="1514"/>
      <c r="BK124" s="1514"/>
      <c r="BL124" s="1514"/>
      <c r="BM124" s="1514"/>
      <c r="BN124" s="1514"/>
      <c r="BO124" s="1514"/>
      <c r="BP124" s="1514"/>
      <c r="BQ124" s="1514"/>
      <c r="BR124" s="1514">
        <v>6178205.6299999999</v>
      </c>
      <c r="BS124" s="1514"/>
      <c r="BT124" s="1514"/>
      <c r="BU124" s="1514"/>
      <c r="BV124" s="1514"/>
      <c r="BW124" s="1514"/>
      <c r="BX124" s="1514"/>
      <c r="BY124" s="1514"/>
      <c r="BZ124" s="1514"/>
      <c r="CA124" s="1514"/>
      <c r="CB124" s="1514"/>
      <c r="CC124"/>
      <c r="CI124" s="297"/>
    </row>
    <row r="125" spans="1:87" s="77" customFormat="1" ht="20.25" customHeight="1">
      <c r="A125" s="1541" t="s">
        <v>83</v>
      </c>
      <c r="B125" s="1539"/>
      <c r="C125" s="1539"/>
      <c r="D125" s="1539"/>
      <c r="E125" s="1539"/>
      <c r="F125" s="1539"/>
      <c r="G125" s="1539"/>
      <c r="H125" s="1539"/>
      <c r="I125" s="1539"/>
      <c r="J125" s="1539" t="s">
        <v>203</v>
      </c>
      <c r="K125" s="1539"/>
      <c r="L125" s="1539"/>
      <c r="M125" s="1539"/>
      <c r="N125" s="1539"/>
      <c r="O125" s="1539"/>
      <c r="P125" s="1539"/>
      <c r="Q125" s="1539"/>
      <c r="R125" s="1539"/>
      <c r="S125" s="1539"/>
      <c r="T125" s="1539" t="s">
        <v>81</v>
      </c>
      <c r="U125" s="1539"/>
      <c r="V125" s="1539"/>
      <c r="W125" s="1539"/>
      <c r="X125" s="1539"/>
      <c r="Y125" s="1539"/>
      <c r="Z125" s="1539"/>
      <c r="AA125" s="1539"/>
      <c r="AB125" s="1539"/>
      <c r="AC125" s="1539" t="s">
        <v>10</v>
      </c>
      <c r="AD125" s="1539"/>
      <c r="AE125" s="1539"/>
      <c r="AF125" s="1539"/>
      <c r="AG125" s="1539"/>
      <c r="AH125" s="1539"/>
      <c r="AI125" s="1539"/>
      <c r="AJ125" s="1539"/>
      <c r="AK125" s="1539"/>
      <c r="AL125" s="1539"/>
      <c r="AM125" s="1542" t="s">
        <v>255</v>
      </c>
      <c r="AN125" s="1542"/>
      <c r="AO125" s="1542"/>
      <c r="AP125" s="1542"/>
      <c r="AQ125" s="1542"/>
      <c r="AR125" s="1542"/>
      <c r="AS125" s="1542"/>
      <c r="AT125" s="1542"/>
      <c r="AU125" s="1542"/>
      <c r="AV125" s="1542"/>
      <c r="AW125" s="1539" t="s">
        <v>83</v>
      </c>
      <c r="AX125" s="1539"/>
      <c r="AY125" s="1539"/>
      <c r="AZ125" s="1539"/>
      <c r="BA125" s="1539"/>
      <c r="BB125" s="1539"/>
      <c r="BC125" s="1539"/>
      <c r="BD125" s="1539"/>
      <c r="BE125" s="1539"/>
      <c r="BF125" s="1539"/>
      <c r="BG125" s="1539" t="s">
        <v>84</v>
      </c>
      <c r="BH125" s="1539"/>
      <c r="BI125" s="1539"/>
      <c r="BJ125" s="1539"/>
      <c r="BK125" s="1539"/>
      <c r="BL125" s="1539"/>
      <c r="BM125" s="1539"/>
      <c r="BN125" s="1539"/>
      <c r="BO125" s="1539"/>
      <c r="BP125" s="1539" t="s">
        <v>226</v>
      </c>
      <c r="BQ125" s="1539"/>
      <c r="BR125" s="1539"/>
      <c r="BS125" s="1539"/>
      <c r="BT125" s="1539"/>
      <c r="BU125" s="1539"/>
      <c r="BV125" s="1539"/>
      <c r="BW125" s="1539"/>
      <c r="BX125" s="1539"/>
      <c r="BY125" s="1539"/>
      <c r="BZ125" s="1539"/>
      <c r="CA125" s="1539"/>
      <c r="CB125" s="1540"/>
      <c r="CC125"/>
      <c r="CI125" s="297"/>
    </row>
    <row r="126" spans="1:87" s="77" customFormat="1" ht="17.100000000000001" customHeight="1">
      <c r="A126" s="1536" t="s">
        <v>86</v>
      </c>
      <c r="B126" s="1537"/>
      <c r="C126" s="1537"/>
      <c r="D126" s="1537"/>
      <c r="E126" s="1537"/>
      <c r="F126" s="1537"/>
      <c r="G126" s="1537"/>
      <c r="H126" s="1537"/>
      <c r="I126" s="1537"/>
      <c r="J126" s="1538"/>
      <c r="K126" s="1538"/>
      <c r="L126" s="1538"/>
      <c r="M126" s="1538"/>
      <c r="N126" s="1538"/>
      <c r="O126" s="1538"/>
      <c r="P126" s="1538"/>
      <c r="Q126" s="1538"/>
      <c r="R126" s="1538"/>
      <c r="S126" s="1538"/>
      <c r="T126" s="1538"/>
      <c r="U126" s="1538"/>
      <c r="V126" s="1538"/>
      <c r="W126" s="1538"/>
      <c r="X126" s="1538"/>
      <c r="Y126" s="1538"/>
      <c r="Z126" s="1538"/>
      <c r="AA126" s="1538"/>
      <c r="AB126" s="1538"/>
      <c r="AC126" s="1538"/>
      <c r="AD126" s="1538"/>
      <c r="AE126" s="1538"/>
      <c r="AF126" s="1538"/>
      <c r="AG126" s="1538"/>
      <c r="AH126" s="1538"/>
      <c r="AI126" s="1538"/>
      <c r="AJ126" s="1538"/>
      <c r="AK126" s="1538"/>
      <c r="AL126" s="1538"/>
      <c r="AM126" s="1538"/>
      <c r="AN126" s="1538"/>
      <c r="AO126" s="1538"/>
      <c r="AP126" s="1538"/>
      <c r="AQ126" s="1538"/>
      <c r="AR126" s="1538"/>
      <c r="AS126" s="1538"/>
      <c r="AT126" s="1538"/>
      <c r="AU126" s="1538"/>
      <c r="AV126" s="1538"/>
      <c r="AW126" s="1528"/>
      <c r="AX126" s="1528"/>
      <c r="AY126" s="1528"/>
      <c r="AZ126" s="1528"/>
      <c r="BA126" s="1528"/>
      <c r="BB126" s="1528"/>
      <c r="BC126" s="1528"/>
      <c r="BD126" s="1528"/>
      <c r="BE126" s="1528"/>
      <c r="BF126" s="1528"/>
      <c r="BG126" s="1528"/>
      <c r="BH126" s="1528"/>
      <c r="BI126" s="1528"/>
      <c r="BJ126" s="1528"/>
      <c r="BK126" s="1528"/>
      <c r="BL126" s="1528"/>
      <c r="BM126" s="1528"/>
      <c r="BN126" s="1528"/>
      <c r="BO126" s="1528"/>
      <c r="BP126" s="1528"/>
      <c r="BQ126" s="1528"/>
      <c r="BR126" s="1528"/>
      <c r="BS126" s="1528"/>
      <c r="BT126" s="1528"/>
      <c r="BU126" s="1528"/>
      <c r="BV126" s="1528"/>
      <c r="BW126" s="1528"/>
      <c r="BX126" s="1528"/>
      <c r="BY126" s="1528"/>
      <c r="BZ126" s="1528"/>
      <c r="CA126" s="1528"/>
      <c r="CB126" s="1529"/>
      <c r="CC126"/>
      <c r="CI126" s="297"/>
    </row>
    <row r="127" spans="1:87" s="77" customFormat="1" ht="17.100000000000001" customHeight="1">
      <c r="A127" s="1536" t="s">
        <v>14</v>
      </c>
      <c r="B127" s="1537"/>
      <c r="C127" s="1537"/>
      <c r="D127" s="1537"/>
      <c r="E127" s="1537"/>
      <c r="F127" s="1537"/>
      <c r="G127" s="1537"/>
      <c r="H127" s="1537"/>
      <c r="I127" s="1537"/>
      <c r="J127" s="1538"/>
      <c r="K127" s="1538"/>
      <c r="L127" s="1538"/>
      <c r="M127" s="1538"/>
      <c r="N127" s="1538"/>
      <c r="O127" s="1538"/>
      <c r="P127" s="1538"/>
      <c r="Q127" s="1538"/>
      <c r="R127" s="1538"/>
      <c r="S127" s="1538"/>
      <c r="T127" s="1538"/>
      <c r="U127" s="1538"/>
      <c r="V127" s="1538"/>
      <c r="W127" s="1538"/>
      <c r="X127" s="1538"/>
      <c r="Y127" s="1538"/>
      <c r="Z127" s="1538"/>
      <c r="AA127" s="1538"/>
      <c r="AB127" s="1538"/>
      <c r="AC127" s="1538"/>
      <c r="AD127" s="1538"/>
      <c r="AE127" s="1538"/>
      <c r="AF127" s="1538"/>
      <c r="AG127" s="1538"/>
      <c r="AH127" s="1538"/>
      <c r="AI127" s="1538"/>
      <c r="AJ127" s="1538"/>
      <c r="AK127" s="1538"/>
      <c r="AL127" s="1538"/>
      <c r="AM127" s="1538"/>
      <c r="AN127" s="1538"/>
      <c r="AO127" s="1538"/>
      <c r="AP127" s="1538"/>
      <c r="AQ127" s="1538"/>
      <c r="AR127" s="1538"/>
      <c r="AS127" s="1538"/>
      <c r="AT127" s="1538"/>
      <c r="AU127" s="1538"/>
      <c r="AV127" s="1538"/>
      <c r="AW127" s="1528"/>
      <c r="AX127" s="1528"/>
      <c r="AY127" s="1528"/>
      <c r="AZ127" s="1528"/>
      <c r="BA127" s="1528"/>
      <c r="BB127" s="1528"/>
      <c r="BC127" s="1528"/>
      <c r="BD127" s="1528"/>
      <c r="BE127" s="1528"/>
      <c r="BF127" s="1528"/>
      <c r="BG127" s="1528"/>
      <c r="BH127" s="1528"/>
      <c r="BI127" s="1528"/>
      <c r="BJ127" s="1528"/>
      <c r="BK127" s="1528"/>
      <c r="BL127" s="1528"/>
      <c r="BM127" s="1528"/>
      <c r="BN127" s="1528"/>
      <c r="BO127" s="1528"/>
      <c r="BP127" s="1528"/>
      <c r="BQ127" s="1528"/>
      <c r="BR127" s="1528"/>
      <c r="BS127" s="1528"/>
      <c r="BT127" s="1528"/>
      <c r="BU127" s="1528"/>
      <c r="BV127" s="1528"/>
      <c r="BW127" s="1528"/>
      <c r="BX127" s="1528"/>
      <c r="BY127" s="1528"/>
      <c r="BZ127" s="1528"/>
      <c r="CA127" s="1528"/>
      <c r="CB127" s="1529"/>
      <c r="CC127"/>
      <c r="CD127"/>
      <c r="CE127"/>
      <c r="CF127" s="297"/>
      <c r="CG127" s="297"/>
      <c r="CH127" s="297"/>
      <c r="CI127" s="297"/>
    </row>
    <row r="128" spans="1:87" s="77" customFormat="1" ht="17.100000000000001" customHeight="1">
      <c r="A128" s="1530" t="s">
        <v>12</v>
      </c>
      <c r="B128" s="1531"/>
      <c r="C128" s="1531"/>
      <c r="D128" s="1531"/>
      <c r="E128" s="1531"/>
      <c r="F128" s="1531"/>
      <c r="G128" s="1531"/>
      <c r="H128" s="1531"/>
      <c r="I128" s="1531"/>
      <c r="J128" s="1532"/>
      <c r="K128" s="1532"/>
      <c r="L128" s="1532"/>
      <c r="M128" s="1532"/>
      <c r="N128" s="1532"/>
      <c r="O128" s="1532"/>
      <c r="P128" s="1532"/>
      <c r="Q128" s="1532"/>
      <c r="R128" s="1532"/>
      <c r="S128" s="1532"/>
      <c r="T128" s="1532"/>
      <c r="U128" s="1532"/>
      <c r="V128" s="1532"/>
      <c r="W128" s="1532"/>
      <c r="X128" s="1532"/>
      <c r="Y128" s="1532"/>
      <c r="Z128" s="1532"/>
      <c r="AA128" s="1532"/>
      <c r="AB128" s="1532"/>
      <c r="AC128" s="1532"/>
      <c r="AD128" s="1532"/>
      <c r="AE128" s="1532"/>
      <c r="AF128" s="1532"/>
      <c r="AG128" s="1532"/>
      <c r="AH128" s="1532"/>
      <c r="AI128" s="1532"/>
      <c r="AJ128" s="1532"/>
      <c r="AK128" s="1532"/>
      <c r="AL128" s="1532"/>
      <c r="AM128" s="1532"/>
      <c r="AN128" s="1532"/>
      <c r="AO128" s="1532"/>
      <c r="AP128" s="1532"/>
      <c r="AQ128" s="1532"/>
      <c r="AR128" s="1532"/>
      <c r="AS128" s="1532"/>
      <c r="AT128" s="1532"/>
      <c r="AU128" s="1532"/>
      <c r="AV128" s="1532"/>
      <c r="AW128" s="1533"/>
      <c r="AX128" s="1534"/>
      <c r="AY128" s="1534"/>
      <c r="AZ128" s="1534"/>
      <c r="BA128" s="1534"/>
      <c r="BB128" s="1534"/>
      <c r="BC128" s="1534"/>
      <c r="BD128" s="1534"/>
      <c r="BE128" s="1534"/>
      <c r="BF128" s="1534"/>
      <c r="BG128" s="1533"/>
      <c r="BH128" s="1534"/>
      <c r="BI128" s="1534"/>
      <c r="BJ128" s="1534"/>
      <c r="BK128" s="1534"/>
      <c r="BL128" s="1534"/>
      <c r="BM128" s="1534"/>
      <c r="BN128" s="1534"/>
      <c r="BO128" s="1534"/>
      <c r="BP128" s="1534"/>
      <c r="BQ128" s="1534"/>
      <c r="BR128" s="1534"/>
      <c r="BS128" s="1534"/>
      <c r="BT128" s="1534"/>
      <c r="BU128" s="1534"/>
      <c r="BV128" s="1534"/>
      <c r="BW128" s="1534"/>
      <c r="BX128" s="1534"/>
      <c r="BY128" s="1534"/>
      <c r="BZ128" s="1534"/>
      <c r="CA128" s="1534"/>
      <c r="CB128" s="1535"/>
      <c r="CC128"/>
      <c r="CD128"/>
      <c r="CE128"/>
      <c r="CF128" s="297"/>
      <c r="CG128" s="297"/>
      <c r="CH128" s="297"/>
      <c r="CI128" s="297"/>
    </row>
    <row r="129" spans="1:87" s="77" customFormat="1" ht="17.100000000000001" customHeight="1">
      <c r="A129" s="1518" t="s">
        <v>62</v>
      </c>
      <c r="B129" s="1519"/>
      <c r="C129" s="1519"/>
      <c r="D129" s="1519"/>
      <c r="E129" s="1519"/>
      <c r="F129" s="1519"/>
      <c r="G129" s="1519"/>
      <c r="H129" s="1519"/>
      <c r="I129" s="1519"/>
      <c r="J129" s="1520"/>
      <c r="K129" s="1520"/>
      <c r="L129" s="1520"/>
      <c r="M129" s="1520"/>
      <c r="N129" s="1520"/>
      <c r="O129" s="1520"/>
      <c r="P129" s="1520"/>
      <c r="Q129" s="1520"/>
      <c r="R129" s="1520"/>
      <c r="S129" s="1520"/>
      <c r="T129" s="1520"/>
      <c r="U129" s="1520"/>
      <c r="V129" s="1520"/>
      <c r="W129" s="1520"/>
      <c r="X129" s="1520"/>
      <c r="Y129" s="1520"/>
      <c r="Z129" s="1520"/>
      <c r="AA129" s="1520"/>
      <c r="AB129" s="1520"/>
      <c r="AC129" s="1520"/>
      <c r="AD129" s="1520"/>
      <c r="AE129" s="1520"/>
      <c r="AF129" s="1520"/>
      <c r="AG129" s="1520"/>
      <c r="AH129" s="1520"/>
      <c r="AI129" s="1520"/>
      <c r="AJ129" s="1520"/>
      <c r="AK129" s="1520"/>
      <c r="AL129" s="1520"/>
      <c r="AM129" s="1520"/>
      <c r="AN129" s="1520"/>
      <c r="AO129" s="1520"/>
      <c r="AP129" s="1520"/>
      <c r="AQ129" s="1520"/>
      <c r="AR129" s="1520"/>
      <c r="AS129" s="1520"/>
      <c r="AT129" s="1520"/>
      <c r="AU129" s="1520"/>
      <c r="AV129" s="1520"/>
      <c r="AW129" s="1520"/>
      <c r="AX129" s="1520"/>
      <c r="AY129" s="1520"/>
      <c r="AZ129" s="1520"/>
      <c r="BA129" s="1520"/>
      <c r="BB129" s="1520"/>
      <c r="BC129" s="1520"/>
      <c r="BD129" s="1520"/>
      <c r="BE129" s="1520"/>
      <c r="BF129" s="1520"/>
      <c r="BG129" s="1520"/>
      <c r="BH129" s="1520"/>
      <c r="BI129" s="1520"/>
      <c r="BJ129" s="1520"/>
      <c r="BK129" s="1520"/>
      <c r="BL129" s="1520"/>
      <c r="BM129" s="1520"/>
      <c r="BN129" s="1520"/>
      <c r="BO129" s="1520"/>
      <c r="BP129" s="1520"/>
      <c r="BQ129" s="1520"/>
      <c r="BR129" s="1520"/>
      <c r="BS129" s="1520"/>
      <c r="BT129" s="1520"/>
      <c r="BU129" s="1520"/>
      <c r="BV129" s="1520"/>
      <c r="BW129" s="1520"/>
      <c r="BX129" s="1520"/>
      <c r="BY129" s="1520"/>
      <c r="BZ129" s="1520"/>
      <c r="CA129" s="1520"/>
      <c r="CB129" s="1521"/>
      <c r="CC129"/>
      <c r="CD129"/>
      <c r="CE129"/>
      <c r="CF129" s="296"/>
      <c r="CG129" s="296"/>
      <c r="CH129" s="296"/>
      <c r="CI129" s="297"/>
    </row>
    <row r="130" spans="1:87" ht="17.100000000000001" customHeight="1">
      <c r="A130" s="1282" t="s">
        <v>541</v>
      </c>
      <c r="B130" s="1283"/>
      <c r="C130" s="1283"/>
      <c r="D130" s="1283"/>
      <c r="E130" s="1283"/>
      <c r="F130" s="1283"/>
      <c r="G130" s="1283"/>
      <c r="H130" s="1283"/>
      <c r="I130" s="1283"/>
      <c r="J130" s="1283"/>
      <c r="K130" s="1283"/>
      <c r="L130" s="1283"/>
      <c r="M130" s="1283"/>
      <c r="N130" s="1283"/>
      <c r="O130" s="1283"/>
      <c r="P130" s="1283"/>
      <c r="Q130" s="1283"/>
      <c r="R130" s="1283"/>
      <c r="S130" s="1283"/>
      <c r="T130" s="1283"/>
      <c r="U130" s="1283"/>
      <c r="V130" s="1283"/>
      <c r="W130" s="1283"/>
      <c r="X130" s="1283"/>
      <c r="Y130" s="1283"/>
      <c r="Z130" s="1283"/>
      <c r="AA130" s="1283"/>
      <c r="AB130" s="1283"/>
      <c r="AC130" s="1283"/>
      <c r="AD130" s="1283"/>
      <c r="AE130" s="1283"/>
      <c r="AF130" s="1283"/>
      <c r="AG130" s="1283"/>
      <c r="AH130" s="1283"/>
      <c r="AI130" s="1283"/>
      <c r="AJ130" s="1283"/>
      <c r="AK130" s="1283"/>
      <c r="AL130" s="1283"/>
      <c r="AM130" s="1283"/>
      <c r="AN130" s="1283"/>
      <c r="AO130" s="1283"/>
      <c r="AP130" s="1283"/>
      <c r="AQ130" s="1283"/>
      <c r="AR130" s="1283"/>
      <c r="AS130" s="1283"/>
      <c r="AT130" s="1283"/>
      <c r="AU130" s="1283"/>
      <c r="AV130" s="1283"/>
      <c r="AW130" s="1283"/>
      <c r="AX130" s="1283"/>
      <c r="AY130" s="1283"/>
      <c r="AZ130" s="1283"/>
      <c r="BA130" s="1283"/>
      <c r="BB130" s="1283"/>
      <c r="BC130" s="1283"/>
      <c r="BD130" s="1283"/>
      <c r="BE130" s="1283"/>
      <c r="BF130" s="1283"/>
      <c r="BG130" s="1283"/>
      <c r="BH130" s="1283"/>
      <c r="BI130" s="1283"/>
      <c r="BJ130" s="1283"/>
      <c r="BK130" s="1283"/>
      <c r="BL130" s="1283"/>
      <c r="BM130" s="1283"/>
      <c r="BN130" s="1283"/>
      <c r="BO130" s="1283"/>
      <c r="BP130" s="1283"/>
      <c r="BQ130" s="1283"/>
      <c r="BR130" s="1283"/>
      <c r="BS130" s="1283"/>
      <c r="BT130" s="1283"/>
      <c r="BU130" s="1283"/>
      <c r="BV130" s="1283"/>
      <c r="BW130" s="1283"/>
      <c r="BX130" s="1283"/>
      <c r="BY130" s="1283"/>
      <c r="BZ130" s="1283"/>
      <c r="CA130" s="1283"/>
      <c r="CB130" s="1284"/>
    </row>
    <row r="131" spans="1:87" ht="17.100000000000001" customHeight="1">
      <c r="A131" s="1522" t="s">
        <v>328</v>
      </c>
      <c r="B131" s="1523"/>
      <c r="C131" s="1523"/>
      <c r="D131" s="1523"/>
      <c r="E131" s="1523"/>
      <c r="F131" s="1523"/>
      <c r="G131" s="1523"/>
      <c r="H131" s="1523"/>
      <c r="I131" s="1523"/>
      <c r="J131" s="1523"/>
      <c r="K131" s="1523"/>
      <c r="L131" s="1524"/>
      <c r="M131" s="1522" t="s">
        <v>540</v>
      </c>
      <c r="N131" s="1523"/>
      <c r="O131" s="1523"/>
      <c r="P131" s="1523"/>
      <c r="Q131" s="1523"/>
      <c r="R131" s="1523"/>
      <c r="S131" s="1523"/>
      <c r="T131" s="1523"/>
      <c r="U131" s="1523"/>
      <c r="V131" s="1523"/>
      <c r="W131" s="1523"/>
      <c r="X131" s="1523"/>
      <c r="Y131" s="1523"/>
      <c r="Z131" s="1523"/>
      <c r="AA131" s="1523"/>
      <c r="AB131" s="1523"/>
      <c r="AC131" s="1523"/>
      <c r="AD131" s="1523"/>
      <c r="AE131" s="1523"/>
      <c r="AF131" s="1523"/>
      <c r="AG131" s="1523"/>
      <c r="AH131" s="1523"/>
      <c r="AI131" s="1523"/>
      <c r="AJ131" s="1523"/>
      <c r="AK131" s="1523"/>
      <c r="AL131" s="1523"/>
      <c r="AM131" s="1523"/>
      <c r="AN131" s="1523"/>
      <c r="AO131" s="1523"/>
      <c r="AP131" s="1523"/>
      <c r="AQ131" s="1523"/>
      <c r="AR131" s="1523"/>
      <c r="AS131" s="1524"/>
      <c r="AT131" s="1522" t="s">
        <v>254</v>
      </c>
      <c r="AU131" s="1523"/>
      <c r="AV131" s="1523"/>
      <c r="AW131" s="1523"/>
      <c r="AX131" s="1523"/>
      <c r="AY131" s="1523"/>
      <c r="AZ131" s="1524"/>
      <c r="BA131" s="1525" t="s">
        <v>539</v>
      </c>
      <c r="BB131" s="1526"/>
      <c r="BC131" s="1526"/>
      <c r="BD131" s="1526"/>
      <c r="BE131" s="1526"/>
      <c r="BF131" s="1526"/>
      <c r="BG131" s="1526"/>
      <c r="BH131" s="1526"/>
      <c r="BI131" s="1526"/>
      <c r="BJ131" s="1526"/>
      <c r="BK131" s="1526"/>
      <c r="BL131" s="1526"/>
      <c r="BM131" s="1526"/>
      <c r="BN131" s="1526"/>
      <c r="BO131" s="1526"/>
      <c r="BP131" s="1526"/>
      <c r="BQ131" s="1526"/>
      <c r="BR131" s="1526"/>
      <c r="BS131" s="1526"/>
      <c r="BT131" s="1526"/>
      <c r="BU131" s="1526"/>
      <c r="BV131" s="1526"/>
      <c r="BW131" s="1526"/>
      <c r="BX131" s="1526"/>
      <c r="BY131" s="1526"/>
      <c r="BZ131" s="1526"/>
      <c r="CA131" s="1526"/>
      <c r="CB131" s="1527"/>
    </row>
    <row r="132" spans="1:87" s="77" customFormat="1" ht="17.100000000000001" customHeight="1">
      <c r="A132" s="1509" t="s">
        <v>225</v>
      </c>
      <c r="B132" s="1506"/>
      <c r="C132" s="1506"/>
      <c r="D132" s="1506"/>
      <c r="E132" s="1506"/>
      <c r="F132" s="1506"/>
      <c r="G132" s="1506"/>
      <c r="H132" s="1506"/>
      <c r="I132" s="1506"/>
      <c r="J132" s="1506"/>
      <c r="K132" s="1506"/>
      <c r="L132" s="1506"/>
      <c r="M132" s="1506"/>
      <c r="N132" s="1506"/>
      <c r="O132" s="1506"/>
      <c r="P132" s="1506"/>
      <c r="Q132" s="1506"/>
      <c r="R132" s="1506"/>
      <c r="S132" s="1508"/>
      <c r="T132" s="1509" t="s">
        <v>76</v>
      </c>
      <c r="U132" s="1506"/>
      <c r="V132" s="1506"/>
      <c r="W132" s="1506"/>
      <c r="X132" s="1506"/>
      <c r="Y132" s="1506"/>
      <c r="Z132" s="1506"/>
      <c r="AA132" s="1506"/>
      <c r="AB132" s="1506"/>
      <c r="AC132" s="1506"/>
      <c r="AD132" s="1506"/>
      <c r="AE132" s="1506"/>
      <c r="AF132" s="1506"/>
      <c r="AG132" s="1506"/>
      <c r="AH132" s="1506"/>
      <c r="AI132" s="1506"/>
      <c r="AJ132" s="1506"/>
      <c r="AK132" s="1506"/>
      <c r="AL132" s="1508"/>
      <c r="AM132" s="1509" t="s">
        <v>77</v>
      </c>
      <c r="AN132" s="1506"/>
      <c r="AO132" s="1506"/>
      <c r="AP132" s="1506"/>
      <c r="AQ132" s="1506"/>
      <c r="AR132" s="1506"/>
      <c r="AS132" s="1506"/>
      <c r="AT132" s="1506"/>
      <c r="AU132" s="1506"/>
      <c r="AV132" s="1506"/>
      <c r="AW132" s="1506"/>
      <c r="AX132" s="1506"/>
      <c r="AY132" s="1506"/>
      <c r="AZ132" s="1506"/>
      <c r="BA132" s="1506"/>
      <c r="BB132" s="1506"/>
      <c r="BC132" s="1506"/>
      <c r="BD132" s="1506"/>
      <c r="BE132" s="1506"/>
      <c r="BF132" s="1508"/>
      <c r="BG132" s="1509" t="s">
        <v>78</v>
      </c>
      <c r="BH132" s="1506"/>
      <c r="BI132" s="1506"/>
      <c r="BJ132" s="1506"/>
      <c r="BK132" s="1506"/>
      <c r="BL132" s="1506"/>
      <c r="BM132" s="1506"/>
      <c r="BN132" s="1506"/>
      <c r="BO132" s="1506"/>
      <c r="BP132" s="1506"/>
      <c r="BQ132" s="1508"/>
      <c r="BR132" s="1509" t="s">
        <v>79</v>
      </c>
      <c r="BS132" s="1506"/>
      <c r="BT132" s="1506"/>
      <c r="BU132" s="1506"/>
      <c r="BV132" s="1506"/>
      <c r="BW132" s="1506"/>
      <c r="BX132" s="1506"/>
      <c r="BY132" s="1506"/>
      <c r="BZ132" s="1506"/>
      <c r="CA132" s="1506"/>
      <c r="CB132" s="1508"/>
      <c r="CC132"/>
      <c r="CD132"/>
      <c r="CE132"/>
    </row>
    <row r="133" spans="1:87" s="77" customFormat="1" ht="17.100000000000001" customHeight="1">
      <c r="A133" s="1513" t="s">
        <v>538</v>
      </c>
      <c r="B133" s="1514"/>
      <c r="C133" s="1514"/>
      <c r="D133" s="1514"/>
      <c r="E133" s="1514"/>
      <c r="F133" s="1514"/>
      <c r="G133" s="1514"/>
      <c r="H133" s="1514"/>
      <c r="I133" s="1514"/>
      <c r="J133" s="1514"/>
      <c r="K133" s="1514"/>
      <c r="L133" s="1514"/>
      <c r="M133" s="1514"/>
      <c r="N133" s="1514"/>
      <c r="O133" s="1514"/>
      <c r="P133" s="1514"/>
      <c r="Q133" s="1514"/>
      <c r="R133" s="1514"/>
      <c r="S133" s="1514"/>
      <c r="T133" s="1515"/>
      <c r="U133" s="1516"/>
      <c r="V133" s="1516"/>
      <c r="W133" s="1516"/>
      <c r="X133" s="1516"/>
      <c r="Y133" s="1516"/>
      <c r="Z133" s="1516"/>
      <c r="AA133" s="1516"/>
      <c r="AB133" s="1516"/>
      <c r="AC133" s="1516"/>
      <c r="AD133" s="1516"/>
      <c r="AE133" s="1516"/>
      <c r="AF133" s="1516"/>
      <c r="AG133" s="1516"/>
      <c r="AH133" s="1516"/>
      <c r="AI133" s="1516"/>
      <c r="AJ133" s="1516"/>
      <c r="AK133" s="1516"/>
      <c r="AL133" s="1517"/>
      <c r="AM133" s="1515" t="s">
        <v>538</v>
      </c>
      <c r="AN133" s="1516"/>
      <c r="AO133" s="1516"/>
      <c r="AP133" s="1516"/>
      <c r="AQ133" s="1516"/>
      <c r="AR133" s="1516"/>
      <c r="AS133" s="1516"/>
      <c r="AT133" s="1516"/>
      <c r="AU133" s="1516"/>
      <c r="AV133" s="1516"/>
      <c r="AW133" s="1516"/>
      <c r="AX133" s="1516"/>
      <c r="AY133" s="1516"/>
      <c r="AZ133" s="1516"/>
      <c r="BA133" s="1516"/>
      <c r="BB133" s="1516"/>
      <c r="BC133" s="1516"/>
      <c r="BD133" s="1516"/>
      <c r="BE133" s="1516"/>
      <c r="BF133" s="1517"/>
      <c r="BG133" s="1515">
        <v>13442.31</v>
      </c>
      <c r="BH133" s="1516"/>
      <c r="BI133" s="1516"/>
      <c r="BJ133" s="1516"/>
      <c r="BK133" s="1516"/>
      <c r="BL133" s="1516"/>
      <c r="BM133" s="1516"/>
      <c r="BN133" s="1516"/>
      <c r="BO133" s="1516"/>
      <c r="BP133" s="1516"/>
      <c r="BQ133" s="1517"/>
      <c r="BR133" s="1515">
        <v>13200.56</v>
      </c>
      <c r="BS133" s="1516"/>
      <c r="BT133" s="1516"/>
      <c r="BU133" s="1516"/>
      <c r="BV133" s="1516"/>
      <c r="BW133" s="1516"/>
      <c r="BX133" s="1516"/>
      <c r="BY133" s="1516"/>
      <c r="BZ133" s="1516"/>
      <c r="CA133" s="1516"/>
      <c r="CB133" s="1517"/>
      <c r="CC133"/>
      <c r="CD133"/>
      <c r="CE133"/>
    </row>
    <row r="134" spans="1:87" s="77" customFormat="1" ht="23.25" customHeight="1">
      <c r="A134" s="1509" t="s">
        <v>83</v>
      </c>
      <c r="B134" s="1506"/>
      <c r="C134" s="1506"/>
      <c r="D134" s="1506"/>
      <c r="E134" s="1506"/>
      <c r="F134" s="1506"/>
      <c r="G134" s="1506"/>
      <c r="H134" s="1506"/>
      <c r="I134" s="1507"/>
      <c r="J134" s="1505" t="s">
        <v>203</v>
      </c>
      <c r="K134" s="1506"/>
      <c r="L134" s="1506"/>
      <c r="M134" s="1506"/>
      <c r="N134" s="1506"/>
      <c r="O134" s="1506"/>
      <c r="P134" s="1506"/>
      <c r="Q134" s="1506"/>
      <c r="R134" s="1506"/>
      <c r="S134" s="1507"/>
      <c r="T134" s="1505" t="s">
        <v>81</v>
      </c>
      <c r="U134" s="1506"/>
      <c r="V134" s="1506"/>
      <c r="W134" s="1506"/>
      <c r="X134" s="1506"/>
      <c r="Y134" s="1506"/>
      <c r="Z134" s="1506"/>
      <c r="AA134" s="1506"/>
      <c r="AB134" s="1507"/>
      <c r="AC134" s="1505" t="s">
        <v>10</v>
      </c>
      <c r="AD134" s="1506"/>
      <c r="AE134" s="1506"/>
      <c r="AF134" s="1506"/>
      <c r="AG134" s="1506"/>
      <c r="AH134" s="1506"/>
      <c r="AI134" s="1506"/>
      <c r="AJ134" s="1506"/>
      <c r="AK134" s="1506"/>
      <c r="AL134" s="1507"/>
      <c r="AM134" s="1510" t="s">
        <v>255</v>
      </c>
      <c r="AN134" s="1511"/>
      <c r="AO134" s="1511"/>
      <c r="AP134" s="1511"/>
      <c r="AQ134" s="1511"/>
      <c r="AR134" s="1511"/>
      <c r="AS134" s="1511"/>
      <c r="AT134" s="1511"/>
      <c r="AU134" s="1511"/>
      <c r="AV134" s="1512"/>
      <c r="AW134" s="1505" t="s">
        <v>83</v>
      </c>
      <c r="AX134" s="1506"/>
      <c r="AY134" s="1506"/>
      <c r="AZ134" s="1506"/>
      <c r="BA134" s="1506"/>
      <c r="BB134" s="1506"/>
      <c r="BC134" s="1506"/>
      <c r="BD134" s="1506"/>
      <c r="BE134" s="1506"/>
      <c r="BF134" s="1507"/>
      <c r="BG134" s="1505" t="s">
        <v>84</v>
      </c>
      <c r="BH134" s="1506"/>
      <c r="BI134" s="1506"/>
      <c r="BJ134" s="1506"/>
      <c r="BK134" s="1506"/>
      <c r="BL134" s="1506"/>
      <c r="BM134" s="1506"/>
      <c r="BN134" s="1506"/>
      <c r="BO134" s="1507"/>
      <c r="BP134" s="1505" t="s">
        <v>226</v>
      </c>
      <c r="BQ134" s="1506"/>
      <c r="BR134" s="1506"/>
      <c r="BS134" s="1506"/>
      <c r="BT134" s="1506"/>
      <c r="BU134" s="1506"/>
      <c r="BV134" s="1506"/>
      <c r="BW134" s="1506"/>
      <c r="BX134" s="1506"/>
      <c r="BY134" s="1506"/>
      <c r="BZ134" s="1506"/>
      <c r="CA134" s="1506"/>
      <c r="CB134" s="1508"/>
      <c r="CC134"/>
      <c r="CD134"/>
      <c r="CE134"/>
    </row>
    <row r="135" spans="1:87" s="77" customFormat="1" ht="17.100000000000001" customHeight="1">
      <c r="A135" s="1499" t="s">
        <v>86</v>
      </c>
      <c r="B135" s="1500"/>
      <c r="C135" s="1500"/>
      <c r="D135" s="1500"/>
      <c r="E135" s="1500"/>
      <c r="F135" s="1500"/>
      <c r="G135" s="1500"/>
      <c r="H135" s="1500"/>
      <c r="I135" s="1501"/>
      <c r="J135" s="1502" t="s">
        <v>521</v>
      </c>
      <c r="K135" s="1503"/>
      <c r="L135" s="1503"/>
      <c r="M135" s="1503"/>
      <c r="N135" s="1503"/>
      <c r="O135" s="1503"/>
      <c r="P135" s="1503"/>
      <c r="Q135" s="1503"/>
      <c r="R135" s="1503"/>
      <c r="S135" s="1504"/>
      <c r="T135" s="1502">
        <v>0</v>
      </c>
      <c r="U135" s="1503"/>
      <c r="V135" s="1503"/>
      <c r="W135" s="1503"/>
      <c r="X135" s="1503"/>
      <c r="Y135" s="1503"/>
      <c r="Z135" s="1503"/>
      <c r="AA135" s="1503"/>
      <c r="AB135" s="1504"/>
      <c r="AC135" s="1502" t="s">
        <v>521</v>
      </c>
      <c r="AD135" s="1503"/>
      <c r="AE135" s="1503"/>
      <c r="AF135" s="1503"/>
      <c r="AG135" s="1503"/>
      <c r="AH135" s="1503"/>
      <c r="AI135" s="1503"/>
      <c r="AJ135" s="1503"/>
      <c r="AK135" s="1503"/>
      <c r="AL135" s="1504"/>
      <c r="AM135" s="1502" t="s">
        <v>521</v>
      </c>
      <c r="AN135" s="1503"/>
      <c r="AO135" s="1503"/>
      <c r="AP135" s="1503"/>
      <c r="AQ135" s="1503"/>
      <c r="AR135" s="1503"/>
      <c r="AS135" s="1503"/>
      <c r="AT135" s="1503"/>
      <c r="AU135" s="1503"/>
      <c r="AV135" s="1504"/>
      <c r="AW135" s="1502" t="s">
        <v>521</v>
      </c>
      <c r="AX135" s="1503"/>
      <c r="AY135" s="1503"/>
      <c r="AZ135" s="1503"/>
      <c r="BA135" s="1503"/>
      <c r="BB135" s="1503"/>
      <c r="BC135" s="1503"/>
      <c r="BD135" s="1503"/>
      <c r="BE135" s="1503"/>
      <c r="BF135" s="1504"/>
      <c r="BG135" s="1483"/>
      <c r="BH135" s="1484"/>
      <c r="BI135" s="1484"/>
      <c r="BJ135" s="1484"/>
      <c r="BK135" s="1484"/>
      <c r="BL135" s="1484"/>
      <c r="BM135" s="1484"/>
      <c r="BN135" s="1484"/>
      <c r="BO135" s="1485"/>
      <c r="BP135" s="1483"/>
      <c r="BQ135" s="1484"/>
      <c r="BR135" s="1484"/>
      <c r="BS135" s="1484"/>
      <c r="BT135" s="1484"/>
      <c r="BU135" s="1484"/>
      <c r="BV135" s="1484"/>
      <c r="BW135" s="1484"/>
      <c r="BX135" s="1484"/>
      <c r="BY135" s="1484"/>
      <c r="BZ135" s="1484"/>
      <c r="CA135" s="1484"/>
      <c r="CB135" s="1486"/>
      <c r="CC135"/>
      <c r="CD135"/>
      <c r="CE135"/>
    </row>
    <row r="136" spans="1:87" s="77" customFormat="1" ht="17.100000000000001" customHeight="1">
      <c r="A136" s="1499" t="s">
        <v>14</v>
      </c>
      <c r="B136" s="1500"/>
      <c r="C136" s="1500"/>
      <c r="D136" s="1500"/>
      <c r="E136" s="1500"/>
      <c r="F136" s="1500"/>
      <c r="G136" s="1500"/>
      <c r="H136" s="1500"/>
      <c r="I136" s="1501"/>
      <c r="J136" s="1502" t="s">
        <v>521</v>
      </c>
      <c r="K136" s="1503"/>
      <c r="L136" s="1503"/>
      <c r="M136" s="1503"/>
      <c r="N136" s="1503"/>
      <c r="O136" s="1503"/>
      <c r="P136" s="1503"/>
      <c r="Q136" s="1503"/>
      <c r="R136" s="1503"/>
      <c r="S136" s="1504"/>
      <c r="T136" s="1502">
        <v>0</v>
      </c>
      <c r="U136" s="1503"/>
      <c r="V136" s="1503"/>
      <c r="W136" s="1503"/>
      <c r="X136" s="1503"/>
      <c r="Y136" s="1503"/>
      <c r="Z136" s="1503"/>
      <c r="AA136" s="1503"/>
      <c r="AB136" s="1504"/>
      <c r="AC136" s="1502" t="s">
        <v>521</v>
      </c>
      <c r="AD136" s="1503"/>
      <c r="AE136" s="1503"/>
      <c r="AF136" s="1503"/>
      <c r="AG136" s="1503"/>
      <c r="AH136" s="1503"/>
      <c r="AI136" s="1503"/>
      <c r="AJ136" s="1503"/>
      <c r="AK136" s="1503"/>
      <c r="AL136" s="1504"/>
      <c r="AM136" s="1502" t="s">
        <v>521</v>
      </c>
      <c r="AN136" s="1503"/>
      <c r="AO136" s="1503"/>
      <c r="AP136" s="1503"/>
      <c r="AQ136" s="1503"/>
      <c r="AR136" s="1503"/>
      <c r="AS136" s="1503"/>
      <c r="AT136" s="1503"/>
      <c r="AU136" s="1503"/>
      <c r="AV136" s="1504"/>
      <c r="AW136" s="1502" t="s">
        <v>521</v>
      </c>
      <c r="AX136" s="1503"/>
      <c r="AY136" s="1503"/>
      <c r="AZ136" s="1503"/>
      <c r="BA136" s="1503"/>
      <c r="BB136" s="1503"/>
      <c r="BC136" s="1503"/>
      <c r="BD136" s="1503"/>
      <c r="BE136" s="1503"/>
      <c r="BF136" s="1504"/>
      <c r="BG136" s="1483"/>
      <c r="BH136" s="1484"/>
      <c r="BI136" s="1484"/>
      <c r="BJ136" s="1484"/>
      <c r="BK136" s="1484"/>
      <c r="BL136" s="1484"/>
      <c r="BM136" s="1484"/>
      <c r="BN136" s="1484"/>
      <c r="BO136" s="1485"/>
      <c r="BP136" s="1483"/>
      <c r="BQ136" s="1484"/>
      <c r="BR136" s="1484"/>
      <c r="BS136" s="1484"/>
      <c r="BT136" s="1484"/>
      <c r="BU136" s="1484"/>
      <c r="BV136" s="1484"/>
      <c r="BW136" s="1484"/>
      <c r="BX136" s="1484"/>
      <c r="BY136" s="1484"/>
      <c r="BZ136" s="1484"/>
      <c r="CA136" s="1484"/>
      <c r="CB136" s="1486"/>
      <c r="CC136"/>
      <c r="CD136"/>
      <c r="CE136"/>
    </row>
    <row r="137" spans="1:87" s="77" customFormat="1" ht="17.100000000000001" customHeight="1">
      <c r="A137" s="1487" t="s">
        <v>12</v>
      </c>
      <c r="B137" s="1488"/>
      <c r="C137" s="1488"/>
      <c r="D137" s="1488"/>
      <c r="E137" s="1488"/>
      <c r="F137" s="1488"/>
      <c r="G137" s="1488"/>
      <c r="H137" s="1488"/>
      <c r="I137" s="1489"/>
      <c r="J137" s="1490" t="s">
        <v>521</v>
      </c>
      <c r="K137" s="1491"/>
      <c r="L137" s="1491"/>
      <c r="M137" s="1491"/>
      <c r="N137" s="1491"/>
      <c r="O137" s="1491"/>
      <c r="P137" s="1491"/>
      <c r="Q137" s="1491"/>
      <c r="R137" s="1491"/>
      <c r="S137" s="1492"/>
      <c r="T137" s="1490">
        <v>0</v>
      </c>
      <c r="U137" s="1491"/>
      <c r="V137" s="1491"/>
      <c r="W137" s="1491"/>
      <c r="X137" s="1491"/>
      <c r="Y137" s="1491"/>
      <c r="Z137" s="1491"/>
      <c r="AA137" s="1491"/>
      <c r="AB137" s="1492"/>
      <c r="AC137" s="1490" t="s">
        <v>521</v>
      </c>
      <c r="AD137" s="1491"/>
      <c r="AE137" s="1491"/>
      <c r="AF137" s="1491"/>
      <c r="AG137" s="1491"/>
      <c r="AH137" s="1491"/>
      <c r="AI137" s="1491"/>
      <c r="AJ137" s="1491"/>
      <c r="AK137" s="1491"/>
      <c r="AL137" s="1492"/>
      <c r="AM137" s="1490" t="s">
        <v>521</v>
      </c>
      <c r="AN137" s="1491"/>
      <c r="AO137" s="1491"/>
      <c r="AP137" s="1491"/>
      <c r="AQ137" s="1491"/>
      <c r="AR137" s="1491"/>
      <c r="AS137" s="1491"/>
      <c r="AT137" s="1491"/>
      <c r="AU137" s="1491"/>
      <c r="AV137" s="1492"/>
      <c r="AW137" s="1490" t="s">
        <v>521</v>
      </c>
      <c r="AX137" s="1491"/>
      <c r="AY137" s="1491"/>
      <c r="AZ137" s="1491"/>
      <c r="BA137" s="1491"/>
      <c r="BB137" s="1491"/>
      <c r="BC137" s="1491"/>
      <c r="BD137" s="1491"/>
      <c r="BE137" s="1491"/>
      <c r="BF137" s="1492"/>
      <c r="BG137" s="1493"/>
      <c r="BH137" s="1494"/>
      <c r="BI137" s="1494"/>
      <c r="BJ137" s="1494"/>
      <c r="BK137" s="1494"/>
      <c r="BL137" s="1494"/>
      <c r="BM137" s="1494"/>
      <c r="BN137" s="1494"/>
      <c r="BO137" s="1495"/>
      <c r="BP137" s="1496"/>
      <c r="BQ137" s="1497"/>
      <c r="BR137" s="1497"/>
      <c r="BS137" s="1497"/>
      <c r="BT137" s="1497"/>
      <c r="BU137" s="1497"/>
      <c r="BV137" s="1497"/>
      <c r="BW137" s="1497"/>
      <c r="BX137" s="1497"/>
      <c r="BY137" s="1497"/>
      <c r="BZ137" s="1497"/>
      <c r="CA137" s="1497"/>
      <c r="CB137" s="1498"/>
      <c r="CC137"/>
      <c r="CD137"/>
      <c r="CE137"/>
    </row>
    <row r="138" spans="1:87" s="77" customFormat="1" ht="17.100000000000001" customHeight="1">
      <c r="A138" s="1474" t="s">
        <v>62</v>
      </c>
      <c r="B138" s="1475"/>
      <c r="C138" s="1475"/>
      <c r="D138" s="1475"/>
      <c r="E138" s="1475"/>
      <c r="F138" s="1475"/>
      <c r="G138" s="1475"/>
      <c r="H138" s="1475"/>
      <c r="I138" s="1476"/>
      <c r="J138" s="1477"/>
      <c r="K138" s="1478"/>
      <c r="L138" s="1478"/>
      <c r="M138" s="1478"/>
      <c r="N138" s="1478"/>
      <c r="O138" s="1478"/>
      <c r="P138" s="1478"/>
      <c r="Q138" s="1478"/>
      <c r="R138" s="1478"/>
      <c r="S138" s="1478"/>
      <c r="T138" s="1478"/>
      <c r="U138" s="1478"/>
      <c r="V138" s="1478"/>
      <c r="W138" s="1478"/>
      <c r="X138" s="1478"/>
      <c r="Y138" s="1478"/>
      <c r="Z138" s="1478"/>
      <c r="AA138" s="1478"/>
      <c r="AB138" s="1478"/>
      <c r="AC138" s="1478"/>
      <c r="AD138" s="1478"/>
      <c r="AE138" s="1478"/>
      <c r="AF138" s="1478"/>
      <c r="AG138" s="1478"/>
      <c r="AH138" s="1478"/>
      <c r="AI138" s="1478"/>
      <c r="AJ138" s="1478"/>
      <c r="AK138" s="1478"/>
      <c r="AL138" s="1478"/>
      <c r="AM138" s="1478"/>
      <c r="AN138" s="1478"/>
      <c r="AO138" s="1478"/>
      <c r="AP138" s="1478"/>
      <c r="AQ138" s="1478"/>
      <c r="AR138" s="1478"/>
      <c r="AS138" s="1478"/>
      <c r="AT138" s="1478"/>
      <c r="AU138" s="1478"/>
      <c r="AV138" s="1478"/>
      <c r="AW138" s="1478"/>
      <c r="AX138" s="1478"/>
      <c r="AY138" s="1478"/>
      <c r="AZ138" s="1478"/>
      <c r="BA138" s="1478"/>
      <c r="BB138" s="1478"/>
      <c r="BC138" s="1478"/>
      <c r="BD138" s="1478"/>
      <c r="BE138" s="1478"/>
      <c r="BF138" s="1478"/>
      <c r="BG138" s="1478"/>
      <c r="BH138" s="1478"/>
      <c r="BI138" s="1478"/>
      <c r="BJ138" s="1478"/>
      <c r="BK138" s="1478"/>
      <c r="BL138" s="1478"/>
      <c r="BM138" s="1478"/>
      <c r="BN138" s="1478"/>
      <c r="BO138" s="1478"/>
      <c r="BP138" s="1478"/>
      <c r="BQ138" s="1478"/>
      <c r="BR138" s="1478"/>
      <c r="BS138" s="1478"/>
      <c r="BT138" s="1478"/>
      <c r="BU138" s="1478"/>
      <c r="BV138" s="1478"/>
      <c r="BW138" s="1478"/>
      <c r="BX138" s="1478"/>
      <c r="BY138" s="1478"/>
      <c r="BZ138" s="1478"/>
      <c r="CA138" s="1478"/>
      <c r="CB138" s="1479"/>
      <c r="CC138"/>
      <c r="CD138"/>
      <c r="CE138"/>
    </row>
    <row r="139" spans="1:87">
      <c r="A139" s="1480"/>
      <c r="B139" s="1481"/>
      <c r="C139" s="1481"/>
      <c r="D139" s="1481"/>
      <c r="E139" s="1481"/>
      <c r="F139" s="1481"/>
      <c r="G139" s="1481"/>
      <c r="H139" s="1481"/>
      <c r="I139" s="1481"/>
      <c r="J139" s="1481"/>
      <c r="K139" s="1481"/>
      <c r="L139" s="1481"/>
      <c r="M139" s="1481"/>
      <c r="N139" s="1481"/>
      <c r="O139" s="1481"/>
      <c r="P139" s="1481"/>
      <c r="Q139" s="1481"/>
      <c r="R139" s="1481"/>
      <c r="S139" s="1481"/>
      <c r="T139" s="1481"/>
      <c r="U139" s="1481"/>
      <c r="V139" s="1481"/>
      <c r="W139" s="1481"/>
      <c r="X139" s="1481"/>
      <c r="Y139" s="1481"/>
      <c r="Z139" s="1481"/>
      <c r="AA139" s="1481"/>
      <c r="AB139" s="1481"/>
      <c r="AC139" s="1481"/>
      <c r="AD139" s="1481"/>
      <c r="AE139" s="1481"/>
      <c r="AF139" s="1481"/>
      <c r="AG139" s="1481"/>
      <c r="AH139" s="1481"/>
      <c r="AI139" s="1481"/>
      <c r="AJ139" s="1481"/>
      <c r="AK139" s="1481"/>
      <c r="AL139" s="1481"/>
      <c r="AM139" s="1481"/>
      <c r="AN139" s="1481"/>
      <c r="AO139" s="1481"/>
      <c r="AP139" s="1481"/>
      <c r="AQ139" s="1481"/>
      <c r="AR139" s="1481"/>
      <c r="AS139" s="1481"/>
      <c r="AT139" s="1481"/>
      <c r="AU139" s="1481"/>
      <c r="AV139" s="1481"/>
      <c r="AW139" s="1481"/>
      <c r="AX139" s="1481"/>
      <c r="AY139" s="1481"/>
      <c r="AZ139" s="1481"/>
      <c r="BA139" s="1481"/>
      <c r="BB139" s="1481"/>
      <c r="BC139" s="1481"/>
      <c r="BD139" s="1481"/>
      <c r="BE139" s="1481"/>
      <c r="BF139" s="1481"/>
      <c r="BG139" s="1481"/>
      <c r="BH139" s="1481"/>
      <c r="BI139" s="1481"/>
      <c r="BJ139" s="1481"/>
      <c r="BK139" s="1481"/>
      <c r="BL139" s="1481"/>
      <c r="BM139" s="1481"/>
      <c r="BN139" s="1481"/>
      <c r="BO139" s="1481"/>
      <c r="BP139" s="1481"/>
      <c r="BQ139" s="1481"/>
      <c r="BR139" s="1481"/>
      <c r="BS139" s="1481"/>
      <c r="BT139" s="1481"/>
      <c r="BU139" s="1481"/>
      <c r="BV139" s="1481"/>
      <c r="BW139" s="1481"/>
      <c r="BX139" s="1481"/>
      <c r="BY139" s="1481"/>
      <c r="BZ139" s="1481"/>
      <c r="CA139" s="1481"/>
      <c r="CB139" s="1482"/>
      <c r="CF139" s="296"/>
      <c r="CG139" s="296"/>
      <c r="CH139" s="296"/>
      <c r="CI139" s="296"/>
    </row>
    <row r="140" spans="1:87">
      <c r="CI140" s="296"/>
    </row>
  </sheetData>
  <mergeCells count="704">
    <mergeCell ref="A4:CB4"/>
    <mergeCell ref="A5:CB5"/>
    <mergeCell ref="A6:L6"/>
    <mergeCell ref="M6:AS6"/>
    <mergeCell ref="AT6:AZ6"/>
    <mergeCell ref="BA6:CB6"/>
    <mergeCell ref="A1:H3"/>
    <mergeCell ref="I1:BF3"/>
    <mergeCell ref="BG1:BL1"/>
    <mergeCell ref="BM1:CB1"/>
    <mergeCell ref="BG2:BL2"/>
    <mergeCell ref="BM2:CB2"/>
    <mergeCell ref="BG3:BL3"/>
    <mergeCell ref="BM3:CB3"/>
    <mergeCell ref="A7:S7"/>
    <mergeCell ref="T7:AL7"/>
    <mergeCell ref="AM7:BF7"/>
    <mergeCell ref="BG7:BQ7"/>
    <mergeCell ref="BR7:CB7"/>
    <mergeCell ref="A8:S8"/>
    <mergeCell ref="T8:AL8"/>
    <mergeCell ref="AM8:BF8"/>
    <mergeCell ref="BG8:BQ8"/>
    <mergeCell ref="BR8:CB8"/>
    <mergeCell ref="BG9:BO9"/>
    <mergeCell ref="BP9:CB9"/>
    <mergeCell ref="A10:I10"/>
    <mergeCell ref="J10:S10"/>
    <mergeCell ref="T10:AB10"/>
    <mergeCell ref="AC10:AL10"/>
    <mergeCell ref="AM10:AV10"/>
    <mergeCell ref="AW10:BF10"/>
    <mergeCell ref="BG10:BO10"/>
    <mergeCell ref="BP10:CB10"/>
    <mergeCell ref="A9:I9"/>
    <mergeCell ref="J9:S9"/>
    <mergeCell ref="T9:AB9"/>
    <mergeCell ref="AC9:AL9"/>
    <mergeCell ref="AM9:AV9"/>
    <mergeCell ref="AW9:BF9"/>
    <mergeCell ref="A13:I13"/>
    <mergeCell ref="J13:CB13"/>
    <mergeCell ref="A14:CB14"/>
    <mergeCell ref="A15:L15"/>
    <mergeCell ref="M15:AS15"/>
    <mergeCell ref="AT15:AZ15"/>
    <mergeCell ref="BA15:CB15"/>
    <mergeCell ref="BG11:BO11"/>
    <mergeCell ref="BP11:CB11"/>
    <mergeCell ref="A12:I12"/>
    <mergeCell ref="J12:S12"/>
    <mergeCell ref="T12:AB12"/>
    <mergeCell ref="AC12:AL12"/>
    <mergeCell ref="AM12:AV12"/>
    <mergeCell ref="AW12:BF12"/>
    <mergeCell ref="BG12:BO12"/>
    <mergeCell ref="BP12:CB12"/>
    <mergeCell ref="A11:I11"/>
    <mergeCell ref="J11:S11"/>
    <mergeCell ref="T11:AB11"/>
    <mergeCell ref="AC11:AL11"/>
    <mergeCell ref="AM11:AV11"/>
    <mergeCell ref="AW11:BF11"/>
    <mergeCell ref="A16:S16"/>
    <mergeCell ref="T16:AL16"/>
    <mergeCell ref="AM16:BF16"/>
    <mergeCell ref="BG16:BQ16"/>
    <mergeCell ref="BR16:CB16"/>
    <mergeCell ref="A17:S17"/>
    <mergeCell ref="T17:AL17"/>
    <mergeCell ref="AM17:BF17"/>
    <mergeCell ref="BG17:BQ17"/>
    <mergeCell ref="BR17:CB17"/>
    <mergeCell ref="BG18:BO18"/>
    <mergeCell ref="BP18:CB18"/>
    <mergeCell ref="A19:I19"/>
    <mergeCell ref="J19:S19"/>
    <mergeCell ref="T19:AB19"/>
    <mergeCell ref="AC19:AL19"/>
    <mergeCell ref="AM19:AV19"/>
    <mergeCell ref="AW19:BF19"/>
    <mergeCell ref="BG19:BO19"/>
    <mergeCell ref="BP19:CB19"/>
    <mergeCell ref="A18:I18"/>
    <mergeCell ref="J18:S18"/>
    <mergeCell ref="T18:AB18"/>
    <mergeCell ref="AC18:AL18"/>
    <mergeCell ref="AM18:AV18"/>
    <mergeCell ref="AW18:BF18"/>
    <mergeCell ref="A22:I22"/>
    <mergeCell ref="J22:CB22"/>
    <mergeCell ref="A23:CB23"/>
    <mergeCell ref="A24:CB24"/>
    <mergeCell ref="A25:L25"/>
    <mergeCell ref="M25:AS25"/>
    <mergeCell ref="AT25:AZ25"/>
    <mergeCell ref="BA25:CB25"/>
    <mergeCell ref="BG20:BO20"/>
    <mergeCell ref="BP20:CB20"/>
    <mergeCell ref="A21:I21"/>
    <mergeCell ref="J21:S21"/>
    <mergeCell ref="T21:AB21"/>
    <mergeCell ref="AC21:AL21"/>
    <mergeCell ref="AM21:AV21"/>
    <mergeCell ref="AW21:BF21"/>
    <mergeCell ref="BG21:BO21"/>
    <mergeCell ref="BP21:CB21"/>
    <mergeCell ref="A20:I20"/>
    <mergeCell ref="J20:S20"/>
    <mergeCell ref="T20:AB20"/>
    <mergeCell ref="AC20:AL20"/>
    <mergeCell ref="AM20:AV20"/>
    <mergeCell ref="AW20:BF20"/>
    <mergeCell ref="A26:S26"/>
    <mergeCell ref="T26:AL26"/>
    <mergeCell ref="AM26:BF26"/>
    <mergeCell ref="BG26:BQ26"/>
    <mergeCell ref="BR26:CB26"/>
    <mergeCell ref="A27:S27"/>
    <mergeCell ref="T27:AL27"/>
    <mergeCell ref="AM27:BF27"/>
    <mergeCell ref="BG27:BQ27"/>
    <mergeCell ref="BR27:CB27"/>
    <mergeCell ref="BG28:BO28"/>
    <mergeCell ref="BP28:CB28"/>
    <mergeCell ref="A29:I29"/>
    <mergeCell ref="J29:S29"/>
    <mergeCell ref="T29:AB29"/>
    <mergeCell ref="AC29:AL29"/>
    <mergeCell ref="AM29:AV29"/>
    <mergeCell ref="AW29:BF29"/>
    <mergeCell ref="BG29:BO29"/>
    <mergeCell ref="BP29:CB29"/>
    <mergeCell ref="A28:I28"/>
    <mergeCell ref="J28:S28"/>
    <mergeCell ref="T28:AB28"/>
    <mergeCell ref="AC28:AL28"/>
    <mergeCell ref="AM28:AV28"/>
    <mergeCell ref="AW28:BF28"/>
    <mergeCell ref="A32:I32"/>
    <mergeCell ref="J32:CB32"/>
    <mergeCell ref="A33:CB33"/>
    <mergeCell ref="A34:L34"/>
    <mergeCell ref="M34:AS34"/>
    <mergeCell ref="AT34:AZ34"/>
    <mergeCell ref="BA34:CB34"/>
    <mergeCell ref="BG30:BO30"/>
    <mergeCell ref="BP30:CB30"/>
    <mergeCell ref="A31:I31"/>
    <mergeCell ref="J31:S31"/>
    <mergeCell ref="T31:AB31"/>
    <mergeCell ref="AC31:AL31"/>
    <mergeCell ref="AM31:AV31"/>
    <mergeCell ref="AW31:BF31"/>
    <mergeCell ref="BG31:BO31"/>
    <mergeCell ref="BP31:CB31"/>
    <mergeCell ref="A30:I30"/>
    <mergeCell ref="J30:S30"/>
    <mergeCell ref="T30:AB30"/>
    <mergeCell ref="AC30:AL30"/>
    <mergeCell ref="AM30:AV30"/>
    <mergeCell ref="AW30:BF30"/>
    <mergeCell ref="A35:S35"/>
    <mergeCell ref="T35:AL35"/>
    <mergeCell ref="AM35:BF35"/>
    <mergeCell ref="BG35:BQ35"/>
    <mergeCell ref="BR35:CB35"/>
    <mergeCell ref="A36:S36"/>
    <mergeCell ref="T36:AL36"/>
    <mergeCell ref="AM36:BF36"/>
    <mergeCell ref="BG36:BQ36"/>
    <mergeCell ref="BR36:CB36"/>
    <mergeCell ref="BG37:BO37"/>
    <mergeCell ref="BP37:CB37"/>
    <mergeCell ref="A38:I38"/>
    <mergeCell ref="J38:S38"/>
    <mergeCell ref="T38:AB38"/>
    <mergeCell ref="AC38:AL38"/>
    <mergeCell ref="AM38:AV38"/>
    <mergeCell ref="AW38:BF38"/>
    <mergeCell ref="BG38:BO38"/>
    <mergeCell ref="BP38:CB38"/>
    <mergeCell ref="A37:I37"/>
    <mergeCell ref="J37:S37"/>
    <mergeCell ref="T37:AB37"/>
    <mergeCell ref="AC37:AL37"/>
    <mergeCell ref="AM37:AV37"/>
    <mergeCell ref="AW37:BF37"/>
    <mergeCell ref="BG39:BO39"/>
    <mergeCell ref="BP39:CB39"/>
    <mergeCell ref="A40:I40"/>
    <mergeCell ref="J40:S40"/>
    <mergeCell ref="T40:AB40"/>
    <mergeCell ref="AC40:AL40"/>
    <mergeCell ref="AM40:AV40"/>
    <mergeCell ref="AW40:BF40"/>
    <mergeCell ref="BG40:BO40"/>
    <mergeCell ref="BP40:CB40"/>
    <mergeCell ref="A39:I39"/>
    <mergeCell ref="J39:S39"/>
    <mergeCell ref="T39:AB39"/>
    <mergeCell ref="AC39:AL39"/>
    <mergeCell ref="AM39:AV39"/>
    <mergeCell ref="AW39:BF39"/>
    <mergeCell ref="A41:I41"/>
    <mergeCell ref="J41:CB41"/>
    <mergeCell ref="A42:CB42"/>
    <mergeCell ref="A43:CB43"/>
    <mergeCell ref="A44:CB44"/>
    <mergeCell ref="A45:L45"/>
    <mergeCell ref="M45:AS45"/>
    <mergeCell ref="AT45:AZ45"/>
    <mergeCell ref="BA45:CB45"/>
    <mergeCell ref="A46:S46"/>
    <mergeCell ref="T46:AL46"/>
    <mergeCell ref="AM46:BF46"/>
    <mergeCell ref="BG46:BQ46"/>
    <mergeCell ref="BR46:CB46"/>
    <mergeCell ref="A47:S47"/>
    <mergeCell ref="T47:AL47"/>
    <mergeCell ref="AM47:BF47"/>
    <mergeCell ref="BG47:BQ47"/>
    <mergeCell ref="BR47:CB47"/>
    <mergeCell ref="BG48:BO48"/>
    <mergeCell ref="BP48:CB48"/>
    <mergeCell ref="A49:I49"/>
    <mergeCell ref="J49:S49"/>
    <mergeCell ref="T49:AB49"/>
    <mergeCell ref="AC49:AL49"/>
    <mergeCell ref="AM49:AV49"/>
    <mergeCell ref="AW49:BF49"/>
    <mergeCell ref="BG49:BO49"/>
    <mergeCell ref="BP49:CB49"/>
    <mergeCell ref="A48:I48"/>
    <mergeCell ref="J48:S48"/>
    <mergeCell ref="T48:AB48"/>
    <mergeCell ref="AC48:AL48"/>
    <mergeCell ref="AM48:AV48"/>
    <mergeCell ref="AW48:BF48"/>
    <mergeCell ref="BG50:BO50"/>
    <mergeCell ref="BP50:CB50"/>
    <mergeCell ref="A51:I51"/>
    <mergeCell ref="J51:S51"/>
    <mergeCell ref="T51:AB51"/>
    <mergeCell ref="AC51:AL51"/>
    <mergeCell ref="AM51:AV51"/>
    <mergeCell ref="AW51:BF51"/>
    <mergeCell ref="BG51:BO51"/>
    <mergeCell ref="BP51:CB51"/>
    <mergeCell ref="A50:I50"/>
    <mergeCell ref="J50:S50"/>
    <mergeCell ref="T50:AB50"/>
    <mergeCell ref="AC50:AL50"/>
    <mergeCell ref="AM50:AV50"/>
    <mergeCell ref="AW50:BF50"/>
    <mergeCell ref="A52:I52"/>
    <mergeCell ref="J52:CB52"/>
    <mergeCell ref="A53:CB53"/>
    <mergeCell ref="A54:CB54"/>
    <mergeCell ref="A55:CB55"/>
    <mergeCell ref="A56:L56"/>
    <mergeCell ref="M56:AS56"/>
    <mergeCell ref="AT56:AZ56"/>
    <mergeCell ref="BA56:CB56"/>
    <mergeCell ref="A57:S57"/>
    <mergeCell ref="T57:AL57"/>
    <mergeCell ref="AM57:BF57"/>
    <mergeCell ref="BG57:BQ57"/>
    <mergeCell ref="BR57:CB57"/>
    <mergeCell ref="A58:S58"/>
    <mergeCell ref="T58:AL58"/>
    <mergeCell ref="AM58:BF58"/>
    <mergeCell ref="BG58:BQ58"/>
    <mergeCell ref="BR58:CB58"/>
    <mergeCell ref="BG59:BO59"/>
    <mergeCell ref="BP59:CB59"/>
    <mergeCell ref="A60:I60"/>
    <mergeCell ref="J60:S60"/>
    <mergeCell ref="T60:AB60"/>
    <mergeCell ref="AC60:AL60"/>
    <mergeCell ref="AM60:AV60"/>
    <mergeCell ref="AW60:BF60"/>
    <mergeCell ref="BG60:BO60"/>
    <mergeCell ref="BP60:CB60"/>
    <mergeCell ref="A59:I59"/>
    <mergeCell ref="J59:S59"/>
    <mergeCell ref="T59:AB59"/>
    <mergeCell ref="AC59:AL59"/>
    <mergeCell ref="AM59:AV59"/>
    <mergeCell ref="AW59:BF59"/>
    <mergeCell ref="A63:I63"/>
    <mergeCell ref="J63:CB63"/>
    <mergeCell ref="A64:CB64"/>
    <mergeCell ref="A65:CB65"/>
    <mergeCell ref="A66:L66"/>
    <mergeCell ref="M66:AS66"/>
    <mergeCell ref="AT66:AZ66"/>
    <mergeCell ref="BA66:CB66"/>
    <mergeCell ref="BG61:BO61"/>
    <mergeCell ref="BP61:CB61"/>
    <mergeCell ref="A62:I62"/>
    <mergeCell ref="J62:S62"/>
    <mergeCell ref="T62:AB62"/>
    <mergeCell ref="AC62:AL62"/>
    <mergeCell ref="AM62:AV62"/>
    <mergeCell ref="AW62:BF62"/>
    <mergeCell ref="BG62:BO62"/>
    <mergeCell ref="BP62:CB62"/>
    <mergeCell ref="A61:I61"/>
    <mergeCell ref="J61:S61"/>
    <mergeCell ref="T61:AB61"/>
    <mergeCell ref="AC61:AL61"/>
    <mergeCell ref="AM61:AV61"/>
    <mergeCell ref="AW61:BF61"/>
    <mergeCell ref="A67:S67"/>
    <mergeCell ref="T67:AL67"/>
    <mergeCell ref="AM67:BF67"/>
    <mergeCell ref="BG67:BQ67"/>
    <mergeCell ref="BR67:CB67"/>
    <mergeCell ref="A68:S68"/>
    <mergeCell ref="T68:AL68"/>
    <mergeCell ref="AM68:BF68"/>
    <mergeCell ref="BG68:BQ68"/>
    <mergeCell ref="BR68:CB68"/>
    <mergeCell ref="BG69:BO69"/>
    <mergeCell ref="BP69:CB69"/>
    <mergeCell ref="A70:I70"/>
    <mergeCell ref="J70:S70"/>
    <mergeCell ref="T70:AB70"/>
    <mergeCell ref="AC70:AL70"/>
    <mergeCell ref="AM70:AV70"/>
    <mergeCell ref="AW70:BF70"/>
    <mergeCell ref="BG70:BO70"/>
    <mergeCell ref="BP70:CB70"/>
    <mergeCell ref="A69:I69"/>
    <mergeCell ref="J69:S69"/>
    <mergeCell ref="T69:AB69"/>
    <mergeCell ref="AC69:AL69"/>
    <mergeCell ref="AM69:AV69"/>
    <mergeCell ref="AW69:BF69"/>
    <mergeCell ref="A73:I73"/>
    <mergeCell ref="J73:CB73"/>
    <mergeCell ref="A74:CB74"/>
    <mergeCell ref="A75:CB75"/>
    <mergeCell ref="A76:L76"/>
    <mergeCell ref="M76:AS76"/>
    <mergeCell ref="AT76:AZ76"/>
    <mergeCell ref="BA76:CB76"/>
    <mergeCell ref="BG71:BO71"/>
    <mergeCell ref="BP71:CB71"/>
    <mergeCell ref="A72:I72"/>
    <mergeCell ref="J72:S72"/>
    <mergeCell ref="T72:AB72"/>
    <mergeCell ref="AC72:AL72"/>
    <mergeCell ref="AM72:AV72"/>
    <mergeCell ref="AW72:BF72"/>
    <mergeCell ref="BG72:BO72"/>
    <mergeCell ref="BP72:CB72"/>
    <mergeCell ref="A71:I71"/>
    <mergeCell ref="J71:S71"/>
    <mergeCell ref="T71:AB71"/>
    <mergeCell ref="AC71:AL71"/>
    <mergeCell ref="AM71:AV71"/>
    <mergeCell ref="AW71:BF71"/>
    <mergeCell ref="A77:S77"/>
    <mergeCell ref="T77:AL77"/>
    <mergeCell ref="AM77:BF77"/>
    <mergeCell ref="BG77:BQ77"/>
    <mergeCell ref="BR77:CB77"/>
    <mergeCell ref="A78:S78"/>
    <mergeCell ref="T78:AL78"/>
    <mergeCell ref="AM78:BF78"/>
    <mergeCell ref="BG78:BQ78"/>
    <mergeCell ref="BR78:CB78"/>
    <mergeCell ref="BG79:BO79"/>
    <mergeCell ref="BP79:CB79"/>
    <mergeCell ref="A80:I80"/>
    <mergeCell ref="J80:S80"/>
    <mergeCell ref="T80:AB80"/>
    <mergeCell ref="AC80:AL80"/>
    <mergeCell ref="AM80:AV80"/>
    <mergeCell ref="AW80:BF80"/>
    <mergeCell ref="BG80:BO80"/>
    <mergeCell ref="BP80:CB80"/>
    <mergeCell ref="A79:I79"/>
    <mergeCell ref="J79:S79"/>
    <mergeCell ref="T79:AB79"/>
    <mergeCell ref="AC79:AL79"/>
    <mergeCell ref="AM79:AV79"/>
    <mergeCell ref="AW79:BF79"/>
    <mergeCell ref="A83:I83"/>
    <mergeCell ref="J83:CB83"/>
    <mergeCell ref="A84:CB84"/>
    <mergeCell ref="A85:CB85"/>
    <mergeCell ref="A86:L86"/>
    <mergeCell ref="M86:AS86"/>
    <mergeCell ref="AT86:AZ86"/>
    <mergeCell ref="BA86:CB86"/>
    <mergeCell ref="BG81:BO81"/>
    <mergeCell ref="BP81:CB81"/>
    <mergeCell ref="A82:I82"/>
    <mergeCell ref="J82:S82"/>
    <mergeCell ref="T82:AB82"/>
    <mergeCell ref="AC82:AL82"/>
    <mergeCell ref="AM82:AV82"/>
    <mergeCell ref="AW82:BF82"/>
    <mergeCell ref="BG82:BO82"/>
    <mergeCell ref="BP82:CB82"/>
    <mergeCell ref="A81:I81"/>
    <mergeCell ref="J81:S81"/>
    <mergeCell ref="T81:AB81"/>
    <mergeCell ref="AC81:AL81"/>
    <mergeCell ref="AM81:AV81"/>
    <mergeCell ref="AW81:BF81"/>
    <mergeCell ref="A87:S87"/>
    <mergeCell ref="T87:AL87"/>
    <mergeCell ref="AM87:BF87"/>
    <mergeCell ref="BG87:BQ87"/>
    <mergeCell ref="BR87:CB87"/>
    <mergeCell ref="A88:S88"/>
    <mergeCell ref="T88:AL88"/>
    <mergeCell ref="AM88:BF88"/>
    <mergeCell ref="BG88:BQ88"/>
    <mergeCell ref="BR88:CB88"/>
    <mergeCell ref="BG89:BO89"/>
    <mergeCell ref="BP89:CB89"/>
    <mergeCell ref="A90:I90"/>
    <mergeCell ref="J90:S90"/>
    <mergeCell ref="T90:AB90"/>
    <mergeCell ref="AC90:AL90"/>
    <mergeCell ref="AM90:AV90"/>
    <mergeCell ref="AW90:BF90"/>
    <mergeCell ref="BG90:BO90"/>
    <mergeCell ref="BP90:CB90"/>
    <mergeCell ref="A89:I89"/>
    <mergeCell ref="J89:S89"/>
    <mergeCell ref="T89:AB89"/>
    <mergeCell ref="AC89:AL89"/>
    <mergeCell ref="AM89:AV89"/>
    <mergeCell ref="AW89:BF89"/>
    <mergeCell ref="A93:I93"/>
    <mergeCell ref="J93:CB93"/>
    <mergeCell ref="A94:CB94"/>
    <mergeCell ref="A95:L95"/>
    <mergeCell ref="M95:AS95"/>
    <mergeCell ref="AT95:AZ95"/>
    <mergeCell ref="BA95:CB95"/>
    <mergeCell ref="BG91:BO91"/>
    <mergeCell ref="BP91:CB91"/>
    <mergeCell ref="A92:I92"/>
    <mergeCell ref="J92:S92"/>
    <mergeCell ref="T92:AB92"/>
    <mergeCell ref="AC92:AL92"/>
    <mergeCell ref="AM92:AV92"/>
    <mergeCell ref="AW92:BF92"/>
    <mergeCell ref="BG92:BO92"/>
    <mergeCell ref="BP92:CB92"/>
    <mergeCell ref="A91:I91"/>
    <mergeCell ref="J91:S91"/>
    <mergeCell ref="T91:AB91"/>
    <mergeCell ref="AC91:AL91"/>
    <mergeCell ref="AM91:AV91"/>
    <mergeCell ref="AW91:BF91"/>
    <mergeCell ref="A96:S96"/>
    <mergeCell ref="T96:AL96"/>
    <mergeCell ref="AM96:BF96"/>
    <mergeCell ref="BG96:BQ96"/>
    <mergeCell ref="BR96:CB96"/>
    <mergeCell ref="A97:S97"/>
    <mergeCell ref="T97:AL97"/>
    <mergeCell ref="AM97:BF97"/>
    <mergeCell ref="BG97:BQ97"/>
    <mergeCell ref="BR97:CB97"/>
    <mergeCell ref="BG98:BO98"/>
    <mergeCell ref="BP98:CB98"/>
    <mergeCell ref="A99:I99"/>
    <mergeCell ref="J99:S99"/>
    <mergeCell ref="T99:AB99"/>
    <mergeCell ref="AC99:AL99"/>
    <mergeCell ref="AM99:AV99"/>
    <mergeCell ref="AW99:BF99"/>
    <mergeCell ref="BG99:BO99"/>
    <mergeCell ref="BP99:CB99"/>
    <mergeCell ref="A98:I98"/>
    <mergeCell ref="J98:S98"/>
    <mergeCell ref="T98:AB98"/>
    <mergeCell ref="AC98:AL98"/>
    <mergeCell ref="AM98:AV98"/>
    <mergeCell ref="AW98:BF98"/>
    <mergeCell ref="A102:I102"/>
    <mergeCell ref="J102:CB102"/>
    <mergeCell ref="A103:CB103"/>
    <mergeCell ref="A104:L104"/>
    <mergeCell ref="M104:AS104"/>
    <mergeCell ref="AT104:AZ104"/>
    <mergeCell ref="BA104:CB104"/>
    <mergeCell ref="BG100:BO100"/>
    <mergeCell ref="BP100:CB100"/>
    <mergeCell ref="A101:I101"/>
    <mergeCell ref="J101:S101"/>
    <mergeCell ref="T101:AB101"/>
    <mergeCell ref="AC101:AL101"/>
    <mergeCell ref="AM101:AV101"/>
    <mergeCell ref="AW101:BF101"/>
    <mergeCell ref="BG101:BO101"/>
    <mergeCell ref="BP101:CB101"/>
    <mergeCell ref="A100:I100"/>
    <mergeCell ref="J100:S100"/>
    <mergeCell ref="T100:AB100"/>
    <mergeCell ref="AC100:AL100"/>
    <mergeCell ref="AM100:AV100"/>
    <mergeCell ref="AW100:BF100"/>
    <mergeCell ref="A105:S105"/>
    <mergeCell ref="T105:AL105"/>
    <mergeCell ref="AM105:BF105"/>
    <mergeCell ref="BG105:BQ105"/>
    <mergeCell ref="BR105:CB105"/>
    <mergeCell ref="A106:S106"/>
    <mergeCell ref="T106:AL106"/>
    <mergeCell ref="AM106:BF106"/>
    <mergeCell ref="BG106:BQ106"/>
    <mergeCell ref="BR106:CB106"/>
    <mergeCell ref="BG107:BO107"/>
    <mergeCell ref="BP107:CB107"/>
    <mergeCell ref="A108:I108"/>
    <mergeCell ref="J108:S108"/>
    <mergeCell ref="T108:AB108"/>
    <mergeCell ref="AC108:AL108"/>
    <mergeCell ref="AM108:AV108"/>
    <mergeCell ref="AW108:BF108"/>
    <mergeCell ref="BG108:BO108"/>
    <mergeCell ref="BP108:CB108"/>
    <mergeCell ref="A107:I107"/>
    <mergeCell ref="J107:S107"/>
    <mergeCell ref="T107:AB107"/>
    <mergeCell ref="AC107:AL107"/>
    <mergeCell ref="AM107:AV107"/>
    <mergeCell ref="AW107:BF107"/>
    <mergeCell ref="A111:I111"/>
    <mergeCell ref="J111:CB111"/>
    <mergeCell ref="A112:CB112"/>
    <mergeCell ref="A113:L113"/>
    <mergeCell ref="M113:AS113"/>
    <mergeCell ref="AT113:AZ113"/>
    <mergeCell ref="BA113:CB113"/>
    <mergeCell ref="BG109:BO109"/>
    <mergeCell ref="BP109:CB109"/>
    <mergeCell ref="A110:I110"/>
    <mergeCell ref="J110:S110"/>
    <mergeCell ref="T110:AB110"/>
    <mergeCell ref="AC110:AL110"/>
    <mergeCell ref="AM110:AV110"/>
    <mergeCell ref="AW110:BF110"/>
    <mergeCell ref="BG110:BO110"/>
    <mergeCell ref="BP110:CB110"/>
    <mergeCell ref="A109:I109"/>
    <mergeCell ref="J109:S109"/>
    <mergeCell ref="T109:AB109"/>
    <mergeCell ref="AC109:AL109"/>
    <mergeCell ref="AM109:AV109"/>
    <mergeCell ref="AW109:BF109"/>
    <mergeCell ref="A114:S114"/>
    <mergeCell ref="T114:AL114"/>
    <mergeCell ref="AM114:BF114"/>
    <mergeCell ref="BG114:BQ114"/>
    <mergeCell ref="BR114:CB114"/>
    <mergeCell ref="A115:S115"/>
    <mergeCell ref="T115:AL115"/>
    <mergeCell ref="AM115:BF115"/>
    <mergeCell ref="BG115:BQ115"/>
    <mergeCell ref="BR115:CB115"/>
    <mergeCell ref="BG116:BO116"/>
    <mergeCell ref="BP116:CB116"/>
    <mergeCell ref="A117:I117"/>
    <mergeCell ref="J117:S117"/>
    <mergeCell ref="T117:AB117"/>
    <mergeCell ref="AC117:AL117"/>
    <mergeCell ref="AM117:AV117"/>
    <mergeCell ref="AW117:BF117"/>
    <mergeCell ref="BG117:BO117"/>
    <mergeCell ref="BP117:CB117"/>
    <mergeCell ref="A116:I116"/>
    <mergeCell ref="J116:S116"/>
    <mergeCell ref="T116:AB116"/>
    <mergeCell ref="AC116:AL116"/>
    <mergeCell ref="AM116:AV116"/>
    <mergeCell ref="AW116:BF116"/>
    <mergeCell ref="A120:I120"/>
    <mergeCell ref="J120:CB120"/>
    <mergeCell ref="A121:CB121"/>
    <mergeCell ref="A122:L122"/>
    <mergeCell ref="M122:AS122"/>
    <mergeCell ref="AT122:AZ122"/>
    <mergeCell ref="BA122:CB122"/>
    <mergeCell ref="BG118:BO118"/>
    <mergeCell ref="BP118:CB118"/>
    <mergeCell ref="A119:I119"/>
    <mergeCell ref="J119:S119"/>
    <mergeCell ref="T119:AB119"/>
    <mergeCell ref="AC119:AL119"/>
    <mergeCell ref="AM119:AV119"/>
    <mergeCell ref="AW119:BF119"/>
    <mergeCell ref="BG119:BO119"/>
    <mergeCell ref="BP119:CB119"/>
    <mergeCell ref="A118:I118"/>
    <mergeCell ref="J118:S118"/>
    <mergeCell ref="T118:AB118"/>
    <mergeCell ref="AC118:AL118"/>
    <mergeCell ref="AM118:AV118"/>
    <mergeCell ref="AW118:BF118"/>
    <mergeCell ref="A123:S123"/>
    <mergeCell ref="T123:AL123"/>
    <mergeCell ref="AM123:BF123"/>
    <mergeCell ref="BG123:BQ123"/>
    <mergeCell ref="BR123:CB123"/>
    <mergeCell ref="A124:S124"/>
    <mergeCell ref="T124:AL124"/>
    <mergeCell ref="AM124:BF124"/>
    <mergeCell ref="BG124:BQ124"/>
    <mergeCell ref="BR124:CB124"/>
    <mergeCell ref="BG125:BO125"/>
    <mergeCell ref="BP125:CB125"/>
    <mergeCell ref="A126:I126"/>
    <mergeCell ref="J126:S126"/>
    <mergeCell ref="T126:AB126"/>
    <mergeCell ref="AC126:AL126"/>
    <mergeCell ref="AM126:AV126"/>
    <mergeCell ref="AW126:BF126"/>
    <mergeCell ref="BG126:BO126"/>
    <mergeCell ref="BP126:CB126"/>
    <mergeCell ref="A125:I125"/>
    <mergeCell ref="J125:S125"/>
    <mergeCell ref="T125:AB125"/>
    <mergeCell ref="AC125:AL125"/>
    <mergeCell ref="AM125:AV125"/>
    <mergeCell ref="AW125:BF125"/>
    <mergeCell ref="A129:I129"/>
    <mergeCell ref="J129:CB129"/>
    <mergeCell ref="A130:CB130"/>
    <mergeCell ref="A131:L131"/>
    <mergeCell ref="M131:AS131"/>
    <mergeCell ref="AT131:AZ131"/>
    <mergeCell ref="BA131:CB131"/>
    <mergeCell ref="BG127:BO127"/>
    <mergeCell ref="BP127:CB127"/>
    <mergeCell ref="A128:I128"/>
    <mergeCell ref="J128:S128"/>
    <mergeCell ref="T128:AB128"/>
    <mergeCell ref="AC128:AL128"/>
    <mergeCell ref="AM128:AV128"/>
    <mergeCell ref="AW128:BF128"/>
    <mergeCell ref="BG128:BO128"/>
    <mergeCell ref="BP128:CB128"/>
    <mergeCell ref="A127:I127"/>
    <mergeCell ref="J127:S127"/>
    <mergeCell ref="T127:AB127"/>
    <mergeCell ref="AC127:AL127"/>
    <mergeCell ref="AM127:AV127"/>
    <mergeCell ref="AW127:BF127"/>
    <mergeCell ref="A132:S132"/>
    <mergeCell ref="T132:AL132"/>
    <mergeCell ref="AM132:BF132"/>
    <mergeCell ref="BG132:BQ132"/>
    <mergeCell ref="BR132:CB132"/>
    <mergeCell ref="A133:S133"/>
    <mergeCell ref="T133:AL133"/>
    <mergeCell ref="AM133:BF133"/>
    <mergeCell ref="BG133:BQ133"/>
    <mergeCell ref="BR133:CB133"/>
    <mergeCell ref="BG134:BO134"/>
    <mergeCell ref="BP134:CB134"/>
    <mergeCell ref="A135:I135"/>
    <mergeCell ref="J135:S135"/>
    <mergeCell ref="T135:AB135"/>
    <mergeCell ref="AC135:AL135"/>
    <mergeCell ref="AM135:AV135"/>
    <mergeCell ref="AW135:BF135"/>
    <mergeCell ref="BG135:BO135"/>
    <mergeCell ref="BP135:CB135"/>
    <mergeCell ref="A134:I134"/>
    <mergeCell ref="J134:S134"/>
    <mergeCell ref="T134:AB134"/>
    <mergeCell ref="AC134:AL134"/>
    <mergeCell ref="AM134:AV134"/>
    <mergeCell ref="AW134:BF134"/>
    <mergeCell ref="A138:I138"/>
    <mergeCell ref="J138:CB138"/>
    <mergeCell ref="A139:CB139"/>
    <mergeCell ref="BG136:BO136"/>
    <mergeCell ref="BP136:CB136"/>
    <mergeCell ref="A137:I137"/>
    <mergeCell ref="J137:S137"/>
    <mergeCell ref="T137:AB137"/>
    <mergeCell ref="AC137:AL137"/>
    <mergeCell ref="AM137:AV137"/>
    <mergeCell ref="AW137:BF137"/>
    <mergeCell ref="BG137:BO137"/>
    <mergeCell ref="BP137:CB137"/>
    <mergeCell ref="A136:I136"/>
    <mergeCell ref="J136:S136"/>
    <mergeCell ref="T136:AB136"/>
    <mergeCell ref="AC136:AL136"/>
    <mergeCell ref="AM136:AV136"/>
    <mergeCell ref="AW136:BF136"/>
  </mergeCells>
  <printOptions horizontalCentered="1" verticalCentered="1"/>
  <pageMargins left="0.25" right="0.25" top="0.2" bottom="0.25" header="0.38" footer="0.41"/>
  <pageSetup paperSize="9" scale="97" fitToHeight="0" orientation="portrait" r:id="rId1"/>
  <headerFooter scaleWithDoc="0" alignWithMargins="0"/>
  <rowBreaks count="3" manualBreakCount="3">
    <brk id="42" max="79" man="1"/>
    <brk id="93" max="79" man="1"/>
    <brk id="129" max="79" man="1"/>
  </rowBreaks>
  <drawing r:id="rId2"/>
  <legacyDrawing r:id="rId3"/>
</worksheet>
</file>

<file path=xl/worksheets/sheet16.xml><?xml version="1.0" encoding="utf-8"?>
<worksheet xmlns="http://schemas.openxmlformats.org/spreadsheetml/2006/main" xmlns:r="http://schemas.openxmlformats.org/officeDocument/2006/relationships">
  <sheetPr>
    <tabColor theme="4" tint="0.39997558519241921"/>
    <pageSetUpPr fitToPage="1"/>
  </sheetPr>
  <dimension ref="A1:I18"/>
  <sheetViews>
    <sheetView view="pageBreakPreview" zoomScale="110" zoomScaleSheetLayoutView="110" workbookViewId="0">
      <selection activeCell="I22" sqref="I22"/>
    </sheetView>
  </sheetViews>
  <sheetFormatPr defaultRowHeight="15"/>
  <cols>
    <col min="1" max="1" width="11.85546875" customWidth="1"/>
    <col min="2" max="2" width="15" customWidth="1"/>
    <col min="3" max="3" width="13.28515625" customWidth="1"/>
    <col min="4" max="4" width="24.85546875" customWidth="1"/>
    <col min="5" max="5" width="15.85546875" customWidth="1"/>
    <col min="6" max="6" width="14.7109375" customWidth="1"/>
    <col min="7" max="7" width="14.140625" customWidth="1"/>
    <col min="8" max="8" width="7.140625" customWidth="1"/>
    <col min="9" max="9" width="14.7109375" customWidth="1"/>
  </cols>
  <sheetData>
    <row r="1" spans="1:9" ht="15" customHeight="1">
      <c r="A1" s="1378"/>
      <c r="B1" s="1381" t="s">
        <v>510</v>
      </c>
      <c r="C1" s="1382"/>
      <c r="D1" s="1382"/>
      <c r="E1" s="1382"/>
      <c r="F1" s="1382"/>
      <c r="G1" s="1382"/>
      <c r="H1" s="302" t="s">
        <v>257</v>
      </c>
      <c r="I1" s="300" t="s">
        <v>411</v>
      </c>
    </row>
    <row r="2" spans="1:9" ht="15" customHeight="1">
      <c r="A2" s="1379"/>
      <c r="B2" s="1099"/>
      <c r="C2" s="1100"/>
      <c r="D2" s="1100"/>
      <c r="E2" s="1100"/>
      <c r="F2" s="1100"/>
      <c r="G2" s="1100"/>
      <c r="H2" s="302" t="s">
        <v>235</v>
      </c>
      <c r="I2" s="300">
        <v>0</v>
      </c>
    </row>
    <row r="3" spans="1:9" ht="15" customHeight="1">
      <c r="A3" s="1380"/>
      <c r="B3" s="1102"/>
      <c r="C3" s="1103"/>
      <c r="D3" s="1103"/>
      <c r="E3" s="1103"/>
      <c r="F3" s="1103"/>
      <c r="G3" s="1103"/>
      <c r="H3" s="303" t="s">
        <v>236</v>
      </c>
      <c r="I3" s="301">
        <f>+'Cover '!T11</f>
        <v>42460</v>
      </c>
    </row>
    <row r="4" spans="1:9">
      <c r="A4" s="1383"/>
      <c r="B4" s="1384"/>
      <c r="C4" s="1384"/>
      <c r="D4" s="1384"/>
      <c r="E4" s="1384"/>
      <c r="F4" s="1384"/>
      <c r="G4" s="1384"/>
      <c r="H4" s="1384"/>
      <c r="I4" s="1385"/>
    </row>
    <row r="5" spans="1:9" ht="24.95" customHeight="1">
      <c r="A5" s="1588" t="s">
        <v>381</v>
      </c>
      <c r="B5" s="1388"/>
      <c r="C5" s="1388"/>
      <c r="D5" s="1388"/>
      <c r="E5" s="1388"/>
      <c r="F5" s="1388"/>
      <c r="G5" s="1388"/>
      <c r="H5" s="1388"/>
      <c r="I5" s="1388"/>
    </row>
    <row r="6" spans="1:9" ht="15" customHeight="1">
      <c r="A6" s="1389"/>
      <c r="B6" s="1390"/>
      <c r="C6" s="1390"/>
      <c r="D6" s="1390"/>
      <c r="E6" s="1390"/>
      <c r="F6" s="1390"/>
      <c r="G6" s="1390"/>
      <c r="H6" s="1390"/>
      <c r="I6" s="1390"/>
    </row>
    <row r="7" spans="1:9" ht="15" customHeight="1">
      <c r="A7" s="1580" t="s">
        <v>381</v>
      </c>
      <c r="B7" s="1581"/>
      <c r="C7" s="1581"/>
      <c r="D7" s="1582"/>
      <c r="E7" s="1583" t="s">
        <v>503</v>
      </c>
      <c r="F7" s="1585" t="s">
        <v>382</v>
      </c>
      <c r="G7" s="1586" t="s">
        <v>383</v>
      </c>
      <c r="H7" s="1441" t="s">
        <v>62</v>
      </c>
      <c r="I7" s="1441"/>
    </row>
    <row r="8" spans="1:9" s="77" customFormat="1" ht="26.25" customHeight="1">
      <c r="A8" s="251" t="s">
        <v>277</v>
      </c>
      <c r="B8" s="251" t="s">
        <v>278</v>
      </c>
      <c r="C8" s="251" t="s">
        <v>384</v>
      </c>
      <c r="D8" s="252" t="s">
        <v>385</v>
      </c>
      <c r="E8" s="1584"/>
      <c r="F8" s="1585"/>
      <c r="G8" s="1587"/>
      <c r="H8" s="1441"/>
      <c r="I8" s="1441"/>
    </row>
    <row r="9" spans="1:9" s="145" customFormat="1" ht="27.95" customHeight="1">
      <c r="A9" s="275">
        <v>4</v>
      </c>
      <c r="B9" s="131">
        <v>42278</v>
      </c>
      <c r="C9" s="258">
        <v>717523.49</v>
      </c>
      <c r="D9" s="168" t="s">
        <v>504</v>
      </c>
      <c r="E9" s="258">
        <v>717523.49</v>
      </c>
      <c r="F9" s="96"/>
      <c r="G9" s="96"/>
      <c r="H9" s="1589"/>
      <c r="I9" s="1590"/>
    </row>
    <row r="10" spans="1:9" s="145" customFormat="1" ht="27.95" customHeight="1">
      <c r="A10" s="348">
        <v>6</v>
      </c>
      <c r="B10" s="131">
        <v>42339</v>
      </c>
      <c r="C10" s="258">
        <v>1174841.31</v>
      </c>
      <c r="D10" s="168" t="s">
        <v>571</v>
      </c>
      <c r="E10" s="258">
        <v>1174841.31</v>
      </c>
      <c r="F10" s="96"/>
      <c r="G10" s="96"/>
      <c r="H10" s="1589"/>
      <c r="I10" s="1590"/>
    </row>
    <row r="11" spans="1:9" s="145" customFormat="1" ht="27.95" customHeight="1">
      <c r="A11" s="275">
        <v>7</v>
      </c>
      <c r="B11" s="131">
        <v>42400</v>
      </c>
      <c r="C11" s="258">
        <v>535277.25</v>
      </c>
      <c r="D11" s="168" t="s">
        <v>729</v>
      </c>
      <c r="E11" s="258">
        <v>535277.25</v>
      </c>
      <c r="F11" s="96"/>
      <c r="G11" s="96"/>
      <c r="H11" s="1589"/>
      <c r="I11" s="1590"/>
    </row>
    <row r="12" spans="1:9" s="145" customFormat="1" ht="27.95" customHeight="1">
      <c r="A12" s="275"/>
      <c r="B12" s="131"/>
      <c r="C12" s="258"/>
      <c r="D12" s="168"/>
      <c r="E12" s="258"/>
      <c r="F12" s="96"/>
      <c r="G12" s="96"/>
      <c r="H12" s="1589"/>
      <c r="I12" s="1590"/>
    </row>
    <row r="13" spans="1:9" s="145" customFormat="1" ht="27.95" customHeight="1">
      <c r="A13" s="275"/>
      <c r="B13" s="131"/>
      <c r="C13" s="258"/>
      <c r="D13" s="168"/>
      <c r="E13" s="258"/>
      <c r="F13" s="96"/>
      <c r="G13" s="96"/>
      <c r="H13" s="1589"/>
      <c r="I13" s="1590"/>
    </row>
    <row r="14" spans="1:9" s="145" customFormat="1" ht="27.95" customHeight="1">
      <c r="A14" s="275"/>
      <c r="B14" s="131"/>
      <c r="C14" s="258"/>
      <c r="D14" s="168"/>
      <c r="E14" s="258"/>
      <c r="F14" s="96"/>
      <c r="G14" s="96"/>
      <c r="H14" s="1589"/>
      <c r="I14" s="1590"/>
    </row>
    <row r="15" spans="1:9" s="145" customFormat="1" ht="27.95" customHeight="1">
      <c r="A15" s="275"/>
      <c r="B15" s="131"/>
      <c r="C15" s="258"/>
      <c r="D15" s="168"/>
      <c r="E15" s="258"/>
      <c r="F15" s="96"/>
      <c r="G15" s="96"/>
      <c r="H15" s="1589"/>
      <c r="I15" s="1590"/>
    </row>
    <row r="16" spans="1:9" s="145" customFormat="1" ht="27.95" customHeight="1">
      <c r="A16" s="105"/>
      <c r="B16" s="131"/>
      <c r="C16" s="169"/>
      <c r="D16" s="168"/>
      <c r="E16" s="96"/>
      <c r="F16" s="96"/>
      <c r="G16" s="96"/>
      <c r="H16" s="1589"/>
      <c r="I16" s="1590"/>
    </row>
    <row r="17" spans="1:9" s="77" customFormat="1" ht="27.95" customHeight="1">
      <c r="A17" s="105"/>
      <c r="B17" s="154"/>
      <c r="C17" s="155"/>
      <c r="D17" s="155"/>
      <c r="E17" s="155"/>
      <c r="F17" s="155"/>
      <c r="G17" s="155"/>
      <c r="H17" s="1446"/>
      <c r="I17" s="1447"/>
    </row>
    <row r="18" spans="1:9" s="77" customFormat="1" ht="27.95" customHeight="1">
      <c r="A18" s="1448" t="s">
        <v>266</v>
      </c>
      <c r="B18" s="1448"/>
      <c r="C18" s="257">
        <f>SUM(C9:C17)</f>
        <v>2427642.0499999998</v>
      </c>
      <c r="D18" s="257"/>
      <c r="E18" s="257">
        <f>SUM(E9:E17)</f>
        <v>2427642.0499999998</v>
      </c>
      <c r="F18" s="257">
        <f>SUM(F9:F17)</f>
        <v>0</v>
      </c>
      <c r="G18" s="257">
        <f>SUM(G9:G17)</f>
        <v>0</v>
      </c>
      <c r="H18" s="1449">
        <f>SUM(H9:I17)</f>
        <v>0</v>
      </c>
      <c r="I18" s="1449"/>
    </row>
  </sheetData>
  <mergeCells count="22">
    <mergeCell ref="A18:B18"/>
    <mergeCell ref="H18:I18"/>
    <mergeCell ref="H16:I16"/>
    <mergeCell ref="H17:I17"/>
    <mergeCell ref="H9:I9"/>
    <mergeCell ref="H10:I10"/>
    <mergeCell ref="H15:I15"/>
    <mergeCell ref="H11:I11"/>
    <mergeCell ref="H12:I12"/>
    <mergeCell ref="H13:I13"/>
    <mergeCell ref="H14:I14"/>
    <mergeCell ref="A1:A3"/>
    <mergeCell ref="B1:G3"/>
    <mergeCell ref="A4:I4"/>
    <mergeCell ref="A5:G5"/>
    <mergeCell ref="H5:I5"/>
    <mergeCell ref="A6:I6"/>
    <mergeCell ref="A7:D7"/>
    <mergeCell ref="E7:E8"/>
    <mergeCell ref="F7:F8"/>
    <mergeCell ref="G7:G8"/>
    <mergeCell ref="H7:I8"/>
  </mergeCells>
  <printOptions horizontalCentered="1"/>
  <pageMargins left="0.6" right="0.35" top="0.62" bottom="0.71" header="0.3" footer="0.3"/>
  <pageSetup paperSize="9" fitToHeight="0" orientation="landscape" r:id="rId1"/>
  <headerFooter scaleWithDoc="0" alignWithMargins="0">
    <oddFooter>&amp;L          -----------------------
          Commercial Manager&amp;R --------------------          .       
          Project  Manager        .</oddFooter>
  </headerFooter>
  <drawing r:id="rId2"/>
</worksheet>
</file>

<file path=xl/worksheets/sheet17.xml><?xml version="1.0" encoding="utf-8"?>
<worksheet xmlns="http://schemas.openxmlformats.org/spreadsheetml/2006/main" xmlns:r="http://schemas.openxmlformats.org/officeDocument/2006/relationships">
  <sheetPr>
    <tabColor theme="4" tint="0.39997558519241921"/>
    <pageSetUpPr fitToPage="1"/>
  </sheetPr>
  <dimension ref="A1:BR35"/>
  <sheetViews>
    <sheetView view="pageBreakPreview" zoomScaleSheetLayoutView="100" workbookViewId="0">
      <selection activeCell="R12" sqref="R12:AF12"/>
    </sheetView>
  </sheetViews>
  <sheetFormatPr defaultRowHeight="15"/>
  <cols>
    <col min="1" max="58" width="1.7109375" customWidth="1"/>
    <col min="59" max="59" width="2.140625" customWidth="1"/>
    <col min="60" max="60" width="1.7109375" customWidth="1"/>
    <col min="66" max="66" width="13.28515625" bestFit="1" customWidth="1"/>
  </cols>
  <sheetData>
    <row r="1" spans="1:70" ht="20.100000000000001" customHeight="1">
      <c r="A1" s="1132"/>
      <c r="B1" s="1132"/>
      <c r="C1" s="1132"/>
      <c r="D1" s="1132"/>
      <c r="E1" s="1132"/>
      <c r="F1" s="1132"/>
      <c r="G1" s="1645" t="s">
        <v>512</v>
      </c>
      <c r="H1" s="1646"/>
      <c r="I1" s="1646"/>
      <c r="J1" s="1646"/>
      <c r="K1" s="1646"/>
      <c r="L1" s="1646"/>
      <c r="M1" s="1646"/>
      <c r="N1" s="1646"/>
      <c r="O1" s="1646"/>
      <c r="P1" s="1646"/>
      <c r="Q1" s="1646"/>
      <c r="R1" s="1646"/>
      <c r="S1" s="1646"/>
      <c r="T1" s="1646"/>
      <c r="U1" s="1646"/>
      <c r="V1" s="1646"/>
      <c r="W1" s="1646"/>
      <c r="X1" s="1646"/>
      <c r="Y1" s="1646"/>
      <c r="Z1" s="1646"/>
      <c r="AA1" s="1646"/>
      <c r="AB1" s="1646"/>
      <c r="AC1" s="1646"/>
      <c r="AD1" s="1646"/>
      <c r="AE1" s="1646"/>
      <c r="AF1" s="1646"/>
      <c r="AG1" s="1646"/>
      <c r="AH1" s="1646"/>
      <c r="AI1" s="1646"/>
      <c r="AJ1" s="1646"/>
      <c r="AK1" s="1646"/>
      <c r="AL1" s="1646"/>
      <c r="AM1" s="1646"/>
      <c r="AN1" s="1646"/>
      <c r="AO1" s="1646"/>
      <c r="AP1" s="1646"/>
      <c r="AQ1" s="1647"/>
      <c r="AR1" s="1639" t="s">
        <v>237</v>
      </c>
      <c r="AS1" s="1639"/>
      <c r="AT1" s="1639"/>
      <c r="AU1" s="1639"/>
      <c r="AV1" s="1639"/>
      <c r="AW1" s="1635" t="s">
        <v>412</v>
      </c>
      <c r="AX1" s="1635"/>
      <c r="AY1" s="1635"/>
      <c r="AZ1" s="1635"/>
      <c r="BA1" s="1635"/>
      <c r="BB1" s="1635"/>
      <c r="BC1" s="1635"/>
      <c r="BD1" s="1635"/>
      <c r="BE1" s="1635"/>
      <c r="BF1" s="1635"/>
      <c r="BG1" s="1635"/>
    </row>
    <row r="2" spans="1:70" ht="20.100000000000001" customHeight="1">
      <c r="A2" s="1058"/>
      <c r="B2" s="1058"/>
      <c r="C2" s="1058"/>
      <c r="D2" s="1058"/>
      <c r="E2" s="1058"/>
      <c r="F2" s="1058"/>
      <c r="G2" s="1648"/>
      <c r="H2" s="1649"/>
      <c r="I2" s="1649"/>
      <c r="J2" s="1649"/>
      <c r="K2" s="1649"/>
      <c r="L2" s="1649"/>
      <c r="M2" s="1649"/>
      <c r="N2" s="1649"/>
      <c r="O2" s="1649"/>
      <c r="P2" s="1649"/>
      <c r="Q2" s="1649"/>
      <c r="R2" s="1649"/>
      <c r="S2" s="1649"/>
      <c r="T2" s="1649"/>
      <c r="U2" s="1649"/>
      <c r="V2" s="1649"/>
      <c r="W2" s="1649"/>
      <c r="X2" s="1649"/>
      <c r="Y2" s="1649"/>
      <c r="Z2" s="1649"/>
      <c r="AA2" s="1649"/>
      <c r="AB2" s="1649"/>
      <c r="AC2" s="1649"/>
      <c r="AD2" s="1649"/>
      <c r="AE2" s="1649"/>
      <c r="AF2" s="1649"/>
      <c r="AG2" s="1649"/>
      <c r="AH2" s="1649"/>
      <c r="AI2" s="1649"/>
      <c r="AJ2" s="1649"/>
      <c r="AK2" s="1649"/>
      <c r="AL2" s="1649"/>
      <c r="AM2" s="1649"/>
      <c r="AN2" s="1649"/>
      <c r="AO2" s="1649"/>
      <c r="AP2" s="1649"/>
      <c r="AQ2" s="1650"/>
      <c r="AR2" s="1639" t="s">
        <v>235</v>
      </c>
      <c r="AS2" s="1639"/>
      <c r="AT2" s="1639">
        <v>0</v>
      </c>
      <c r="AU2" s="1639"/>
      <c r="AV2" s="1639"/>
      <c r="AW2" s="1635">
        <v>0</v>
      </c>
      <c r="AX2" s="1635"/>
      <c r="AY2" s="1635"/>
      <c r="AZ2" s="1635"/>
      <c r="BA2" s="1635"/>
      <c r="BB2" s="1635"/>
      <c r="BC2" s="1635"/>
      <c r="BD2" s="1635"/>
      <c r="BE2" s="1635"/>
      <c r="BF2" s="1635"/>
      <c r="BG2" s="1635"/>
    </row>
    <row r="3" spans="1:70" ht="20.100000000000001" customHeight="1">
      <c r="A3" s="1059"/>
      <c r="B3" s="1059"/>
      <c r="C3" s="1059"/>
      <c r="D3" s="1059"/>
      <c r="E3" s="1059"/>
      <c r="F3" s="1059"/>
      <c r="G3" s="1651"/>
      <c r="H3" s="1652"/>
      <c r="I3" s="1652"/>
      <c r="J3" s="1652"/>
      <c r="K3" s="1652"/>
      <c r="L3" s="1652"/>
      <c r="M3" s="1652"/>
      <c r="N3" s="1652"/>
      <c r="O3" s="1652"/>
      <c r="P3" s="1652"/>
      <c r="Q3" s="1652"/>
      <c r="R3" s="1652"/>
      <c r="S3" s="1652"/>
      <c r="T3" s="1652"/>
      <c r="U3" s="1652"/>
      <c r="V3" s="1652"/>
      <c r="W3" s="1652"/>
      <c r="X3" s="1652"/>
      <c r="Y3" s="1652"/>
      <c r="Z3" s="1652"/>
      <c r="AA3" s="1652"/>
      <c r="AB3" s="1652"/>
      <c r="AC3" s="1652"/>
      <c r="AD3" s="1652"/>
      <c r="AE3" s="1652"/>
      <c r="AF3" s="1652"/>
      <c r="AG3" s="1652"/>
      <c r="AH3" s="1652"/>
      <c r="AI3" s="1652"/>
      <c r="AJ3" s="1652"/>
      <c r="AK3" s="1652"/>
      <c r="AL3" s="1652"/>
      <c r="AM3" s="1652"/>
      <c r="AN3" s="1652"/>
      <c r="AO3" s="1652"/>
      <c r="AP3" s="1652"/>
      <c r="AQ3" s="1653"/>
      <c r="AR3" s="1639" t="s">
        <v>236</v>
      </c>
      <c r="AS3" s="1639"/>
      <c r="AT3" s="1639">
        <v>41922</v>
      </c>
      <c r="AU3" s="1639"/>
      <c r="AV3" s="1639"/>
      <c r="AW3" s="1636">
        <f>+'Cover '!T11</f>
        <v>42460</v>
      </c>
      <c r="AX3" s="1637"/>
      <c r="AY3" s="1637"/>
      <c r="AZ3" s="1637"/>
      <c r="BA3" s="1637"/>
      <c r="BB3" s="1637"/>
      <c r="BC3" s="1637"/>
      <c r="BD3" s="1637"/>
      <c r="BE3" s="1637"/>
      <c r="BF3" s="1637"/>
      <c r="BG3" s="1638"/>
    </row>
    <row r="4" spans="1:70" ht="15" customHeight="1">
      <c r="A4" s="1642"/>
      <c r="B4" s="1643"/>
      <c r="C4" s="1643"/>
      <c r="D4" s="1643"/>
      <c r="E4" s="1643"/>
      <c r="F4" s="1643"/>
      <c r="G4" s="1643"/>
      <c r="H4" s="1643"/>
      <c r="I4" s="1643"/>
      <c r="J4" s="1643"/>
      <c r="K4" s="1643"/>
      <c r="L4" s="1643"/>
      <c r="M4" s="1643"/>
      <c r="N4" s="1643"/>
      <c r="O4" s="1643"/>
      <c r="P4" s="1643"/>
      <c r="Q4" s="1643"/>
      <c r="R4" s="1643"/>
      <c r="S4" s="1643"/>
      <c r="T4" s="1643"/>
      <c r="U4" s="1643"/>
      <c r="V4" s="1643"/>
      <c r="W4" s="1643"/>
      <c r="X4" s="1643"/>
      <c r="Y4" s="1643"/>
      <c r="Z4" s="1643"/>
      <c r="AA4" s="1643"/>
      <c r="AB4" s="1643"/>
      <c r="AC4" s="1643"/>
      <c r="AD4" s="1643"/>
      <c r="AE4" s="1643"/>
      <c r="AF4" s="1643"/>
      <c r="AG4" s="1643"/>
      <c r="AH4" s="1643"/>
      <c r="AI4" s="1643"/>
      <c r="AJ4" s="1643"/>
      <c r="AK4" s="1643"/>
      <c r="AL4" s="1643"/>
      <c r="AM4" s="1643"/>
      <c r="AN4" s="1643"/>
      <c r="AO4" s="1643"/>
      <c r="AP4" s="1643"/>
      <c r="AQ4" s="1643"/>
      <c r="AR4" s="1643"/>
      <c r="AS4" s="1643"/>
      <c r="AT4" s="1643"/>
      <c r="AU4" s="1643"/>
      <c r="AV4" s="1643"/>
      <c r="AW4" s="1643"/>
      <c r="AX4" s="1643"/>
      <c r="AY4" s="1643"/>
      <c r="AZ4" s="1643"/>
      <c r="BA4" s="1643"/>
      <c r="BB4" s="1643"/>
      <c r="BC4" s="1643"/>
      <c r="BD4" s="1643"/>
      <c r="BE4" s="1643"/>
      <c r="BF4" s="1643"/>
      <c r="BG4" s="1644"/>
    </row>
    <row r="5" spans="1:70" ht="24.95" customHeight="1">
      <c r="A5" s="1359" t="s">
        <v>247</v>
      </c>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c r="AD5" s="1360"/>
      <c r="AE5" s="1360"/>
      <c r="AF5" s="1360"/>
      <c r="AG5" s="1360"/>
      <c r="AH5" s="1360"/>
      <c r="AI5" s="1360"/>
      <c r="AJ5" s="1360"/>
      <c r="AK5" s="1360"/>
      <c r="AL5" s="1360"/>
      <c r="AM5" s="1360"/>
      <c r="AN5" s="1360"/>
      <c r="AO5" s="1360"/>
      <c r="AP5" s="1360"/>
      <c r="AQ5" s="1360"/>
      <c r="AR5" s="1360"/>
      <c r="AS5" s="1360"/>
      <c r="AT5" s="1360"/>
      <c r="AU5" s="1360"/>
      <c r="AV5" s="1360"/>
      <c r="AW5" s="1360"/>
      <c r="AX5" s="1360"/>
      <c r="AY5" s="1360"/>
      <c r="AZ5" s="1360"/>
      <c r="BA5" s="1360"/>
      <c r="BB5" s="1360"/>
      <c r="BC5" s="1360"/>
      <c r="BD5" s="1360"/>
      <c r="BE5" s="1360"/>
      <c r="BF5" s="1360"/>
      <c r="BG5" s="1361"/>
    </row>
    <row r="6" spans="1:70" ht="9.9499999999999993" customHeight="1">
      <c r="A6" s="1623"/>
      <c r="B6" s="1624"/>
      <c r="C6" s="1624"/>
      <c r="D6" s="1624"/>
      <c r="E6" s="1624"/>
      <c r="F6" s="1624"/>
      <c r="G6" s="1624"/>
      <c r="H6" s="1624"/>
      <c r="I6" s="1624"/>
      <c r="J6" s="1624"/>
      <c r="K6" s="1624"/>
      <c r="L6" s="1624"/>
      <c r="M6" s="1624"/>
      <c r="N6" s="1624"/>
      <c r="O6" s="1624"/>
      <c r="P6" s="1624"/>
      <c r="Q6" s="1624"/>
      <c r="R6" s="1624"/>
      <c r="S6" s="1624"/>
      <c r="T6" s="1624"/>
      <c r="U6" s="1624"/>
      <c r="V6" s="1624"/>
      <c r="W6" s="1624"/>
      <c r="X6" s="1624"/>
      <c r="Y6" s="1624"/>
      <c r="Z6" s="1624"/>
      <c r="AA6" s="1624"/>
      <c r="AB6" s="1624"/>
      <c r="AC6" s="1624"/>
      <c r="AD6" s="1624"/>
      <c r="AE6" s="1624"/>
      <c r="AF6" s="1624"/>
      <c r="AG6" s="1624"/>
      <c r="AH6" s="1624"/>
      <c r="AI6" s="1624"/>
      <c r="AJ6" s="1624"/>
      <c r="AK6" s="1624"/>
      <c r="AL6" s="1624"/>
      <c r="AM6" s="1624"/>
      <c r="AN6" s="1624"/>
      <c r="AO6" s="1624"/>
      <c r="AP6" s="1624"/>
      <c r="AQ6" s="1624"/>
      <c r="AR6" s="1624"/>
      <c r="AS6" s="1624"/>
      <c r="AT6" s="1624"/>
      <c r="AU6" s="1624"/>
      <c r="AV6" s="1624"/>
      <c r="AW6" s="1624"/>
      <c r="AX6" s="1624"/>
      <c r="AY6" s="1624"/>
      <c r="AZ6" s="1624"/>
      <c r="BA6" s="1624"/>
      <c r="BB6" s="1624"/>
      <c r="BC6" s="1624"/>
      <c r="BD6" s="1624"/>
      <c r="BE6" s="1624"/>
      <c r="BF6" s="1624"/>
      <c r="BG6" s="1625"/>
    </row>
    <row r="7" spans="1:70" ht="24.95" customHeight="1">
      <c r="A7" s="1654"/>
      <c r="B7" s="1655"/>
      <c r="C7" s="1655"/>
      <c r="D7" s="1655"/>
      <c r="E7" s="1655"/>
      <c r="F7" s="1655"/>
      <c r="G7" s="1655"/>
      <c r="H7" s="1655"/>
      <c r="I7" s="1655"/>
      <c r="J7" s="1655"/>
      <c r="K7" s="1655"/>
      <c r="L7" s="1655"/>
      <c r="M7" s="1655"/>
      <c r="N7" s="1655"/>
      <c r="O7" s="1655"/>
      <c r="P7" s="1655"/>
      <c r="Q7" s="1655"/>
      <c r="R7" s="1656" t="s">
        <v>430</v>
      </c>
      <c r="S7" s="1656"/>
      <c r="T7" s="1656"/>
      <c r="U7" s="1656"/>
      <c r="V7" s="1656"/>
      <c r="W7" s="1656"/>
      <c r="X7" s="1656"/>
      <c r="Y7" s="1656"/>
      <c r="Z7" s="1656"/>
      <c r="AA7" s="1656"/>
      <c r="AB7" s="1656"/>
      <c r="AC7" s="1656"/>
      <c r="AD7" s="1656"/>
      <c r="AE7" s="1656"/>
      <c r="AF7" s="1656"/>
      <c r="AG7" s="1656" t="s">
        <v>7</v>
      </c>
      <c r="AH7" s="1656"/>
      <c r="AI7" s="1656"/>
      <c r="AJ7" s="1656"/>
      <c r="AK7" s="1656"/>
      <c r="AL7" s="1656"/>
      <c r="AM7" s="1656"/>
      <c r="AN7" s="1656"/>
      <c r="AO7" s="1656"/>
      <c r="AP7" s="1656"/>
      <c r="AQ7" s="1656"/>
      <c r="AR7" s="1656"/>
      <c r="AS7" s="1656"/>
      <c r="AT7" s="1656"/>
      <c r="AU7" s="1656" t="s">
        <v>8</v>
      </c>
      <c r="AV7" s="1656"/>
      <c r="AW7" s="1656"/>
      <c r="AX7" s="1656"/>
      <c r="AY7" s="1656"/>
      <c r="AZ7" s="1656"/>
      <c r="BA7" s="1656"/>
      <c r="BB7" s="1656"/>
      <c r="BC7" s="1656"/>
      <c r="BD7" s="1656"/>
      <c r="BE7" s="1656"/>
      <c r="BF7" s="1656"/>
      <c r="BG7" s="1657"/>
    </row>
    <row r="8" spans="1:70" s="77" customFormat="1" ht="25.5" customHeight="1">
      <c r="A8" s="1658" t="s">
        <v>429</v>
      </c>
      <c r="B8" s="1659"/>
      <c r="C8" s="1659"/>
      <c r="D8" s="1659"/>
      <c r="E8" s="1659"/>
      <c r="F8" s="1659"/>
      <c r="G8" s="1659"/>
      <c r="H8" s="1659"/>
      <c r="I8" s="1659"/>
      <c r="J8" s="1659"/>
      <c r="K8" s="1659"/>
      <c r="L8" s="1659"/>
      <c r="M8" s="1659"/>
      <c r="N8" s="1659"/>
      <c r="O8" s="1659"/>
      <c r="P8" s="1659"/>
      <c r="Q8" s="1659"/>
      <c r="R8" s="1660">
        <v>4644</v>
      </c>
      <c r="S8" s="1661"/>
      <c r="T8" s="1661"/>
      <c r="U8" s="1661"/>
      <c r="V8" s="1661"/>
      <c r="W8" s="1661"/>
      <c r="X8" s="1661"/>
      <c r="Y8" s="1661"/>
      <c r="Z8" s="1661"/>
      <c r="AA8" s="1661"/>
      <c r="AB8" s="1661"/>
      <c r="AC8" s="1661"/>
      <c r="AD8" s="1661"/>
      <c r="AE8" s="1661"/>
      <c r="AF8" s="1662"/>
      <c r="AG8" s="1663">
        <v>165</v>
      </c>
      <c r="AH8" s="1663"/>
      <c r="AI8" s="1663"/>
      <c r="AJ8" s="1663"/>
      <c r="AK8" s="1663"/>
      <c r="AL8" s="1663"/>
      <c r="AM8" s="1663"/>
      <c r="AN8" s="1663"/>
      <c r="AO8" s="1663"/>
      <c r="AP8" s="1663"/>
      <c r="AQ8" s="1663"/>
      <c r="AR8" s="1663"/>
      <c r="AS8" s="1663"/>
      <c r="AT8" s="1663"/>
      <c r="AU8" s="1663">
        <f>AG8+R8</f>
        <v>4809</v>
      </c>
      <c r="AV8" s="1663"/>
      <c r="AW8" s="1663"/>
      <c r="AX8" s="1663"/>
      <c r="AY8" s="1663"/>
      <c r="AZ8" s="1663"/>
      <c r="BA8" s="1663"/>
      <c r="BB8" s="1663"/>
      <c r="BC8" s="1663"/>
      <c r="BD8" s="1663"/>
      <c r="BE8" s="1663"/>
      <c r="BF8" s="1663"/>
      <c r="BG8" s="1664"/>
    </row>
    <row r="9" spans="1:70" s="77" customFormat="1" ht="24.95" customHeight="1">
      <c r="A9" s="1626" t="s">
        <v>90</v>
      </c>
      <c r="B9" s="1627"/>
      <c r="C9" s="1627"/>
      <c r="D9" s="1627"/>
      <c r="E9" s="1627"/>
      <c r="F9" s="1627"/>
      <c r="G9" s="1627"/>
      <c r="H9" s="1627"/>
      <c r="I9" s="1627"/>
      <c r="J9" s="1627"/>
      <c r="K9" s="1627"/>
      <c r="L9" s="1627"/>
      <c r="M9" s="1627"/>
      <c r="N9" s="1627"/>
      <c r="O9" s="1627"/>
      <c r="P9" s="1627"/>
      <c r="Q9" s="1627"/>
      <c r="R9" s="1640">
        <v>11380000</v>
      </c>
      <c r="S9" s="1640"/>
      <c r="T9" s="1640"/>
      <c r="U9" s="1640"/>
      <c r="V9" s="1640"/>
      <c r="W9" s="1640"/>
      <c r="X9" s="1640"/>
      <c r="Y9" s="1640"/>
      <c r="Z9" s="1640"/>
      <c r="AA9" s="1640"/>
      <c r="AB9" s="1640"/>
      <c r="AC9" s="1640"/>
      <c r="AD9" s="1640"/>
      <c r="AE9" s="1640"/>
      <c r="AF9" s="1640"/>
      <c r="AG9" s="1640">
        <v>51440</v>
      </c>
      <c r="AH9" s="1640"/>
      <c r="AI9" s="1640"/>
      <c r="AJ9" s="1640"/>
      <c r="AK9" s="1640"/>
      <c r="AL9" s="1640"/>
      <c r="AM9" s="1640"/>
      <c r="AN9" s="1640"/>
      <c r="AO9" s="1640"/>
      <c r="AP9" s="1640"/>
      <c r="AQ9" s="1640"/>
      <c r="AR9" s="1640"/>
      <c r="AS9" s="1640"/>
      <c r="AT9" s="1640"/>
      <c r="AU9" s="1640">
        <f t="shared" ref="AU9:AU14" si="0">R9+AG9</f>
        <v>11431440</v>
      </c>
      <c r="AV9" s="1640"/>
      <c r="AW9" s="1640"/>
      <c r="AX9" s="1640"/>
      <c r="AY9" s="1640"/>
      <c r="AZ9" s="1640"/>
      <c r="BA9" s="1640"/>
      <c r="BB9" s="1640"/>
      <c r="BC9" s="1640"/>
      <c r="BD9" s="1640"/>
      <c r="BE9" s="1640"/>
      <c r="BF9" s="1640"/>
      <c r="BG9" s="1641"/>
    </row>
    <row r="10" spans="1:70" s="77" customFormat="1" ht="24.95" customHeight="1">
      <c r="A10" s="1626" t="s">
        <v>91</v>
      </c>
      <c r="B10" s="1627"/>
      <c r="C10" s="1627"/>
      <c r="D10" s="1627"/>
      <c r="E10" s="1627"/>
      <c r="F10" s="1627"/>
      <c r="G10" s="1627"/>
      <c r="H10" s="1627"/>
      <c r="I10" s="1627"/>
      <c r="J10" s="1627"/>
      <c r="K10" s="1627"/>
      <c r="L10" s="1627"/>
      <c r="M10" s="1627"/>
      <c r="N10" s="1627"/>
      <c r="O10" s="1627"/>
      <c r="P10" s="1627"/>
      <c r="Q10" s="1627"/>
      <c r="R10" s="1640">
        <f>R9</f>
        <v>11380000</v>
      </c>
      <c r="S10" s="1640"/>
      <c r="T10" s="1640"/>
      <c r="U10" s="1640"/>
      <c r="V10" s="1640"/>
      <c r="W10" s="1640"/>
      <c r="X10" s="1640"/>
      <c r="Y10" s="1640"/>
      <c r="Z10" s="1640"/>
      <c r="AA10" s="1640"/>
      <c r="AB10" s="1640"/>
      <c r="AC10" s="1640"/>
      <c r="AD10" s="1640"/>
      <c r="AE10" s="1640"/>
      <c r="AF10" s="1640"/>
      <c r="AG10" s="1640">
        <f>AG9</f>
        <v>51440</v>
      </c>
      <c r="AH10" s="1640"/>
      <c r="AI10" s="1640"/>
      <c r="AJ10" s="1640"/>
      <c r="AK10" s="1640"/>
      <c r="AL10" s="1640"/>
      <c r="AM10" s="1640"/>
      <c r="AN10" s="1640"/>
      <c r="AO10" s="1640"/>
      <c r="AP10" s="1640"/>
      <c r="AQ10" s="1640"/>
      <c r="AR10" s="1640"/>
      <c r="AS10" s="1640"/>
      <c r="AT10" s="1640"/>
      <c r="AU10" s="1640">
        <f t="shared" si="0"/>
        <v>11431440</v>
      </c>
      <c r="AV10" s="1640"/>
      <c r="AW10" s="1640"/>
      <c r="AX10" s="1640"/>
      <c r="AY10" s="1640"/>
      <c r="AZ10" s="1640"/>
      <c r="BA10" s="1640"/>
      <c r="BB10" s="1640"/>
      <c r="BC10" s="1640"/>
      <c r="BD10" s="1640"/>
      <c r="BE10" s="1640"/>
      <c r="BF10" s="1640"/>
      <c r="BG10" s="1641"/>
    </row>
    <row r="11" spans="1:70" s="77" customFormat="1" ht="24.95" customHeight="1">
      <c r="A11" s="1626" t="s">
        <v>92</v>
      </c>
      <c r="B11" s="1627"/>
      <c r="C11" s="1627"/>
      <c r="D11" s="1627"/>
      <c r="E11" s="1627"/>
      <c r="F11" s="1627"/>
      <c r="G11" s="1627"/>
      <c r="H11" s="1627"/>
      <c r="I11" s="1627"/>
      <c r="J11" s="1627"/>
      <c r="K11" s="1627"/>
      <c r="L11" s="1627"/>
      <c r="M11" s="1627"/>
      <c r="N11" s="1627"/>
      <c r="O11" s="1627"/>
      <c r="P11" s="1627"/>
      <c r="Q11" s="1627"/>
      <c r="R11" s="1640">
        <f>R10</f>
        <v>11380000</v>
      </c>
      <c r="S11" s="1640"/>
      <c r="T11" s="1640"/>
      <c r="U11" s="1640"/>
      <c r="V11" s="1640"/>
      <c r="W11" s="1640"/>
      <c r="X11" s="1640"/>
      <c r="Y11" s="1640"/>
      <c r="Z11" s="1640"/>
      <c r="AA11" s="1640"/>
      <c r="AB11" s="1640"/>
      <c r="AC11" s="1640"/>
      <c r="AD11" s="1640"/>
      <c r="AE11" s="1640"/>
      <c r="AF11" s="1640"/>
      <c r="AG11" s="1640">
        <f>AG9</f>
        <v>51440</v>
      </c>
      <c r="AH11" s="1640"/>
      <c r="AI11" s="1640"/>
      <c r="AJ11" s="1640"/>
      <c r="AK11" s="1640"/>
      <c r="AL11" s="1640"/>
      <c r="AM11" s="1640"/>
      <c r="AN11" s="1640"/>
      <c r="AO11" s="1640"/>
      <c r="AP11" s="1640"/>
      <c r="AQ11" s="1640"/>
      <c r="AR11" s="1640"/>
      <c r="AS11" s="1640"/>
      <c r="AT11" s="1640"/>
      <c r="AU11" s="1640">
        <f t="shared" si="0"/>
        <v>11431440</v>
      </c>
      <c r="AV11" s="1640"/>
      <c r="AW11" s="1640"/>
      <c r="AX11" s="1640"/>
      <c r="AY11" s="1640"/>
      <c r="AZ11" s="1640"/>
      <c r="BA11" s="1640"/>
      <c r="BB11" s="1640"/>
      <c r="BC11" s="1640"/>
      <c r="BD11" s="1640"/>
      <c r="BE11" s="1640"/>
      <c r="BF11" s="1640"/>
      <c r="BG11" s="1641"/>
    </row>
    <row r="12" spans="1:70" s="77" customFormat="1" ht="24.95" customHeight="1">
      <c r="A12" s="1626" t="s">
        <v>4</v>
      </c>
      <c r="B12" s="1627"/>
      <c r="C12" s="1627"/>
      <c r="D12" s="1627"/>
      <c r="E12" s="1627"/>
      <c r="F12" s="1627"/>
      <c r="G12" s="1627"/>
      <c r="H12" s="1627"/>
      <c r="I12" s="1627"/>
      <c r="J12" s="1627"/>
      <c r="K12" s="1627"/>
      <c r="L12" s="1627"/>
      <c r="M12" s="1627"/>
      <c r="N12" s="1627"/>
      <c r="O12" s="1627"/>
      <c r="P12" s="1627"/>
      <c r="Q12" s="1627"/>
      <c r="R12" s="1640">
        <v>39</v>
      </c>
      <c r="S12" s="1640"/>
      <c r="T12" s="1640"/>
      <c r="U12" s="1640"/>
      <c r="V12" s="1640"/>
      <c r="W12" s="1640"/>
      <c r="X12" s="1640"/>
      <c r="Y12" s="1640"/>
      <c r="Z12" s="1640"/>
      <c r="AA12" s="1640"/>
      <c r="AB12" s="1640"/>
      <c r="AC12" s="1640"/>
      <c r="AD12" s="1640"/>
      <c r="AE12" s="1640"/>
      <c r="AF12" s="1640"/>
      <c r="AG12" s="1640">
        <v>3</v>
      </c>
      <c r="AH12" s="1640"/>
      <c r="AI12" s="1640"/>
      <c r="AJ12" s="1640"/>
      <c r="AK12" s="1640"/>
      <c r="AL12" s="1640"/>
      <c r="AM12" s="1640"/>
      <c r="AN12" s="1640"/>
      <c r="AO12" s="1640"/>
      <c r="AP12" s="1640"/>
      <c r="AQ12" s="1640"/>
      <c r="AR12" s="1640"/>
      <c r="AS12" s="1640"/>
      <c r="AT12" s="1640"/>
      <c r="AU12" s="1640">
        <f t="shared" si="0"/>
        <v>42</v>
      </c>
      <c r="AV12" s="1640"/>
      <c r="AW12" s="1640"/>
      <c r="AX12" s="1640"/>
      <c r="AY12" s="1640"/>
      <c r="AZ12" s="1640"/>
      <c r="BA12" s="1640"/>
      <c r="BB12" s="1640"/>
      <c r="BC12" s="1640"/>
      <c r="BD12" s="1640"/>
      <c r="BE12" s="1640"/>
      <c r="BF12" s="1640"/>
      <c r="BG12" s="1641"/>
      <c r="BL12" s="289"/>
      <c r="BM12" s="289"/>
      <c r="BN12" s="289"/>
      <c r="BO12" s="289"/>
      <c r="BP12" s="289"/>
      <c r="BQ12" s="289"/>
      <c r="BR12" s="289"/>
    </row>
    <row r="13" spans="1:70" s="77" customFormat="1" ht="24.95" customHeight="1">
      <c r="A13" s="1626" t="s">
        <v>5</v>
      </c>
      <c r="B13" s="1627"/>
      <c r="C13" s="1627"/>
      <c r="D13" s="1627"/>
      <c r="E13" s="1627"/>
      <c r="F13" s="1627"/>
      <c r="G13" s="1627"/>
      <c r="H13" s="1627"/>
      <c r="I13" s="1627"/>
      <c r="J13" s="1627"/>
      <c r="K13" s="1627"/>
      <c r="L13" s="1627"/>
      <c r="M13" s="1627"/>
      <c r="N13" s="1627"/>
      <c r="O13" s="1627"/>
      <c r="P13" s="1627"/>
      <c r="Q13" s="1627"/>
      <c r="R13" s="1640">
        <v>0</v>
      </c>
      <c r="S13" s="1640"/>
      <c r="T13" s="1640"/>
      <c r="U13" s="1640"/>
      <c r="V13" s="1640"/>
      <c r="W13" s="1640"/>
      <c r="X13" s="1640"/>
      <c r="Y13" s="1640"/>
      <c r="Z13" s="1640"/>
      <c r="AA13" s="1640"/>
      <c r="AB13" s="1640"/>
      <c r="AC13" s="1640"/>
      <c r="AD13" s="1640"/>
      <c r="AE13" s="1640"/>
      <c r="AF13" s="1640"/>
      <c r="AG13" s="1640">
        <v>0</v>
      </c>
      <c r="AH13" s="1640"/>
      <c r="AI13" s="1640"/>
      <c r="AJ13" s="1640"/>
      <c r="AK13" s="1640"/>
      <c r="AL13" s="1640"/>
      <c r="AM13" s="1640"/>
      <c r="AN13" s="1640"/>
      <c r="AO13" s="1640"/>
      <c r="AP13" s="1640"/>
      <c r="AQ13" s="1640"/>
      <c r="AR13" s="1640"/>
      <c r="AS13" s="1640"/>
      <c r="AT13" s="1640"/>
      <c r="AU13" s="1640">
        <f t="shared" si="0"/>
        <v>0</v>
      </c>
      <c r="AV13" s="1640"/>
      <c r="AW13" s="1640"/>
      <c r="AX13" s="1640"/>
      <c r="AY13" s="1640"/>
      <c r="AZ13" s="1640"/>
      <c r="BA13" s="1640"/>
      <c r="BB13" s="1640"/>
      <c r="BC13" s="1640"/>
      <c r="BD13" s="1640"/>
      <c r="BE13" s="1640"/>
      <c r="BF13" s="1640"/>
      <c r="BG13" s="1641"/>
    </row>
    <row r="14" spans="1:70" s="77" customFormat="1" ht="24.95" customHeight="1">
      <c r="A14" s="1626" t="s">
        <v>6</v>
      </c>
      <c r="B14" s="1627"/>
      <c r="C14" s="1627"/>
      <c r="D14" s="1627"/>
      <c r="E14" s="1627"/>
      <c r="F14" s="1627"/>
      <c r="G14" s="1627"/>
      <c r="H14" s="1627"/>
      <c r="I14" s="1627"/>
      <c r="J14" s="1627"/>
      <c r="K14" s="1627"/>
      <c r="L14" s="1627"/>
      <c r="M14" s="1627"/>
      <c r="N14" s="1627"/>
      <c r="O14" s="1627"/>
      <c r="P14" s="1627"/>
      <c r="Q14" s="1627"/>
      <c r="R14" s="1640">
        <v>36</v>
      </c>
      <c r="S14" s="1640"/>
      <c r="T14" s="1640"/>
      <c r="U14" s="1640"/>
      <c r="V14" s="1640"/>
      <c r="W14" s="1640"/>
      <c r="X14" s="1640"/>
      <c r="Y14" s="1640"/>
      <c r="Z14" s="1640"/>
      <c r="AA14" s="1640"/>
      <c r="AB14" s="1640"/>
      <c r="AC14" s="1640"/>
      <c r="AD14" s="1640"/>
      <c r="AE14" s="1640"/>
      <c r="AF14" s="1640"/>
      <c r="AG14" s="1640">
        <v>5</v>
      </c>
      <c r="AH14" s="1640"/>
      <c r="AI14" s="1640"/>
      <c r="AJ14" s="1640"/>
      <c r="AK14" s="1640"/>
      <c r="AL14" s="1640"/>
      <c r="AM14" s="1640"/>
      <c r="AN14" s="1640"/>
      <c r="AO14" s="1640"/>
      <c r="AP14" s="1640"/>
      <c r="AQ14" s="1640"/>
      <c r="AR14" s="1640"/>
      <c r="AS14" s="1640"/>
      <c r="AT14" s="1640"/>
      <c r="AU14" s="1640">
        <f t="shared" si="0"/>
        <v>41</v>
      </c>
      <c r="AV14" s="1640"/>
      <c r="AW14" s="1640"/>
      <c r="AX14" s="1640"/>
      <c r="AY14" s="1640"/>
      <c r="AZ14" s="1640"/>
      <c r="BA14" s="1640"/>
      <c r="BB14" s="1640"/>
      <c r="BC14" s="1640"/>
      <c r="BD14" s="1640"/>
      <c r="BE14" s="1640"/>
      <c r="BF14" s="1640"/>
      <c r="BG14" s="1641"/>
    </row>
    <row r="15" spans="1:70" s="77" customFormat="1" ht="24.95" customHeight="1">
      <c r="A15" s="1633" t="s">
        <v>93</v>
      </c>
      <c r="B15" s="1634"/>
      <c r="C15" s="1634"/>
      <c r="D15" s="1634"/>
      <c r="E15" s="1634"/>
      <c r="F15" s="1634"/>
      <c r="G15" s="1634"/>
      <c r="H15" s="1634"/>
      <c r="I15" s="1634"/>
      <c r="J15" s="1634"/>
      <c r="K15" s="1634"/>
      <c r="L15" s="1634"/>
      <c r="M15" s="1634"/>
      <c r="N15" s="1634"/>
      <c r="O15" s="1634"/>
      <c r="P15" s="1634"/>
      <c r="Q15" s="1634"/>
      <c r="R15" s="1609"/>
      <c r="S15" s="1609"/>
      <c r="T15" s="1609"/>
      <c r="U15" s="1609"/>
      <c r="V15" s="1609"/>
      <c r="W15" s="1609"/>
      <c r="X15" s="1609"/>
      <c r="Y15" s="1609"/>
      <c r="Z15" s="1609"/>
      <c r="AA15" s="1609"/>
      <c r="AB15" s="1609"/>
      <c r="AC15" s="1609"/>
      <c r="AD15" s="1609"/>
      <c r="AE15" s="1609"/>
      <c r="AF15" s="1609"/>
      <c r="AG15" s="1609"/>
      <c r="AH15" s="1609"/>
      <c r="AI15" s="1609"/>
      <c r="AJ15" s="1609"/>
      <c r="AK15" s="1609"/>
      <c r="AL15" s="1609"/>
      <c r="AM15" s="1609"/>
      <c r="AN15" s="1609"/>
      <c r="AO15" s="1609"/>
      <c r="AP15" s="1609"/>
      <c r="AQ15" s="1609"/>
      <c r="AR15" s="1609"/>
      <c r="AS15" s="1609"/>
      <c r="AT15" s="1609"/>
      <c r="AU15" s="1609"/>
      <c r="AV15" s="1609"/>
      <c r="AW15" s="1609"/>
      <c r="AX15" s="1609"/>
      <c r="AY15" s="1609"/>
      <c r="AZ15" s="1609"/>
      <c r="BA15" s="1609"/>
      <c r="BB15" s="1609"/>
      <c r="BC15" s="1609"/>
      <c r="BD15" s="1609"/>
      <c r="BE15" s="1609"/>
      <c r="BF15" s="1609"/>
      <c r="BG15" s="1610"/>
      <c r="BN15" s="297"/>
    </row>
    <row r="16" spans="1:70" ht="9.9499999999999993" customHeight="1">
      <c r="A16" s="1623"/>
      <c r="B16" s="1624"/>
      <c r="C16" s="1624"/>
      <c r="D16" s="1624"/>
      <c r="E16" s="1624"/>
      <c r="F16" s="1624"/>
      <c r="G16" s="1624"/>
      <c r="H16" s="1624"/>
      <c r="I16" s="1624"/>
      <c r="J16" s="1624"/>
      <c r="K16" s="1624"/>
      <c r="L16" s="1624"/>
      <c r="M16" s="1624"/>
      <c r="N16" s="1624"/>
      <c r="O16" s="1624"/>
      <c r="P16" s="1624"/>
      <c r="Q16" s="1624"/>
      <c r="R16" s="1624"/>
      <c r="S16" s="1624"/>
      <c r="T16" s="1624"/>
      <c r="U16" s="1624"/>
      <c r="V16" s="1624"/>
      <c r="W16" s="1624"/>
      <c r="X16" s="1624"/>
      <c r="Y16" s="1624"/>
      <c r="Z16" s="1624"/>
      <c r="AA16" s="1624"/>
      <c r="AB16" s="1624"/>
      <c r="AC16" s="1624"/>
      <c r="AD16" s="1624"/>
      <c r="AE16" s="1624"/>
      <c r="AF16" s="1624"/>
      <c r="AG16" s="1624"/>
      <c r="AH16" s="1624"/>
      <c r="AI16" s="1624"/>
      <c r="AJ16" s="1624"/>
      <c r="AK16" s="1624"/>
      <c r="AL16" s="1624"/>
      <c r="AM16" s="1624"/>
      <c r="AN16" s="1624"/>
      <c r="AO16" s="1624"/>
      <c r="AP16" s="1624"/>
      <c r="AQ16" s="1624"/>
      <c r="AR16" s="1624"/>
      <c r="AS16" s="1624"/>
      <c r="AT16" s="1624"/>
      <c r="AU16" s="1624"/>
      <c r="AV16" s="1624"/>
      <c r="AW16" s="1624"/>
      <c r="AX16" s="1624"/>
      <c r="AY16" s="1624"/>
      <c r="AZ16" s="1624"/>
      <c r="BA16" s="1624"/>
      <c r="BB16" s="1624"/>
      <c r="BC16" s="1624"/>
      <c r="BD16" s="1624"/>
      <c r="BE16" s="1624"/>
      <c r="BF16" s="1624"/>
      <c r="BG16" s="1625"/>
    </row>
    <row r="17" spans="1:63" ht="26.25" customHeight="1">
      <c r="A17" s="1665" t="s">
        <v>94</v>
      </c>
      <c r="B17" s="1666"/>
      <c r="C17" s="1666"/>
      <c r="D17" s="1666"/>
      <c r="E17" s="1666"/>
      <c r="F17" s="1666"/>
      <c r="G17" s="1666"/>
      <c r="H17" s="1666"/>
      <c r="I17" s="1666"/>
      <c r="J17" s="1666"/>
      <c r="K17" s="1666"/>
      <c r="L17" s="1666"/>
      <c r="M17" s="1666"/>
      <c r="N17" s="1666"/>
      <c r="O17" s="1656" t="s">
        <v>95</v>
      </c>
      <c r="P17" s="1656"/>
      <c r="Q17" s="1656"/>
      <c r="R17" s="1656"/>
      <c r="S17" s="1656"/>
      <c r="T17" s="1656"/>
      <c r="U17" s="1656"/>
      <c r="V17" s="1656"/>
      <c r="W17" s="1656"/>
      <c r="X17" s="1656" t="s">
        <v>96</v>
      </c>
      <c r="Y17" s="1656"/>
      <c r="Z17" s="1656"/>
      <c r="AA17" s="1656"/>
      <c r="AB17" s="1656"/>
      <c r="AC17" s="1656"/>
      <c r="AD17" s="1656"/>
      <c r="AE17" s="1656"/>
      <c r="AF17" s="1656"/>
      <c r="AG17" s="1656"/>
      <c r="AH17" s="1656"/>
      <c r="AI17" s="1656" t="s">
        <v>97</v>
      </c>
      <c r="AJ17" s="1656"/>
      <c r="AK17" s="1656"/>
      <c r="AL17" s="1656"/>
      <c r="AM17" s="1656"/>
      <c r="AN17" s="1656"/>
      <c r="AO17" s="1656"/>
      <c r="AP17" s="1656"/>
      <c r="AQ17" s="1656"/>
      <c r="AR17" s="1656"/>
      <c r="AS17" s="1656"/>
      <c r="AT17" s="1656"/>
      <c r="AU17" s="1656" t="s">
        <v>98</v>
      </c>
      <c r="AV17" s="1656"/>
      <c r="AW17" s="1656"/>
      <c r="AX17" s="1656"/>
      <c r="AY17" s="1656"/>
      <c r="AZ17" s="1656"/>
      <c r="BA17" s="1656"/>
      <c r="BB17" s="1656"/>
      <c r="BC17" s="1656"/>
      <c r="BD17" s="1656"/>
      <c r="BE17" s="1656"/>
      <c r="BF17" s="1656"/>
      <c r="BG17" s="1657"/>
    </row>
    <row r="18" spans="1:63" s="77" customFormat="1" ht="30.75" customHeight="1">
      <c r="A18" s="1667" t="s">
        <v>7</v>
      </c>
      <c r="B18" s="1659"/>
      <c r="C18" s="1659"/>
      <c r="D18" s="1659"/>
      <c r="E18" s="1659"/>
      <c r="F18" s="1659"/>
      <c r="G18" s="1659"/>
      <c r="H18" s="1659"/>
      <c r="I18" s="1659"/>
      <c r="J18" s="1659"/>
      <c r="K18" s="1659"/>
      <c r="L18" s="1659"/>
      <c r="M18" s="1659"/>
      <c r="N18" s="1659"/>
      <c r="O18" s="1668">
        <v>0</v>
      </c>
      <c r="P18" s="1668"/>
      <c r="Q18" s="1668"/>
      <c r="R18" s="1668"/>
      <c r="S18" s="1668"/>
      <c r="T18" s="1668"/>
      <c r="U18" s="1668"/>
      <c r="V18" s="1668"/>
      <c r="W18" s="1668"/>
      <c r="X18" s="1668">
        <v>1</v>
      </c>
      <c r="Y18" s="1668"/>
      <c r="Z18" s="1668"/>
      <c r="AA18" s="1668"/>
      <c r="AB18" s="1668"/>
      <c r="AC18" s="1668"/>
      <c r="AD18" s="1668"/>
      <c r="AE18" s="1668"/>
      <c r="AF18" s="1668"/>
      <c r="AG18" s="1668"/>
      <c r="AH18" s="1668"/>
      <c r="AI18" s="1668">
        <v>1</v>
      </c>
      <c r="AJ18" s="1668"/>
      <c r="AK18" s="1668"/>
      <c r="AL18" s="1668"/>
      <c r="AM18" s="1668"/>
      <c r="AN18" s="1668"/>
      <c r="AO18" s="1668"/>
      <c r="AP18" s="1668"/>
      <c r="AQ18" s="1668"/>
      <c r="AR18" s="1668"/>
      <c r="AS18" s="1668"/>
      <c r="AT18" s="1668"/>
      <c r="AU18" s="1668">
        <v>0</v>
      </c>
      <c r="AV18" s="1668"/>
      <c r="AW18" s="1668"/>
      <c r="AX18" s="1668"/>
      <c r="AY18" s="1668"/>
      <c r="AZ18" s="1668"/>
      <c r="BA18" s="1668"/>
      <c r="BB18" s="1668"/>
      <c r="BC18" s="1668"/>
      <c r="BD18" s="1668"/>
      <c r="BE18" s="1668"/>
      <c r="BF18" s="1668"/>
      <c r="BG18" s="1669"/>
    </row>
    <row r="19" spans="1:63" s="77" customFormat="1" ht="30.75" customHeight="1">
      <c r="A19" s="1626" t="s">
        <v>202</v>
      </c>
      <c r="B19" s="1627"/>
      <c r="C19" s="1627"/>
      <c r="D19" s="1627"/>
      <c r="E19" s="1627"/>
      <c r="F19" s="1627"/>
      <c r="G19" s="1627"/>
      <c r="H19" s="1627"/>
      <c r="I19" s="1627"/>
      <c r="J19" s="1627"/>
      <c r="K19" s="1627"/>
      <c r="L19" s="1627"/>
      <c r="M19" s="1627"/>
      <c r="N19" s="1627"/>
      <c r="O19" s="1089">
        <v>1</v>
      </c>
      <c r="P19" s="1089"/>
      <c r="Q19" s="1089"/>
      <c r="R19" s="1089"/>
      <c r="S19" s="1089"/>
      <c r="T19" s="1089"/>
      <c r="U19" s="1089"/>
      <c r="V19" s="1089"/>
      <c r="W19" s="1089"/>
      <c r="X19" s="1089">
        <v>18</v>
      </c>
      <c r="Y19" s="1089"/>
      <c r="Z19" s="1089"/>
      <c r="AA19" s="1089"/>
      <c r="AB19" s="1089"/>
      <c r="AC19" s="1089"/>
      <c r="AD19" s="1089"/>
      <c r="AE19" s="1089"/>
      <c r="AF19" s="1089"/>
      <c r="AG19" s="1089"/>
      <c r="AH19" s="1089"/>
      <c r="AI19" s="1089">
        <v>7</v>
      </c>
      <c r="AJ19" s="1089"/>
      <c r="AK19" s="1089"/>
      <c r="AL19" s="1089"/>
      <c r="AM19" s="1089"/>
      <c r="AN19" s="1089"/>
      <c r="AO19" s="1089"/>
      <c r="AP19" s="1089"/>
      <c r="AQ19" s="1089"/>
      <c r="AR19" s="1089"/>
      <c r="AS19" s="1089"/>
      <c r="AT19" s="1089"/>
      <c r="AU19" s="1089">
        <v>1</v>
      </c>
      <c r="AV19" s="1089"/>
      <c r="AW19" s="1089"/>
      <c r="AX19" s="1089"/>
      <c r="AY19" s="1089"/>
      <c r="AZ19" s="1089"/>
      <c r="BA19" s="1089"/>
      <c r="BB19" s="1089"/>
      <c r="BC19" s="1089"/>
      <c r="BD19" s="1089"/>
      <c r="BE19" s="1089"/>
      <c r="BF19" s="1089"/>
      <c r="BG19" s="1354"/>
    </row>
    <row r="20" spans="1:63" ht="9.9499999999999993" customHeight="1">
      <c r="A20" s="1623"/>
      <c r="B20" s="1624"/>
      <c r="C20" s="1624"/>
      <c r="D20" s="1624"/>
      <c r="E20" s="1624"/>
      <c r="F20" s="1624"/>
      <c r="G20" s="1624"/>
      <c r="H20" s="1624"/>
      <c r="I20" s="1624"/>
      <c r="J20" s="1624"/>
      <c r="K20" s="1624"/>
      <c r="L20" s="1624"/>
      <c r="M20" s="1624"/>
      <c r="N20" s="1624"/>
      <c r="O20" s="1624"/>
      <c r="P20" s="1624"/>
      <c r="Q20" s="1624"/>
      <c r="R20" s="1624"/>
      <c r="S20" s="1624"/>
      <c r="T20" s="1624"/>
      <c r="U20" s="1624"/>
      <c r="V20" s="1624"/>
      <c r="W20" s="1624"/>
      <c r="X20" s="1624"/>
      <c r="Y20" s="1624"/>
      <c r="Z20" s="1624"/>
      <c r="AA20" s="1624"/>
      <c r="AB20" s="1624"/>
      <c r="AC20" s="1624"/>
      <c r="AD20" s="1624"/>
      <c r="AE20" s="1624"/>
      <c r="AF20" s="1624"/>
      <c r="AG20" s="1624"/>
      <c r="AH20" s="1624"/>
      <c r="AI20" s="1624"/>
      <c r="AJ20" s="1624"/>
      <c r="AK20" s="1624"/>
      <c r="AL20" s="1624"/>
      <c r="AM20" s="1624"/>
      <c r="AN20" s="1624"/>
      <c r="AO20" s="1624"/>
      <c r="AP20" s="1624"/>
      <c r="AQ20" s="1624"/>
      <c r="AR20" s="1624"/>
      <c r="AS20" s="1624"/>
      <c r="AT20" s="1624"/>
      <c r="AU20" s="1624"/>
      <c r="AV20" s="1624"/>
      <c r="AW20" s="1624"/>
      <c r="AX20" s="1624"/>
      <c r="AY20" s="1624"/>
      <c r="AZ20" s="1624"/>
      <c r="BA20" s="1624"/>
      <c r="BB20" s="1624"/>
      <c r="BC20" s="1624"/>
      <c r="BD20" s="1624"/>
      <c r="BE20" s="1624"/>
      <c r="BF20" s="1624"/>
      <c r="BG20" s="1625"/>
      <c r="BK20" s="77"/>
    </row>
    <row r="21" spans="1:63" ht="30.75" customHeight="1">
      <c r="A21" s="1629" t="s">
        <v>99</v>
      </c>
      <c r="B21" s="1630"/>
      <c r="C21" s="1630"/>
      <c r="D21" s="1630"/>
      <c r="E21" s="1630"/>
      <c r="F21" s="1630"/>
      <c r="G21" s="1630"/>
      <c r="H21" s="1630"/>
      <c r="I21" s="1630"/>
      <c r="J21" s="1630"/>
      <c r="K21" s="1630"/>
      <c r="L21" s="1630"/>
      <c r="M21" s="1630"/>
      <c r="N21" s="1630"/>
      <c r="O21" s="1631" t="s">
        <v>100</v>
      </c>
      <c r="P21" s="1631"/>
      <c r="Q21" s="1631"/>
      <c r="R21" s="1631"/>
      <c r="S21" s="1631"/>
      <c r="T21" s="1631"/>
      <c r="U21" s="1631"/>
      <c r="V21" s="1631"/>
      <c r="W21" s="1631"/>
      <c r="X21" s="1631" t="s">
        <v>101</v>
      </c>
      <c r="Y21" s="1631"/>
      <c r="Z21" s="1631"/>
      <c r="AA21" s="1631"/>
      <c r="AB21" s="1631"/>
      <c r="AC21" s="1631"/>
      <c r="AD21" s="1631"/>
      <c r="AE21" s="1631"/>
      <c r="AF21" s="1631"/>
      <c r="AG21" s="1631"/>
      <c r="AH21" s="1631"/>
      <c r="AI21" s="1631" t="s">
        <v>102</v>
      </c>
      <c r="AJ21" s="1631"/>
      <c r="AK21" s="1631"/>
      <c r="AL21" s="1631"/>
      <c r="AM21" s="1631"/>
      <c r="AN21" s="1631"/>
      <c r="AO21" s="1631"/>
      <c r="AP21" s="1631"/>
      <c r="AQ21" s="1631"/>
      <c r="AR21" s="1631"/>
      <c r="AS21" s="1631"/>
      <c r="AT21" s="1631"/>
      <c r="AU21" s="1631" t="s">
        <v>103</v>
      </c>
      <c r="AV21" s="1631"/>
      <c r="AW21" s="1631"/>
      <c r="AX21" s="1631"/>
      <c r="AY21" s="1631"/>
      <c r="AZ21" s="1631"/>
      <c r="BA21" s="1631"/>
      <c r="BB21" s="1631"/>
      <c r="BC21" s="1631"/>
      <c r="BD21" s="1631"/>
      <c r="BE21" s="1631"/>
      <c r="BF21" s="1631"/>
      <c r="BG21" s="1632"/>
    </row>
    <row r="22" spans="1:63" s="77" customFormat="1" ht="36.75" customHeight="1">
      <c r="A22" s="1626" t="s">
        <v>7</v>
      </c>
      <c r="B22" s="1627"/>
      <c r="C22" s="1627"/>
      <c r="D22" s="1627"/>
      <c r="E22" s="1627"/>
      <c r="F22" s="1627"/>
      <c r="G22" s="1627"/>
      <c r="H22" s="1627"/>
      <c r="I22" s="1627"/>
      <c r="J22" s="1627"/>
      <c r="K22" s="1627"/>
      <c r="L22" s="1627"/>
      <c r="M22" s="1627"/>
      <c r="N22" s="1627"/>
      <c r="O22" s="1089">
        <v>0</v>
      </c>
      <c r="P22" s="1089"/>
      <c r="Q22" s="1089"/>
      <c r="R22" s="1089"/>
      <c r="S22" s="1089"/>
      <c r="T22" s="1089"/>
      <c r="U22" s="1089"/>
      <c r="V22" s="1089"/>
      <c r="W22" s="1089"/>
      <c r="X22" s="1089">
        <v>2</v>
      </c>
      <c r="Y22" s="1089"/>
      <c r="Z22" s="1089"/>
      <c r="AA22" s="1089"/>
      <c r="AB22" s="1089"/>
      <c r="AC22" s="1089"/>
      <c r="AD22" s="1089"/>
      <c r="AE22" s="1089"/>
      <c r="AF22" s="1089"/>
      <c r="AG22" s="1089"/>
      <c r="AH22" s="1089"/>
      <c r="AI22" s="1089">
        <v>3</v>
      </c>
      <c r="AJ22" s="1089"/>
      <c r="AK22" s="1089"/>
      <c r="AL22" s="1089"/>
      <c r="AM22" s="1089"/>
      <c r="AN22" s="1089"/>
      <c r="AO22" s="1089"/>
      <c r="AP22" s="1089"/>
      <c r="AQ22" s="1089"/>
      <c r="AR22" s="1089"/>
      <c r="AS22" s="1089"/>
      <c r="AT22" s="1089"/>
      <c r="AU22" s="1352" t="s">
        <v>733</v>
      </c>
      <c r="AV22" s="1628"/>
      <c r="AW22" s="1628"/>
      <c r="AX22" s="1628"/>
      <c r="AY22" s="1628"/>
      <c r="AZ22" s="1628"/>
      <c r="BA22" s="1628"/>
      <c r="BB22" s="1628"/>
      <c r="BC22" s="1628"/>
      <c r="BD22" s="1628"/>
      <c r="BE22" s="1628"/>
      <c r="BF22" s="1628"/>
      <c r="BG22" s="1353"/>
    </row>
    <row r="23" spans="1:63" s="77" customFormat="1" ht="38.25" customHeight="1">
      <c r="A23" s="1633" t="s">
        <v>202</v>
      </c>
      <c r="B23" s="1634"/>
      <c r="C23" s="1634"/>
      <c r="D23" s="1634"/>
      <c r="E23" s="1634"/>
      <c r="F23" s="1634"/>
      <c r="G23" s="1634"/>
      <c r="H23" s="1634"/>
      <c r="I23" s="1634"/>
      <c r="J23" s="1634"/>
      <c r="K23" s="1634"/>
      <c r="L23" s="1634"/>
      <c r="M23" s="1634"/>
      <c r="N23" s="1634"/>
      <c r="O23" s="1090">
        <v>3</v>
      </c>
      <c r="P23" s="1090"/>
      <c r="Q23" s="1090"/>
      <c r="R23" s="1090"/>
      <c r="S23" s="1090"/>
      <c r="T23" s="1090"/>
      <c r="U23" s="1090"/>
      <c r="V23" s="1090"/>
      <c r="W23" s="1090"/>
      <c r="X23" s="1090">
        <v>1</v>
      </c>
      <c r="Y23" s="1090"/>
      <c r="Z23" s="1090"/>
      <c r="AA23" s="1090"/>
      <c r="AB23" s="1090"/>
      <c r="AC23" s="1090"/>
      <c r="AD23" s="1090"/>
      <c r="AE23" s="1090"/>
      <c r="AF23" s="1090"/>
      <c r="AG23" s="1090"/>
      <c r="AH23" s="1090"/>
      <c r="AI23" s="1090">
        <v>7</v>
      </c>
      <c r="AJ23" s="1090"/>
      <c r="AK23" s="1090"/>
      <c r="AL23" s="1090"/>
      <c r="AM23" s="1090"/>
      <c r="AN23" s="1090"/>
      <c r="AO23" s="1090"/>
      <c r="AP23" s="1090"/>
      <c r="AQ23" s="1090"/>
      <c r="AR23" s="1090"/>
      <c r="AS23" s="1090"/>
      <c r="AT23" s="1090"/>
      <c r="AU23" s="1352" t="s">
        <v>734</v>
      </c>
      <c r="AV23" s="1628"/>
      <c r="AW23" s="1628"/>
      <c r="AX23" s="1628"/>
      <c r="AY23" s="1628"/>
      <c r="AZ23" s="1628"/>
      <c r="BA23" s="1628"/>
      <c r="BB23" s="1628"/>
      <c r="BC23" s="1628"/>
      <c r="BD23" s="1628"/>
      <c r="BE23" s="1628"/>
      <c r="BF23" s="1628"/>
      <c r="BG23" s="1353"/>
    </row>
    <row r="24" spans="1:63" ht="15" customHeight="1">
      <c r="A24" s="1623"/>
      <c r="B24" s="1624"/>
      <c r="C24" s="1624"/>
      <c r="D24" s="1624"/>
      <c r="E24" s="1624"/>
      <c r="F24" s="1624"/>
      <c r="G24" s="1624"/>
      <c r="H24" s="1624"/>
      <c r="I24" s="1624"/>
      <c r="J24" s="1624"/>
      <c r="K24" s="1624"/>
      <c r="L24" s="1624"/>
      <c r="M24" s="1624"/>
      <c r="N24" s="1624"/>
      <c r="O24" s="1624"/>
      <c r="P24" s="1624"/>
      <c r="Q24" s="1624"/>
      <c r="R24" s="1624"/>
      <c r="S24" s="1624"/>
      <c r="T24" s="1624"/>
      <c r="U24" s="1624"/>
      <c r="V24" s="1624"/>
      <c r="W24" s="1624"/>
      <c r="X24" s="1624"/>
      <c r="Y24" s="1624"/>
      <c r="Z24" s="1624"/>
      <c r="AA24" s="1624"/>
      <c r="AB24" s="1624"/>
      <c r="AC24" s="1624"/>
      <c r="AD24" s="1624"/>
      <c r="AE24" s="1624"/>
      <c r="AF24" s="1624"/>
      <c r="AG24" s="1624"/>
      <c r="AH24" s="1624"/>
      <c r="AI24" s="1624"/>
      <c r="AJ24" s="1624"/>
      <c r="AK24" s="1624"/>
      <c r="AL24" s="1624"/>
      <c r="AM24" s="1624"/>
      <c r="AN24" s="1624"/>
      <c r="AO24" s="1624"/>
      <c r="AP24" s="1624"/>
      <c r="AQ24" s="1624"/>
      <c r="AR24" s="1624"/>
      <c r="AS24" s="1624"/>
      <c r="AT24" s="1624"/>
      <c r="AU24" s="1624"/>
      <c r="AV24" s="1624"/>
      <c r="AW24" s="1624"/>
      <c r="AX24" s="1624"/>
      <c r="AY24" s="1624"/>
      <c r="AZ24" s="1624"/>
      <c r="BA24" s="1624"/>
      <c r="BB24" s="1624"/>
      <c r="BC24" s="1624"/>
      <c r="BD24" s="1624"/>
      <c r="BE24" s="1624"/>
      <c r="BF24" s="1624"/>
      <c r="BG24" s="1625"/>
    </row>
    <row r="25" spans="1:63" ht="24.95" customHeight="1">
      <c r="A25" s="1359" t="s">
        <v>283</v>
      </c>
      <c r="B25" s="1360"/>
      <c r="C25" s="1360"/>
      <c r="D25" s="1360"/>
      <c r="E25" s="1360"/>
      <c r="F25" s="1360"/>
      <c r="G25" s="1360"/>
      <c r="H25" s="1360"/>
      <c r="I25" s="1360"/>
      <c r="J25" s="1360"/>
      <c r="K25" s="1360"/>
      <c r="L25" s="1360"/>
      <c r="M25" s="1360"/>
      <c r="N25" s="1360"/>
      <c r="O25" s="1360"/>
      <c r="P25" s="1360"/>
      <c r="Q25" s="1360"/>
      <c r="R25" s="1360"/>
      <c r="S25" s="1360"/>
      <c r="T25" s="1360"/>
      <c r="U25" s="1360"/>
      <c r="V25" s="1360"/>
      <c r="W25" s="1360"/>
      <c r="X25" s="1360"/>
      <c r="Y25" s="1360"/>
      <c r="Z25" s="1360"/>
      <c r="AA25" s="1360"/>
      <c r="AB25" s="1360"/>
      <c r="AC25" s="1360"/>
      <c r="AD25" s="1360"/>
      <c r="AE25" s="1360"/>
      <c r="AF25" s="1360"/>
      <c r="AG25" s="1360"/>
      <c r="AH25" s="1360"/>
      <c r="AI25" s="1360"/>
      <c r="AJ25" s="1360"/>
      <c r="AK25" s="1360"/>
      <c r="AL25" s="1360"/>
      <c r="AM25" s="1360"/>
      <c r="AN25" s="1360"/>
      <c r="AO25" s="1360"/>
      <c r="AP25" s="1360"/>
      <c r="AQ25" s="1360"/>
      <c r="AR25" s="1360"/>
      <c r="AS25" s="1360"/>
      <c r="AT25" s="1360"/>
      <c r="AU25" s="1360"/>
      <c r="AV25" s="1360"/>
      <c r="AW25" s="1360"/>
      <c r="AX25" s="1360"/>
      <c r="AY25" s="1360"/>
      <c r="AZ25" s="1360"/>
      <c r="BA25" s="1360"/>
      <c r="BB25" s="1360"/>
      <c r="BC25" s="1360"/>
      <c r="BD25" s="1360"/>
      <c r="BE25" s="1360"/>
      <c r="BF25" s="1360"/>
      <c r="BG25" s="1361"/>
    </row>
    <row r="26" spans="1:63" ht="9.9499999999999993" customHeight="1">
      <c r="A26" s="1623"/>
      <c r="B26" s="1624"/>
      <c r="C26" s="1624"/>
      <c r="D26" s="1624"/>
      <c r="E26" s="1624"/>
      <c r="F26" s="1624"/>
      <c r="G26" s="1624"/>
      <c r="H26" s="1624"/>
      <c r="I26" s="1624"/>
      <c r="J26" s="1624"/>
      <c r="K26" s="1624"/>
      <c r="L26" s="1624"/>
      <c r="M26" s="1624"/>
      <c r="N26" s="1624"/>
      <c r="O26" s="1624"/>
      <c r="P26" s="1624"/>
      <c r="Q26" s="1624"/>
      <c r="R26" s="1624"/>
      <c r="S26" s="1624"/>
      <c r="T26" s="1624"/>
      <c r="U26" s="1624"/>
      <c r="V26" s="1624"/>
      <c r="W26" s="1624"/>
      <c r="X26" s="1624"/>
      <c r="Y26" s="1624"/>
      <c r="Z26" s="1624"/>
      <c r="AA26" s="1624"/>
      <c r="AB26" s="1624"/>
      <c r="AC26" s="1624"/>
      <c r="AD26" s="1624"/>
      <c r="AE26" s="1624"/>
      <c r="AF26" s="1624"/>
      <c r="AG26" s="1624"/>
      <c r="AH26" s="1624"/>
      <c r="AI26" s="1624"/>
      <c r="AJ26" s="1624"/>
      <c r="AK26" s="1624"/>
      <c r="AL26" s="1624"/>
      <c r="AM26" s="1624"/>
      <c r="AN26" s="1624"/>
      <c r="AO26" s="1624"/>
      <c r="AP26" s="1624"/>
      <c r="AQ26" s="1624"/>
      <c r="AR26" s="1624"/>
      <c r="AS26" s="1624"/>
      <c r="AT26" s="1624"/>
      <c r="AU26" s="1624"/>
      <c r="AV26" s="1624"/>
      <c r="AW26" s="1624"/>
      <c r="AX26" s="1624"/>
      <c r="AY26" s="1624"/>
      <c r="AZ26" s="1624"/>
      <c r="BA26" s="1624"/>
      <c r="BB26" s="1624"/>
      <c r="BC26" s="1624"/>
      <c r="BD26" s="1624"/>
      <c r="BE26" s="1624"/>
      <c r="BF26" s="1624"/>
      <c r="BG26" s="1625"/>
    </row>
    <row r="27" spans="1:63" ht="18" customHeight="1">
      <c r="A27" s="1595"/>
      <c r="B27" s="1596"/>
      <c r="C27" s="1596"/>
      <c r="D27" s="1596"/>
      <c r="E27" s="1596"/>
      <c r="F27" s="1596"/>
      <c r="G27" s="1596"/>
      <c r="H27" s="1596"/>
      <c r="I27" s="1596"/>
      <c r="J27" s="1596"/>
      <c r="K27" s="1596"/>
      <c r="L27" s="1599" t="s">
        <v>329</v>
      </c>
      <c r="M27" s="1600"/>
      <c r="N27" s="1600"/>
      <c r="O27" s="1600"/>
      <c r="P27" s="1600"/>
      <c r="Q27" s="1601"/>
      <c r="R27" s="1591" t="s">
        <v>330</v>
      </c>
      <c r="S27" s="1591"/>
      <c r="T27" s="1591"/>
      <c r="U27" s="1591"/>
      <c r="V27" s="1591"/>
      <c r="W27" s="1591"/>
      <c r="X27" s="1591" t="s">
        <v>284</v>
      </c>
      <c r="Y27" s="1591"/>
      <c r="Z27" s="1591"/>
      <c r="AA27" s="1591"/>
      <c r="AB27" s="1591"/>
      <c r="AC27" s="1591"/>
      <c r="AD27" s="1591" t="s">
        <v>286</v>
      </c>
      <c r="AE27" s="1591"/>
      <c r="AF27" s="1591"/>
      <c r="AG27" s="1591"/>
      <c r="AH27" s="1591"/>
      <c r="AI27" s="1591"/>
      <c r="AJ27" s="1591" t="s">
        <v>287</v>
      </c>
      <c r="AK27" s="1591"/>
      <c r="AL27" s="1591"/>
      <c r="AM27" s="1591"/>
      <c r="AN27" s="1591"/>
      <c r="AO27" s="1591"/>
      <c r="AP27" s="1591" t="s">
        <v>331</v>
      </c>
      <c r="AQ27" s="1591"/>
      <c r="AR27" s="1591"/>
      <c r="AS27" s="1591"/>
      <c r="AT27" s="1591"/>
      <c r="AU27" s="1591"/>
      <c r="AV27" s="1591"/>
      <c r="AW27" s="1591"/>
      <c r="AX27" s="1591"/>
      <c r="AY27" s="1591"/>
      <c r="AZ27" s="1591"/>
      <c r="BA27" s="1591"/>
      <c r="BB27" s="1591"/>
      <c r="BC27" s="1591"/>
      <c r="BD27" s="1591"/>
      <c r="BE27" s="1591"/>
      <c r="BF27" s="1591"/>
      <c r="BG27" s="1593"/>
    </row>
    <row r="28" spans="1:63" ht="18" customHeight="1">
      <c r="A28" s="1597"/>
      <c r="B28" s="1598"/>
      <c r="C28" s="1598"/>
      <c r="D28" s="1598"/>
      <c r="E28" s="1598"/>
      <c r="F28" s="1598"/>
      <c r="G28" s="1598"/>
      <c r="H28" s="1598"/>
      <c r="I28" s="1598"/>
      <c r="J28" s="1598"/>
      <c r="K28" s="1598"/>
      <c r="L28" s="1602"/>
      <c r="M28" s="1603"/>
      <c r="N28" s="1603"/>
      <c r="O28" s="1603"/>
      <c r="P28" s="1603"/>
      <c r="Q28" s="1604"/>
      <c r="R28" s="1592"/>
      <c r="S28" s="1592"/>
      <c r="T28" s="1592"/>
      <c r="U28" s="1592"/>
      <c r="V28" s="1592"/>
      <c r="W28" s="1592"/>
      <c r="X28" s="1592"/>
      <c r="Y28" s="1592"/>
      <c r="Z28" s="1592"/>
      <c r="AA28" s="1592"/>
      <c r="AB28" s="1592"/>
      <c r="AC28" s="1592"/>
      <c r="AD28" s="1592"/>
      <c r="AE28" s="1592"/>
      <c r="AF28" s="1592"/>
      <c r="AG28" s="1592"/>
      <c r="AH28" s="1592"/>
      <c r="AI28" s="1592"/>
      <c r="AJ28" s="1592"/>
      <c r="AK28" s="1592"/>
      <c r="AL28" s="1592"/>
      <c r="AM28" s="1592"/>
      <c r="AN28" s="1592"/>
      <c r="AO28" s="1592"/>
      <c r="AP28" s="1592"/>
      <c r="AQ28" s="1592"/>
      <c r="AR28" s="1592"/>
      <c r="AS28" s="1592"/>
      <c r="AT28" s="1592"/>
      <c r="AU28" s="1592"/>
      <c r="AV28" s="1592"/>
      <c r="AW28" s="1592"/>
      <c r="AX28" s="1592"/>
      <c r="AY28" s="1592"/>
      <c r="AZ28" s="1592"/>
      <c r="BA28" s="1592"/>
      <c r="BB28" s="1592"/>
      <c r="BC28" s="1592"/>
      <c r="BD28" s="1592"/>
      <c r="BE28" s="1592"/>
      <c r="BF28" s="1592"/>
      <c r="BG28" s="1594"/>
    </row>
    <row r="29" spans="1:63" s="77" customFormat="1" ht="24.95" customHeight="1">
      <c r="A29" s="1613" t="s">
        <v>288</v>
      </c>
      <c r="B29" s="1614"/>
      <c r="C29" s="1614"/>
      <c r="D29" s="1614"/>
      <c r="E29" s="1614"/>
      <c r="F29" s="1614"/>
      <c r="G29" s="1614"/>
      <c r="H29" s="1614"/>
      <c r="I29" s="1614"/>
      <c r="J29" s="1614"/>
      <c r="K29" s="1614"/>
      <c r="L29" s="1088">
        <v>0</v>
      </c>
      <c r="M29" s="1088"/>
      <c r="N29" s="1088"/>
      <c r="O29" s="1088"/>
      <c r="P29" s="1088"/>
      <c r="Q29" s="1088"/>
      <c r="R29" s="1088">
        <v>0</v>
      </c>
      <c r="S29" s="1088"/>
      <c r="T29" s="1088"/>
      <c r="U29" s="1088"/>
      <c r="V29" s="1088"/>
      <c r="W29" s="1088"/>
      <c r="X29" s="1088">
        <v>0</v>
      </c>
      <c r="Y29" s="1088"/>
      <c r="Z29" s="1088"/>
      <c r="AA29" s="1088"/>
      <c r="AB29" s="1088"/>
      <c r="AC29" s="1088"/>
      <c r="AD29" s="1088">
        <v>0</v>
      </c>
      <c r="AE29" s="1088"/>
      <c r="AF29" s="1088"/>
      <c r="AG29" s="1088"/>
      <c r="AH29" s="1088"/>
      <c r="AI29" s="1088"/>
      <c r="AJ29" s="1088">
        <v>0</v>
      </c>
      <c r="AK29" s="1088"/>
      <c r="AL29" s="1088"/>
      <c r="AM29" s="1088"/>
      <c r="AN29" s="1088"/>
      <c r="AO29" s="1088"/>
      <c r="AP29" s="1088">
        <v>0</v>
      </c>
      <c r="AQ29" s="1088"/>
      <c r="AR29" s="1088"/>
      <c r="AS29" s="1088"/>
      <c r="AT29" s="1088"/>
      <c r="AU29" s="1088"/>
      <c r="AV29" s="1088"/>
      <c r="AW29" s="1088"/>
      <c r="AX29" s="1088"/>
      <c r="AY29" s="1088"/>
      <c r="AZ29" s="1088"/>
      <c r="BA29" s="1088"/>
      <c r="BB29" s="1611"/>
      <c r="BC29" s="1611"/>
      <c r="BD29" s="1611"/>
      <c r="BE29" s="1611"/>
      <c r="BF29" s="1611"/>
      <c r="BG29" s="1612"/>
      <c r="BI29" s="97"/>
    </row>
    <row r="30" spans="1:63" s="77" customFormat="1" ht="24.95" customHeight="1">
      <c r="A30" s="1615" t="s">
        <v>332</v>
      </c>
      <c r="B30" s="1616"/>
      <c r="C30" s="1616"/>
      <c r="D30" s="1616"/>
      <c r="E30" s="1616"/>
      <c r="F30" s="1616"/>
      <c r="G30" s="1616"/>
      <c r="H30" s="1616"/>
      <c r="I30" s="1616"/>
      <c r="J30" s="1616"/>
      <c r="K30" s="1616"/>
      <c r="L30" s="1089">
        <v>20</v>
      </c>
      <c r="M30" s="1089"/>
      <c r="N30" s="1089"/>
      <c r="O30" s="1089"/>
      <c r="P30" s="1089"/>
      <c r="Q30" s="1089"/>
      <c r="R30" s="1089">
        <v>14</v>
      </c>
      <c r="S30" s="1089"/>
      <c r="T30" s="1089"/>
      <c r="U30" s="1089"/>
      <c r="V30" s="1089"/>
      <c r="W30" s="1089"/>
      <c r="X30" s="1089">
        <v>23</v>
      </c>
      <c r="Y30" s="1089"/>
      <c r="Z30" s="1089"/>
      <c r="AA30" s="1089"/>
      <c r="AB30" s="1089"/>
      <c r="AC30" s="1089"/>
      <c r="AD30" s="1089">
        <v>0</v>
      </c>
      <c r="AE30" s="1089"/>
      <c r="AF30" s="1089"/>
      <c r="AG30" s="1089"/>
      <c r="AH30" s="1089"/>
      <c r="AI30" s="1089"/>
      <c r="AJ30" s="1089">
        <v>0</v>
      </c>
      <c r="AK30" s="1089"/>
      <c r="AL30" s="1089"/>
      <c r="AM30" s="1089"/>
      <c r="AN30" s="1089"/>
      <c r="AO30" s="1089"/>
      <c r="AP30" s="1089">
        <v>8</v>
      </c>
      <c r="AQ30" s="1089"/>
      <c r="AR30" s="1089"/>
      <c r="AS30" s="1089"/>
      <c r="AT30" s="1089"/>
      <c r="AU30" s="1089"/>
      <c r="AV30" s="1089"/>
      <c r="AW30" s="1089"/>
      <c r="AX30" s="1089"/>
      <c r="AY30" s="1089"/>
      <c r="AZ30" s="1089"/>
      <c r="BA30" s="1089"/>
      <c r="BB30" s="1606"/>
      <c r="BC30" s="1606"/>
      <c r="BD30" s="1606"/>
      <c r="BE30" s="1606"/>
      <c r="BF30" s="1606"/>
      <c r="BG30" s="1607"/>
    </row>
    <row r="31" spans="1:63" s="77" customFormat="1" ht="24.95" customHeight="1">
      <c r="A31" s="1617" t="s">
        <v>285</v>
      </c>
      <c r="B31" s="1618"/>
      <c r="C31" s="1618"/>
      <c r="D31" s="1618"/>
      <c r="E31" s="1618"/>
      <c r="F31" s="1618"/>
      <c r="G31" s="1618"/>
      <c r="H31" s="1618"/>
      <c r="I31" s="1618"/>
      <c r="J31" s="1618"/>
      <c r="K31" s="1618"/>
      <c r="L31" s="1090">
        <v>0</v>
      </c>
      <c r="M31" s="1090"/>
      <c r="N31" s="1090"/>
      <c r="O31" s="1090"/>
      <c r="P31" s="1090"/>
      <c r="Q31" s="1090"/>
      <c r="R31" s="1090">
        <v>0</v>
      </c>
      <c r="S31" s="1090"/>
      <c r="T31" s="1090"/>
      <c r="U31" s="1090"/>
      <c r="V31" s="1090"/>
      <c r="W31" s="1090"/>
      <c r="X31" s="1090">
        <v>0</v>
      </c>
      <c r="Y31" s="1090"/>
      <c r="Z31" s="1090"/>
      <c r="AA31" s="1090"/>
      <c r="AB31" s="1090"/>
      <c r="AC31" s="1090"/>
      <c r="AD31" s="1090">
        <v>0</v>
      </c>
      <c r="AE31" s="1090"/>
      <c r="AF31" s="1090"/>
      <c r="AG31" s="1090"/>
      <c r="AH31" s="1090"/>
      <c r="AI31" s="1090"/>
      <c r="AJ31" s="1090">
        <v>0</v>
      </c>
      <c r="AK31" s="1090"/>
      <c r="AL31" s="1090"/>
      <c r="AM31" s="1090"/>
      <c r="AN31" s="1090"/>
      <c r="AO31" s="1090"/>
      <c r="AP31" s="1090">
        <v>0</v>
      </c>
      <c r="AQ31" s="1090"/>
      <c r="AR31" s="1090"/>
      <c r="AS31" s="1090"/>
      <c r="AT31" s="1090"/>
      <c r="AU31" s="1090"/>
      <c r="AV31" s="1090"/>
      <c r="AW31" s="1090"/>
      <c r="AX31" s="1090"/>
      <c r="AY31" s="1090"/>
      <c r="AZ31" s="1090"/>
      <c r="BA31" s="1090"/>
      <c r="BB31" s="1609"/>
      <c r="BC31" s="1609"/>
      <c r="BD31" s="1609"/>
      <c r="BE31" s="1609"/>
      <c r="BF31" s="1609"/>
      <c r="BG31" s="1610"/>
    </row>
    <row r="32" spans="1:63" s="77" customFormat="1" ht="24.95" customHeight="1">
      <c r="A32" s="1619" t="s">
        <v>62</v>
      </c>
      <c r="B32" s="1620"/>
      <c r="C32" s="1620"/>
      <c r="D32" s="1620"/>
      <c r="E32" s="1620"/>
      <c r="F32" s="1620"/>
      <c r="G32" s="1620"/>
      <c r="H32" s="1620"/>
      <c r="I32" s="1620"/>
      <c r="J32" s="1620"/>
      <c r="K32" s="1620"/>
      <c r="L32" s="1621"/>
      <c r="M32" s="1621"/>
      <c r="N32" s="1621"/>
      <c r="O32" s="1621"/>
      <c r="P32" s="1621"/>
      <c r="Q32" s="1621"/>
      <c r="R32" s="1621"/>
      <c r="S32" s="1621"/>
      <c r="T32" s="1621"/>
      <c r="U32" s="1621"/>
      <c r="V32" s="1621"/>
      <c r="W32" s="1621"/>
      <c r="X32" s="1621"/>
      <c r="Y32" s="1621"/>
      <c r="Z32" s="1621"/>
      <c r="AA32" s="1621"/>
      <c r="AB32" s="1621"/>
      <c r="AC32" s="1621"/>
      <c r="AD32" s="1621"/>
      <c r="AE32" s="1621"/>
      <c r="AF32" s="1621"/>
      <c r="AG32" s="1621"/>
      <c r="AH32" s="1621"/>
      <c r="AI32" s="1621"/>
      <c r="AJ32" s="1621"/>
      <c r="AK32" s="1621"/>
      <c r="AL32" s="1621"/>
      <c r="AM32" s="1621"/>
      <c r="AN32" s="1621"/>
      <c r="AO32" s="1621"/>
      <c r="AP32" s="1621"/>
      <c r="AQ32" s="1621"/>
      <c r="AR32" s="1621"/>
      <c r="AS32" s="1621"/>
      <c r="AT32" s="1621"/>
      <c r="AU32" s="1621"/>
      <c r="AV32" s="1621"/>
      <c r="AW32" s="1621"/>
      <c r="AX32" s="1621"/>
      <c r="AY32" s="1621"/>
      <c r="AZ32" s="1621"/>
      <c r="BA32" s="1621"/>
      <c r="BB32" s="1621"/>
      <c r="BC32" s="1621"/>
      <c r="BD32" s="1621"/>
      <c r="BE32" s="1621"/>
      <c r="BF32" s="1621"/>
      <c r="BG32" s="1622"/>
    </row>
    <row r="33" spans="1:59" s="77" customFormat="1" ht="24.95" customHeight="1">
      <c r="A33" s="1605"/>
      <c r="B33" s="1606"/>
      <c r="C33" s="1606"/>
      <c r="D33" s="1606"/>
      <c r="E33" s="1606"/>
      <c r="F33" s="1606"/>
      <c r="G33" s="1606"/>
      <c r="H33" s="1606"/>
      <c r="I33" s="1606"/>
      <c r="J33" s="1606"/>
      <c r="K33" s="1606"/>
      <c r="L33" s="1606"/>
      <c r="M33" s="1606"/>
      <c r="N33" s="1606"/>
      <c r="O33" s="1606"/>
      <c r="P33" s="1606"/>
      <c r="Q33" s="1606"/>
      <c r="R33" s="1606"/>
      <c r="S33" s="1606"/>
      <c r="T33" s="1606"/>
      <c r="U33" s="1606"/>
      <c r="V33" s="1606"/>
      <c r="W33" s="1606"/>
      <c r="X33" s="1606"/>
      <c r="Y33" s="1606"/>
      <c r="Z33" s="1606"/>
      <c r="AA33" s="1606"/>
      <c r="AB33" s="1606"/>
      <c r="AC33" s="1606"/>
      <c r="AD33" s="1606"/>
      <c r="AE33" s="1606"/>
      <c r="AF33" s="1606"/>
      <c r="AG33" s="1606"/>
      <c r="AH33" s="1606"/>
      <c r="AI33" s="1606"/>
      <c r="AJ33" s="1606"/>
      <c r="AK33" s="1606"/>
      <c r="AL33" s="1606"/>
      <c r="AM33" s="1606"/>
      <c r="AN33" s="1606"/>
      <c r="AO33" s="1606"/>
      <c r="AP33" s="1606"/>
      <c r="AQ33" s="1606"/>
      <c r="AR33" s="1606"/>
      <c r="AS33" s="1606"/>
      <c r="AT33" s="1606"/>
      <c r="AU33" s="1606"/>
      <c r="AV33" s="1606"/>
      <c r="AW33" s="1606"/>
      <c r="AX33" s="1606"/>
      <c r="AY33" s="1606"/>
      <c r="AZ33" s="1606"/>
      <c r="BA33" s="1606"/>
      <c r="BB33" s="1606"/>
      <c r="BC33" s="1606"/>
      <c r="BD33" s="1606"/>
      <c r="BE33" s="1606"/>
      <c r="BF33" s="1606"/>
      <c r="BG33" s="1607"/>
    </row>
    <row r="34" spans="1:59" s="77" customFormat="1" ht="24.95" customHeight="1">
      <c r="A34" s="1605"/>
      <c r="B34" s="1606"/>
      <c r="C34" s="1606"/>
      <c r="D34" s="1606"/>
      <c r="E34" s="1606"/>
      <c r="F34" s="1606"/>
      <c r="G34" s="1606"/>
      <c r="H34" s="1606"/>
      <c r="I34" s="1606"/>
      <c r="J34" s="1606"/>
      <c r="K34" s="1606"/>
      <c r="L34" s="1606"/>
      <c r="M34" s="1606"/>
      <c r="N34" s="1606"/>
      <c r="O34" s="1606"/>
      <c r="P34" s="1606"/>
      <c r="Q34" s="1606"/>
      <c r="R34" s="1606"/>
      <c r="S34" s="1606"/>
      <c r="T34" s="1606"/>
      <c r="U34" s="1606"/>
      <c r="V34" s="1606"/>
      <c r="W34" s="1606"/>
      <c r="X34" s="1606"/>
      <c r="Y34" s="1606"/>
      <c r="Z34" s="1606"/>
      <c r="AA34" s="1606"/>
      <c r="AB34" s="1606"/>
      <c r="AC34" s="1606"/>
      <c r="AD34" s="1606"/>
      <c r="AE34" s="1606"/>
      <c r="AF34" s="1606"/>
      <c r="AG34" s="1606"/>
      <c r="AH34" s="1606"/>
      <c r="AI34" s="1606"/>
      <c r="AJ34" s="1606"/>
      <c r="AK34" s="1606"/>
      <c r="AL34" s="1606"/>
      <c r="AM34" s="1606"/>
      <c r="AN34" s="1606"/>
      <c r="AO34" s="1606"/>
      <c r="AP34" s="1606"/>
      <c r="AQ34" s="1606"/>
      <c r="AR34" s="1606"/>
      <c r="AS34" s="1606"/>
      <c r="AT34" s="1606"/>
      <c r="AU34" s="1606"/>
      <c r="AV34" s="1606"/>
      <c r="AW34" s="1606"/>
      <c r="AX34" s="1606"/>
      <c r="AY34" s="1606"/>
      <c r="AZ34" s="1606"/>
      <c r="BA34" s="1606"/>
      <c r="BB34" s="1606"/>
      <c r="BC34" s="1606"/>
      <c r="BD34" s="1606"/>
      <c r="BE34" s="1606"/>
      <c r="BF34" s="1606"/>
      <c r="BG34" s="1607"/>
    </row>
    <row r="35" spans="1:59" s="77" customFormat="1" ht="24.95" customHeight="1">
      <c r="A35" s="1608"/>
      <c r="B35" s="1609"/>
      <c r="C35" s="1609"/>
      <c r="D35" s="1609"/>
      <c r="E35" s="1609"/>
      <c r="F35" s="1609"/>
      <c r="G35" s="1609"/>
      <c r="H35" s="1609"/>
      <c r="I35" s="1609"/>
      <c r="J35" s="1609"/>
      <c r="K35" s="1609"/>
      <c r="L35" s="1609"/>
      <c r="M35" s="1609"/>
      <c r="N35" s="1609"/>
      <c r="O35" s="1609"/>
      <c r="P35" s="1609"/>
      <c r="Q35" s="1609"/>
      <c r="R35" s="1609"/>
      <c r="S35" s="1609"/>
      <c r="T35" s="1609"/>
      <c r="U35" s="1609"/>
      <c r="V35" s="1609"/>
      <c r="W35" s="1609"/>
      <c r="X35" s="1609"/>
      <c r="Y35" s="1609"/>
      <c r="Z35" s="1609"/>
      <c r="AA35" s="1609"/>
      <c r="AB35" s="1609"/>
      <c r="AC35" s="1609"/>
      <c r="AD35" s="1609"/>
      <c r="AE35" s="1609"/>
      <c r="AF35" s="1609"/>
      <c r="AG35" s="1609"/>
      <c r="AH35" s="1609"/>
      <c r="AI35" s="1609"/>
      <c r="AJ35" s="1609"/>
      <c r="AK35" s="1609"/>
      <c r="AL35" s="1609"/>
      <c r="AM35" s="1609"/>
      <c r="AN35" s="1609"/>
      <c r="AO35" s="1609"/>
      <c r="AP35" s="1609"/>
      <c r="AQ35" s="1609"/>
      <c r="AR35" s="1609"/>
      <c r="AS35" s="1609"/>
      <c r="AT35" s="1609"/>
      <c r="AU35" s="1609"/>
      <c r="AV35" s="1609"/>
      <c r="AW35" s="1609"/>
      <c r="AX35" s="1609"/>
      <c r="AY35" s="1609"/>
      <c r="AZ35" s="1609"/>
      <c r="BA35" s="1609"/>
      <c r="BB35" s="1609"/>
      <c r="BC35" s="1609"/>
      <c r="BD35" s="1609"/>
      <c r="BE35" s="1609"/>
      <c r="BF35" s="1609"/>
      <c r="BG35" s="1610"/>
    </row>
  </sheetData>
  <mergeCells count="123">
    <mergeCell ref="X23:AH23"/>
    <mergeCell ref="AI23:AT23"/>
    <mergeCell ref="AU23:BG23"/>
    <mergeCell ref="A18:N18"/>
    <mergeCell ref="O18:W18"/>
    <mergeCell ref="X18:AH18"/>
    <mergeCell ref="AI18:AT18"/>
    <mergeCell ref="AU18:BG18"/>
    <mergeCell ref="A19:N19"/>
    <mergeCell ref="O19:W19"/>
    <mergeCell ref="X19:AH19"/>
    <mergeCell ref="AI19:AT19"/>
    <mergeCell ref="AU19:BG19"/>
    <mergeCell ref="A15:Q15"/>
    <mergeCell ref="R15:AF15"/>
    <mergeCell ref="AG15:AT15"/>
    <mergeCell ref="AU15:BG15"/>
    <mergeCell ref="A17:N17"/>
    <mergeCell ref="O17:W17"/>
    <mergeCell ref="X17:AH17"/>
    <mergeCell ref="AI17:AT17"/>
    <mergeCell ref="AU17:BG17"/>
    <mergeCell ref="AU11:BG11"/>
    <mergeCell ref="A12:Q12"/>
    <mergeCell ref="R12:AF12"/>
    <mergeCell ref="AG12:AT12"/>
    <mergeCell ref="AU12:BG12"/>
    <mergeCell ref="A13:Q13"/>
    <mergeCell ref="R13:AF13"/>
    <mergeCell ref="AG13:AT13"/>
    <mergeCell ref="AU13:BG13"/>
    <mergeCell ref="A10:Q10"/>
    <mergeCell ref="R10:AF10"/>
    <mergeCell ref="AG10:AT10"/>
    <mergeCell ref="A1:F3"/>
    <mergeCell ref="G1:AQ3"/>
    <mergeCell ref="A6:BG6"/>
    <mergeCell ref="A5:BG5"/>
    <mergeCell ref="A16:BG16"/>
    <mergeCell ref="AU10:BG10"/>
    <mergeCell ref="A7:Q7"/>
    <mergeCell ref="R7:AF7"/>
    <mergeCell ref="AG7:AT7"/>
    <mergeCell ref="AU7:BG7"/>
    <mergeCell ref="A8:Q8"/>
    <mergeCell ref="R8:AF8"/>
    <mergeCell ref="AG8:AT8"/>
    <mergeCell ref="AU8:BG8"/>
    <mergeCell ref="A14:Q14"/>
    <mergeCell ref="R14:AF14"/>
    <mergeCell ref="AG14:AT14"/>
    <mergeCell ref="AU14:BG14"/>
    <mergeCell ref="A11:Q11"/>
    <mergeCell ref="R11:AF11"/>
    <mergeCell ref="AG11:AT11"/>
    <mergeCell ref="AW1:BG1"/>
    <mergeCell ref="AW2:BG2"/>
    <mergeCell ref="AW3:BG3"/>
    <mergeCell ref="AR1:AV1"/>
    <mergeCell ref="AR2:AV2"/>
    <mergeCell ref="AR3:AV3"/>
    <mergeCell ref="A9:Q9"/>
    <mergeCell ref="R9:AF9"/>
    <mergeCell ref="AG9:AT9"/>
    <mergeCell ref="AU9:BG9"/>
    <mergeCell ref="A4:BG4"/>
    <mergeCell ref="L31:Q31"/>
    <mergeCell ref="R31:W31"/>
    <mergeCell ref="X31:AC31"/>
    <mergeCell ref="AD31:AI31"/>
    <mergeCell ref="AJ31:AO31"/>
    <mergeCell ref="AP31:AU31"/>
    <mergeCell ref="AV31:BA31"/>
    <mergeCell ref="BB31:BG31"/>
    <mergeCell ref="A20:BG20"/>
    <mergeCell ref="A24:BG24"/>
    <mergeCell ref="A26:BG26"/>
    <mergeCell ref="A22:N22"/>
    <mergeCell ref="O22:W22"/>
    <mergeCell ref="X22:AH22"/>
    <mergeCell ref="AI22:AT22"/>
    <mergeCell ref="AU22:BG22"/>
    <mergeCell ref="A21:N21"/>
    <mergeCell ref="O21:W21"/>
    <mergeCell ref="X21:AH21"/>
    <mergeCell ref="AI21:AT21"/>
    <mergeCell ref="AU21:BG21"/>
    <mergeCell ref="A25:BG25"/>
    <mergeCell ref="A23:N23"/>
    <mergeCell ref="O23:W23"/>
    <mergeCell ref="A33:BG33"/>
    <mergeCell ref="A34:BG34"/>
    <mergeCell ref="A35:BG35"/>
    <mergeCell ref="L29:Q29"/>
    <mergeCell ref="R29:W29"/>
    <mergeCell ref="X29:AC29"/>
    <mergeCell ref="AD29:AI29"/>
    <mergeCell ref="AJ29:AO29"/>
    <mergeCell ref="AP29:AU29"/>
    <mergeCell ref="AV29:BA29"/>
    <mergeCell ref="BB29:BG29"/>
    <mergeCell ref="L30:Q30"/>
    <mergeCell ref="R30:W30"/>
    <mergeCell ref="X30:AC30"/>
    <mergeCell ref="AD30:AI30"/>
    <mergeCell ref="AJ30:AO30"/>
    <mergeCell ref="A29:K29"/>
    <mergeCell ref="A30:K30"/>
    <mergeCell ref="A31:K31"/>
    <mergeCell ref="A32:K32"/>
    <mergeCell ref="L32:BG32"/>
    <mergeCell ref="AP30:AU30"/>
    <mergeCell ref="AV30:BA30"/>
    <mergeCell ref="BB30:BG30"/>
    <mergeCell ref="AP27:AU28"/>
    <mergeCell ref="AV27:BA28"/>
    <mergeCell ref="BB27:BG28"/>
    <mergeCell ref="A27:K28"/>
    <mergeCell ref="L27:Q28"/>
    <mergeCell ref="R27:W28"/>
    <mergeCell ref="X27:AC28"/>
    <mergeCell ref="AD27:AI28"/>
    <mergeCell ref="AJ27:AO28"/>
  </mergeCells>
  <printOptions horizontalCentered="1"/>
  <pageMargins left="0.6" right="0.35" top="0.75" bottom="0.5" header="0.3" footer="0.3"/>
  <pageSetup paperSize="9" scale="90" orientation="portrait" r:id="rId1"/>
  <headerFooter scaleWithDoc="0" alignWithMargins="0">
    <oddFooter>&amp;L          -----------------------
          Project In charge&amp;R --------------------          .       
          Project  Manager        .</oddFooter>
  </headerFooter>
  <drawing r:id="rId2"/>
</worksheet>
</file>

<file path=xl/worksheets/sheet18.xml><?xml version="1.0" encoding="utf-8"?>
<worksheet xmlns="http://schemas.openxmlformats.org/spreadsheetml/2006/main" xmlns:r="http://schemas.openxmlformats.org/officeDocument/2006/relationships">
  <sheetPr>
    <tabColor theme="4" tint="0.39997558519241921"/>
    <pageSetUpPr fitToPage="1"/>
  </sheetPr>
  <dimension ref="A1:O47"/>
  <sheetViews>
    <sheetView view="pageBreakPreview" topLeftCell="A16" zoomScale="90" zoomScaleNormal="100" zoomScaleSheetLayoutView="90" workbookViewId="0">
      <selection activeCell="K34" sqref="K34"/>
    </sheetView>
  </sheetViews>
  <sheetFormatPr defaultRowHeight="15"/>
  <cols>
    <col min="1" max="1" width="19.7109375" customWidth="1"/>
    <col min="2" max="2" width="20" customWidth="1"/>
    <col min="3" max="5" width="31.85546875" customWidth="1"/>
    <col min="6" max="6" width="19.5703125" customWidth="1"/>
    <col min="7" max="7" width="10" customWidth="1"/>
    <col min="8" max="8" width="28.7109375" customWidth="1"/>
    <col min="10" max="10" width="15" bestFit="1" customWidth="1"/>
    <col min="11" max="11" width="15.140625" customWidth="1"/>
    <col min="12" max="12" width="17.85546875" customWidth="1"/>
    <col min="13" max="13" width="3" customWidth="1"/>
    <col min="14" max="14" width="15" bestFit="1" customWidth="1"/>
    <col min="15" max="15" width="18.140625" customWidth="1"/>
  </cols>
  <sheetData>
    <row r="1" spans="1:15" ht="15" customHeight="1">
      <c r="A1" s="1707"/>
      <c r="B1" s="1096" t="s">
        <v>513</v>
      </c>
      <c r="C1" s="1142"/>
      <c r="D1" s="1097"/>
      <c r="E1" s="1097"/>
      <c r="F1" s="1097"/>
      <c r="G1" s="284" t="s">
        <v>257</v>
      </c>
      <c r="H1" s="282" t="s">
        <v>413</v>
      </c>
    </row>
    <row r="2" spans="1:15" ht="15" customHeight="1">
      <c r="A2" s="1379"/>
      <c r="B2" s="1099"/>
      <c r="C2" s="1100"/>
      <c r="D2" s="1100"/>
      <c r="E2" s="1100"/>
      <c r="F2" s="1100"/>
      <c r="G2" s="284" t="s">
        <v>235</v>
      </c>
      <c r="H2" s="282">
        <v>0</v>
      </c>
    </row>
    <row r="3" spans="1:15" ht="15" customHeight="1">
      <c r="A3" s="1380"/>
      <c r="B3" s="1102"/>
      <c r="C3" s="1103"/>
      <c r="D3" s="1103"/>
      <c r="E3" s="1103"/>
      <c r="F3" s="1103"/>
      <c r="G3" s="285" t="s">
        <v>236</v>
      </c>
      <c r="H3" s="283">
        <f>+'Cover '!T11</f>
        <v>42460</v>
      </c>
    </row>
    <row r="4" spans="1:15">
      <c r="A4" s="1383"/>
      <c r="B4" s="1384"/>
      <c r="C4" s="1384"/>
      <c r="D4" s="1384"/>
      <c r="E4" s="1384"/>
      <c r="F4" s="1384"/>
      <c r="G4" s="1384"/>
      <c r="H4" s="1708"/>
    </row>
    <row r="5" spans="1:15" ht="24.95" customHeight="1">
      <c r="A5" s="1709" t="s">
        <v>313</v>
      </c>
      <c r="B5" s="1710"/>
      <c r="C5" s="1710"/>
      <c r="D5" s="1710"/>
      <c r="E5" s="1710"/>
      <c r="F5" s="1710"/>
      <c r="G5" s="1710"/>
      <c r="H5" s="1711"/>
    </row>
    <row r="6" spans="1:15" ht="9.9499999999999993" customHeight="1" thickBot="1">
      <c r="A6" s="1389"/>
      <c r="B6" s="1390"/>
      <c r="C6" s="1390"/>
      <c r="D6" s="1390"/>
      <c r="E6" s="1390"/>
      <c r="F6" s="1390"/>
      <c r="G6" s="1390"/>
      <c r="H6" s="1712"/>
    </row>
    <row r="7" spans="1:15" ht="35.1" customHeight="1" thickTop="1">
      <c r="A7" s="1719" t="s">
        <v>126</v>
      </c>
      <c r="B7" s="1720"/>
      <c r="C7" s="221" t="s">
        <v>154</v>
      </c>
      <c r="D7" s="221" t="s">
        <v>155</v>
      </c>
      <c r="E7" s="222" t="s">
        <v>289</v>
      </c>
      <c r="F7" s="1721" t="s">
        <v>290</v>
      </c>
      <c r="G7" s="1722"/>
      <c r="H7" s="223" t="s">
        <v>359</v>
      </c>
    </row>
    <row r="8" spans="1:15" s="77" customFormat="1" ht="24.95" customHeight="1">
      <c r="A8" s="1723" t="s">
        <v>113</v>
      </c>
      <c r="B8" s="91" t="s">
        <v>46</v>
      </c>
      <c r="C8" s="121">
        <f>7312048+(395000*0.3)</f>
        <v>7430548</v>
      </c>
      <c r="D8" s="121">
        <v>8321542.5870000003</v>
      </c>
      <c r="E8" s="121">
        <v>30000</v>
      </c>
      <c r="F8" s="1726">
        <f>D8+E8</f>
        <v>8351542.5870000003</v>
      </c>
      <c r="G8" s="1727"/>
      <c r="H8" s="224"/>
      <c r="J8" s="297">
        <f>L8+N8</f>
        <v>8321542.5870000003</v>
      </c>
      <c r="K8" s="562"/>
      <c r="L8" s="633">
        <f>$N$15*0.3</f>
        <v>415170.837</v>
      </c>
      <c r="N8" s="281">
        <v>7906371.75</v>
      </c>
      <c r="O8" s="281"/>
    </row>
    <row r="9" spans="1:15" s="77" customFormat="1" ht="18.75" customHeight="1">
      <c r="A9" s="1724"/>
      <c r="B9" s="92" t="s">
        <v>208</v>
      </c>
      <c r="C9" s="1734">
        <f>3320091+(395000*0.1)</f>
        <v>3359591</v>
      </c>
      <c r="D9" s="1734">
        <v>3259443.5290000001</v>
      </c>
      <c r="E9" s="1734">
        <v>30000</v>
      </c>
      <c r="F9" s="1735">
        <f>D9+E9</f>
        <v>3289443.5290000001</v>
      </c>
      <c r="G9" s="1736"/>
      <c r="H9" s="1672"/>
      <c r="J9" s="1670">
        <f>L9+O9</f>
        <v>3259443.5290000001</v>
      </c>
      <c r="K9" s="562"/>
      <c r="L9" s="633">
        <f>$N$15*0.1</f>
        <v>138390.27900000001</v>
      </c>
      <c r="N9" s="634">
        <v>666791.84</v>
      </c>
      <c r="O9" s="1671">
        <f>N9+N10</f>
        <v>3121053.25</v>
      </c>
    </row>
    <row r="10" spans="1:15" s="77" customFormat="1" ht="15.75" customHeight="1">
      <c r="A10" s="1724"/>
      <c r="B10" s="92" t="s">
        <v>207</v>
      </c>
      <c r="C10" s="1676"/>
      <c r="D10" s="1676"/>
      <c r="E10" s="1676"/>
      <c r="F10" s="1737"/>
      <c r="G10" s="1738"/>
      <c r="H10" s="1673"/>
      <c r="J10" s="1670"/>
      <c r="K10" s="562"/>
      <c r="L10" s="633"/>
      <c r="N10" s="634">
        <v>2454261.41</v>
      </c>
      <c r="O10" s="1671"/>
    </row>
    <row r="11" spans="1:15" s="77" customFormat="1" ht="24.95" customHeight="1">
      <c r="A11" s="1724"/>
      <c r="B11" s="92" t="s">
        <v>209</v>
      </c>
      <c r="C11" s="122">
        <f>14803630+(395000*0.6)</f>
        <v>15040630</v>
      </c>
      <c r="D11" s="122">
        <v>15086145.884000001</v>
      </c>
      <c r="E11" s="122">
        <v>200000</v>
      </c>
      <c r="F11" s="1728">
        <f>D11+E11</f>
        <v>15286145.884000001</v>
      </c>
      <c r="G11" s="1729"/>
      <c r="H11" s="225"/>
      <c r="J11" s="297">
        <f>L11+N11</f>
        <v>15086145.884000001</v>
      </c>
      <c r="K11" s="562"/>
      <c r="L11" s="633">
        <f>$N$15*0.6</f>
        <v>830341.674</v>
      </c>
      <c r="N11" s="281">
        <v>14255804.210000001</v>
      </c>
      <c r="O11" s="281"/>
    </row>
    <row r="12" spans="1:15" s="77" customFormat="1" ht="22.5" customHeight="1">
      <c r="A12" s="1724"/>
      <c r="B12" s="94" t="s">
        <v>109</v>
      </c>
      <c r="C12" s="128">
        <f>+'7.2-Scope Management'!D58</f>
        <v>1123129.3771944391</v>
      </c>
      <c r="D12" s="128">
        <v>0</v>
      </c>
      <c r="E12" s="128">
        <v>0</v>
      </c>
      <c r="F12" s="1730">
        <f>D12+E12</f>
        <v>0</v>
      </c>
      <c r="G12" s="1731"/>
      <c r="H12" s="233"/>
      <c r="J12" s="281"/>
      <c r="L12" s="633"/>
      <c r="N12" s="281"/>
      <c r="O12" s="281"/>
    </row>
    <row r="13" spans="1:15" s="77" customFormat="1" ht="24.95" customHeight="1" thickBot="1">
      <c r="A13" s="1725"/>
      <c r="B13" s="230" t="s">
        <v>431</v>
      </c>
      <c r="C13" s="231">
        <f>SUM(C8:C12)</f>
        <v>26953898.377194438</v>
      </c>
      <c r="D13" s="231">
        <f>SUM(D8:D12)</f>
        <v>26667132</v>
      </c>
      <c r="E13" s="231">
        <f>SUM(E8:E12)</f>
        <v>260000</v>
      </c>
      <c r="F13" s="1732">
        <f>SUM(F8:G12)</f>
        <v>26927132</v>
      </c>
      <c r="G13" s="1733"/>
      <c r="H13" s="232">
        <f>C13-F13</f>
        <v>26766.37719443813</v>
      </c>
      <c r="J13" s="297" t="s">
        <v>798</v>
      </c>
      <c r="L13" s="633"/>
      <c r="N13" s="77">
        <v>147900.07</v>
      </c>
    </row>
    <row r="14" spans="1:15" s="77" customFormat="1" ht="24.95" customHeight="1">
      <c r="A14" s="1723" t="s">
        <v>361</v>
      </c>
      <c r="B14" s="91" t="s">
        <v>46</v>
      </c>
      <c r="C14" s="1674">
        <v>6180000</v>
      </c>
      <c r="D14" s="1674">
        <v>14217600.26</v>
      </c>
      <c r="E14" s="1674">
        <v>514800</v>
      </c>
      <c r="F14" s="1678">
        <f>D14+E14</f>
        <v>14732400.26</v>
      </c>
      <c r="G14" s="1679"/>
      <c r="H14" s="224"/>
      <c r="J14" s="1670"/>
      <c r="L14" s="633"/>
      <c r="N14" s="77">
        <v>1236002.72</v>
      </c>
    </row>
    <row r="15" spans="1:15" s="77" customFormat="1" ht="24.95" customHeight="1">
      <c r="A15" s="1724"/>
      <c r="B15" s="92" t="s">
        <v>208</v>
      </c>
      <c r="C15" s="1675"/>
      <c r="D15" s="1675"/>
      <c r="E15" s="1675"/>
      <c r="F15" s="1680"/>
      <c r="G15" s="1681"/>
      <c r="H15" s="225"/>
      <c r="J15" s="1670"/>
      <c r="L15" s="281"/>
      <c r="N15" s="77">
        <f>SUM(N13:N14)</f>
        <v>1383902.79</v>
      </c>
    </row>
    <row r="16" spans="1:15" s="77" customFormat="1" ht="24.95" customHeight="1">
      <c r="A16" s="1724"/>
      <c r="B16" s="92" t="s">
        <v>207</v>
      </c>
      <c r="C16" s="1675"/>
      <c r="D16" s="1675"/>
      <c r="E16" s="1675"/>
      <c r="F16" s="1680"/>
      <c r="G16" s="1681"/>
      <c r="H16" s="225"/>
      <c r="J16" s="1670"/>
      <c r="L16" s="281"/>
      <c r="N16" s="297"/>
      <c r="O16" s="281"/>
    </row>
    <row r="17" spans="1:15" s="77" customFormat="1" ht="20.25" customHeight="1">
      <c r="A17" s="1724"/>
      <c r="B17" s="92" t="s">
        <v>209</v>
      </c>
      <c r="C17" s="1676"/>
      <c r="D17" s="1675"/>
      <c r="E17" s="1675"/>
      <c r="F17" s="1680"/>
      <c r="G17" s="1681"/>
      <c r="H17" s="225"/>
      <c r="J17" s="1670"/>
    </row>
    <row r="18" spans="1:15" s="77" customFormat="1" ht="24.95" customHeight="1">
      <c r="A18" s="1724"/>
      <c r="B18" s="94" t="s">
        <v>109</v>
      </c>
      <c r="C18" s="128">
        <f>+'7.2-Scope Management'!E58</f>
        <v>1306043.6539930743</v>
      </c>
      <c r="D18" s="1677"/>
      <c r="E18" s="1677"/>
      <c r="F18" s="1682"/>
      <c r="G18" s="1683"/>
      <c r="H18" s="233"/>
      <c r="J18" s="1670"/>
    </row>
    <row r="19" spans="1:15" s="77" customFormat="1" ht="24.95" customHeight="1" thickBot="1">
      <c r="A19" s="1725"/>
      <c r="B19" s="218" t="s">
        <v>431</v>
      </c>
      <c r="C19" s="219">
        <f>SUM(C14:C18)</f>
        <v>7486043.6539930739</v>
      </c>
      <c r="D19" s="219">
        <f>SUM(D14:D18)</f>
        <v>14217600.26</v>
      </c>
      <c r="E19" s="219">
        <f>SUM(E14:E18)</f>
        <v>514800</v>
      </c>
      <c r="F19" s="1684">
        <f>SUM(F14:G18)</f>
        <v>14732400.26</v>
      </c>
      <c r="G19" s="1685"/>
      <c r="H19" s="226">
        <f>C19-F19</f>
        <v>-7246356.6060069259</v>
      </c>
      <c r="J19" s="77" t="s">
        <v>799</v>
      </c>
      <c r="K19" s="77">
        <v>3172453.77</v>
      </c>
    </row>
    <row r="20" spans="1:15" s="77" customFormat="1" ht="24.95" customHeight="1" thickBot="1">
      <c r="A20" s="227" t="s">
        <v>432</v>
      </c>
      <c r="B20" s="218"/>
      <c r="C20" s="219">
        <f>4820000+1402000</f>
        <v>6222000</v>
      </c>
      <c r="D20" s="219">
        <v>3721391.2800000003</v>
      </c>
      <c r="E20" s="219">
        <v>150000</v>
      </c>
      <c r="F20" s="1684">
        <f>E20+D20</f>
        <v>3871391.2800000003</v>
      </c>
      <c r="G20" s="1685"/>
      <c r="H20" s="226">
        <f>C20-F20</f>
        <v>2350608.7199999997</v>
      </c>
      <c r="J20" s="297" t="s">
        <v>800</v>
      </c>
      <c r="K20" s="77">
        <v>548937.51</v>
      </c>
      <c r="L20" s="281"/>
      <c r="N20" s="297"/>
      <c r="O20" s="281"/>
    </row>
    <row r="21" spans="1:15" s="77" customFormat="1" ht="24.95" customHeight="1" thickBot="1">
      <c r="A21" s="227" t="s">
        <v>360</v>
      </c>
      <c r="B21" s="218"/>
      <c r="C21" s="219">
        <f>+'7.2-Scope Management'!F58</f>
        <v>222829.59162614419</v>
      </c>
      <c r="D21" s="219">
        <v>0</v>
      </c>
      <c r="E21" s="219">
        <v>0</v>
      </c>
      <c r="F21" s="1684">
        <f>E21+D21</f>
        <v>0</v>
      </c>
      <c r="G21" s="1685"/>
      <c r="H21" s="226">
        <f>C21-F21</f>
        <v>222829.59162614419</v>
      </c>
      <c r="K21" s="77">
        <f>SUM(K19:K20)</f>
        <v>3721391.2800000003</v>
      </c>
    </row>
    <row r="22" spans="1:15" s="77" customFormat="1" ht="24.95" customHeight="1">
      <c r="A22" s="1694" t="s">
        <v>265</v>
      </c>
      <c r="B22" s="220"/>
      <c r="C22" s="1674">
        <v>2434887.2799999998</v>
      </c>
      <c r="D22" s="1674">
        <v>3315978.16</v>
      </c>
      <c r="E22" s="1674">
        <v>150000</v>
      </c>
      <c r="F22" s="1678">
        <f>D22+E22</f>
        <v>3465978.16</v>
      </c>
      <c r="G22" s="1679"/>
      <c r="H22" s="228"/>
      <c r="J22" s="1670"/>
    </row>
    <row r="23" spans="1:15" s="77" customFormat="1" ht="24.95" customHeight="1">
      <c r="A23" s="1695"/>
      <c r="B23" s="92"/>
      <c r="C23" s="1675"/>
      <c r="D23" s="1675"/>
      <c r="E23" s="1675"/>
      <c r="F23" s="1680"/>
      <c r="G23" s="1681"/>
      <c r="H23" s="225"/>
      <c r="J23" s="1670"/>
      <c r="L23" s="281"/>
      <c r="N23" s="297"/>
      <c r="O23" s="281"/>
    </row>
    <row r="24" spans="1:15" s="77" customFormat="1" ht="24.95" customHeight="1">
      <c r="A24" s="1695"/>
      <c r="B24" s="94"/>
      <c r="C24" s="1677"/>
      <c r="D24" s="1677"/>
      <c r="E24" s="1677"/>
      <c r="F24" s="1682"/>
      <c r="G24" s="1683"/>
      <c r="H24" s="233"/>
      <c r="J24" s="1670"/>
    </row>
    <row r="25" spans="1:15" s="77" customFormat="1" ht="24.95" customHeight="1" thickBot="1">
      <c r="A25" s="1696"/>
      <c r="B25" s="218" t="s">
        <v>431</v>
      </c>
      <c r="C25" s="219">
        <f>SUM(C22:C24)</f>
        <v>2434887.2799999998</v>
      </c>
      <c r="D25" s="219">
        <f>SUM(D22:D24)</f>
        <v>3315978.16</v>
      </c>
      <c r="E25" s="219">
        <f>SUM(E22:E24)</f>
        <v>150000</v>
      </c>
      <c r="F25" s="1684">
        <f>SUM(F22:F24)</f>
        <v>3465978.16</v>
      </c>
      <c r="G25" s="1685"/>
      <c r="H25" s="226">
        <f>C25-F25</f>
        <v>-1031090.8800000004</v>
      </c>
      <c r="J25" s="77" t="s">
        <v>801</v>
      </c>
    </row>
    <row r="26" spans="1:15" s="77" customFormat="1" ht="24.95" customHeight="1">
      <c r="A26" s="1688" t="s">
        <v>561</v>
      </c>
      <c r="B26" s="345" t="s">
        <v>372</v>
      </c>
      <c r="C26" s="324">
        <v>0</v>
      </c>
      <c r="D26" s="324">
        <v>0</v>
      </c>
      <c r="E26" s="343">
        <v>1000000</v>
      </c>
      <c r="F26" s="1693">
        <f>D26+E26</f>
        <v>1000000</v>
      </c>
      <c r="G26" s="1693"/>
      <c r="H26" s="325"/>
    </row>
    <row r="27" spans="1:15" s="77" customFormat="1" ht="24.95" customHeight="1">
      <c r="A27" s="1689"/>
      <c r="B27" s="346" t="s">
        <v>280</v>
      </c>
      <c r="C27" s="326">
        <v>0</v>
      </c>
      <c r="D27" s="326">
        <v>0</v>
      </c>
      <c r="E27" s="344">
        <v>0</v>
      </c>
      <c r="F27" s="1692">
        <f>D27+E27</f>
        <v>0</v>
      </c>
      <c r="G27" s="1692"/>
      <c r="H27" s="327"/>
    </row>
    <row r="28" spans="1:15" s="77" customFormat="1" ht="24.95" customHeight="1" thickBot="1">
      <c r="A28" s="1690"/>
      <c r="B28" s="328" t="s">
        <v>431</v>
      </c>
      <c r="C28" s="329">
        <f>SUM(C26:C27)</f>
        <v>0</v>
      </c>
      <c r="D28" s="329">
        <f>SUM(D26:D27)</f>
        <v>0</v>
      </c>
      <c r="E28" s="329">
        <f>SUM(E26:E27)</f>
        <v>1000000</v>
      </c>
      <c r="F28" s="1691">
        <f>SUM(F26:F27)</f>
        <v>1000000</v>
      </c>
      <c r="G28" s="1691"/>
      <c r="H28" s="330">
        <f>C28-F28</f>
        <v>-1000000</v>
      </c>
    </row>
    <row r="29" spans="1:15" s="77" customFormat="1" ht="30" customHeight="1" thickBot="1">
      <c r="A29" s="1697" t="s">
        <v>266</v>
      </c>
      <c r="B29" s="1698"/>
      <c r="C29" s="229">
        <f>C25+C21+C20+C19+C13+C28</f>
        <v>43319658.902813658</v>
      </c>
      <c r="D29" s="229">
        <f>D25+D21+D20+D19+D13+D28</f>
        <v>47922101.700000003</v>
      </c>
      <c r="E29" s="229">
        <f>E25+E21+E20+E19+E13+E28</f>
        <v>2074800</v>
      </c>
      <c r="F29" s="1699">
        <f>F25+F21+F20+F19+F13+F28</f>
        <v>49996901.700000003</v>
      </c>
      <c r="G29" s="1700"/>
      <c r="H29" s="323">
        <f>C29-F29</f>
        <v>-6677242.7971863449</v>
      </c>
    </row>
    <row r="30" spans="1:15" ht="16.5" thickTop="1" thickBot="1">
      <c r="J30" s="296">
        <f>180*26*10*11</f>
        <v>514800</v>
      </c>
      <c r="K30" s="296"/>
    </row>
    <row r="31" spans="1:15" s="1" customFormat="1" ht="15.75" thickTop="1">
      <c r="A31" s="288"/>
      <c r="B31" s="1701" t="s">
        <v>527</v>
      </c>
      <c r="C31" s="1703" t="s">
        <v>528</v>
      </c>
      <c r="D31" s="1703"/>
      <c r="E31" s="1703" t="s">
        <v>529</v>
      </c>
      <c r="F31" s="1703"/>
      <c r="G31" s="1704"/>
      <c r="H31" s="335"/>
    </row>
    <row r="32" spans="1:15" s="1" customFormat="1" ht="19.5" customHeight="1">
      <c r="A32" s="288"/>
      <c r="B32" s="1702"/>
      <c r="C32" s="332" t="s">
        <v>530</v>
      </c>
      <c r="D32" s="332" t="s">
        <v>531</v>
      </c>
      <c r="E32" s="332" t="s">
        <v>530</v>
      </c>
      <c r="F32" s="1705" t="s">
        <v>531</v>
      </c>
      <c r="G32" s="1706"/>
      <c r="H32" s="286"/>
      <c r="K32" s="361"/>
    </row>
    <row r="33" spans="1:11" s="1" customFormat="1" ht="31.5" customHeight="1" thickBot="1">
      <c r="A33" s="287"/>
      <c r="B33" s="333">
        <f>+'7-Project Scope +Revenue Detail'!A15</f>
        <v>52051338.962600008</v>
      </c>
      <c r="C33" s="331">
        <f>D33/B33</f>
        <v>0.16775130541906419</v>
      </c>
      <c r="D33" s="334">
        <f>B33-C29</f>
        <v>8731680.0597863495</v>
      </c>
      <c r="E33" s="331">
        <f>F33/B33</f>
        <v>3.9469441200660781E-2</v>
      </c>
      <c r="F33" s="1686">
        <f>B33-F29</f>
        <v>2054437.2626000047</v>
      </c>
      <c r="G33" s="1687"/>
      <c r="H33" s="335"/>
    </row>
    <row r="34" spans="1:11" ht="15.75" thickTop="1">
      <c r="K34" s="339"/>
    </row>
    <row r="35" spans="1:11">
      <c r="A35" s="336" t="s">
        <v>562</v>
      </c>
    </row>
    <row r="36" spans="1:11">
      <c r="A36" s="338" t="s">
        <v>563</v>
      </c>
      <c r="B36" s="1716" t="s">
        <v>802</v>
      </c>
      <c r="C36" s="1717"/>
      <c r="D36" s="1718"/>
      <c r="E36" s="341">
        <v>26163189.280000001</v>
      </c>
    </row>
    <row r="37" spans="1:11">
      <c r="A37" s="337"/>
      <c r="B37" s="1716" t="s">
        <v>803</v>
      </c>
      <c r="C37" s="1717"/>
      <c r="D37" s="1718"/>
      <c r="E37" s="342">
        <f>D13</f>
        <v>26667132</v>
      </c>
    </row>
    <row r="38" spans="1:11">
      <c r="B38" s="1713" t="s">
        <v>565</v>
      </c>
      <c r="C38" s="1714"/>
      <c r="D38" s="1715"/>
      <c r="E38" s="342">
        <f>E36-E37</f>
        <v>-503942.71999999881</v>
      </c>
    </row>
    <row r="40" spans="1:11" hidden="1">
      <c r="A40" s="338" t="s">
        <v>564</v>
      </c>
      <c r="B40" t="s">
        <v>566</v>
      </c>
      <c r="C40" s="276"/>
      <c r="D40" s="340"/>
      <c r="E40" s="340">
        <v>3502161.91</v>
      </c>
    </row>
    <row r="41" spans="1:11" hidden="1">
      <c r="B41" t="s">
        <v>567</v>
      </c>
      <c r="C41" s="276"/>
      <c r="D41" s="339"/>
      <c r="E41" s="340">
        <f>F25-2884242.11</f>
        <v>581736.05000000028</v>
      </c>
    </row>
    <row r="42" spans="1:11">
      <c r="C42" s="276"/>
      <c r="D42" s="339"/>
    </row>
    <row r="43" spans="1:11">
      <c r="C43" s="276"/>
    </row>
    <row r="44" spans="1:11">
      <c r="C44" s="276"/>
    </row>
    <row r="45" spans="1:11">
      <c r="C45" s="276"/>
    </row>
    <row r="46" spans="1:11">
      <c r="C46" s="276"/>
    </row>
    <row r="47" spans="1:11">
      <c r="C47" s="276"/>
    </row>
  </sheetData>
  <mergeCells count="49">
    <mergeCell ref="B38:D38"/>
    <mergeCell ref="B36:D36"/>
    <mergeCell ref="B37:D37"/>
    <mergeCell ref="A7:B7"/>
    <mergeCell ref="F7:G7"/>
    <mergeCell ref="A14:A19"/>
    <mergeCell ref="F19:G19"/>
    <mergeCell ref="A8:A13"/>
    <mergeCell ref="F8:G8"/>
    <mergeCell ref="F11:G11"/>
    <mergeCell ref="F12:G12"/>
    <mergeCell ref="F13:G13"/>
    <mergeCell ref="C9:C10"/>
    <mergeCell ref="D9:D10"/>
    <mergeCell ref="E9:E10"/>
    <mergeCell ref="F9:G10"/>
    <mergeCell ref="A1:A3"/>
    <mergeCell ref="B1:F3"/>
    <mergeCell ref="A4:H4"/>
    <mergeCell ref="A5:H5"/>
    <mergeCell ref="A6:H6"/>
    <mergeCell ref="A22:A25"/>
    <mergeCell ref="F25:G25"/>
    <mergeCell ref="A29:B29"/>
    <mergeCell ref="F29:G29"/>
    <mergeCell ref="B31:B32"/>
    <mergeCell ref="C31:D31"/>
    <mergeCell ref="E31:G31"/>
    <mergeCell ref="F32:G32"/>
    <mergeCell ref="F33:G33"/>
    <mergeCell ref="A26:A28"/>
    <mergeCell ref="F28:G28"/>
    <mergeCell ref="F27:G27"/>
    <mergeCell ref="F26:G26"/>
    <mergeCell ref="C14:C17"/>
    <mergeCell ref="C22:C24"/>
    <mergeCell ref="D22:D24"/>
    <mergeCell ref="E22:E24"/>
    <mergeCell ref="F22:G24"/>
    <mergeCell ref="F20:G20"/>
    <mergeCell ref="F21:G21"/>
    <mergeCell ref="D14:D18"/>
    <mergeCell ref="E14:E18"/>
    <mergeCell ref="F14:G18"/>
    <mergeCell ref="J9:J10"/>
    <mergeCell ref="J14:J18"/>
    <mergeCell ref="J22:J24"/>
    <mergeCell ref="O9:O10"/>
    <mergeCell ref="H9:H10"/>
  </mergeCells>
  <conditionalFormatting sqref="E33">
    <cfRule type="cellIs" dxfId="2" priority="7" operator="lessThanOrEqual">
      <formula>0</formula>
    </cfRule>
    <cfRule type="cellIs" dxfId="1" priority="8" operator="lessThan">
      <formula>$C$33</formula>
    </cfRule>
    <cfRule type="cellIs" dxfId="0" priority="9" operator="greaterThanOrEqual">
      <formula>$C$33</formula>
    </cfRule>
  </conditionalFormatting>
  <printOptions horizontalCentered="1"/>
  <pageMargins left="0.7" right="0.7" top="0.75" bottom="0.75" header="0.3" footer="0.3"/>
  <pageSetup paperSize="9" scale="61" orientation="landscape" r:id="rId1"/>
  <drawing r:id="rId2"/>
</worksheet>
</file>

<file path=xl/worksheets/sheet19.xml><?xml version="1.0" encoding="utf-8"?>
<worksheet xmlns="http://schemas.openxmlformats.org/spreadsheetml/2006/main" xmlns:r="http://schemas.openxmlformats.org/officeDocument/2006/relationships">
  <sheetPr>
    <tabColor theme="4" tint="0.39997558519241921"/>
    <pageSetUpPr fitToPage="1"/>
  </sheetPr>
  <dimension ref="A1:BX38"/>
  <sheetViews>
    <sheetView view="pageBreakPreview" topLeftCell="A4" zoomScaleNormal="100" zoomScaleSheetLayoutView="100" workbookViewId="0">
      <selection activeCell="X17" sqref="X17:AC17"/>
    </sheetView>
  </sheetViews>
  <sheetFormatPr defaultRowHeight="15"/>
  <cols>
    <col min="1" max="70" width="1.7109375" customWidth="1"/>
    <col min="71" max="71" width="2.140625" customWidth="1"/>
    <col min="72" max="72" width="1.7109375" customWidth="1"/>
  </cols>
  <sheetData>
    <row r="1" spans="1:76" ht="20.100000000000001" customHeight="1">
      <c r="A1" s="1132"/>
      <c r="B1" s="1132"/>
      <c r="C1" s="1132"/>
      <c r="D1" s="1132"/>
      <c r="E1" s="1132"/>
      <c r="F1" s="1132"/>
      <c r="G1" s="1645" t="s">
        <v>514</v>
      </c>
      <c r="H1" s="1757"/>
      <c r="I1" s="1757"/>
      <c r="J1" s="1757"/>
      <c r="K1" s="1757"/>
      <c r="L1" s="1757"/>
      <c r="M1" s="1757"/>
      <c r="N1" s="1757"/>
      <c r="O1" s="1757"/>
      <c r="P1" s="1757"/>
      <c r="Q1" s="1757"/>
      <c r="R1" s="1757"/>
      <c r="S1" s="1757"/>
      <c r="T1" s="1757"/>
      <c r="U1" s="1757"/>
      <c r="V1" s="1757"/>
      <c r="W1" s="1757"/>
      <c r="X1" s="1757"/>
      <c r="Y1" s="1757"/>
      <c r="Z1" s="1757"/>
      <c r="AA1" s="1757"/>
      <c r="AB1" s="1757"/>
      <c r="AC1" s="1757"/>
      <c r="AD1" s="1757"/>
      <c r="AE1" s="1757"/>
      <c r="AF1" s="1757"/>
      <c r="AG1" s="1757"/>
      <c r="AH1" s="1757"/>
      <c r="AI1" s="1757"/>
      <c r="AJ1" s="1757"/>
      <c r="AK1" s="1757"/>
      <c r="AL1" s="1757"/>
      <c r="AM1" s="1757"/>
      <c r="AN1" s="1757"/>
      <c r="AO1" s="1757"/>
      <c r="AP1" s="1757"/>
      <c r="AQ1" s="1757"/>
      <c r="AR1" s="1757"/>
      <c r="AS1" s="1757"/>
      <c r="AT1" s="1757"/>
      <c r="AU1" s="1757"/>
      <c r="AV1" s="1757"/>
      <c r="AW1" s="1757"/>
      <c r="AX1" s="1757"/>
      <c r="AY1" s="1757"/>
      <c r="AZ1" s="1757"/>
      <c r="BA1" s="1757"/>
      <c r="BB1" s="1757"/>
      <c r="BC1" s="1647"/>
      <c r="BD1" s="1758" t="s">
        <v>237</v>
      </c>
      <c r="BE1" s="1758"/>
      <c r="BF1" s="1758"/>
      <c r="BG1" s="1758"/>
      <c r="BH1" s="1758"/>
      <c r="BI1" s="1759" t="s">
        <v>414</v>
      </c>
      <c r="BJ1" s="1759"/>
      <c r="BK1" s="1759"/>
      <c r="BL1" s="1759"/>
      <c r="BM1" s="1759"/>
      <c r="BN1" s="1759"/>
      <c r="BO1" s="1759"/>
      <c r="BP1" s="1759"/>
      <c r="BQ1" s="1759"/>
      <c r="BR1" s="1759"/>
      <c r="BS1" s="1759"/>
    </row>
    <row r="2" spans="1:76" ht="20.100000000000001" customHeight="1">
      <c r="A2" s="1058"/>
      <c r="B2" s="1058"/>
      <c r="C2" s="1058"/>
      <c r="D2" s="1058"/>
      <c r="E2" s="1058"/>
      <c r="F2" s="1058"/>
      <c r="G2" s="1648"/>
      <c r="H2" s="1649"/>
      <c r="I2" s="1649"/>
      <c r="J2" s="1649"/>
      <c r="K2" s="1649"/>
      <c r="L2" s="1649"/>
      <c r="M2" s="1649"/>
      <c r="N2" s="1649"/>
      <c r="O2" s="1649"/>
      <c r="P2" s="1649"/>
      <c r="Q2" s="1649"/>
      <c r="R2" s="1649"/>
      <c r="S2" s="1649"/>
      <c r="T2" s="1649"/>
      <c r="U2" s="1649"/>
      <c r="V2" s="1649"/>
      <c r="W2" s="1649"/>
      <c r="X2" s="1649"/>
      <c r="Y2" s="1649"/>
      <c r="Z2" s="1649"/>
      <c r="AA2" s="1649"/>
      <c r="AB2" s="1649"/>
      <c r="AC2" s="1649"/>
      <c r="AD2" s="1649"/>
      <c r="AE2" s="1649"/>
      <c r="AF2" s="1649"/>
      <c r="AG2" s="1649"/>
      <c r="AH2" s="1649"/>
      <c r="AI2" s="1649"/>
      <c r="AJ2" s="1649"/>
      <c r="AK2" s="1649"/>
      <c r="AL2" s="1649"/>
      <c r="AM2" s="1649"/>
      <c r="AN2" s="1649"/>
      <c r="AO2" s="1649"/>
      <c r="AP2" s="1649"/>
      <c r="AQ2" s="1649"/>
      <c r="AR2" s="1649"/>
      <c r="AS2" s="1649"/>
      <c r="AT2" s="1649"/>
      <c r="AU2" s="1649"/>
      <c r="AV2" s="1649"/>
      <c r="AW2" s="1649"/>
      <c r="AX2" s="1649"/>
      <c r="AY2" s="1649"/>
      <c r="AZ2" s="1649"/>
      <c r="BA2" s="1649"/>
      <c r="BB2" s="1649"/>
      <c r="BC2" s="1650"/>
      <c r="BD2" s="1758" t="s">
        <v>235</v>
      </c>
      <c r="BE2" s="1758"/>
      <c r="BF2" s="1758">
        <v>0</v>
      </c>
      <c r="BG2" s="1758"/>
      <c r="BH2" s="1758"/>
      <c r="BI2" s="1759">
        <v>0</v>
      </c>
      <c r="BJ2" s="1759"/>
      <c r="BK2" s="1759"/>
      <c r="BL2" s="1759"/>
      <c r="BM2" s="1759"/>
      <c r="BN2" s="1759"/>
      <c r="BO2" s="1759"/>
      <c r="BP2" s="1759"/>
      <c r="BQ2" s="1759"/>
      <c r="BR2" s="1759"/>
      <c r="BS2" s="1759"/>
    </row>
    <row r="3" spans="1:76" ht="20.100000000000001" customHeight="1">
      <c r="A3" s="1059"/>
      <c r="B3" s="1059"/>
      <c r="C3" s="1059"/>
      <c r="D3" s="1059"/>
      <c r="E3" s="1059"/>
      <c r="F3" s="1059"/>
      <c r="G3" s="1651"/>
      <c r="H3" s="1652"/>
      <c r="I3" s="1652"/>
      <c r="J3" s="1652"/>
      <c r="K3" s="1652"/>
      <c r="L3" s="1652"/>
      <c r="M3" s="1652"/>
      <c r="N3" s="1652"/>
      <c r="O3" s="1652"/>
      <c r="P3" s="1652"/>
      <c r="Q3" s="1652"/>
      <c r="R3" s="1652"/>
      <c r="S3" s="1652"/>
      <c r="T3" s="1652"/>
      <c r="U3" s="1652"/>
      <c r="V3" s="1652"/>
      <c r="W3" s="1652"/>
      <c r="X3" s="1652"/>
      <c r="Y3" s="1652"/>
      <c r="Z3" s="1652"/>
      <c r="AA3" s="1652"/>
      <c r="AB3" s="1652"/>
      <c r="AC3" s="1652"/>
      <c r="AD3" s="1652"/>
      <c r="AE3" s="1652"/>
      <c r="AF3" s="1652"/>
      <c r="AG3" s="1652"/>
      <c r="AH3" s="1652"/>
      <c r="AI3" s="1652"/>
      <c r="AJ3" s="1652"/>
      <c r="AK3" s="1652"/>
      <c r="AL3" s="1652"/>
      <c r="AM3" s="1652"/>
      <c r="AN3" s="1652"/>
      <c r="AO3" s="1652"/>
      <c r="AP3" s="1652"/>
      <c r="AQ3" s="1652"/>
      <c r="AR3" s="1652"/>
      <c r="AS3" s="1652"/>
      <c r="AT3" s="1652"/>
      <c r="AU3" s="1652"/>
      <c r="AV3" s="1652"/>
      <c r="AW3" s="1652"/>
      <c r="AX3" s="1652"/>
      <c r="AY3" s="1652"/>
      <c r="AZ3" s="1652"/>
      <c r="BA3" s="1652"/>
      <c r="BB3" s="1652"/>
      <c r="BC3" s="1653"/>
      <c r="BD3" s="1758" t="s">
        <v>236</v>
      </c>
      <c r="BE3" s="1758"/>
      <c r="BF3" s="1758">
        <v>41922</v>
      </c>
      <c r="BG3" s="1758"/>
      <c r="BH3" s="1758"/>
      <c r="BI3" s="1760">
        <f>+'Cover '!T11</f>
        <v>42460</v>
      </c>
      <c r="BJ3" s="1761"/>
      <c r="BK3" s="1761"/>
      <c r="BL3" s="1761"/>
      <c r="BM3" s="1761"/>
      <c r="BN3" s="1761"/>
      <c r="BO3" s="1761"/>
      <c r="BP3" s="1761"/>
      <c r="BQ3" s="1761"/>
      <c r="BR3" s="1761"/>
      <c r="BS3" s="1762"/>
    </row>
    <row r="4" spans="1:76" ht="15" customHeight="1">
      <c r="A4" s="1642"/>
      <c r="B4" s="1643"/>
      <c r="C4" s="1643"/>
      <c r="D4" s="1643"/>
      <c r="E4" s="1643"/>
      <c r="F4" s="1643"/>
      <c r="G4" s="1643"/>
      <c r="H4" s="1643"/>
      <c r="I4" s="1643"/>
      <c r="J4" s="1643"/>
      <c r="K4" s="1643"/>
      <c r="L4" s="1643"/>
      <c r="M4" s="1643"/>
      <c r="N4" s="1643"/>
      <c r="O4" s="1643"/>
      <c r="P4" s="1643"/>
      <c r="Q4" s="1643"/>
      <c r="R4" s="1643"/>
      <c r="S4" s="1643"/>
      <c r="T4" s="1643"/>
      <c r="U4" s="1643"/>
      <c r="V4" s="1643"/>
      <c r="W4" s="1643"/>
      <c r="X4" s="1643"/>
      <c r="Y4" s="1643"/>
      <c r="Z4" s="1643"/>
      <c r="AA4" s="1643"/>
      <c r="AB4" s="1643"/>
      <c r="AC4" s="1643"/>
      <c r="AD4" s="1643"/>
      <c r="AE4" s="1643"/>
      <c r="AF4" s="1643"/>
      <c r="AG4" s="1643"/>
      <c r="AH4" s="1643"/>
      <c r="AI4" s="1643"/>
      <c r="AJ4" s="1643"/>
      <c r="AK4" s="1643"/>
      <c r="AL4" s="1643"/>
      <c r="AM4" s="1643"/>
      <c r="AN4" s="1643"/>
      <c r="AO4" s="1643"/>
      <c r="AP4" s="1643"/>
      <c r="AQ4" s="1643"/>
      <c r="AR4" s="1643"/>
      <c r="AS4" s="1643"/>
      <c r="AT4" s="1643"/>
      <c r="AU4" s="1643"/>
      <c r="AV4" s="1643"/>
      <c r="AW4" s="1643"/>
      <c r="AX4" s="1643"/>
      <c r="AY4" s="1643"/>
      <c r="AZ4" s="1643"/>
      <c r="BA4" s="1643"/>
      <c r="BB4" s="1643"/>
      <c r="BC4" s="1643"/>
      <c r="BD4" s="1643"/>
      <c r="BE4" s="1643"/>
      <c r="BF4" s="1643"/>
      <c r="BG4" s="1643"/>
      <c r="BH4" s="1643"/>
      <c r="BI4" s="1643"/>
      <c r="BJ4" s="1643"/>
      <c r="BK4" s="1643"/>
      <c r="BL4" s="1643"/>
      <c r="BM4" s="1643"/>
      <c r="BN4" s="1643"/>
      <c r="BO4" s="1643"/>
      <c r="BP4" s="1643"/>
      <c r="BQ4" s="1643"/>
      <c r="BR4" s="1643"/>
      <c r="BS4" s="1644"/>
    </row>
    <row r="5" spans="1:76" ht="10.5" customHeight="1">
      <c r="A5" s="1623"/>
      <c r="B5" s="1624"/>
      <c r="C5" s="1624"/>
      <c r="D5" s="1624"/>
      <c r="E5" s="1624"/>
      <c r="F5" s="1624"/>
      <c r="G5" s="1624"/>
      <c r="H5" s="1624"/>
      <c r="I5" s="1624"/>
      <c r="J5" s="1624"/>
      <c r="K5" s="1624"/>
      <c r="L5" s="1624"/>
      <c r="M5" s="1624"/>
      <c r="N5" s="1624"/>
      <c r="O5" s="1624"/>
      <c r="P5" s="1624"/>
      <c r="Q5" s="1624"/>
      <c r="R5" s="1624"/>
      <c r="S5" s="1624"/>
      <c r="T5" s="1624"/>
      <c r="U5" s="1624"/>
      <c r="V5" s="1624"/>
      <c r="W5" s="1624"/>
      <c r="X5" s="1624"/>
      <c r="Y5" s="1624"/>
      <c r="Z5" s="1624"/>
      <c r="AA5" s="1624"/>
      <c r="AB5" s="1624"/>
      <c r="AC5" s="1624"/>
      <c r="AD5" s="1624"/>
      <c r="AE5" s="1624"/>
      <c r="AF5" s="1624"/>
      <c r="AG5" s="1624"/>
      <c r="AH5" s="1624"/>
      <c r="AI5" s="1624"/>
      <c r="AJ5" s="1624"/>
      <c r="AK5" s="1624"/>
      <c r="AL5" s="1624"/>
      <c r="AM5" s="1624"/>
      <c r="AN5" s="1624"/>
      <c r="AO5" s="1624"/>
      <c r="AP5" s="1624"/>
      <c r="AQ5" s="1624"/>
      <c r="AR5" s="1624"/>
      <c r="AS5" s="1624"/>
      <c r="AT5" s="1624"/>
      <c r="AU5" s="1624"/>
      <c r="AV5" s="1624"/>
      <c r="AW5" s="1624"/>
      <c r="AX5" s="1624"/>
      <c r="AY5" s="1624"/>
      <c r="AZ5" s="1624"/>
      <c r="BA5" s="1624"/>
      <c r="BB5" s="1624"/>
      <c r="BC5" s="1624"/>
      <c r="BD5" s="1624"/>
      <c r="BE5" s="1624"/>
      <c r="BF5" s="1624"/>
      <c r="BG5" s="1624"/>
      <c r="BH5" s="1624"/>
      <c r="BI5" s="1624"/>
      <c r="BJ5" s="1624"/>
      <c r="BK5" s="1624"/>
      <c r="BL5" s="1624"/>
      <c r="BM5" s="1624"/>
      <c r="BN5" s="1624"/>
      <c r="BO5" s="1624"/>
      <c r="BP5" s="1624"/>
      <c r="BQ5" s="1624"/>
      <c r="BR5" s="1624"/>
      <c r="BS5" s="1625"/>
    </row>
    <row r="6" spans="1:76" ht="24.95" customHeight="1">
      <c r="A6" s="1359" t="s">
        <v>11</v>
      </c>
      <c r="B6" s="1360"/>
      <c r="C6" s="1360"/>
      <c r="D6" s="1360"/>
      <c r="E6" s="1360"/>
      <c r="F6" s="1360"/>
      <c r="G6" s="1360"/>
      <c r="H6" s="1360"/>
      <c r="I6" s="1360"/>
      <c r="J6" s="1360"/>
      <c r="K6" s="1360"/>
      <c r="L6" s="1360"/>
      <c r="M6" s="1360"/>
      <c r="N6" s="1360"/>
      <c r="O6" s="1360"/>
      <c r="P6" s="1360"/>
      <c r="Q6" s="1360"/>
      <c r="R6" s="1360"/>
      <c r="S6" s="1360"/>
      <c r="T6" s="1360"/>
      <c r="U6" s="1360"/>
      <c r="V6" s="1360"/>
      <c r="W6" s="1360"/>
      <c r="X6" s="1360"/>
      <c r="Y6" s="1360"/>
      <c r="Z6" s="1360"/>
      <c r="AA6" s="1360"/>
      <c r="AB6" s="1360"/>
      <c r="AC6" s="1360"/>
      <c r="AD6" s="1360"/>
      <c r="AE6" s="1360"/>
      <c r="AF6" s="1360"/>
      <c r="AG6" s="1360"/>
      <c r="AH6" s="1360"/>
      <c r="AI6" s="1360"/>
      <c r="AJ6" s="1360"/>
      <c r="AK6" s="1360"/>
      <c r="AL6" s="1360"/>
      <c r="AM6" s="1360"/>
      <c r="AN6" s="1360"/>
      <c r="AO6" s="1360"/>
      <c r="AP6" s="1360"/>
      <c r="AQ6" s="1360"/>
      <c r="AR6" s="1360"/>
      <c r="AS6" s="1360"/>
      <c r="AT6" s="1360"/>
      <c r="AU6" s="1360"/>
      <c r="AV6" s="1360"/>
      <c r="AW6" s="1360"/>
      <c r="AX6" s="1360"/>
      <c r="AY6" s="1360"/>
      <c r="AZ6" s="1360"/>
      <c r="BA6" s="1360"/>
      <c r="BB6" s="1360"/>
      <c r="BC6" s="1360"/>
      <c r="BD6" s="1360"/>
      <c r="BE6" s="1360"/>
      <c r="BF6" s="1360"/>
      <c r="BG6" s="1360"/>
      <c r="BH6" s="1360"/>
      <c r="BI6" s="1360"/>
      <c r="BJ6" s="1360"/>
      <c r="BK6" s="1360"/>
      <c r="BL6" s="1360"/>
      <c r="BM6" s="1360"/>
      <c r="BN6" s="1360"/>
      <c r="BO6" s="1360"/>
      <c r="BP6" s="1360"/>
      <c r="BQ6" s="1360"/>
      <c r="BR6" s="1360"/>
      <c r="BS6" s="1361"/>
    </row>
    <row r="7" spans="1:76" ht="9.9499999999999993" customHeight="1">
      <c r="A7" s="1623"/>
      <c r="B7" s="1624"/>
      <c r="C7" s="1624"/>
      <c r="D7" s="1624"/>
      <c r="E7" s="1624"/>
      <c r="F7" s="1624"/>
      <c r="G7" s="1624"/>
      <c r="H7" s="1624"/>
      <c r="I7" s="1624"/>
      <c r="J7" s="1624"/>
      <c r="K7" s="1624"/>
      <c r="L7" s="1624"/>
      <c r="M7" s="1624"/>
      <c r="N7" s="1624"/>
      <c r="O7" s="1624"/>
      <c r="P7" s="1624"/>
      <c r="Q7" s="1624"/>
      <c r="R7" s="1624"/>
      <c r="S7" s="1624"/>
      <c r="T7" s="1624"/>
      <c r="U7" s="1624"/>
      <c r="V7" s="1624"/>
      <c r="W7" s="1624"/>
      <c r="X7" s="1624"/>
      <c r="Y7" s="1624"/>
      <c r="Z7" s="1624"/>
      <c r="AA7" s="1624"/>
      <c r="AB7" s="1624"/>
      <c r="AC7" s="1624"/>
      <c r="AD7" s="1624"/>
      <c r="AE7" s="1624"/>
      <c r="AF7" s="1624"/>
      <c r="AG7" s="1624"/>
      <c r="AH7" s="1624"/>
      <c r="AI7" s="1624"/>
      <c r="AJ7" s="1624"/>
      <c r="AK7" s="1624"/>
      <c r="AL7" s="1624"/>
      <c r="AM7" s="1624"/>
      <c r="AN7" s="1624"/>
      <c r="AO7" s="1624"/>
      <c r="AP7" s="1624"/>
      <c r="AQ7" s="1624"/>
      <c r="AR7" s="1624"/>
      <c r="AS7" s="1624"/>
      <c r="AT7" s="1624"/>
      <c r="AU7" s="1624"/>
      <c r="AV7" s="1624"/>
      <c r="AW7" s="1624"/>
      <c r="AX7" s="1624"/>
      <c r="AY7" s="1624"/>
      <c r="AZ7" s="1624"/>
      <c r="BA7" s="1624"/>
      <c r="BB7" s="1624"/>
      <c r="BC7" s="1624"/>
      <c r="BD7" s="1624"/>
      <c r="BE7" s="1624"/>
      <c r="BF7" s="1624"/>
      <c r="BG7" s="1624"/>
      <c r="BH7" s="1624"/>
      <c r="BI7" s="1624"/>
      <c r="BJ7" s="1624"/>
      <c r="BK7" s="1624"/>
      <c r="BL7" s="1624"/>
      <c r="BM7" s="1624"/>
      <c r="BN7" s="1624"/>
      <c r="BO7" s="1624"/>
      <c r="BP7" s="1624"/>
      <c r="BQ7" s="1624"/>
      <c r="BR7" s="1624"/>
      <c r="BS7" s="1625"/>
    </row>
    <row r="8" spans="1:76" ht="18" customHeight="1">
      <c r="A8" s="1755"/>
      <c r="B8" s="1755"/>
      <c r="C8" s="1755"/>
      <c r="D8" s="1755"/>
      <c r="E8" s="1755"/>
      <c r="F8" s="1755"/>
      <c r="G8" s="1755"/>
      <c r="H8" s="1755"/>
      <c r="I8" s="1755"/>
      <c r="J8" s="1755"/>
      <c r="K8" s="1755"/>
      <c r="L8" s="1756" t="s">
        <v>361</v>
      </c>
      <c r="M8" s="1756"/>
      <c r="N8" s="1756"/>
      <c r="O8" s="1756"/>
      <c r="P8" s="1756"/>
      <c r="Q8" s="1756"/>
      <c r="R8" s="1756"/>
      <c r="S8" s="1756"/>
      <c r="T8" s="1756"/>
      <c r="U8" s="1756"/>
      <c r="V8" s="1756"/>
      <c r="W8" s="1756"/>
      <c r="X8" s="1756"/>
      <c r="Y8" s="1756"/>
      <c r="Z8" s="1756"/>
      <c r="AA8" s="1756"/>
      <c r="AB8" s="1756"/>
      <c r="AC8" s="1756"/>
      <c r="AD8" s="1756"/>
      <c r="AE8" s="1756"/>
      <c r="AF8" s="1756"/>
      <c r="AG8" s="1756"/>
      <c r="AH8" s="1756"/>
      <c r="AI8" s="1756"/>
      <c r="AJ8" s="1756" t="s">
        <v>435</v>
      </c>
      <c r="AK8" s="1756"/>
      <c r="AL8" s="1756"/>
      <c r="AM8" s="1756"/>
      <c r="AN8" s="1756"/>
      <c r="AO8" s="1756"/>
      <c r="AP8" s="1756"/>
      <c r="AQ8" s="1756"/>
      <c r="AR8" s="1756"/>
      <c r="AS8" s="1756"/>
      <c r="AT8" s="1756"/>
      <c r="AU8" s="1756"/>
      <c r="AV8" s="1756"/>
      <c r="AW8" s="1756"/>
      <c r="AX8" s="1756"/>
      <c r="AY8" s="1756"/>
      <c r="AZ8" s="1756"/>
      <c r="BA8" s="1756"/>
      <c r="BB8" s="1756"/>
      <c r="BC8" s="1756"/>
      <c r="BD8" s="1756"/>
      <c r="BE8" s="1756"/>
      <c r="BF8" s="1756"/>
      <c r="BG8" s="1756"/>
      <c r="BH8" s="1756" t="s">
        <v>333</v>
      </c>
      <c r="BI8" s="1756"/>
      <c r="BJ8" s="1756"/>
      <c r="BK8" s="1756"/>
      <c r="BL8" s="1756"/>
      <c r="BM8" s="1756"/>
      <c r="BN8" s="1756"/>
      <c r="BO8" s="1756"/>
      <c r="BP8" s="1756"/>
      <c r="BQ8" s="1756"/>
      <c r="BR8" s="1756"/>
      <c r="BS8" s="1756"/>
    </row>
    <row r="9" spans="1:76" ht="18" customHeight="1">
      <c r="A9" s="1755"/>
      <c r="B9" s="1755"/>
      <c r="C9" s="1755"/>
      <c r="D9" s="1755"/>
      <c r="E9" s="1755"/>
      <c r="F9" s="1755"/>
      <c r="G9" s="1755"/>
      <c r="H9" s="1755"/>
      <c r="I9" s="1755"/>
      <c r="J9" s="1755"/>
      <c r="K9" s="1755"/>
      <c r="L9" s="1752" t="s">
        <v>433</v>
      </c>
      <c r="M9" s="1752"/>
      <c r="N9" s="1752"/>
      <c r="O9" s="1752"/>
      <c r="P9" s="1752"/>
      <c r="Q9" s="1752"/>
      <c r="R9" s="1790" t="s">
        <v>434</v>
      </c>
      <c r="S9" s="1791"/>
      <c r="T9" s="1791"/>
      <c r="U9" s="1791"/>
      <c r="V9" s="1791"/>
      <c r="W9" s="1791"/>
      <c r="X9" s="1791"/>
      <c r="Y9" s="1791"/>
      <c r="Z9" s="1791"/>
      <c r="AA9" s="1791"/>
      <c r="AB9" s="1791"/>
      <c r="AC9" s="1791"/>
      <c r="AD9" s="1791"/>
      <c r="AE9" s="1791"/>
      <c r="AF9" s="1791"/>
      <c r="AG9" s="1791"/>
      <c r="AH9" s="1791"/>
      <c r="AI9" s="1792"/>
      <c r="AJ9" s="1752" t="s">
        <v>433</v>
      </c>
      <c r="AK9" s="1752"/>
      <c r="AL9" s="1752"/>
      <c r="AM9" s="1752"/>
      <c r="AN9" s="1752"/>
      <c r="AO9" s="1752"/>
      <c r="AP9" s="1790" t="s">
        <v>434</v>
      </c>
      <c r="AQ9" s="1791"/>
      <c r="AR9" s="1791"/>
      <c r="AS9" s="1791"/>
      <c r="AT9" s="1791"/>
      <c r="AU9" s="1791"/>
      <c r="AV9" s="1791"/>
      <c r="AW9" s="1791"/>
      <c r="AX9" s="1791"/>
      <c r="AY9" s="1791"/>
      <c r="AZ9" s="1791"/>
      <c r="BA9" s="1791"/>
      <c r="BB9" s="1791"/>
      <c r="BC9" s="1791"/>
      <c r="BD9" s="1791"/>
      <c r="BE9" s="1791"/>
      <c r="BF9" s="1791"/>
      <c r="BG9" s="1792"/>
      <c r="BH9" s="1756"/>
      <c r="BI9" s="1756"/>
      <c r="BJ9" s="1756"/>
      <c r="BK9" s="1756"/>
      <c r="BL9" s="1756"/>
      <c r="BM9" s="1756"/>
      <c r="BN9" s="1756"/>
      <c r="BO9" s="1756"/>
      <c r="BP9" s="1756"/>
      <c r="BQ9" s="1756"/>
      <c r="BR9" s="1756"/>
      <c r="BS9" s="1756"/>
    </row>
    <row r="10" spans="1:76" ht="25.5" customHeight="1">
      <c r="A10" s="1755"/>
      <c r="B10" s="1755"/>
      <c r="C10" s="1755"/>
      <c r="D10" s="1755"/>
      <c r="E10" s="1755"/>
      <c r="F10" s="1755"/>
      <c r="G10" s="1755"/>
      <c r="H10" s="1755"/>
      <c r="I10" s="1755"/>
      <c r="J10" s="1755"/>
      <c r="K10" s="1755"/>
      <c r="L10" s="1752"/>
      <c r="M10" s="1752"/>
      <c r="N10" s="1752"/>
      <c r="O10" s="1752"/>
      <c r="P10" s="1752"/>
      <c r="Q10" s="1752"/>
      <c r="R10" s="1756" t="s">
        <v>1</v>
      </c>
      <c r="S10" s="1756"/>
      <c r="T10" s="1756"/>
      <c r="U10" s="1756"/>
      <c r="V10" s="1756"/>
      <c r="W10" s="1756"/>
      <c r="X10" s="1756" t="s">
        <v>14</v>
      </c>
      <c r="Y10" s="1756"/>
      <c r="Z10" s="1756"/>
      <c r="AA10" s="1756"/>
      <c r="AB10" s="1756"/>
      <c r="AC10" s="1756"/>
      <c r="AD10" s="1756" t="s">
        <v>221</v>
      </c>
      <c r="AE10" s="1756"/>
      <c r="AF10" s="1756"/>
      <c r="AG10" s="1756"/>
      <c r="AH10" s="1756"/>
      <c r="AI10" s="1756"/>
      <c r="AJ10" s="1752"/>
      <c r="AK10" s="1752"/>
      <c r="AL10" s="1752"/>
      <c r="AM10" s="1752"/>
      <c r="AN10" s="1752"/>
      <c r="AO10" s="1752"/>
      <c r="AP10" s="1756" t="s">
        <v>1</v>
      </c>
      <c r="AQ10" s="1756"/>
      <c r="AR10" s="1756"/>
      <c r="AS10" s="1756"/>
      <c r="AT10" s="1756"/>
      <c r="AU10" s="1756"/>
      <c r="AV10" s="1756" t="s">
        <v>14</v>
      </c>
      <c r="AW10" s="1756"/>
      <c r="AX10" s="1756"/>
      <c r="AY10" s="1756"/>
      <c r="AZ10" s="1756"/>
      <c r="BA10" s="1756"/>
      <c r="BB10" s="1756" t="s">
        <v>221</v>
      </c>
      <c r="BC10" s="1756"/>
      <c r="BD10" s="1756"/>
      <c r="BE10" s="1756"/>
      <c r="BF10" s="1756"/>
      <c r="BG10" s="1756"/>
      <c r="BH10" s="1756" t="s">
        <v>248</v>
      </c>
      <c r="BI10" s="1756"/>
      <c r="BJ10" s="1756"/>
      <c r="BK10" s="1756"/>
      <c r="BL10" s="1756"/>
      <c r="BM10" s="1756"/>
      <c r="BN10" s="1756" t="s">
        <v>334</v>
      </c>
      <c r="BO10" s="1756"/>
      <c r="BP10" s="1756"/>
      <c r="BQ10" s="1756"/>
      <c r="BR10" s="1756"/>
      <c r="BS10" s="1756"/>
    </row>
    <row r="11" spans="1:76" s="77" customFormat="1" ht="24.95" customHeight="1">
      <c r="A11" s="1753" t="s">
        <v>222</v>
      </c>
      <c r="B11" s="1611"/>
      <c r="C11" s="1611"/>
      <c r="D11" s="1611"/>
      <c r="E11" s="1611"/>
      <c r="F11" s="1611"/>
      <c r="G11" s="1611"/>
      <c r="H11" s="1611"/>
      <c r="I11" s="1611"/>
      <c r="J11" s="1611"/>
      <c r="K11" s="1611"/>
      <c r="L11" s="1769">
        <v>347</v>
      </c>
      <c r="M11" s="1770"/>
      <c r="N11" s="1770"/>
      <c r="O11" s="1770"/>
      <c r="P11" s="1770"/>
      <c r="Q11" s="1771"/>
      <c r="R11" s="1088">
        <v>15</v>
      </c>
      <c r="S11" s="1088"/>
      <c r="T11" s="1088"/>
      <c r="U11" s="1088"/>
      <c r="V11" s="1088"/>
      <c r="W11" s="1088"/>
      <c r="X11" s="1088">
        <v>10</v>
      </c>
      <c r="Y11" s="1088"/>
      <c r="Z11" s="1088"/>
      <c r="AA11" s="1088"/>
      <c r="AB11" s="1088"/>
      <c r="AC11" s="1088"/>
      <c r="AD11" s="1088">
        <f>X11-R11</f>
        <v>-5</v>
      </c>
      <c r="AE11" s="1088"/>
      <c r="AF11" s="1088"/>
      <c r="AG11" s="1088"/>
      <c r="AH11" s="1088"/>
      <c r="AI11" s="1088"/>
      <c r="AJ11" s="1772">
        <v>72176</v>
      </c>
      <c r="AK11" s="1773"/>
      <c r="AL11" s="1773"/>
      <c r="AM11" s="1773"/>
      <c r="AN11" s="1773"/>
      <c r="AO11" s="1774"/>
      <c r="AP11" s="1763">
        <f>R11*10*26</f>
        <v>3900</v>
      </c>
      <c r="AQ11" s="1763"/>
      <c r="AR11" s="1763"/>
      <c r="AS11" s="1763"/>
      <c r="AT11" s="1763"/>
      <c r="AU11" s="1763"/>
      <c r="AV11" s="1763">
        <f>X11*10*26</f>
        <v>2600</v>
      </c>
      <c r="AW11" s="1763"/>
      <c r="AX11" s="1763"/>
      <c r="AY11" s="1763"/>
      <c r="AZ11" s="1763"/>
      <c r="BA11" s="1763"/>
      <c r="BB11" s="1764">
        <f>AV11-AP11</f>
        <v>-1300</v>
      </c>
      <c r="BC11" s="1088"/>
      <c r="BD11" s="1088"/>
      <c r="BE11" s="1088"/>
      <c r="BF11" s="1088"/>
      <c r="BG11" s="1088"/>
      <c r="BH11" s="1088"/>
      <c r="BI11" s="1088"/>
      <c r="BJ11" s="1088"/>
      <c r="BK11" s="1088"/>
      <c r="BL11" s="1088"/>
      <c r="BM11" s="1088"/>
      <c r="BN11" s="1088">
        <v>4</v>
      </c>
      <c r="BO11" s="1088"/>
      <c r="BP11" s="1088"/>
      <c r="BQ11" s="1088"/>
      <c r="BR11" s="1088"/>
      <c r="BS11" s="1372"/>
    </row>
    <row r="12" spans="1:76" s="77" customFormat="1" ht="24.95" customHeight="1">
      <c r="A12" s="1605" t="s">
        <v>81</v>
      </c>
      <c r="B12" s="1606"/>
      <c r="C12" s="1606"/>
      <c r="D12" s="1606"/>
      <c r="E12" s="1606"/>
      <c r="F12" s="1606"/>
      <c r="G12" s="1606"/>
      <c r="H12" s="1616" t="s">
        <v>249</v>
      </c>
      <c r="I12" s="1616"/>
      <c r="J12" s="1616"/>
      <c r="K12" s="1616"/>
      <c r="L12" s="1775">
        <f>'8-HSE'!R8-L11</f>
        <v>4297</v>
      </c>
      <c r="M12" s="1776"/>
      <c r="N12" s="1776"/>
      <c r="O12" s="1776"/>
      <c r="P12" s="1776"/>
      <c r="Q12" s="1777"/>
      <c r="R12" s="1089">
        <v>16</v>
      </c>
      <c r="S12" s="1089"/>
      <c r="T12" s="1089"/>
      <c r="U12" s="1089"/>
      <c r="V12" s="1089"/>
      <c r="W12" s="1089"/>
      <c r="X12" s="1089">
        <v>48</v>
      </c>
      <c r="Y12" s="1089"/>
      <c r="Z12" s="1089"/>
      <c r="AA12" s="1089"/>
      <c r="AB12" s="1089"/>
      <c r="AC12" s="1089"/>
      <c r="AD12" s="1089">
        <f>+R12-X12</f>
        <v>-32</v>
      </c>
      <c r="AE12" s="1089"/>
      <c r="AF12" s="1089"/>
      <c r="AG12" s="1089"/>
      <c r="AH12" s="1089"/>
      <c r="AI12" s="1089"/>
      <c r="AJ12" s="1781">
        <f>'8-HSE'!R9-AJ11</f>
        <v>11307824</v>
      </c>
      <c r="AK12" s="1782"/>
      <c r="AL12" s="1782"/>
      <c r="AM12" s="1782"/>
      <c r="AN12" s="1782"/>
      <c r="AO12" s="1783"/>
      <c r="AP12" s="1754">
        <f>R12*10*26</f>
        <v>4160</v>
      </c>
      <c r="AQ12" s="1754"/>
      <c r="AR12" s="1754"/>
      <c r="AS12" s="1754"/>
      <c r="AT12" s="1754"/>
      <c r="AU12" s="1754"/>
      <c r="AV12" s="1754">
        <f>X12*10*26</f>
        <v>12480</v>
      </c>
      <c r="AW12" s="1754"/>
      <c r="AX12" s="1754"/>
      <c r="AY12" s="1754"/>
      <c r="AZ12" s="1754"/>
      <c r="BA12" s="1754"/>
      <c r="BB12" s="1765">
        <f>AV12-AP12</f>
        <v>8320</v>
      </c>
      <c r="BC12" s="1089"/>
      <c r="BD12" s="1089"/>
      <c r="BE12" s="1089"/>
      <c r="BF12" s="1089"/>
      <c r="BG12" s="1089"/>
      <c r="BH12" s="1754"/>
      <c r="BI12" s="1754"/>
      <c r="BJ12" s="1754"/>
      <c r="BK12" s="1754"/>
      <c r="BL12" s="1754"/>
      <c r="BM12" s="1754"/>
      <c r="BN12" s="1089">
        <v>25</v>
      </c>
      <c r="BO12" s="1089"/>
      <c r="BP12" s="1089"/>
      <c r="BQ12" s="1089"/>
      <c r="BR12" s="1089"/>
      <c r="BS12" s="1354"/>
    </row>
    <row r="13" spans="1:76" s="77" customFormat="1" ht="24.95" customHeight="1">
      <c r="A13" s="1605"/>
      <c r="B13" s="1606"/>
      <c r="C13" s="1606"/>
      <c r="D13" s="1606"/>
      <c r="E13" s="1606"/>
      <c r="F13" s="1606"/>
      <c r="G13" s="1606"/>
      <c r="H13" s="1616" t="s">
        <v>250</v>
      </c>
      <c r="I13" s="1616"/>
      <c r="J13" s="1616"/>
      <c r="K13" s="1616"/>
      <c r="L13" s="1775"/>
      <c r="M13" s="1776"/>
      <c r="N13" s="1776"/>
      <c r="O13" s="1776"/>
      <c r="P13" s="1776"/>
      <c r="Q13" s="1777"/>
      <c r="R13" s="1089">
        <v>0</v>
      </c>
      <c r="S13" s="1089"/>
      <c r="T13" s="1089"/>
      <c r="U13" s="1089"/>
      <c r="V13" s="1089"/>
      <c r="W13" s="1089"/>
      <c r="X13" s="1089">
        <v>3</v>
      </c>
      <c r="Y13" s="1089"/>
      <c r="Z13" s="1089"/>
      <c r="AA13" s="1089"/>
      <c r="AB13" s="1089"/>
      <c r="AC13" s="1089"/>
      <c r="AD13" s="1089">
        <f t="shared" ref="AD13:AD16" si="0">+R13-X13</f>
        <v>-3</v>
      </c>
      <c r="AE13" s="1089"/>
      <c r="AF13" s="1089"/>
      <c r="AG13" s="1089"/>
      <c r="AH13" s="1089"/>
      <c r="AI13" s="1089"/>
      <c r="AJ13" s="1784"/>
      <c r="AK13" s="1785"/>
      <c r="AL13" s="1785"/>
      <c r="AM13" s="1785"/>
      <c r="AN13" s="1785"/>
      <c r="AO13" s="1786"/>
      <c r="AP13" s="1754">
        <f>R13*10*26</f>
        <v>0</v>
      </c>
      <c r="AQ13" s="1754"/>
      <c r="AR13" s="1754"/>
      <c r="AS13" s="1754"/>
      <c r="AT13" s="1754"/>
      <c r="AU13" s="1754"/>
      <c r="AV13" s="1754">
        <f>X13*10*26</f>
        <v>780</v>
      </c>
      <c r="AW13" s="1754"/>
      <c r="AX13" s="1754"/>
      <c r="AY13" s="1754"/>
      <c r="AZ13" s="1754"/>
      <c r="BA13" s="1754"/>
      <c r="BB13" s="1765">
        <f>AV13-AP13</f>
        <v>780</v>
      </c>
      <c r="BC13" s="1089"/>
      <c r="BD13" s="1089"/>
      <c r="BE13" s="1089"/>
      <c r="BF13" s="1089"/>
      <c r="BG13" s="1089"/>
      <c r="BH13" s="1754"/>
      <c r="BI13" s="1754"/>
      <c r="BJ13" s="1754"/>
      <c r="BK13" s="1754"/>
      <c r="BL13" s="1754"/>
      <c r="BM13" s="1754"/>
      <c r="BN13" s="1089">
        <v>0</v>
      </c>
      <c r="BO13" s="1089"/>
      <c r="BP13" s="1089"/>
      <c r="BQ13" s="1089"/>
      <c r="BR13" s="1089"/>
      <c r="BS13" s="1354"/>
    </row>
    <row r="14" spans="1:76" s="77" customFormat="1" ht="24.95" customHeight="1">
      <c r="A14" s="1605"/>
      <c r="B14" s="1606"/>
      <c r="C14" s="1606"/>
      <c r="D14" s="1606"/>
      <c r="E14" s="1606"/>
      <c r="F14" s="1606"/>
      <c r="G14" s="1606"/>
      <c r="H14" s="1616" t="s">
        <v>251</v>
      </c>
      <c r="I14" s="1616"/>
      <c r="J14" s="1616"/>
      <c r="K14" s="1616"/>
      <c r="L14" s="1775"/>
      <c r="M14" s="1776"/>
      <c r="N14" s="1776"/>
      <c r="O14" s="1776"/>
      <c r="P14" s="1776"/>
      <c r="Q14" s="1777"/>
      <c r="R14" s="1089">
        <v>11</v>
      </c>
      <c r="S14" s="1089"/>
      <c r="T14" s="1089"/>
      <c r="U14" s="1089"/>
      <c r="V14" s="1089"/>
      <c r="W14" s="1089"/>
      <c r="X14" s="1089">
        <v>24</v>
      </c>
      <c r="Y14" s="1089"/>
      <c r="Z14" s="1089"/>
      <c r="AA14" s="1089"/>
      <c r="AB14" s="1089"/>
      <c r="AC14" s="1089"/>
      <c r="AD14" s="1089">
        <f t="shared" si="0"/>
        <v>-13</v>
      </c>
      <c r="AE14" s="1089"/>
      <c r="AF14" s="1089"/>
      <c r="AG14" s="1089"/>
      <c r="AH14" s="1089"/>
      <c r="AI14" s="1089"/>
      <c r="AJ14" s="1784"/>
      <c r="AK14" s="1785"/>
      <c r="AL14" s="1785"/>
      <c r="AM14" s="1785"/>
      <c r="AN14" s="1785"/>
      <c r="AO14" s="1786"/>
      <c r="AP14" s="1754">
        <f>R14*10*26</f>
        <v>2860</v>
      </c>
      <c r="AQ14" s="1754"/>
      <c r="AR14" s="1754"/>
      <c r="AS14" s="1754"/>
      <c r="AT14" s="1754"/>
      <c r="AU14" s="1754"/>
      <c r="AV14" s="1754">
        <f>X14*10*26</f>
        <v>6240</v>
      </c>
      <c r="AW14" s="1754"/>
      <c r="AX14" s="1754"/>
      <c r="AY14" s="1754"/>
      <c r="AZ14" s="1754"/>
      <c r="BA14" s="1754"/>
      <c r="BB14" s="1765">
        <f>AV14-AP14</f>
        <v>3380</v>
      </c>
      <c r="BC14" s="1089"/>
      <c r="BD14" s="1089"/>
      <c r="BE14" s="1089"/>
      <c r="BF14" s="1089"/>
      <c r="BG14" s="1089"/>
      <c r="BH14" s="1754"/>
      <c r="BI14" s="1754"/>
      <c r="BJ14" s="1754"/>
      <c r="BK14" s="1754"/>
      <c r="BL14" s="1754"/>
      <c r="BM14" s="1754"/>
      <c r="BN14" s="1089">
        <v>10</v>
      </c>
      <c r="BO14" s="1089"/>
      <c r="BP14" s="1089"/>
      <c r="BQ14" s="1089"/>
      <c r="BR14" s="1089"/>
      <c r="BS14" s="1354"/>
    </row>
    <row r="15" spans="1:76" s="77" customFormat="1" ht="24.95" customHeight="1">
      <c r="A15" s="1605"/>
      <c r="B15" s="1606"/>
      <c r="C15" s="1606"/>
      <c r="D15" s="1606"/>
      <c r="E15" s="1606"/>
      <c r="F15" s="1606"/>
      <c r="G15" s="1606"/>
      <c r="H15" s="1616" t="s">
        <v>252</v>
      </c>
      <c r="I15" s="1616"/>
      <c r="J15" s="1616"/>
      <c r="K15" s="1616"/>
      <c r="L15" s="1775"/>
      <c r="M15" s="1776"/>
      <c r="N15" s="1776"/>
      <c r="O15" s="1776"/>
      <c r="P15" s="1776"/>
      <c r="Q15" s="1777"/>
      <c r="R15" s="1089">
        <v>13</v>
      </c>
      <c r="S15" s="1089"/>
      <c r="T15" s="1089"/>
      <c r="U15" s="1089"/>
      <c r="V15" s="1089"/>
      <c r="W15" s="1089"/>
      <c r="X15" s="1089">
        <v>66</v>
      </c>
      <c r="Y15" s="1089"/>
      <c r="Z15" s="1089"/>
      <c r="AA15" s="1089"/>
      <c r="AB15" s="1089"/>
      <c r="AC15" s="1089"/>
      <c r="AD15" s="1089">
        <f t="shared" si="0"/>
        <v>-53</v>
      </c>
      <c r="AE15" s="1089"/>
      <c r="AF15" s="1089"/>
      <c r="AG15" s="1089"/>
      <c r="AH15" s="1089"/>
      <c r="AI15" s="1089"/>
      <c r="AJ15" s="1784"/>
      <c r="AK15" s="1785"/>
      <c r="AL15" s="1785"/>
      <c r="AM15" s="1785"/>
      <c r="AN15" s="1785"/>
      <c r="AO15" s="1786"/>
      <c r="AP15" s="1754">
        <f>R15*10*26</f>
        <v>3380</v>
      </c>
      <c r="AQ15" s="1754"/>
      <c r="AR15" s="1754"/>
      <c r="AS15" s="1754"/>
      <c r="AT15" s="1754"/>
      <c r="AU15" s="1754"/>
      <c r="AV15" s="1754">
        <f>X15*10*26</f>
        <v>17160</v>
      </c>
      <c r="AW15" s="1754"/>
      <c r="AX15" s="1754"/>
      <c r="AY15" s="1754"/>
      <c r="AZ15" s="1754"/>
      <c r="BA15" s="1754"/>
      <c r="BB15" s="1765">
        <f>AV15-AP15</f>
        <v>13780</v>
      </c>
      <c r="BC15" s="1089"/>
      <c r="BD15" s="1089"/>
      <c r="BE15" s="1089"/>
      <c r="BF15" s="1089"/>
      <c r="BG15" s="1089"/>
      <c r="BH15" s="1754"/>
      <c r="BI15" s="1754"/>
      <c r="BJ15" s="1754"/>
      <c r="BK15" s="1754"/>
      <c r="BL15" s="1754"/>
      <c r="BM15" s="1754"/>
      <c r="BN15" s="1089">
        <v>30</v>
      </c>
      <c r="BO15" s="1089"/>
      <c r="BP15" s="1089"/>
      <c r="BQ15" s="1089"/>
      <c r="BR15" s="1089"/>
      <c r="BS15" s="1354"/>
      <c r="BX15" s="77">
        <f>347*26*8</f>
        <v>72176</v>
      </c>
    </row>
    <row r="16" spans="1:76" s="77" customFormat="1" ht="24.95" customHeight="1">
      <c r="A16" s="1605"/>
      <c r="B16" s="1606"/>
      <c r="C16" s="1606"/>
      <c r="D16" s="1606"/>
      <c r="E16" s="1606"/>
      <c r="F16" s="1606"/>
      <c r="G16" s="1606"/>
      <c r="H16" s="1616" t="s">
        <v>253</v>
      </c>
      <c r="I16" s="1616"/>
      <c r="J16" s="1616"/>
      <c r="K16" s="1616"/>
      <c r="L16" s="1775"/>
      <c r="M16" s="1776"/>
      <c r="N16" s="1776"/>
      <c r="O16" s="1776"/>
      <c r="P16" s="1776"/>
      <c r="Q16" s="1777"/>
      <c r="R16" s="1089">
        <f>SUM(R12:W15)</f>
        <v>40</v>
      </c>
      <c r="S16" s="1089"/>
      <c r="T16" s="1089"/>
      <c r="U16" s="1089"/>
      <c r="V16" s="1089"/>
      <c r="W16" s="1089"/>
      <c r="X16" s="1089">
        <f>SUM(X12:AC15)</f>
        <v>141</v>
      </c>
      <c r="Y16" s="1089"/>
      <c r="Z16" s="1089"/>
      <c r="AA16" s="1089"/>
      <c r="AB16" s="1089"/>
      <c r="AC16" s="1089"/>
      <c r="AD16" s="1089">
        <f t="shared" si="0"/>
        <v>-101</v>
      </c>
      <c r="AE16" s="1089"/>
      <c r="AF16" s="1089"/>
      <c r="AG16" s="1089"/>
      <c r="AH16" s="1089"/>
      <c r="AI16" s="1089"/>
      <c r="AJ16" s="1784"/>
      <c r="AK16" s="1785"/>
      <c r="AL16" s="1785"/>
      <c r="AM16" s="1785"/>
      <c r="AN16" s="1785"/>
      <c r="AO16" s="1786"/>
      <c r="AP16" s="1754">
        <f>SUM(AP12:AU15)</f>
        <v>10400</v>
      </c>
      <c r="AQ16" s="1754"/>
      <c r="AR16" s="1754"/>
      <c r="AS16" s="1754"/>
      <c r="AT16" s="1754"/>
      <c r="AU16" s="1754"/>
      <c r="AV16" s="1754">
        <f>SUM(AV12:BA15)</f>
        <v>36660</v>
      </c>
      <c r="AW16" s="1754"/>
      <c r="AX16" s="1754"/>
      <c r="AY16" s="1754"/>
      <c r="AZ16" s="1754"/>
      <c r="BA16" s="1754"/>
      <c r="BB16" s="1754">
        <f>SUM(BB12:BG15)</f>
        <v>26260</v>
      </c>
      <c r="BC16" s="1754"/>
      <c r="BD16" s="1754"/>
      <c r="BE16" s="1754"/>
      <c r="BF16" s="1754"/>
      <c r="BG16" s="1754"/>
      <c r="BH16" s="1754"/>
      <c r="BI16" s="1754"/>
      <c r="BJ16" s="1754"/>
      <c r="BK16" s="1754"/>
      <c r="BL16" s="1754"/>
      <c r="BM16" s="1754"/>
      <c r="BN16" s="1089">
        <f>SUM(BN12:BR15)</f>
        <v>65</v>
      </c>
      <c r="BO16" s="1089"/>
      <c r="BP16" s="1089"/>
      <c r="BQ16" s="1089"/>
      <c r="BR16" s="1089"/>
      <c r="BS16" s="1354"/>
    </row>
    <row r="17" spans="1:71" s="77" customFormat="1" ht="24.95" customHeight="1">
      <c r="A17" s="1605" t="s">
        <v>223</v>
      </c>
      <c r="B17" s="1606"/>
      <c r="C17" s="1606"/>
      <c r="D17" s="1606"/>
      <c r="E17" s="1606"/>
      <c r="F17" s="1606"/>
      <c r="G17" s="1606"/>
      <c r="H17" s="1606"/>
      <c r="I17" s="1606"/>
      <c r="J17" s="1606"/>
      <c r="K17" s="1606"/>
      <c r="L17" s="1778"/>
      <c r="M17" s="1779"/>
      <c r="N17" s="1779"/>
      <c r="O17" s="1779"/>
      <c r="P17" s="1779"/>
      <c r="Q17" s="1780"/>
      <c r="R17" s="1606">
        <v>0</v>
      </c>
      <c r="S17" s="1606"/>
      <c r="T17" s="1606"/>
      <c r="U17" s="1606"/>
      <c r="V17" s="1606"/>
      <c r="W17" s="1606"/>
      <c r="X17" s="1606">
        <v>14</v>
      </c>
      <c r="Y17" s="1606"/>
      <c r="Z17" s="1606"/>
      <c r="AA17" s="1606"/>
      <c r="AB17" s="1606"/>
      <c r="AC17" s="1606"/>
      <c r="AD17" s="1089">
        <f>R17-X17</f>
        <v>-14</v>
      </c>
      <c r="AE17" s="1089"/>
      <c r="AF17" s="1089"/>
      <c r="AG17" s="1089"/>
      <c r="AH17" s="1089"/>
      <c r="AI17" s="1089"/>
      <c r="AJ17" s="1787"/>
      <c r="AK17" s="1788"/>
      <c r="AL17" s="1788"/>
      <c r="AM17" s="1788"/>
      <c r="AN17" s="1788"/>
      <c r="AO17" s="1789"/>
      <c r="AP17" s="1606">
        <f>R17*26*10</f>
        <v>0</v>
      </c>
      <c r="AQ17" s="1606"/>
      <c r="AR17" s="1606"/>
      <c r="AS17" s="1606"/>
      <c r="AT17" s="1606"/>
      <c r="AU17" s="1606"/>
      <c r="AV17" s="1606">
        <f>X17*26*10</f>
        <v>3640</v>
      </c>
      <c r="AW17" s="1606"/>
      <c r="AX17" s="1606"/>
      <c r="AY17" s="1606"/>
      <c r="AZ17" s="1606"/>
      <c r="BA17" s="1606"/>
      <c r="BB17" s="1606">
        <f>AP17-AV17</f>
        <v>-3640</v>
      </c>
      <c r="BC17" s="1606"/>
      <c r="BD17" s="1606"/>
      <c r="BE17" s="1606"/>
      <c r="BF17" s="1606"/>
      <c r="BG17" s="1606"/>
      <c r="BH17" s="1606"/>
      <c r="BI17" s="1606"/>
      <c r="BJ17" s="1606"/>
      <c r="BK17" s="1606"/>
      <c r="BL17" s="1606"/>
      <c r="BM17" s="1606"/>
      <c r="BN17" s="1606">
        <v>0</v>
      </c>
      <c r="BO17" s="1606"/>
      <c r="BP17" s="1606"/>
      <c r="BQ17" s="1606"/>
      <c r="BR17" s="1606"/>
      <c r="BS17" s="1607"/>
    </row>
    <row r="18" spans="1:71" s="77" customFormat="1" ht="24.95" customHeight="1">
      <c r="A18" s="1608"/>
      <c r="B18" s="1609"/>
      <c r="C18" s="1609"/>
      <c r="D18" s="1609"/>
      <c r="E18" s="1609"/>
      <c r="F18" s="1609"/>
      <c r="G18" s="1609"/>
      <c r="H18" s="1609"/>
      <c r="I18" s="1609"/>
      <c r="J18" s="1609"/>
      <c r="K18" s="1609"/>
      <c r="L18" s="1609"/>
      <c r="M18" s="1609"/>
      <c r="N18" s="1609"/>
      <c r="O18" s="1609"/>
      <c r="P18" s="1609"/>
      <c r="Q18" s="1609"/>
      <c r="R18" s="1609"/>
      <c r="S18" s="1609"/>
      <c r="T18" s="1609"/>
      <c r="U18" s="1609"/>
      <c r="V18" s="1609"/>
      <c r="W18" s="1609"/>
      <c r="X18" s="1609"/>
      <c r="Y18" s="1609"/>
      <c r="Z18" s="1609"/>
      <c r="AA18" s="1609"/>
      <c r="AB18" s="1609"/>
      <c r="AC18" s="1609"/>
      <c r="AD18" s="1609"/>
      <c r="AE18" s="1609"/>
      <c r="AF18" s="1609"/>
      <c r="AG18" s="1609"/>
      <c r="AH18" s="1609"/>
      <c r="AI18" s="1609"/>
      <c r="AJ18" s="1609"/>
      <c r="AK18" s="1609"/>
      <c r="AL18" s="1609"/>
      <c r="AM18" s="1609"/>
      <c r="AN18" s="1609"/>
      <c r="AO18" s="1609"/>
      <c r="AP18" s="1609"/>
      <c r="AQ18" s="1609"/>
      <c r="AR18" s="1609"/>
      <c r="AS18" s="1609"/>
      <c r="AT18" s="1609"/>
      <c r="AU18" s="1609"/>
      <c r="AV18" s="1609"/>
      <c r="AW18" s="1609"/>
      <c r="AX18" s="1609"/>
      <c r="AY18" s="1609"/>
      <c r="AZ18" s="1609"/>
      <c r="BA18" s="1609"/>
      <c r="BB18" s="1609"/>
      <c r="BC18" s="1609"/>
      <c r="BD18" s="1609"/>
      <c r="BE18" s="1609"/>
      <c r="BF18" s="1609"/>
      <c r="BG18" s="1609"/>
      <c r="BH18" s="1609"/>
      <c r="BI18" s="1609"/>
      <c r="BJ18" s="1609"/>
      <c r="BK18" s="1609"/>
      <c r="BL18" s="1609"/>
      <c r="BM18" s="1609"/>
      <c r="BN18" s="1609"/>
      <c r="BO18" s="1609"/>
      <c r="BP18" s="1609"/>
      <c r="BQ18" s="1609"/>
      <c r="BR18" s="1609"/>
      <c r="BS18" s="1610"/>
    </row>
    <row r="19" spans="1:71" s="77" customFormat="1" ht="15" customHeight="1">
      <c r="A19" s="1766"/>
      <c r="B19" s="1767"/>
      <c r="C19" s="1767"/>
      <c r="D19" s="1767"/>
      <c r="E19" s="1767"/>
      <c r="F19" s="1767"/>
      <c r="G19" s="1767"/>
      <c r="H19" s="1767"/>
      <c r="I19" s="1767"/>
      <c r="J19" s="1767"/>
      <c r="K19" s="1767"/>
      <c r="L19" s="1767"/>
      <c r="M19" s="1767"/>
      <c r="N19" s="1767"/>
      <c r="O19" s="1767"/>
      <c r="P19" s="1767"/>
      <c r="Q19" s="1767"/>
      <c r="R19" s="1767"/>
      <c r="S19" s="1767"/>
      <c r="T19" s="1767"/>
      <c r="U19" s="1767"/>
      <c r="V19" s="1767"/>
      <c r="W19" s="1767"/>
      <c r="X19" s="1767"/>
      <c r="Y19" s="1767"/>
      <c r="Z19" s="1767"/>
      <c r="AA19" s="1767"/>
      <c r="AB19" s="1767"/>
      <c r="AC19" s="1767"/>
      <c r="AD19" s="1767"/>
      <c r="AE19" s="1767"/>
      <c r="AF19" s="1767"/>
      <c r="AG19" s="1767"/>
      <c r="AH19" s="1767"/>
      <c r="AI19" s="1767"/>
      <c r="AJ19" s="1767"/>
      <c r="AK19" s="1767"/>
      <c r="AL19" s="1767"/>
      <c r="AM19" s="1767"/>
      <c r="AN19" s="1767"/>
      <c r="AO19" s="1767"/>
      <c r="AP19" s="1767"/>
      <c r="AQ19" s="1767"/>
      <c r="AR19" s="1767"/>
      <c r="AS19" s="1767"/>
      <c r="AT19" s="1767"/>
      <c r="AU19" s="1767"/>
      <c r="AV19" s="1767"/>
      <c r="AW19" s="1767"/>
      <c r="AX19" s="1767"/>
      <c r="AY19" s="1767"/>
      <c r="AZ19" s="1767"/>
      <c r="BA19" s="1767"/>
      <c r="BB19" s="1767"/>
      <c r="BC19" s="1767"/>
      <c r="BD19" s="1767"/>
      <c r="BE19" s="1767"/>
      <c r="BF19" s="1767"/>
      <c r="BG19" s="1767"/>
      <c r="BH19" s="1767"/>
      <c r="BI19" s="1767"/>
      <c r="BJ19" s="1767"/>
      <c r="BK19" s="1767"/>
      <c r="BL19" s="1767"/>
      <c r="BM19" s="1767"/>
      <c r="BN19" s="1767"/>
      <c r="BO19" s="1767"/>
      <c r="BP19" s="1767"/>
      <c r="BQ19" s="1767"/>
      <c r="BR19" s="1767"/>
      <c r="BS19" s="1768"/>
    </row>
    <row r="20" spans="1:71" ht="24.95" customHeight="1">
      <c r="A20" s="1359" t="s">
        <v>351</v>
      </c>
      <c r="B20" s="1360"/>
      <c r="C20" s="1360"/>
      <c r="D20" s="1360"/>
      <c r="E20" s="1360"/>
      <c r="F20" s="1360"/>
      <c r="G20" s="1360"/>
      <c r="H20" s="1360"/>
      <c r="I20" s="1360"/>
      <c r="J20" s="1360"/>
      <c r="K20" s="1360"/>
      <c r="L20" s="1360"/>
      <c r="M20" s="1360"/>
      <c r="N20" s="1360"/>
      <c r="O20" s="1360"/>
      <c r="P20" s="1360"/>
      <c r="Q20" s="1360"/>
      <c r="R20" s="1360"/>
      <c r="S20" s="1360"/>
      <c r="T20" s="1360"/>
      <c r="U20" s="1360"/>
      <c r="V20" s="1360"/>
      <c r="W20" s="1360"/>
      <c r="X20" s="1360"/>
      <c r="Y20" s="1360"/>
      <c r="Z20" s="1360"/>
      <c r="AA20" s="1360"/>
      <c r="AB20" s="1360"/>
      <c r="AC20" s="1360"/>
      <c r="AD20" s="1360"/>
      <c r="AE20" s="1360"/>
      <c r="AF20" s="1360"/>
      <c r="AG20" s="1360"/>
      <c r="AH20" s="1360"/>
      <c r="AI20" s="1360"/>
      <c r="AJ20" s="1360"/>
      <c r="AK20" s="1360"/>
      <c r="AL20" s="1360"/>
      <c r="AM20" s="1360"/>
      <c r="AN20" s="1360"/>
      <c r="AO20" s="1360"/>
      <c r="AP20" s="1360"/>
      <c r="AQ20" s="1360"/>
      <c r="AR20" s="1360"/>
      <c r="AS20" s="1360"/>
      <c r="AT20" s="1360"/>
      <c r="AU20" s="1360"/>
      <c r="AV20" s="1360"/>
      <c r="AW20" s="1360"/>
      <c r="AX20" s="1360"/>
      <c r="AY20" s="1360"/>
      <c r="AZ20" s="1360"/>
      <c r="BA20" s="1360"/>
      <c r="BB20" s="1360"/>
      <c r="BC20" s="1360"/>
      <c r="BD20" s="1360"/>
      <c r="BE20" s="1360"/>
      <c r="BF20" s="1360"/>
      <c r="BG20" s="1360"/>
      <c r="BH20" s="1360"/>
      <c r="BI20" s="1360"/>
      <c r="BJ20" s="1360"/>
      <c r="BK20" s="1360"/>
      <c r="BL20" s="1360"/>
      <c r="BM20" s="1360"/>
      <c r="BN20" s="1360"/>
      <c r="BO20" s="1360"/>
      <c r="BP20" s="1360"/>
      <c r="BQ20" s="1360"/>
      <c r="BR20" s="1360"/>
      <c r="BS20" s="1361"/>
    </row>
    <row r="21" spans="1:71" ht="11.25" customHeight="1">
      <c r="A21" s="1623"/>
      <c r="B21" s="1624"/>
      <c r="C21" s="1624"/>
      <c r="D21" s="1624"/>
      <c r="E21" s="1624"/>
      <c r="F21" s="1624"/>
      <c r="G21" s="1624"/>
      <c r="H21" s="1624"/>
      <c r="I21" s="1624"/>
      <c r="J21" s="1624"/>
      <c r="K21" s="1624"/>
      <c r="L21" s="1624"/>
      <c r="M21" s="1624"/>
      <c r="N21" s="1624"/>
      <c r="O21" s="1624"/>
      <c r="P21" s="1624"/>
      <c r="Q21" s="1624"/>
      <c r="R21" s="1624"/>
      <c r="S21" s="1624"/>
      <c r="T21" s="1624"/>
      <c r="U21" s="1624"/>
      <c r="V21" s="1624"/>
      <c r="W21" s="1624"/>
      <c r="X21" s="1624"/>
      <c r="Y21" s="1624"/>
      <c r="Z21" s="1624"/>
      <c r="AA21" s="1624"/>
      <c r="AB21" s="1624"/>
      <c r="AC21" s="1624"/>
      <c r="AD21" s="1624"/>
      <c r="AE21" s="1624"/>
      <c r="AF21" s="1624"/>
      <c r="AG21" s="1624"/>
      <c r="AH21" s="1624"/>
      <c r="AI21" s="1624"/>
      <c r="AJ21" s="1624"/>
      <c r="AK21" s="1624"/>
      <c r="AL21" s="1624"/>
      <c r="AM21" s="1624"/>
      <c r="AN21" s="1624"/>
      <c r="AO21" s="1624"/>
      <c r="AP21" s="1624"/>
      <c r="AQ21" s="1624"/>
      <c r="AR21" s="1624"/>
      <c r="AS21" s="1624"/>
      <c r="AT21" s="1624"/>
      <c r="AU21" s="1624"/>
      <c r="AV21" s="1624"/>
      <c r="AW21" s="1624"/>
      <c r="AX21" s="1624"/>
      <c r="AY21" s="1624"/>
      <c r="AZ21" s="1624"/>
      <c r="BA21" s="1624"/>
      <c r="BB21" s="1624"/>
      <c r="BC21" s="1624"/>
      <c r="BD21" s="1624"/>
      <c r="BE21" s="1624"/>
      <c r="BF21" s="1624"/>
      <c r="BG21" s="1624"/>
      <c r="BH21" s="1624"/>
      <c r="BI21" s="1624"/>
      <c r="BJ21" s="1624"/>
      <c r="BK21" s="1624"/>
      <c r="BL21" s="1624"/>
      <c r="BM21" s="1624"/>
      <c r="BN21" s="1624"/>
      <c r="BO21" s="1624"/>
      <c r="BP21" s="1624"/>
      <c r="BQ21" s="1624"/>
      <c r="BR21" s="1624"/>
      <c r="BS21" s="1625"/>
    </row>
    <row r="22" spans="1:71" s="98" customFormat="1" ht="24.95" customHeight="1">
      <c r="A22" s="1742" t="s">
        <v>298</v>
      </c>
      <c r="B22" s="1743"/>
      <c r="C22" s="1743"/>
      <c r="D22" s="1743"/>
      <c r="E22" s="1743"/>
      <c r="F22" s="1743"/>
      <c r="G22" s="1743"/>
      <c r="H22" s="1743"/>
      <c r="I22" s="1743"/>
      <c r="J22" s="1743"/>
      <c r="K22" s="1743"/>
      <c r="L22" s="1743"/>
      <c r="M22" s="1743"/>
      <c r="N22" s="1743"/>
      <c r="O22" s="1743"/>
      <c r="P22" s="1743"/>
      <c r="Q22" s="1744"/>
      <c r="R22" s="1752" t="s">
        <v>295</v>
      </c>
      <c r="S22" s="1752"/>
      <c r="T22" s="1752"/>
      <c r="U22" s="1752"/>
      <c r="V22" s="1752"/>
      <c r="W22" s="1752"/>
      <c r="X22" s="1752"/>
      <c r="Y22" s="1752"/>
      <c r="Z22" s="1752"/>
      <c r="AA22" s="1752"/>
      <c r="AB22" s="1752"/>
      <c r="AC22" s="1752"/>
      <c r="AD22" s="1752" t="s">
        <v>296</v>
      </c>
      <c r="AE22" s="1752"/>
      <c r="AF22" s="1752"/>
      <c r="AG22" s="1752"/>
      <c r="AH22" s="1752"/>
      <c r="AI22" s="1752"/>
      <c r="AJ22" s="1752"/>
      <c r="AK22" s="1752"/>
      <c r="AL22" s="1752"/>
      <c r="AM22" s="1752"/>
      <c r="AN22" s="1752"/>
      <c r="AO22" s="1752"/>
      <c r="AP22" s="1752"/>
      <c r="AQ22" s="1752"/>
      <c r="AR22" s="1752"/>
      <c r="AS22" s="1752"/>
      <c r="AT22" s="1752"/>
      <c r="AU22" s="1752"/>
      <c r="AV22" s="1752" t="s">
        <v>335</v>
      </c>
      <c r="AW22" s="1752"/>
      <c r="AX22" s="1752"/>
      <c r="AY22" s="1752"/>
      <c r="AZ22" s="1752"/>
      <c r="BA22" s="1752"/>
      <c r="BB22" s="1752"/>
      <c r="BC22" s="1752"/>
      <c r="BD22" s="1752"/>
      <c r="BE22" s="1752"/>
      <c r="BF22" s="1752"/>
      <c r="BG22" s="1752"/>
      <c r="BH22" s="1752" t="s">
        <v>297</v>
      </c>
      <c r="BI22" s="1752"/>
      <c r="BJ22" s="1752"/>
      <c r="BK22" s="1752"/>
      <c r="BL22" s="1752"/>
      <c r="BM22" s="1752"/>
      <c r="BN22" s="1752"/>
      <c r="BO22" s="1752"/>
      <c r="BP22" s="1752"/>
      <c r="BQ22" s="1752"/>
      <c r="BR22" s="1752"/>
      <c r="BS22" s="1752"/>
    </row>
    <row r="23" spans="1:71" ht="24.95" customHeight="1">
      <c r="A23" s="1753" t="s">
        <v>292</v>
      </c>
      <c r="B23" s="1611"/>
      <c r="C23" s="1611"/>
      <c r="D23" s="1611"/>
      <c r="E23" s="1611"/>
      <c r="F23" s="1611"/>
      <c r="G23" s="1611"/>
      <c r="H23" s="1611"/>
      <c r="I23" s="1611"/>
      <c r="J23" s="1611"/>
      <c r="K23" s="1611"/>
      <c r="L23" s="1611"/>
      <c r="M23" s="1611"/>
      <c r="N23" s="1611"/>
      <c r="O23" s="1611"/>
      <c r="P23" s="1611"/>
      <c r="Q23" s="1611"/>
      <c r="R23" s="1088">
        <v>5</v>
      </c>
      <c r="S23" s="1088"/>
      <c r="T23" s="1088"/>
      <c r="U23" s="1088"/>
      <c r="V23" s="1088"/>
      <c r="W23" s="1088"/>
      <c r="X23" s="1088"/>
      <c r="Y23" s="1088"/>
      <c r="Z23" s="1088"/>
      <c r="AA23" s="1088"/>
      <c r="AB23" s="1088"/>
      <c r="AC23" s="1088"/>
      <c r="AD23" s="1088">
        <v>0</v>
      </c>
      <c r="AE23" s="1088"/>
      <c r="AF23" s="1088"/>
      <c r="AG23" s="1088"/>
      <c r="AH23" s="1088"/>
      <c r="AI23" s="1088"/>
      <c r="AJ23" s="1088"/>
      <c r="AK23" s="1088"/>
      <c r="AL23" s="1088"/>
      <c r="AM23" s="1088"/>
      <c r="AN23" s="1088"/>
      <c r="AO23" s="1088"/>
      <c r="AP23" s="1088"/>
      <c r="AQ23" s="1088"/>
      <c r="AR23" s="1088"/>
      <c r="AS23" s="1088"/>
      <c r="AT23" s="1088"/>
      <c r="AU23" s="1088"/>
      <c r="AV23" s="1088">
        <v>10</v>
      </c>
      <c r="AW23" s="1088"/>
      <c r="AX23" s="1088"/>
      <c r="AY23" s="1088"/>
      <c r="AZ23" s="1088"/>
      <c r="BA23" s="1088"/>
      <c r="BB23" s="1088"/>
      <c r="BC23" s="1088"/>
      <c r="BD23" s="1088"/>
      <c r="BE23" s="1088"/>
      <c r="BF23" s="1088"/>
      <c r="BG23" s="1088"/>
      <c r="BH23" s="1088">
        <v>0</v>
      </c>
      <c r="BI23" s="1088"/>
      <c r="BJ23" s="1088"/>
      <c r="BK23" s="1088"/>
      <c r="BL23" s="1088"/>
      <c r="BM23" s="1088"/>
      <c r="BN23" s="1088"/>
      <c r="BO23" s="1088"/>
      <c r="BP23" s="1088"/>
      <c r="BQ23" s="1088"/>
      <c r="BR23" s="1088"/>
      <c r="BS23" s="1372"/>
    </row>
    <row r="24" spans="1:71" ht="24.95" customHeight="1">
      <c r="A24" s="1605" t="s">
        <v>293</v>
      </c>
      <c r="B24" s="1606"/>
      <c r="C24" s="1606"/>
      <c r="D24" s="1606"/>
      <c r="E24" s="1606"/>
      <c r="F24" s="1606"/>
      <c r="G24" s="1606"/>
      <c r="H24" s="1606"/>
      <c r="I24" s="1606"/>
      <c r="J24" s="1606"/>
      <c r="K24" s="1606"/>
      <c r="L24" s="1606"/>
      <c r="M24" s="1606"/>
      <c r="N24" s="1606"/>
      <c r="O24" s="1606"/>
      <c r="P24" s="1606"/>
      <c r="Q24" s="1606"/>
      <c r="R24" s="1089">
        <v>0</v>
      </c>
      <c r="S24" s="1089"/>
      <c r="T24" s="1089"/>
      <c r="U24" s="1089"/>
      <c r="V24" s="1089"/>
      <c r="W24" s="1089"/>
      <c r="X24" s="1089"/>
      <c r="Y24" s="1089"/>
      <c r="Z24" s="1089"/>
      <c r="AA24" s="1089"/>
      <c r="AB24" s="1089"/>
      <c r="AC24" s="1089"/>
      <c r="AD24" s="1089">
        <v>0</v>
      </c>
      <c r="AE24" s="1089"/>
      <c r="AF24" s="1089"/>
      <c r="AG24" s="1089"/>
      <c r="AH24" s="1089"/>
      <c r="AI24" s="1089"/>
      <c r="AJ24" s="1089"/>
      <c r="AK24" s="1089"/>
      <c r="AL24" s="1089"/>
      <c r="AM24" s="1089"/>
      <c r="AN24" s="1089"/>
      <c r="AO24" s="1089"/>
      <c r="AP24" s="1089"/>
      <c r="AQ24" s="1089"/>
      <c r="AR24" s="1089"/>
      <c r="AS24" s="1089"/>
      <c r="AT24" s="1089"/>
      <c r="AU24" s="1089"/>
      <c r="AV24" s="1089">
        <v>0</v>
      </c>
      <c r="AW24" s="1089"/>
      <c r="AX24" s="1089"/>
      <c r="AY24" s="1089"/>
      <c r="AZ24" s="1089"/>
      <c r="BA24" s="1089"/>
      <c r="BB24" s="1089"/>
      <c r="BC24" s="1089"/>
      <c r="BD24" s="1089"/>
      <c r="BE24" s="1089"/>
      <c r="BF24" s="1089"/>
      <c r="BG24" s="1089"/>
      <c r="BH24" s="1089">
        <v>0</v>
      </c>
      <c r="BI24" s="1089"/>
      <c r="BJ24" s="1089"/>
      <c r="BK24" s="1089"/>
      <c r="BL24" s="1089"/>
      <c r="BM24" s="1089"/>
      <c r="BN24" s="1089"/>
      <c r="BO24" s="1089"/>
      <c r="BP24" s="1089"/>
      <c r="BQ24" s="1089"/>
      <c r="BR24" s="1089"/>
      <c r="BS24" s="1354"/>
    </row>
    <row r="25" spans="1:71" ht="24.95" customHeight="1">
      <c r="A25" s="1605" t="s">
        <v>207</v>
      </c>
      <c r="B25" s="1606"/>
      <c r="C25" s="1606"/>
      <c r="D25" s="1606"/>
      <c r="E25" s="1606"/>
      <c r="F25" s="1606"/>
      <c r="G25" s="1606"/>
      <c r="H25" s="1606"/>
      <c r="I25" s="1606"/>
      <c r="J25" s="1606"/>
      <c r="K25" s="1606"/>
      <c r="L25" s="1606"/>
      <c r="M25" s="1606"/>
      <c r="N25" s="1606"/>
      <c r="O25" s="1606"/>
      <c r="P25" s="1606"/>
      <c r="Q25" s="1606"/>
      <c r="R25" s="1089">
        <v>0</v>
      </c>
      <c r="S25" s="1089"/>
      <c r="T25" s="1089"/>
      <c r="U25" s="1089"/>
      <c r="V25" s="1089"/>
      <c r="W25" s="1089"/>
      <c r="X25" s="1089"/>
      <c r="Y25" s="1089"/>
      <c r="Z25" s="1089"/>
      <c r="AA25" s="1089"/>
      <c r="AB25" s="1089"/>
      <c r="AC25" s="1089"/>
      <c r="AD25" s="1089">
        <v>0</v>
      </c>
      <c r="AE25" s="1089"/>
      <c r="AF25" s="1089"/>
      <c r="AG25" s="1089"/>
      <c r="AH25" s="1089"/>
      <c r="AI25" s="1089"/>
      <c r="AJ25" s="1089"/>
      <c r="AK25" s="1089"/>
      <c r="AL25" s="1089"/>
      <c r="AM25" s="1089"/>
      <c r="AN25" s="1089"/>
      <c r="AO25" s="1089"/>
      <c r="AP25" s="1089"/>
      <c r="AQ25" s="1089"/>
      <c r="AR25" s="1089"/>
      <c r="AS25" s="1089"/>
      <c r="AT25" s="1089"/>
      <c r="AU25" s="1089"/>
      <c r="AV25" s="1089">
        <v>0</v>
      </c>
      <c r="AW25" s="1089"/>
      <c r="AX25" s="1089"/>
      <c r="AY25" s="1089"/>
      <c r="AZ25" s="1089"/>
      <c r="BA25" s="1089"/>
      <c r="BB25" s="1089"/>
      <c r="BC25" s="1089"/>
      <c r="BD25" s="1089"/>
      <c r="BE25" s="1089"/>
      <c r="BF25" s="1089"/>
      <c r="BG25" s="1089"/>
      <c r="BH25" s="1089">
        <v>0</v>
      </c>
      <c r="BI25" s="1089"/>
      <c r="BJ25" s="1089"/>
      <c r="BK25" s="1089"/>
      <c r="BL25" s="1089"/>
      <c r="BM25" s="1089"/>
      <c r="BN25" s="1089"/>
      <c r="BO25" s="1089"/>
      <c r="BP25" s="1089"/>
      <c r="BQ25" s="1089"/>
      <c r="BR25" s="1089"/>
      <c r="BS25" s="1354"/>
    </row>
    <row r="26" spans="1:71" ht="24.95" customHeight="1">
      <c r="A26" s="1605" t="s">
        <v>294</v>
      </c>
      <c r="B26" s="1606"/>
      <c r="C26" s="1606"/>
      <c r="D26" s="1606"/>
      <c r="E26" s="1606"/>
      <c r="F26" s="1606"/>
      <c r="G26" s="1606"/>
      <c r="H26" s="1606"/>
      <c r="I26" s="1606"/>
      <c r="J26" s="1606"/>
      <c r="K26" s="1606"/>
      <c r="L26" s="1606"/>
      <c r="M26" s="1606"/>
      <c r="N26" s="1606"/>
      <c r="O26" s="1606"/>
      <c r="P26" s="1606"/>
      <c r="Q26" s="1606"/>
      <c r="R26" s="1089">
        <v>5</v>
      </c>
      <c r="S26" s="1089"/>
      <c r="T26" s="1089"/>
      <c r="U26" s="1089"/>
      <c r="V26" s="1089"/>
      <c r="W26" s="1089"/>
      <c r="X26" s="1089"/>
      <c r="Y26" s="1089"/>
      <c r="Z26" s="1089"/>
      <c r="AA26" s="1089"/>
      <c r="AB26" s="1089"/>
      <c r="AC26" s="1089"/>
      <c r="AD26" s="1089">
        <v>0</v>
      </c>
      <c r="AE26" s="1089"/>
      <c r="AF26" s="1089"/>
      <c r="AG26" s="1089"/>
      <c r="AH26" s="1089"/>
      <c r="AI26" s="1089"/>
      <c r="AJ26" s="1089"/>
      <c r="AK26" s="1089"/>
      <c r="AL26" s="1089"/>
      <c r="AM26" s="1089"/>
      <c r="AN26" s="1089"/>
      <c r="AO26" s="1089"/>
      <c r="AP26" s="1089"/>
      <c r="AQ26" s="1089"/>
      <c r="AR26" s="1089"/>
      <c r="AS26" s="1089"/>
      <c r="AT26" s="1089"/>
      <c r="AU26" s="1089"/>
      <c r="AV26" s="1089">
        <v>15</v>
      </c>
      <c r="AW26" s="1089"/>
      <c r="AX26" s="1089"/>
      <c r="AY26" s="1089"/>
      <c r="AZ26" s="1089"/>
      <c r="BA26" s="1089"/>
      <c r="BB26" s="1089"/>
      <c r="BC26" s="1089"/>
      <c r="BD26" s="1089"/>
      <c r="BE26" s="1089"/>
      <c r="BF26" s="1089"/>
      <c r="BG26" s="1089"/>
      <c r="BH26" s="1089">
        <v>0</v>
      </c>
      <c r="BI26" s="1089"/>
      <c r="BJ26" s="1089"/>
      <c r="BK26" s="1089"/>
      <c r="BL26" s="1089"/>
      <c r="BM26" s="1089"/>
      <c r="BN26" s="1089"/>
      <c r="BO26" s="1089"/>
      <c r="BP26" s="1089"/>
      <c r="BQ26" s="1089"/>
      <c r="BR26" s="1089"/>
      <c r="BS26" s="1354"/>
    </row>
    <row r="27" spans="1:71" ht="24.95" customHeight="1">
      <c r="A27" s="1608" t="s">
        <v>62</v>
      </c>
      <c r="B27" s="1609"/>
      <c r="C27" s="1609"/>
      <c r="D27" s="1609"/>
      <c r="E27" s="1609"/>
      <c r="F27" s="1609"/>
      <c r="G27" s="1609"/>
      <c r="H27" s="1609"/>
      <c r="I27" s="1609"/>
      <c r="J27" s="1609"/>
      <c r="K27" s="1609"/>
      <c r="L27" s="1609"/>
      <c r="M27" s="1609"/>
      <c r="N27" s="1609"/>
      <c r="O27" s="1609"/>
      <c r="P27" s="1609"/>
      <c r="Q27" s="1609"/>
      <c r="R27" s="1748"/>
      <c r="S27" s="1748"/>
      <c r="T27" s="1748"/>
      <c r="U27" s="1748"/>
      <c r="V27" s="1748"/>
      <c r="W27" s="1748"/>
      <c r="X27" s="1748"/>
      <c r="Y27" s="1748"/>
      <c r="Z27" s="1748"/>
      <c r="AA27" s="1748"/>
      <c r="AB27" s="1748"/>
      <c r="AC27" s="1748"/>
      <c r="AD27" s="1748"/>
      <c r="AE27" s="1748"/>
      <c r="AF27" s="1748"/>
      <c r="AG27" s="1748"/>
      <c r="AH27" s="1748"/>
      <c r="AI27" s="1748"/>
      <c r="AJ27" s="1748"/>
      <c r="AK27" s="1748"/>
      <c r="AL27" s="1748"/>
      <c r="AM27" s="1748"/>
      <c r="AN27" s="1748"/>
      <c r="AO27" s="1748"/>
      <c r="AP27" s="1748"/>
      <c r="AQ27" s="1748"/>
      <c r="AR27" s="1748"/>
      <c r="AS27" s="1748"/>
      <c r="AT27" s="1748"/>
      <c r="AU27" s="1748"/>
      <c r="AV27" s="1748"/>
      <c r="AW27" s="1748"/>
      <c r="AX27" s="1748"/>
      <c r="AY27" s="1748"/>
      <c r="AZ27" s="1748"/>
      <c r="BA27" s="1748"/>
      <c r="BB27" s="1748"/>
      <c r="BC27" s="1748"/>
      <c r="BD27" s="1748"/>
      <c r="BE27" s="1748"/>
      <c r="BF27" s="1748"/>
      <c r="BG27" s="1748"/>
      <c r="BH27" s="1748"/>
      <c r="BI27" s="1748"/>
      <c r="BJ27" s="1748"/>
      <c r="BK27" s="1748"/>
      <c r="BL27" s="1748"/>
      <c r="BM27" s="1748"/>
      <c r="BN27" s="1748"/>
      <c r="BO27" s="1748"/>
      <c r="BP27" s="1748"/>
      <c r="BQ27" s="1748"/>
      <c r="BR27" s="1748"/>
      <c r="BS27" s="1749"/>
    </row>
    <row r="28" spans="1:71" ht="24.95" customHeight="1">
      <c r="A28" s="1750"/>
      <c r="B28" s="1668"/>
      <c r="C28" s="1668"/>
      <c r="D28" s="1668"/>
      <c r="E28" s="1668"/>
      <c r="F28" s="1668"/>
      <c r="G28" s="1668"/>
      <c r="H28" s="1668"/>
      <c r="I28" s="1668"/>
      <c r="J28" s="1668"/>
      <c r="K28" s="1668"/>
      <c r="L28" s="1668"/>
      <c r="M28" s="1668"/>
      <c r="N28" s="1668"/>
      <c r="O28" s="1668"/>
      <c r="P28" s="1668"/>
      <c r="Q28" s="1668"/>
      <c r="R28" s="1668"/>
      <c r="S28" s="1668"/>
      <c r="T28" s="1668"/>
      <c r="U28" s="1668"/>
      <c r="V28" s="1668"/>
      <c r="W28" s="1668"/>
      <c r="X28" s="1668"/>
      <c r="Y28" s="1668"/>
      <c r="Z28" s="1668"/>
      <c r="AA28" s="1668"/>
      <c r="AB28" s="1668"/>
      <c r="AC28" s="1668"/>
      <c r="AD28" s="1668"/>
      <c r="AE28" s="1668"/>
      <c r="AF28" s="1668"/>
      <c r="AG28" s="1668"/>
      <c r="AH28" s="1668"/>
      <c r="AI28" s="1668"/>
      <c r="AJ28" s="1668"/>
      <c r="AK28" s="1668"/>
      <c r="AL28" s="1668"/>
      <c r="AM28" s="1668"/>
      <c r="AN28" s="1668"/>
      <c r="AO28" s="1668"/>
      <c r="AP28" s="1668"/>
      <c r="AQ28" s="1668"/>
      <c r="AR28" s="1668"/>
      <c r="AS28" s="1668"/>
      <c r="AT28" s="1668"/>
      <c r="AU28" s="1668"/>
      <c r="AV28" s="1668"/>
      <c r="AW28" s="1668"/>
      <c r="AX28" s="1668"/>
      <c r="AY28" s="1668"/>
      <c r="AZ28" s="1668"/>
      <c r="BA28" s="1668"/>
      <c r="BB28" s="1668"/>
      <c r="BC28" s="1668"/>
      <c r="BD28" s="1668"/>
      <c r="BE28" s="1668"/>
      <c r="BF28" s="1668"/>
      <c r="BG28" s="1668"/>
      <c r="BH28" s="1668"/>
      <c r="BI28" s="1668"/>
      <c r="BJ28" s="1668"/>
      <c r="BK28" s="1668"/>
      <c r="BL28" s="1668"/>
      <c r="BM28" s="1668"/>
      <c r="BN28" s="1668"/>
      <c r="BO28" s="1668"/>
      <c r="BP28" s="1668"/>
      <c r="BQ28" s="1668"/>
      <c r="BR28" s="1668"/>
      <c r="BS28" s="1669"/>
    </row>
    <row r="29" spans="1:71" ht="24.95" customHeight="1">
      <c r="A29" s="1751"/>
      <c r="B29" s="1090"/>
      <c r="C29" s="1090"/>
      <c r="D29" s="1090"/>
      <c r="E29" s="1090"/>
      <c r="F29" s="1090"/>
      <c r="G29" s="1090"/>
      <c r="H29" s="1090"/>
      <c r="I29" s="1090"/>
      <c r="J29" s="1090"/>
      <c r="K29" s="1090"/>
      <c r="L29" s="1090"/>
      <c r="M29" s="1090"/>
      <c r="N29" s="1090"/>
      <c r="O29" s="1090"/>
      <c r="P29" s="1090"/>
      <c r="Q29" s="1090"/>
      <c r="R29" s="1090"/>
      <c r="S29" s="1090"/>
      <c r="T29" s="1090"/>
      <c r="U29" s="1090"/>
      <c r="V29" s="1090"/>
      <c r="W29" s="1090"/>
      <c r="X29" s="1090"/>
      <c r="Y29" s="1090"/>
      <c r="Z29" s="1090"/>
      <c r="AA29" s="1090"/>
      <c r="AB29" s="1090"/>
      <c r="AC29" s="1090"/>
      <c r="AD29" s="1090"/>
      <c r="AE29" s="1090"/>
      <c r="AF29" s="1090"/>
      <c r="AG29" s="1090"/>
      <c r="AH29" s="1090"/>
      <c r="AI29" s="1090"/>
      <c r="AJ29" s="1090"/>
      <c r="AK29" s="1090"/>
      <c r="AL29" s="1090"/>
      <c r="AM29" s="1090"/>
      <c r="AN29" s="1090"/>
      <c r="AO29" s="1090"/>
      <c r="AP29" s="1090"/>
      <c r="AQ29" s="1090"/>
      <c r="AR29" s="1090"/>
      <c r="AS29" s="1090"/>
      <c r="AT29" s="1090"/>
      <c r="AU29" s="1090"/>
      <c r="AV29" s="1090"/>
      <c r="AW29" s="1090"/>
      <c r="AX29" s="1090"/>
      <c r="AY29" s="1090"/>
      <c r="AZ29" s="1090"/>
      <c r="BA29" s="1090"/>
      <c r="BB29" s="1090"/>
      <c r="BC29" s="1090"/>
      <c r="BD29" s="1090"/>
      <c r="BE29" s="1090"/>
      <c r="BF29" s="1090"/>
      <c r="BG29" s="1090"/>
      <c r="BH29" s="1090"/>
      <c r="BI29" s="1090"/>
      <c r="BJ29" s="1090"/>
      <c r="BK29" s="1090"/>
      <c r="BL29" s="1090"/>
      <c r="BM29" s="1090"/>
      <c r="BN29" s="1090"/>
      <c r="BO29" s="1090"/>
      <c r="BP29" s="1090"/>
      <c r="BQ29" s="1090"/>
      <c r="BR29" s="1090"/>
      <c r="BS29" s="1356"/>
    </row>
    <row r="30" spans="1:71">
      <c r="A30" s="172"/>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73"/>
      <c r="AI30" s="173"/>
      <c r="AJ30" s="173"/>
      <c r="AK30" s="173"/>
      <c r="AL30" s="173"/>
      <c r="AM30" s="173"/>
      <c r="AN30" s="173"/>
      <c r="AO30" s="173"/>
      <c r="AP30" s="173"/>
      <c r="AQ30" s="173"/>
      <c r="AR30" s="173"/>
      <c r="AS30" s="173"/>
      <c r="AT30" s="173"/>
      <c r="AU30" s="173"/>
      <c r="AV30" s="173"/>
      <c r="AW30" s="173"/>
      <c r="AX30" s="173"/>
      <c r="AY30" s="173"/>
      <c r="AZ30" s="173"/>
      <c r="BA30" s="173"/>
      <c r="BB30" s="173"/>
      <c r="BC30" s="173"/>
      <c r="BD30" s="173"/>
      <c r="BE30" s="173"/>
      <c r="BF30" s="173"/>
      <c r="BG30" s="173"/>
      <c r="BH30" s="173"/>
      <c r="BI30" s="173"/>
      <c r="BJ30" s="173"/>
      <c r="BK30" s="173"/>
      <c r="BL30" s="173"/>
      <c r="BM30" s="173"/>
      <c r="BN30" s="173"/>
      <c r="BO30" s="173"/>
      <c r="BP30" s="173"/>
      <c r="BQ30" s="173"/>
      <c r="BR30" s="173"/>
      <c r="BS30" s="174"/>
    </row>
    <row r="31" spans="1:71" ht="24.95" customHeight="1">
      <c r="A31" s="1359" t="s">
        <v>318</v>
      </c>
      <c r="B31" s="1360"/>
      <c r="C31" s="1360"/>
      <c r="D31" s="1360"/>
      <c r="E31" s="1360"/>
      <c r="F31" s="1360"/>
      <c r="G31" s="1360"/>
      <c r="H31" s="1360"/>
      <c r="I31" s="1360"/>
      <c r="J31" s="1360"/>
      <c r="K31" s="1360"/>
      <c r="L31" s="1360"/>
      <c r="M31" s="1360"/>
      <c r="N31" s="1360"/>
      <c r="O31" s="1360"/>
      <c r="P31" s="1360"/>
      <c r="Q31" s="1360"/>
      <c r="R31" s="1360"/>
      <c r="S31" s="1360"/>
      <c r="T31" s="1360"/>
      <c r="U31" s="1360"/>
      <c r="V31" s="1360"/>
      <c r="W31" s="1360"/>
      <c r="X31" s="1360"/>
      <c r="Y31" s="1360"/>
      <c r="Z31" s="1360"/>
      <c r="AA31" s="1360"/>
      <c r="AB31" s="1360"/>
      <c r="AC31" s="1360"/>
      <c r="AD31" s="1360"/>
      <c r="AE31" s="1360"/>
      <c r="AF31" s="1360"/>
      <c r="AG31" s="1360"/>
      <c r="AH31" s="1360"/>
      <c r="AI31" s="1360"/>
      <c r="AJ31" s="1360"/>
      <c r="AK31" s="1360"/>
      <c r="AL31" s="1360"/>
      <c r="AM31" s="1360"/>
      <c r="AN31" s="1360"/>
      <c r="AO31" s="1360"/>
      <c r="AP31" s="1360"/>
      <c r="AQ31" s="1360"/>
      <c r="AR31" s="1360"/>
      <c r="AS31" s="1360"/>
      <c r="AT31" s="1360"/>
      <c r="AU31" s="1360"/>
      <c r="AV31" s="1360"/>
      <c r="AW31" s="1360"/>
      <c r="AX31" s="1360"/>
      <c r="AY31" s="1360"/>
      <c r="AZ31" s="1360"/>
      <c r="BA31" s="1360"/>
      <c r="BB31" s="1360"/>
      <c r="BC31" s="1360"/>
      <c r="BD31" s="1360"/>
      <c r="BE31" s="1360"/>
      <c r="BF31" s="1360"/>
      <c r="BG31" s="1360"/>
      <c r="BH31" s="1360"/>
      <c r="BI31" s="1360"/>
      <c r="BJ31" s="1360"/>
      <c r="BK31" s="1360"/>
      <c r="BL31" s="1360"/>
      <c r="BM31" s="1360"/>
      <c r="BN31" s="1360"/>
      <c r="BO31" s="1360"/>
      <c r="BP31" s="1360"/>
      <c r="BQ31" s="1360"/>
      <c r="BR31" s="1360"/>
      <c r="BS31" s="1361"/>
    </row>
    <row r="32" spans="1:71">
      <c r="A32" s="1623"/>
      <c r="B32" s="1624"/>
      <c r="C32" s="1624"/>
      <c r="D32" s="1624"/>
      <c r="E32" s="1624"/>
      <c r="F32" s="1624"/>
      <c r="G32" s="1624"/>
      <c r="H32" s="1624"/>
      <c r="I32" s="1624"/>
      <c r="J32" s="1624"/>
      <c r="K32" s="1624"/>
      <c r="L32" s="1624"/>
      <c r="M32" s="1624"/>
      <c r="N32" s="1624"/>
      <c r="O32" s="1624"/>
      <c r="P32" s="1624"/>
      <c r="Q32" s="1624"/>
      <c r="R32" s="1624"/>
      <c r="S32" s="1624"/>
      <c r="T32" s="1624"/>
      <c r="U32" s="1624"/>
      <c r="V32" s="1624"/>
      <c r="W32" s="1624"/>
      <c r="X32" s="1624"/>
      <c r="Y32" s="1624"/>
      <c r="Z32" s="1624"/>
      <c r="AA32" s="1624"/>
      <c r="AB32" s="1624"/>
      <c r="AC32" s="1624"/>
      <c r="AD32" s="1624"/>
      <c r="AE32" s="1624"/>
      <c r="AF32" s="1624"/>
      <c r="AG32" s="1624"/>
      <c r="AH32" s="1624"/>
      <c r="AI32" s="1624"/>
      <c r="AJ32" s="1624"/>
      <c r="AK32" s="1624"/>
      <c r="AL32" s="1624"/>
      <c r="AM32" s="1624"/>
      <c r="AN32" s="1624"/>
      <c r="AO32" s="1624"/>
      <c r="AP32" s="1624"/>
      <c r="AQ32" s="1624"/>
      <c r="AR32" s="1624"/>
      <c r="AS32" s="1624"/>
      <c r="AT32" s="1624"/>
      <c r="AU32" s="1624"/>
      <c r="AV32" s="1624"/>
      <c r="AW32" s="1624"/>
      <c r="AX32" s="1624"/>
      <c r="AY32" s="1624"/>
      <c r="AZ32" s="1624"/>
      <c r="BA32" s="1624"/>
      <c r="BB32" s="1624"/>
      <c r="BC32" s="1624"/>
      <c r="BD32" s="1624"/>
      <c r="BE32" s="1624"/>
      <c r="BF32" s="1624"/>
      <c r="BG32" s="1624"/>
      <c r="BH32" s="1624"/>
      <c r="BI32" s="1624"/>
      <c r="BJ32" s="1624"/>
      <c r="BK32" s="1624"/>
      <c r="BL32" s="1624"/>
      <c r="BM32" s="1624"/>
      <c r="BN32" s="1624"/>
      <c r="BO32" s="1624"/>
      <c r="BP32" s="1624"/>
      <c r="BQ32" s="1624"/>
      <c r="BR32" s="1624"/>
      <c r="BS32" s="1625"/>
    </row>
    <row r="33" spans="1:71" ht="24.95" customHeight="1">
      <c r="A33" s="1742"/>
      <c r="B33" s="1743"/>
      <c r="C33" s="1743"/>
      <c r="D33" s="1743"/>
      <c r="E33" s="1743"/>
      <c r="F33" s="1743"/>
      <c r="G33" s="1743"/>
      <c r="H33" s="1743"/>
      <c r="I33" s="1743"/>
      <c r="J33" s="1743"/>
      <c r="K33" s="1743"/>
      <c r="L33" s="1743"/>
      <c r="M33" s="1743"/>
      <c r="N33" s="1743"/>
      <c r="O33" s="1743"/>
      <c r="P33" s="1743"/>
      <c r="Q33" s="1744"/>
      <c r="R33" s="1742" t="s">
        <v>202</v>
      </c>
      <c r="S33" s="1743"/>
      <c r="T33" s="1743"/>
      <c r="U33" s="1743"/>
      <c r="V33" s="1743"/>
      <c r="W33" s="1743"/>
      <c r="X33" s="1743"/>
      <c r="Y33" s="1743"/>
      <c r="Z33" s="1743"/>
      <c r="AA33" s="1743"/>
      <c r="AB33" s="1743"/>
      <c r="AC33" s="1743"/>
      <c r="AD33" s="1743"/>
      <c r="AE33" s="1743"/>
      <c r="AF33" s="1743"/>
      <c r="AG33" s="1743"/>
      <c r="AH33" s="1742" t="s">
        <v>7</v>
      </c>
      <c r="AI33" s="1743"/>
      <c r="AJ33" s="1743"/>
      <c r="AK33" s="1743"/>
      <c r="AL33" s="1743"/>
      <c r="AM33" s="1743"/>
      <c r="AN33" s="1743"/>
      <c r="AO33" s="1743"/>
      <c r="AP33" s="1743"/>
      <c r="AQ33" s="1743"/>
      <c r="AR33" s="1743"/>
      <c r="AS33" s="1743"/>
      <c r="AT33" s="1743"/>
      <c r="AU33" s="1743"/>
      <c r="AV33" s="1743"/>
      <c r="AW33" s="1743"/>
      <c r="AX33" s="1743"/>
      <c r="AY33" s="1743"/>
      <c r="AZ33" s="1743"/>
      <c r="BA33" s="1743"/>
      <c r="BB33" s="1743"/>
      <c r="BC33" s="1743"/>
      <c r="BD33" s="1742" t="s">
        <v>337</v>
      </c>
      <c r="BE33" s="1743"/>
      <c r="BF33" s="1743"/>
      <c r="BG33" s="1743"/>
      <c r="BH33" s="1743"/>
      <c r="BI33" s="1743"/>
      <c r="BJ33" s="1743"/>
      <c r="BK33" s="1743"/>
      <c r="BL33" s="1743"/>
      <c r="BM33" s="1743"/>
      <c r="BN33" s="1743"/>
      <c r="BO33" s="1743"/>
      <c r="BP33" s="1743"/>
      <c r="BQ33" s="1743"/>
      <c r="BR33" s="1743"/>
      <c r="BS33" s="1744"/>
    </row>
    <row r="34" spans="1:71" ht="24.95" customHeight="1">
      <c r="A34" s="1739" t="s">
        <v>1</v>
      </c>
      <c r="B34" s="1740"/>
      <c r="C34" s="1740"/>
      <c r="D34" s="1740"/>
      <c r="E34" s="1740"/>
      <c r="F34" s="1740"/>
      <c r="G34" s="1740"/>
      <c r="H34" s="1740"/>
      <c r="I34" s="1740"/>
      <c r="J34" s="1740"/>
      <c r="K34" s="1740"/>
      <c r="L34" s="1740"/>
      <c r="M34" s="1740"/>
      <c r="N34" s="1740"/>
      <c r="O34" s="1740"/>
      <c r="P34" s="1740"/>
      <c r="Q34" s="1741"/>
      <c r="R34" s="1088"/>
      <c r="S34" s="1088"/>
      <c r="T34" s="1088"/>
      <c r="U34" s="1088"/>
      <c r="V34" s="1088"/>
      <c r="W34" s="1088"/>
      <c r="X34" s="1088"/>
      <c r="Y34" s="1088"/>
      <c r="Z34" s="1088"/>
      <c r="AA34" s="1088"/>
      <c r="AB34" s="1088"/>
      <c r="AC34" s="1088"/>
      <c r="AD34" s="1088"/>
      <c r="AE34" s="1088"/>
      <c r="AF34" s="1088"/>
      <c r="AG34" s="1088"/>
      <c r="AH34" s="1088"/>
      <c r="AI34" s="1088"/>
      <c r="AJ34" s="1088"/>
      <c r="AK34" s="1088"/>
      <c r="AL34" s="1088"/>
      <c r="AM34" s="1088"/>
      <c r="AN34" s="1088"/>
      <c r="AO34" s="1088"/>
      <c r="AP34" s="1088"/>
      <c r="AQ34" s="1088"/>
      <c r="AR34" s="1088"/>
      <c r="AS34" s="1088"/>
      <c r="AT34" s="1088"/>
      <c r="AU34" s="1088"/>
      <c r="AV34" s="1088"/>
      <c r="AW34" s="1088"/>
      <c r="AX34" s="1088"/>
      <c r="AY34" s="1088"/>
      <c r="AZ34" s="1088"/>
      <c r="BA34" s="1088"/>
      <c r="BB34" s="1088"/>
      <c r="BC34" s="1088"/>
      <c r="BD34" s="1088"/>
      <c r="BE34" s="1088"/>
      <c r="BF34" s="1088"/>
      <c r="BG34" s="1088"/>
      <c r="BH34" s="1088"/>
      <c r="BI34" s="1088"/>
      <c r="BJ34" s="1088"/>
      <c r="BK34" s="1088"/>
      <c r="BL34" s="1088"/>
      <c r="BM34" s="1088"/>
      <c r="BN34" s="1088"/>
      <c r="BO34" s="1088"/>
      <c r="BP34" s="1088"/>
      <c r="BQ34" s="1088"/>
      <c r="BR34" s="1088"/>
      <c r="BS34" s="1372"/>
    </row>
    <row r="35" spans="1:71" ht="24.95" customHeight="1">
      <c r="A35" s="1745" t="s">
        <v>336</v>
      </c>
      <c r="B35" s="1746"/>
      <c r="C35" s="1746"/>
      <c r="D35" s="1746"/>
      <c r="E35" s="1746"/>
      <c r="F35" s="1746"/>
      <c r="G35" s="1746"/>
      <c r="H35" s="1746"/>
      <c r="I35" s="1746"/>
      <c r="J35" s="1746"/>
      <c r="K35" s="1746"/>
      <c r="L35" s="1746"/>
      <c r="M35" s="1746"/>
      <c r="N35" s="1746"/>
      <c r="O35" s="1746"/>
      <c r="P35" s="1746"/>
      <c r="Q35" s="1747"/>
      <c r="R35" s="1090"/>
      <c r="S35" s="1090"/>
      <c r="T35" s="1090"/>
      <c r="U35" s="1090"/>
      <c r="V35" s="1090"/>
      <c r="W35" s="1090"/>
      <c r="X35" s="1090"/>
      <c r="Y35" s="1090"/>
      <c r="Z35" s="1090"/>
      <c r="AA35" s="1090"/>
      <c r="AB35" s="1090"/>
      <c r="AC35" s="1090"/>
      <c r="AD35" s="1090"/>
      <c r="AE35" s="1090"/>
      <c r="AF35" s="1090"/>
      <c r="AG35" s="1090"/>
      <c r="AH35" s="1090"/>
      <c r="AI35" s="1090"/>
      <c r="AJ35" s="1090"/>
      <c r="AK35" s="1090"/>
      <c r="AL35" s="1090"/>
      <c r="AM35" s="1090"/>
      <c r="AN35" s="1090"/>
      <c r="AO35" s="1090"/>
      <c r="AP35" s="1090"/>
      <c r="AQ35" s="1090"/>
      <c r="AR35" s="1090"/>
      <c r="AS35" s="1090"/>
      <c r="AT35" s="1090"/>
      <c r="AU35" s="1090"/>
      <c r="AV35" s="1090"/>
      <c r="AW35" s="1090"/>
      <c r="AX35" s="1090"/>
      <c r="AY35" s="1090"/>
      <c r="AZ35" s="1090"/>
      <c r="BA35" s="1090"/>
      <c r="BB35" s="1090"/>
      <c r="BC35" s="1090"/>
      <c r="BD35" s="1090"/>
      <c r="BE35" s="1090"/>
      <c r="BF35" s="1090"/>
      <c r="BG35" s="1090"/>
      <c r="BH35" s="1090"/>
      <c r="BI35" s="1090"/>
      <c r="BJ35" s="1090"/>
      <c r="BK35" s="1090"/>
      <c r="BL35" s="1090"/>
      <c r="BM35" s="1090"/>
      <c r="BN35" s="1090"/>
      <c r="BO35" s="1090"/>
      <c r="BP35" s="1090"/>
      <c r="BQ35" s="1090"/>
      <c r="BR35" s="1090"/>
      <c r="BS35" s="1356"/>
    </row>
    <row r="38" spans="1:71">
      <c r="A38" t="s">
        <v>520</v>
      </c>
    </row>
  </sheetData>
  <mergeCells count="153">
    <mergeCell ref="L18:Q18"/>
    <mergeCell ref="L8:AI8"/>
    <mergeCell ref="L9:Q10"/>
    <mergeCell ref="AJ9:AO10"/>
    <mergeCell ref="AJ18:AO18"/>
    <mergeCell ref="AJ8:BG8"/>
    <mergeCell ref="R9:AI9"/>
    <mergeCell ref="AP9:BG9"/>
    <mergeCell ref="X13:AC13"/>
    <mergeCell ref="AD13:AI13"/>
    <mergeCell ref="AP13:AU13"/>
    <mergeCell ref="AV13:BA13"/>
    <mergeCell ref="AV10:BA10"/>
    <mergeCell ref="BB10:BG10"/>
    <mergeCell ref="A21:BS21"/>
    <mergeCell ref="A20:BS20"/>
    <mergeCell ref="A19:BS19"/>
    <mergeCell ref="BH16:BM16"/>
    <mergeCell ref="BN16:BS16"/>
    <mergeCell ref="BB17:BG17"/>
    <mergeCell ref="BH17:BM17"/>
    <mergeCell ref="BN17:BS17"/>
    <mergeCell ref="A18:K18"/>
    <mergeCell ref="R18:W18"/>
    <mergeCell ref="X18:AC18"/>
    <mergeCell ref="AD18:AI18"/>
    <mergeCell ref="AP18:AU18"/>
    <mergeCell ref="AV18:BA18"/>
    <mergeCell ref="BB18:BG18"/>
    <mergeCell ref="A17:K17"/>
    <mergeCell ref="R17:W17"/>
    <mergeCell ref="X17:AC17"/>
    <mergeCell ref="AD17:AI17"/>
    <mergeCell ref="AP17:AU17"/>
    <mergeCell ref="AV17:BA17"/>
    <mergeCell ref="BH18:BM18"/>
    <mergeCell ref="BN18:BS18"/>
    <mergeCell ref="A12:G16"/>
    <mergeCell ref="BN14:BS14"/>
    <mergeCell ref="H15:K15"/>
    <mergeCell ref="R15:W15"/>
    <mergeCell ref="X15:AC15"/>
    <mergeCell ref="AD15:AI15"/>
    <mergeCell ref="AP15:AU15"/>
    <mergeCell ref="AV15:BA15"/>
    <mergeCell ref="BB15:BG15"/>
    <mergeCell ref="BH15:BM15"/>
    <mergeCell ref="BN15:BS15"/>
    <mergeCell ref="H14:K14"/>
    <mergeCell ref="R14:W14"/>
    <mergeCell ref="X14:AC14"/>
    <mergeCell ref="AD14:AI14"/>
    <mergeCell ref="AP14:AU14"/>
    <mergeCell ref="AV14:BA14"/>
    <mergeCell ref="BB14:BG14"/>
    <mergeCell ref="L12:Q17"/>
    <mergeCell ref="AJ12:AO17"/>
    <mergeCell ref="H16:K16"/>
    <mergeCell ref="R16:W16"/>
    <mergeCell ref="X16:AC16"/>
    <mergeCell ref="AD16:AI16"/>
    <mergeCell ref="AP16:AU16"/>
    <mergeCell ref="BH14:BM14"/>
    <mergeCell ref="A11:K11"/>
    <mergeCell ref="R11:W11"/>
    <mergeCell ref="X11:AC11"/>
    <mergeCell ref="AD11:AI11"/>
    <mergeCell ref="AP11:AU11"/>
    <mergeCell ref="AV11:BA11"/>
    <mergeCell ref="BB11:BG11"/>
    <mergeCell ref="BH11:BM11"/>
    <mergeCell ref="H12:K12"/>
    <mergeCell ref="R12:W12"/>
    <mergeCell ref="X12:AC12"/>
    <mergeCell ref="AV16:BA16"/>
    <mergeCell ref="BB16:BG16"/>
    <mergeCell ref="BB13:BG13"/>
    <mergeCell ref="BH12:BM12"/>
    <mergeCell ref="AD12:AI12"/>
    <mergeCell ref="AP12:AU12"/>
    <mergeCell ref="AV12:BA12"/>
    <mergeCell ref="A4:BS4"/>
    <mergeCell ref="A1:F3"/>
    <mergeCell ref="G1:BC3"/>
    <mergeCell ref="BD1:BH1"/>
    <mergeCell ref="BI1:BS1"/>
    <mergeCell ref="BD2:BH2"/>
    <mergeCell ref="BI2:BS2"/>
    <mergeCell ref="BD3:BH3"/>
    <mergeCell ref="BI3:BS3"/>
    <mergeCell ref="BH13:BM13"/>
    <mergeCell ref="BN13:BS13"/>
    <mergeCell ref="BN11:BS11"/>
    <mergeCell ref="A5:BS5"/>
    <mergeCell ref="A6:BS6"/>
    <mergeCell ref="A7:BS7"/>
    <mergeCell ref="A8:K10"/>
    <mergeCell ref="R10:W10"/>
    <mergeCell ref="X10:AC10"/>
    <mergeCell ref="AD10:AI10"/>
    <mergeCell ref="AP10:AU10"/>
    <mergeCell ref="BH10:BM10"/>
    <mergeCell ref="BN10:BS10"/>
    <mergeCell ref="BH8:BS9"/>
    <mergeCell ref="BN12:BS12"/>
    <mergeCell ref="BB12:BG12"/>
    <mergeCell ref="H13:K13"/>
    <mergeCell ref="R13:W13"/>
    <mergeCell ref="L11:Q11"/>
    <mergeCell ref="AJ11:AO11"/>
    <mergeCell ref="R23:AC23"/>
    <mergeCell ref="AD23:AU23"/>
    <mergeCell ref="AV23:BG23"/>
    <mergeCell ref="BH23:BS23"/>
    <mergeCell ref="R22:AC22"/>
    <mergeCell ref="AD22:AU22"/>
    <mergeCell ref="AV22:BG22"/>
    <mergeCell ref="BH22:BS22"/>
    <mergeCell ref="A22:Q22"/>
    <mergeCell ref="A23:Q23"/>
    <mergeCell ref="A24:Q24"/>
    <mergeCell ref="A25:Q25"/>
    <mergeCell ref="A26:Q26"/>
    <mergeCell ref="A32:BS32"/>
    <mergeCell ref="R27:BS27"/>
    <mergeCell ref="A28:BS28"/>
    <mergeCell ref="A29:BS29"/>
    <mergeCell ref="R24:AC24"/>
    <mergeCell ref="AD24:AU24"/>
    <mergeCell ref="AV24:BG24"/>
    <mergeCell ref="BH24:BS24"/>
    <mergeCell ref="R25:AC25"/>
    <mergeCell ref="AD25:AU25"/>
    <mergeCell ref="AV25:BG25"/>
    <mergeCell ref="BH25:BS25"/>
    <mergeCell ref="R26:AC26"/>
    <mergeCell ref="AD26:AU26"/>
    <mergeCell ref="AV26:BG26"/>
    <mergeCell ref="BH26:BS26"/>
    <mergeCell ref="A31:BS31"/>
    <mergeCell ref="A27:Q27"/>
    <mergeCell ref="A34:Q34"/>
    <mergeCell ref="A33:Q33"/>
    <mergeCell ref="R33:AG33"/>
    <mergeCell ref="AH33:BC33"/>
    <mergeCell ref="BD33:BS33"/>
    <mergeCell ref="R34:AG34"/>
    <mergeCell ref="AH34:BC34"/>
    <mergeCell ref="BD34:BS34"/>
    <mergeCell ref="R35:AG35"/>
    <mergeCell ref="AH35:BC35"/>
    <mergeCell ref="BD35:BS35"/>
    <mergeCell ref="A35:Q35"/>
  </mergeCells>
  <printOptions horizontalCentered="1"/>
  <pageMargins left="0.6" right="0.35" top="0.75" bottom="0.5" header="0.3" footer="0.3"/>
  <pageSetup paperSize="9" scale="75" orientation="portrait" r:id="rId1"/>
  <headerFooter scaleWithDoc="0" alignWithMargins="0"/>
  <drawing r:id="rId2"/>
</worksheet>
</file>

<file path=xl/worksheets/sheet20.xml><?xml version="1.0" encoding="utf-8"?>
<worksheet xmlns="http://schemas.openxmlformats.org/spreadsheetml/2006/main" xmlns:r="http://schemas.openxmlformats.org/officeDocument/2006/relationships">
  <sheetPr>
    <tabColor theme="4" tint="0.39997558519241921"/>
    <pageSetUpPr fitToPage="1"/>
  </sheetPr>
  <dimension ref="A1:BH12"/>
  <sheetViews>
    <sheetView view="pageBreakPreview" zoomScaleSheetLayoutView="100" workbookViewId="0">
      <selection activeCell="AS10" sqref="AS10:BG10"/>
    </sheetView>
  </sheetViews>
  <sheetFormatPr defaultRowHeight="15"/>
  <cols>
    <col min="1" max="58" width="1.7109375" customWidth="1"/>
    <col min="59" max="59" width="2.140625" customWidth="1"/>
    <col min="60" max="60" width="1.7109375" customWidth="1"/>
  </cols>
  <sheetData>
    <row r="1" spans="1:60" ht="20.100000000000001" customHeight="1">
      <c r="A1" s="1132"/>
      <c r="B1" s="1132"/>
      <c r="C1" s="1132"/>
      <c r="D1" s="1132"/>
      <c r="E1" s="1132"/>
      <c r="F1" s="1132"/>
      <c r="G1" s="1645" t="s">
        <v>515</v>
      </c>
      <c r="H1" s="1646"/>
      <c r="I1" s="1646"/>
      <c r="J1" s="1646"/>
      <c r="K1" s="1646"/>
      <c r="L1" s="1646"/>
      <c r="M1" s="1646"/>
      <c r="N1" s="1646"/>
      <c r="O1" s="1646"/>
      <c r="P1" s="1646"/>
      <c r="Q1" s="1646"/>
      <c r="R1" s="1646"/>
      <c r="S1" s="1646"/>
      <c r="T1" s="1646"/>
      <c r="U1" s="1646"/>
      <c r="V1" s="1646"/>
      <c r="W1" s="1646"/>
      <c r="X1" s="1646"/>
      <c r="Y1" s="1646"/>
      <c r="Z1" s="1646"/>
      <c r="AA1" s="1646"/>
      <c r="AB1" s="1646"/>
      <c r="AC1" s="1646"/>
      <c r="AD1" s="1646"/>
      <c r="AE1" s="1646"/>
      <c r="AF1" s="1646"/>
      <c r="AG1" s="1646"/>
      <c r="AH1" s="1646"/>
      <c r="AI1" s="1646"/>
      <c r="AJ1" s="1646"/>
      <c r="AK1" s="1646"/>
      <c r="AL1" s="1646"/>
      <c r="AM1" s="1646"/>
      <c r="AN1" s="1646"/>
      <c r="AO1" s="1646"/>
      <c r="AP1" s="1646"/>
      <c r="AQ1" s="1647"/>
      <c r="AR1" s="1639" t="s">
        <v>237</v>
      </c>
      <c r="AS1" s="1639"/>
      <c r="AT1" s="1639"/>
      <c r="AU1" s="1639"/>
      <c r="AV1" s="1639"/>
      <c r="AW1" s="1804" t="s">
        <v>415</v>
      </c>
      <c r="AX1" s="1804"/>
      <c r="AY1" s="1804"/>
      <c r="AZ1" s="1804"/>
      <c r="BA1" s="1804"/>
      <c r="BB1" s="1804"/>
      <c r="BC1" s="1804"/>
      <c r="BD1" s="1804"/>
      <c r="BE1" s="1804"/>
      <c r="BF1" s="1804"/>
      <c r="BG1" s="1804"/>
    </row>
    <row r="2" spans="1:60" ht="20.100000000000001" customHeight="1">
      <c r="A2" s="1058"/>
      <c r="B2" s="1058"/>
      <c r="C2" s="1058"/>
      <c r="D2" s="1058"/>
      <c r="E2" s="1058"/>
      <c r="F2" s="1058"/>
      <c r="G2" s="1648"/>
      <c r="H2" s="1649"/>
      <c r="I2" s="1649"/>
      <c r="J2" s="1649"/>
      <c r="K2" s="1649"/>
      <c r="L2" s="1649"/>
      <c r="M2" s="1649"/>
      <c r="N2" s="1649"/>
      <c r="O2" s="1649"/>
      <c r="P2" s="1649"/>
      <c r="Q2" s="1649"/>
      <c r="R2" s="1649"/>
      <c r="S2" s="1649"/>
      <c r="T2" s="1649"/>
      <c r="U2" s="1649"/>
      <c r="V2" s="1649"/>
      <c r="W2" s="1649"/>
      <c r="X2" s="1649"/>
      <c r="Y2" s="1649"/>
      <c r="Z2" s="1649"/>
      <c r="AA2" s="1649"/>
      <c r="AB2" s="1649"/>
      <c r="AC2" s="1649"/>
      <c r="AD2" s="1649"/>
      <c r="AE2" s="1649"/>
      <c r="AF2" s="1649"/>
      <c r="AG2" s="1649"/>
      <c r="AH2" s="1649"/>
      <c r="AI2" s="1649"/>
      <c r="AJ2" s="1649"/>
      <c r="AK2" s="1649"/>
      <c r="AL2" s="1649"/>
      <c r="AM2" s="1649"/>
      <c r="AN2" s="1649"/>
      <c r="AO2" s="1649"/>
      <c r="AP2" s="1649"/>
      <c r="AQ2" s="1650"/>
      <c r="AR2" s="1639" t="s">
        <v>235</v>
      </c>
      <c r="AS2" s="1639"/>
      <c r="AT2" s="1639">
        <v>0</v>
      </c>
      <c r="AU2" s="1639"/>
      <c r="AV2" s="1639"/>
      <c r="AW2" s="1804">
        <v>0</v>
      </c>
      <c r="AX2" s="1804"/>
      <c r="AY2" s="1804"/>
      <c r="AZ2" s="1804"/>
      <c r="BA2" s="1804"/>
      <c r="BB2" s="1804"/>
      <c r="BC2" s="1804"/>
      <c r="BD2" s="1804"/>
      <c r="BE2" s="1804"/>
      <c r="BF2" s="1804"/>
      <c r="BG2" s="1804"/>
    </row>
    <row r="3" spans="1:60" ht="20.100000000000001" customHeight="1">
      <c r="A3" s="1059"/>
      <c r="B3" s="1059"/>
      <c r="C3" s="1059"/>
      <c r="D3" s="1059"/>
      <c r="E3" s="1059"/>
      <c r="F3" s="1059"/>
      <c r="G3" s="1651"/>
      <c r="H3" s="1652"/>
      <c r="I3" s="1652"/>
      <c r="J3" s="1652"/>
      <c r="K3" s="1652"/>
      <c r="L3" s="1652"/>
      <c r="M3" s="1652"/>
      <c r="N3" s="1652"/>
      <c r="O3" s="1652"/>
      <c r="P3" s="1652"/>
      <c r="Q3" s="1652"/>
      <c r="R3" s="1652"/>
      <c r="S3" s="1652"/>
      <c r="T3" s="1652"/>
      <c r="U3" s="1652"/>
      <c r="V3" s="1652"/>
      <c r="W3" s="1652"/>
      <c r="X3" s="1652"/>
      <c r="Y3" s="1652"/>
      <c r="Z3" s="1652"/>
      <c r="AA3" s="1652"/>
      <c r="AB3" s="1652"/>
      <c r="AC3" s="1652"/>
      <c r="AD3" s="1652"/>
      <c r="AE3" s="1652"/>
      <c r="AF3" s="1652"/>
      <c r="AG3" s="1652"/>
      <c r="AH3" s="1652"/>
      <c r="AI3" s="1652"/>
      <c r="AJ3" s="1652"/>
      <c r="AK3" s="1652"/>
      <c r="AL3" s="1652"/>
      <c r="AM3" s="1652"/>
      <c r="AN3" s="1652"/>
      <c r="AO3" s="1652"/>
      <c r="AP3" s="1652"/>
      <c r="AQ3" s="1653"/>
      <c r="AR3" s="1639" t="s">
        <v>236</v>
      </c>
      <c r="AS3" s="1639"/>
      <c r="AT3" s="1639">
        <v>41922</v>
      </c>
      <c r="AU3" s="1639"/>
      <c r="AV3" s="1639"/>
      <c r="AW3" s="1760">
        <f>+'Cover '!T11</f>
        <v>42460</v>
      </c>
      <c r="AX3" s="1761"/>
      <c r="AY3" s="1761"/>
      <c r="AZ3" s="1761"/>
      <c r="BA3" s="1761"/>
      <c r="BB3" s="1761"/>
      <c r="BC3" s="1761"/>
      <c r="BD3" s="1761"/>
      <c r="BE3" s="1761"/>
      <c r="BF3" s="1761"/>
      <c r="BG3" s="1762"/>
    </row>
    <row r="4" spans="1:60" ht="15" customHeight="1">
      <c r="A4" s="1642"/>
      <c r="B4" s="1643"/>
      <c r="C4" s="1643"/>
      <c r="D4" s="1643"/>
      <c r="E4" s="1643"/>
      <c r="F4" s="1643"/>
      <c r="G4" s="1643"/>
      <c r="H4" s="1643"/>
      <c r="I4" s="1643"/>
      <c r="J4" s="1643"/>
      <c r="K4" s="1643"/>
      <c r="L4" s="1643"/>
      <c r="M4" s="1643"/>
      <c r="N4" s="1643"/>
      <c r="O4" s="1643"/>
      <c r="P4" s="1643"/>
      <c r="Q4" s="1643"/>
      <c r="R4" s="1643"/>
      <c r="S4" s="1643"/>
      <c r="T4" s="1643"/>
      <c r="U4" s="1643"/>
      <c r="V4" s="1643"/>
      <c r="W4" s="1643"/>
      <c r="X4" s="1643"/>
      <c r="Y4" s="1643"/>
      <c r="Z4" s="1643"/>
      <c r="AA4" s="1643"/>
      <c r="AB4" s="1643"/>
      <c r="AC4" s="1643"/>
      <c r="AD4" s="1643"/>
      <c r="AE4" s="1643"/>
      <c r="AF4" s="1643"/>
      <c r="AG4" s="1643"/>
      <c r="AH4" s="1643"/>
      <c r="AI4" s="1643"/>
      <c r="AJ4" s="1643"/>
      <c r="AK4" s="1643"/>
      <c r="AL4" s="1643"/>
      <c r="AM4" s="1643"/>
      <c r="AN4" s="1643"/>
      <c r="AO4" s="1643"/>
      <c r="AP4" s="1643"/>
      <c r="AQ4" s="1643"/>
      <c r="AR4" s="1643"/>
      <c r="AS4" s="1643"/>
      <c r="AT4" s="1643"/>
      <c r="AU4" s="1643"/>
      <c r="AV4" s="1643"/>
      <c r="AW4" s="1643"/>
      <c r="AX4" s="1643"/>
      <c r="AY4" s="1643"/>
      <c r="AZ4" s="1643"/>
      <c r="BA4" s="1643"/>
      <c r="BB4" s="1643"/>
      <c r="BC4" s="1643"/>
      <c r="BD4" s="1643"/>
      <c r="BE4" s="1643"/>
      <c r="BF4" s="1643"/>
      <c r="BG4" s="1644"/>
    </row>
    <row r="5" spans="1:60" ht="24.95" customHeight="1">
      <c r="A5" s="1359" t="s">
        <v>118</v>
      </c>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c r="AD5" s="1360"/>
      <c r="AE5" s="1360"/>
      <c r="AF5" s="1360"/>
      <c r="AG5" s="1360"/>
      <c r="AH5" s="1360"/>
      <c r="AI5" s="1360"/>
      <c r="AJ5" s="1360"/>
      <c r="AK5" s="1360"/>
      <c r="AL5" s="1360"/>
      <c r="AM5" s="1360"/>
      <c r="AN5" s="1360"/>
      <c r="AO5" s="1360"/>
      <c r="AP5" s="1360"/>
      <c r="AQ5" s="1360"/>
      <c r="AR5" s="1360"/>
      <c r="AS5" s="1360"/>
      <c r="AT5" s="1360"/>
      <c r="AU5" s="1360"/>
      <c r="AV5" s="1360"/>
      <c r="AW5" s="1360"/>
      <c r="AX5" s="1360"/>
      <c r="AY5" s="1360"/>
      <c r="AZ5" s="1360"/>
      <c r="BA5" s="1360"/>
      <c r="BB5" s="1360"/>
      <c r="BC5" s="1360"/>
      <c r="BD5" s="1360"/>
      <c r="BE5" s="1360"/>
      <c r="BF5" s="1360"/>
      <c r="BG5" s="1361"/>
    </row>
    <row r="6" spans="1:60" ht="9.9499999999999993" customHeight="1">
      <c r="A6" s="1623"/>
      <c r="B6" s="1624"/>
      <c r="C6" s="1624"/>
      <c r="D6" s="1624"/>
      <c r="E6" s="1624"/>
      <c r="F6" s="1624"/>
      <c r="G6" s="1624"/>
      <c r="H6" s="1624"/>
      <c r="I6" s="1624"/>
      <c r="J6" s="1624"/>
      <c r="K6" s="1624"/>
      <c r="L6" s="1624"/>
      <c r="M6" s="1624"/>
      <c r="N6" s="1624"/>
      <c r="O6" s="1624"/>
      <c r="P6" s="1624"/>
      <c r="Q6" s="1624"/>
      <c r="R6" s="1624"/>
      <c r="S6" s="1624"/>
      <c r="T6" s="1624"/>
      <c r="U6" s="1624"/>
      <c r="V6" s="1624"/>
      <c r="W6" s="1624"/>
      <c r="X6" s="1624"/>
      <c r="Y6" s="1624"/>
      <c r="Z6" s="1624"/>
      <c r="AA6" s="1624"/>
      <c r="AB6" s="1624"/>
      <c r="AC6" s="1624"/>
      <c r="AD6" s="1624"/>
      <c r="AE6" s="1624"/>
      <c r="AF6" s="1624"/>
      <c r="AG6" s="1624"/>
      <c r="AH6" s="1624"/>
      <c r="AI6" s="1624"/>
      <c r="AJ6" s="1624"/>
      <c r="AK6" s="1624"/>
      <c r="AL6" s="1624"/>
      <c r="AM6" s="1624"/>
      <c r="AN6" s="1624"/>
      <c r="AO6" s="1624"/>
      <c r="AP6" s="1624"/>
      <c r="AQ6" s="1624"/>
      <c r="AR6" s="1624"/>
      <c r="AS6" s="1624"/>
      <c r="AT6" s="1624"/>
      <c r="AU6" s="1624"/>
      <c r="AV6" s="1624"/>
      <c r="AW6" s="1624"/>
      <c r="AX6" s="1624"/>
      <c r="AY6" s="1624"/>
      <c r="AZ6" s="1624"/>
      <c r="BA6" s="1624"/>
      <c r="BB6" s="1624"/>
      <c r="BC6" s="1624"/>
      <c r="BD6" s="1624"/>
      <c r="BE6" s="1624"/>
      <c r="BF6" s="1624"/>
      <c r="BG6" s="1625"/>
    </row>
    <row r="7" spans="1:60" ht="24.95" customHeight="1">
      <c r="A7" s="1790" t="s">
        <v>119</v>
      </c>
      <c r="B7" s="1791"/>
      <c r="C7" s="1791"/>
      <c r="D7" s="1791"/>
      <c r="E7" s="1791"/>
      <c r="F7" s="1791"/>
      <c r="G7" s="1791"/>
      <c r="H7" s="1791"/>
      <c r="I7" s="1791"/>
      <c r="J7" s="1791"/>
      <c r="K7" s="1791"/>
      <c r="L7" s="1791"/>
      <c r="M7" s="1791"/>
      <c r="N7" s="1791"/>
      <c r="O7" s="1791"/>
      <c r="P7" s="1791"/>
      <c r="Q7" s="1791"/>
      <c r="R7" s="1791"/>
      <c r="S7" s="1791"/>
      <c r="T7" s="1791"/>
      <c r="U7" s="1791"/>
      <c r="V7" s="1791"/>
      <c r="W7" s="1791"/>
      <c r="X7" s="1791"/>
      <c r="Y7" s="1791"/>
      <c r="Z7" s="1791"/>
      <c r="AA7" s="1791"/>
      <c r="AB7" s="1791"/>
      <c r="AC7" s="1791"/>
      <c r="AD7" s="1791"/>
      <c r="AE7" s="1791"/>
      <c r="AF7" s="1791"/>
      <c r="AG7" s="1791"/>
      <c r="AH7" s="1791"/>
      <c r="AI7" s="1791"/>
      <c r="AJ7" s="1791"/>
      <c r="AK7" s="1791"/>
      <c r="AL7" s="1791"/>
      <c r="AM7" s="1791"/>
      <c r="AN7" s="1791"/>
      <c r="AO7" s="1791"/>
      <c r="AP7" s="1791"/>
      <c r="AQ7" s="1791"/>
      <c r="AR7" s="1791"/>
      <c r="AS7" s="1752" t="s">
        <v>320</v>
      </c>
      <c r="AT7" s="1756"/>
      <c r="AU7" s="1756"/>
      <c r="AV7" s="1756"/>
      <c r="AW7" s="1756"/>
      <c r="AX7" s="1756"/>
      <c r="AY7" s="1756"/>
      <c r="AZ7" s="1756"/>
      <c r="BA7" s="1756"/>
      <c r="BB7" s="1756"/>
      <c r="BC7" s="1756"/>
      <c r="BD7" s="1756"/>
      <c r="BE7" s="1756"/>
      <c r="BF7" s="1756"/>
      <c r="BG7" s="1756"/>
    </row>
    <row r="8" spans="1:60" s="77" customFormat="1" ht="24.95" customHeight="1">
      <c r="A8" s="1756" t="s">
        <v>428</v>
      </c>
      <c r="B8" s="1756"/>
      <c r="C8" s="1756"/>
      <c r="D8" s="1756"/>
      <c r="E8" s="1756"/>
      <c r="F8" s="1756"/>
      <c r="G8" s="1756"/>
      <c r="H8" s="1756"/>
      <c r="I8" s="1756"/>
      <c r="J8" s="1756"/>
      <c r="K8" s="1756"/>
      <c r="L8" s="1756"/>
      <c r="M8" s="1756"/>
      <c r="N8" s="1756"/>
      <c r="O8" s="1756"/>
      <c r="P8" s="1756" t="s">
        <v>7</v>
      </c>
      <c r="Q8" s="1756"/>
      <c r="R8" s="1756"/>
      <c r="S8" s="1756"/>
      <c r="T8" s="1756"/>
      <c r="U8" s="1756"/>
      <c r="V8" s="1756"/>
      <c r="W8" s="1756"/>
      <c r="X8" s="1756"/>
      <c r="Y8" s="1756"/>
      <c r="Z8" s="1756"/>
      <c r="AA8" s="1756"/>
      <c r="AB8" s="1756"/>
      <c r="AC8" s="1756"/>
      <c r="AD8" s="1756"/>
      <c r="AE8" s="1756" t="s">
        <v>319</v>
      </c>
      <c r="AF8" s="1756"/>
      <c r="AG8" s="1756"/>
      <c r="AH8" s="1756"/>
      <c r="AI8" s="1756"/>
      <c r="AJ8" s="1756"/>
      <c r="AK8" s="1756"/>
      <c r="AL8" s="1756"/>
      <c r="AM8" s="1756"/>
      <c r="AN8" s="1756"/>
      <c r="AO8" s="1756"/>
      <c r="AP8" s="1756"/>
      <c r="AQ8" s="1756"/>
      <c r="AR8" s="1790"/>
      <c r="AS8" s="1756"/>
      <c r="AT8" s="1756"/>
      <c r="AU8" s="1756"/>
      <c r="AV8" s="1756"/>
      <c r="AW8" s="1756"/>
      <c r="AX8" s="1756"/>
      <c r="AY8" s="1756"/>
      <c r="AZ8" s="1756"/>
      <c r="BA8" s="1756"/>
      <c r="BB8" s="1756"/>
      <c r="BC8" s="1756"/>
      <c r="BD8" s="1756"/>
      <c r="BE8" s="1756"/>
      <c r="BF8" s="1756"/>
      <c r="BG8" s="1756"/>
      <c r="BH8"/>
    </row>
    <row r="9" spans="1:60" s="77" customFormat="1" ht="30" customHeight="1">
      <c r="A9" s="1799"/>
      <c r="B9" s="1800"/>
      <c r="C9" s="1800"/>
      <c r="D9" s="1800"/>
      <c r="E9" s="1800"/>
      <c r="F9" s="1800"/>
      <c r="G9" s="1800"/>
      <c r="H9" s="1800"/>
      <c r="I9" s="1800"/>
      <c r="J9" s="1800"/>
      <c r="K9" s="1800"/>
      <c r="L9" s="1800"/>
      <c r="M9" s="1800"/>
      <c r="N9" s="1800"/>
      <c r="O9" s="1800"/>
      <c r="P9" s="1800">
        <v>0</v>
      </c>
      <c r="Q9" s="1800"/>
      <c r="R9" s="1800"/>
      <c r="S9" s="1800"/>
      <c r="T9" s="1800"/>
      <c r="U9" s="1800"/>
      <c r="V9" s="1800"/>
      <c r="W9" s="1800"/>
      <c r="X9" s="1800"/>
      <c r="Y9" s="1800"/>
      <c r="Z9" s="1800"/>
      <c r="AA9" s="1800"/>
      <c r="AB9" s="1800"/>
      <c r="AC9" s="1800"/>
      <c r="AD9" s="1800"/>
      <c r="AE9" s="1800">
        <v>0</v>
      </c>
      <c r="AF9" s="1800"/>
      <c r="AG9" s="1800"/>
      <c r="AH9" s="1800"/>
      <c r="AI9" s="1800"/>
      <c r="AJ9" s="1800"/>
      <c r="AK9" s="1800"/>
      <c r="AL9" s="1800"/>
      <c r="AM9" s="1800"/>
      <c r="AN9" s="1800"/>
      <c r="AO9" s="1800"/>
      <c r="AP9" s="1800"/>
      <c r="AQ9" s="1800"/>
      <c r="AR9" s="1800"/>
      <c r="AS9" s="1801"/>
      <c r="AT9" s="1802"/>
      <c r="AU9" s="1802"/>
      <c r="AV9" s="1802"/>
      <c r="AW9" s="1802"/>
      <c r="AX9" s="1802"/>
      <c r="AY9" s="1802"/>
      <c r="AZ9" s="1802"/>
      <c r="BA9" s="1802"/>
      <c r="BB9" s="1802"/>
      <c r="BC9" s="1802"/>
      <c r="BD9" s="1802"/>
      <c r="BE9" s="1802"/>
      <c r="BF9" s="1802"/>
      <c r="BG9" s="1803"/>
      <c r="BH9"/>
    </row>
    <row r="10" spans="1:60" s="77" customFormat="1" ht="30" customHeight="1">
      <c r="A10" s="1796"/>
      <c r="B10" s="1797"/>
      <c r="C10" s="1797"/>
      <c r="D10" s="1797"/>
      <c r="E10" s="1797"/>
      <c r="F10" s="1797"/>
      <c r="G10" s="1797"/>
      <c r="H10" s="1797"/>
      <c r="I10" s="1797"/>
      <c r="J10" s="1797"/>
      <c r="K10" s="1797"/>
      <c r="L10" s="1797"/>
      <c r="M10" s="1797"/>
      <c r="N10" s="1797"/>
      <c r="O10" s="1797"/>
      <c r="P10" s="1797"/>
      <c r="Q10" s="1797"/>
      <c r="R10" s="1797"/>
      <c r="S10" s="1797"/>
      <c r="T10" s="1797"/>
      <c r="U10" s="1797"/>
      <c r="V10" s="1797"/>
      <c r="W10" s="1797"/>
      <c r="X10" s="1797"/>
      <c r="Y10" s="1797"/>
      <c r="Z10" s="1797"/>
      <c r="AA10" s="1797"/>
      <c r="AB10" s="1797"/>
      <c r="AC10" s="1797"/>
      <c r="AD10" s="1797"/>
      <c r="AE10" s="1797"/>
      <c r="AF10" s="1797"/>
      <c r="AG10" s="1797"/>
      <c r="AH10" s="1797"/>
      <c r="AI10" s="1797"/>
      <c r="AJ10" s="1797"/>
      <c r="AK10" s="1797"/>
      <c r="AL10" s="1797"/>
      <c r="AM10" s="1797"/>
      <c r="AN10" s="1797"/>
      <c r="AO10" s="1797"/>
      <c r="AP10" s="1797"/>
      <c r="AQ10" s="1797"/>
      <c r="AR10" s="1797"/>
      <c r="AS10" s="1797"/>
      <c r="AT10" s="1797"/>
      <c r="AU10" s="1797"/>
      <c r="AV10" s="1797"/>
      <c r="AW10" s="1797"/>
      <c r="AX10" s="1797"/>
      <c r="AY10" s="1797"/>
      <c r="AZ10" s="1797"/>
      <c r="BA10" s="1797"/>
      <c r="BB10" s="1797"/>
      <c r="BC10" s="1797"/>
      <c r="BD10" s="1797"/>
      <c r="BE10" s="1797"/>
      <c r="BF10" s="1797"/>
      <c r="BG10" s="1798"/>
      <c r="BH10"/>
    </row>
    <row r="11" spans="1:60" s="77" customFormat="1" ht="24.95" customHeight="1">
      <c r="A11" s="1793"/>
      <c r="B11" s="1794"/>
      <c r="C11" s="1794"/>
      <c r="D11" s="1794"/>
      <c r="E11" s="1794"/>
      <c r="F11" s="1794"/>
      <c r="G11" s="1794"/>
      <c r="H11" s="1794"/>
      <c r="I11" s="1794"/>
      <c r="J11" s="1794"/>
      <c r="K11" s="1794"/>
      <c r="L11" s="1794"/>
      <c r="M11" s="1794"/>
      <c r="N11" s="1794"/>
      <c r="O11" s="1794"/>
      <c r="P11" s="1794"/>
      <c r="Q11" s="1794"/>
      <c r="R11" s="1794"/>
      <c r="S11" s="1794"/>
      <c r="T11" s="1794"/>
      <c r="U11" s="1794"/>
      <c r="V11" s="1794"/>
      <c r="W11" s="1794"/>
      <c r="X11" s="1794"/>
      <c r="Y11" s="1794"/>
      <c r="Z11" s="1794"/>
      <c r="AA11" s="1794"/>
      <c r="AB11" s="1794"/>
      <c r="AC11" s="1794"/>
      <c r="AD11" s="1794"/>
      <c r="AE11" s="1794"/>
      <c r="AF11" s="1794"/>
      <c r="AG11" s="1794"/>
      <c r="AH11" s="1794"/>
      <c r="AI11" s="1794"/>
      <c r="AJ11" s="1794"/>
      <c r="AK11" s="1794"/>
      <c r="AL11" s="1794"/>
      <c r="AM11" s="1794"/>
      <c r="AN11" s="1794"/>
      <c r="AO11" s="1794"/>
      <c r="AP11" s="1794"/>
      <c r="AQ11" s="1794"/>
      <c r="AR11" s="1794"/>
      <c r="AS11" s="1794"/>
      <c r="AT11" s="1794"/>
      <c r="AU11" s="1794"/>
      <c r="AV11" s="1794"/>
      <c r="AW11" s="1794"/>
      <c r="AX11" s="1794"/>
      <c r="AY11" s="1794"/>
      <c r="AZ11" s="1794"/>
      <c r="BA11" s="1794"/>
      <c r="BB11" s="1794"/>
      <c r="BC11" s="1794"/>
      <c r="BD11" s="1794"/>
      <c r="BE11" s="1794"/>
      <c r="BF11" s="1794"/>
      <c r="BG11" s="1795"/>
      <c r="BH11"/>
    </row>
    <row r="12" spans="1:60" s="77" customFormat="1" ht="24.95" customHeight="1">
      <c r="A12" s="1608"/>
      <c r="B12" s="1609"/>
      <c r="C12" s="1609"/>
      <c r="D12" s="1609"/>
      <c r="E12" s="1609"/>
      <c r="F12" s="1609"/>
      <c r="G12" s="1609"/>
      <c r="H12" s="1609"/>
      <c r="I12" s="1609"/>
      <c r="J12" s="1609"/>
      <c r="K12" s="1609"/>
      <c r="L12" s="1609"/>
      <c r="M12" s="1609"/>
      <c r="N12" s="1609"/>
      <c r="O12" s="1609"/>
      <c r="P12" s="1609"/>
      <c r="Q12" s="1609"/>
      <c r="R12" s="1609"/>
      <c r="S12" s="1609"/>
      <c r="T12" s="1609"/>
      <c r="U12" s="1609"/>
      <c r="V12" s="1609"/>
      <c r="W12" s="1609"/>
      <c r="X12" s="1609"/>
      <c r="Y12" s="1609"/>
      <c r="Z12" s="1609"/>
      <c r="AA12" s="1609"/>
      <c r="AB12" s="1609"/>
      <c r="AC12" s="1609"/>
      <c r="AD12" s="1609"/>
      <c r="AE12" s="1609"/>
      <c r="AF12" s="1609"/>
      <c r="AG12" s="1609"/>
      <c r="AH12" s="1609"/>
      <c r="AI12" s="1609"/>
      <c r="AJ12" s="1609"/>
      <c r="AK12" s="1609"/>
      <c r="AL12" s="1609"/>
      <c r="AM12" s="1609"/>
      <c r="AN12" s="1609"/>
      <c r="AO12" s="1609"/>
      <c r="AP12" s="1609"/>
      <c r="AQ12" s="1609"/>
      <c r="AR12" s="1609"/>
      <c r="AS12" s="1609"/>
      <c r="AT12" s="1609"/>
      <c r="AU12" s="1609"/>
      <c r="AV12" s="1609"/>
      <c r="AW12" s="1609"/>
      <c r="AX12" s="1609"/>
      <c r="AY12" s="1609"/>
      <c r="AZ12" s="1609"/>
      <c r="BA12" s="1609"/>
      <c r="BB12" s="1609"/>
      <c r="BC12" s="1609"/>
      <c r="BD12" s="1609"/>
      <c r="BE12" s="1609"/>
      <c r="BF12" s="1609"/>
      <c r="BG12" s="1610"/>
      <c r="BH12"/>
    </row>
  </sheetData>
  <mergeCells count="26">
    <mergeCell ref="A4:BG4"/>
    <mergeCell ref="A5:BG5"/>
    <mergeCell ref="A6:BG6"/>
    <mergeCell ref="A1:F3"/>
    <mergeCell ref="G1:AQ3"/>
    <mergeCell ref="AR1:AV1"/>
    <mergeCell ref="AW1:BG1"/>
    <mergeCell ref="AR2:AV2"/>
    <mergeCell ref="AW2:BG2"/>
    <mergeCell ref="AR3:AV3"/>
    <mergeCell ref="AW3:BG3"/>
    <mergeCell ref="A7:AR7"/>
    <mergeCell ref="AS7:BG8"/>
    <mergeCell ref="A11:BG11"/>
    <mergeCell ref="A12:BG12"/>
    <mergeCell ref="A8:O8"/>
    <mergeCell ref="P8:AD8"/>
    <mergeCell ref="AE8:AR8"/>
    <mergeCell ref="A10:O10"/>
    <mergeCell ref="P10:AD10"/>
    <mergeCell ref="AE10:AR10"/>
    <mergeCell ref="AS10:BG10"/>
    <mergeCell ref="A9:O9"/>
    <mergeCell ref="P9:AD9"/>
    <mergeCell ref="AS9:BG9"/>
    <mergeCell ref="AE9:AR9"/>
  </mergeCells>
  <printOptions horizontalCentered="1"/>
  <pageMargins left="0.6" right="0.35" top="0.75" bottom="0.5" header="0.3" footer="0.3"/>
  <pageSetup paperSize="9" scale="90" orientation="portrait" r:id="rId1"/>
  <headerFooter scaleWithDoc="0" alignWithMargins="0"/>
  <drawing r:id="rId2"/>
</worksheet>
</file>

<file path=xl/worksheets/sheet21.xml><?xml version="1.0" encoding="utf-8"?>
<worksheet xmlns="http://schemas.openxmlformats.org/spreadsheetml/2006/main" xmlns:r="http://schemas.openxmlformats.org/officeDocument/2006/relationships">
  <sheetPr>
    <tabColor theme="4" tint="0.39997558519241921"/>
    <pageSetUpPr fitToPage="1"/>
  </sheetPr>
  <dimension ref="A1:BM20"/>
  <sheetViews>
    <sheetView view="pageBreakPreview" topLeftCell="A4" zoomScaleSheetLayoutView="100" workbookViewId="0">
      <selection activeCell="BA15" sqref="BA15:BG15"/>
    </sheetView>
  </sheetViews>
  <sheetFormatPr defaultRowHeight="15"/>
  <cols>
    <col min="1" max="59" width="2.7109375" customWidth="1"/>
    <col min="60" max="60" width="1.7109375" customWidth="1"/>
    <col min="62" max="62" width="11.5703125" hidden="1" customWidth="1"/>
    <col min="63" max="63" width="10.5703125" hidden="1" customWidth="1"/>
  </cols>
  <sheetData>
    <row r="1" spans="1:65" ht="20.100000000000001" customHeight="1">
      <c r="A1" s="1132"/>
      <c r="B1" s="1132"/>
      <c r="C1" s="1132"/>
      <c r="D1" s="1132"/>
      <c r="E1" s="1132"/>
      <c r="F1" s="1132"/>
      <c r="G1" s="1846" t="s">
        <v>516</v>
      </c>
      <c r="H1" s="1846"/>
      <c r="I1" s="1846"/>
      <c r="J1" s="1846"/>
      <c r="K1" s="1846"/>
      <c r="L1" s="1846"/>
      <c r="M1" s="1846"/>
      <c r="N1" s="1846"/>
      <c r="O1" s="1846"/>
      <c r="P1" s="1846"/>
      <c r="Q1" s="1846"/>
      <c r="R1" s="1846"/>
      <c r="S1" s="1846"/>
      <c r="T1" s="1846"/>
      <c r="U1" s="1846"/>
      <c r="V1" s="1846"/>
      <c r="W1" s="1846"/>
      <c r="X1" s="1846"/>
      <c r="Y1" s="1846"/>
      <c r="Z1" s="1846"/>
      <c r="AA1" s="1846"/>
      <c r="AB1" s="1846"/>
      <c r="AC1" s="1846"/>
      <c r="AD1" s="1846"/>
      <c r="AE1" s="1846"/>
      <c r="AF1" s="1846"/>
      <c r="AG1" s="1846"/>
      <c r="AH1" s="1846"/>
      <c r="AI1" s="1846"/>
      <c r="AJ1" s="1846"/>
      <c r="AK1" s="1846"/>
      <c r="AL1" s="1846"/>
      <c r="AM1" s="1846"/>
      <c r="AN1" s="1846"/>
      <c r="AO1" s="1846"/>
      <c r="AP1" s="1846"/>
      <c r="AQ1" s="1846"/>
      <c r="AR1" s="1846"/>
      <c r="AS1" s="1846"/>
      <c r="AT1" s="1846"/>
      <c r="AU1" s="1846"/>
      <c r="AV1" s="1846"/>
      <c r="AW1" s="1847" t="s">
        <v>237</v>
      </c>
      <c r="AX1" s="1847"/>
      <c r="AY1" s="1847"/>
      <c r="AZ1" s="1847" t="s">
        <v>416</v>
      </c>
      <c r="BA1" s="1847"/>
      <c r="BB1" s="1847"/>
      <c r="BC1" s="1847"/>
      <c r="BD1" s="1847"/>
      <c r="BE1" s="1847"/>
      <c r="BF1" s="1847"/>
      <c r="BG1" s="1847"/>
    </row>
    <row r="2" spans="1:65" ht="20.100000000000001" customHeight="1">
      <c r="A2" s="1058"/>
      <c r="B2" s="1058"/>
      <c r="C2" s="1058"/>
      <c r="D2" s="1058"/>
      <c r="E2" s="1058"/>
      <c r="F2" s="1058"/>
      <c r="G2" s="1846"/>
      <c r="H2" s="1846"/>
      <c r="I2" s="1846"/>
      <c r="J2" s="1846"/>
      <c r="K2" s="1846"/>
      <c r="L2" s="1846"/>
      <c r="M2" s="1846"/>
      <c r="N2" s="1846"/>
      <c r="O2" s="1846"/>
      <c r="P2" s="1846"/>
      <c r="Q2" s="1846"/>
      <c r="R2" s="1846"/>
      <c r="S2" s="1846"/>
      <c r="T2" s="1846"/>
      <c r="U2" s="1846"/>
      <c r="V2" s="1846"/>
      <c r="W2" s="1846"/>
      <c r="X2" s="1846"/>
      <c r="Y2" s="1846"/>
      <c r="Z2" s="1846"/>
      <c r="AA2" s="1846"/>
      <c r="AB2" s="1846"/>
      <c r="AC2" s="1846"/>
      <c r="AD2" s="1846"/>
      <c r="AE2" s="1846"/>
      <c r="AF2" s="1846"/>
      <c r="AG2" s="1846"/>
      <c r="AH2" s="1846"/>
      <c r="AI2" s="1846"/>
      <c r="AJ2" s="1846"/>
      <c r="AK2" s="1846"/>
      <c r="AL2" s="1846"/>
      <c r="AM2" s="1846"/>
      <c r="AN2" s="1846"/>
      <c r="AO2" s="1846"/>
      <c r="AP2" s="1846"/>
      <c r="AQ2" s="1846"/>
      <c r="AR2" s="1846"/>
      <c r="AS2" s="1846"/>
      <c r="AT2" s="1846"/>
      <c r="AU2" s="1846"/>
      <c r="AV2" s="1846"/>
      <c r="AW2" s="1847" t="s">
        <v>235</v>
      </c>
      <c r="AX2" s="1847"/>
      <c r="AY2" s="1847"/>
      <c r="AZ2" s="1847">
        <v>1</v>
      </c>
      <c r="BA2" s="1847"/>
      <c r="BB2" s="1847"/>
      <c r="BC2" s="1847"/>
      <c r="BD2" s="1847"/>
      <c r="BE2" s="1847"/>
      <c r="BF2" s="1847"/>
      <c r="BG2" s="1847"/>
    </row>
    <row r="3" spans="1:65" ht="20.100000000000001" customHeight="1">
      <c r="A3" s="1059"/>
      <c r="B3" s="1059"/>
      <c r="C3" s="1059"/>
      <c r="D3" s="1059"/>
      <c r="E3" s="1059"/>
      <c r="F3" s="1059"/>
      <c r="G3" s="1846"/>
      <c r="H3" s="1846"/>
      <c r="I3" s="1846"/>
      <c r="J3" s="1846"/>
      <c r="K3" s="1846"/>
      <c r="L3" s="1846"/>
      <c r="M3" s="1846"/>
      <c r="N3" s="1846"/>
      <c r="O3" s="1846"/>
      <c r="P3" s="1846"/>
      <c r="Q3" s="1846"/>
      <c r="R3" s="1846"/>
      <c r="S3" s="1846"/>
      <c r="T3" s="1846"/>
      <c r="U3" s="1846"/>
      <c r="V3" s="1846"/>
      <c r="W3" s="1846"/>
      <c r="X3" s="1846"/>
      <c r="Y3" s="1846"/>
      <c r="Z3" s="1846"/>
      <c r="AA3" s="1846"/>
      <c r="AB3" s="1846"/>
      <c r="AC3" s="1846"/>
      <c r="AD3" s="1846"/>
      <c r="AE3" s="1846"/>
      <c r="AF3" s="1846"/>
      <c r="AG3" s="1846"/>
      <c r="AH3" s="1846"/>
      <c r="AI3" s="1846"/>
      <c r="AJ3" s="1846"/>
      <c r="AK3" s="1846"/>
      <c r="AL3" s="1846"/>
      <c r="AM3" s="1846"/>
      <c r="AN3" s="1846"/>
      <c r="AO3" s="1846"/>
      <c r="AP3" s="1846"/>
      <c r="AQ3" s="1846"/>
      <c r="AR3" s="1846"/>
      <c r="AS3" s="1846"/>
      <c r="AT3" s="1846"/>
      <c r="AU3" s="1846"/>
      <c r="AV3" s="1846"/>
      <c r="AW3" s="1847" t="s">
        <v>236</v>
      </c>
      <c r="AX3" s="1847"/>
      <c r="AY3" s="1847"/>
      <c r="AZ3" s="1760">
        <f>+'Cover '!T11</f>
        <v>42460</v>
      </c>
      <c r="BA3" s="1761"/>
      <c r="BB3" s="1761"/>
      <c r="BC3" s="1761"/>
      <c r="BD3" s="1761"/>
      <c r="BE3" s="1761"/>
      <c r="BF3" s="1761"/>
      <c r="BG3" s="1762"/>
    </row>
    <row r="4" spans="1:65" ht="15" customHeight="1">
      <c r="A4" s="1642"/>
      <c r="B4" s="1643"/>
      <c r="C4" s="1643"/>
      <c r="D4" s="1643"/>
      <c r="E4" s="1643"/>
      <c r="F4" s="1643"/>
      <c r="G4" s="1643"/>
      <c r="H4" s="1643"/>
      <c r="I4" s="1643"/>
      <c r="J4" s="1643"/>
      <c r="K4" s="1643"/>
      <c r="L4" s="1643"/>
      <c r="M4" s="1643"/>
      <c r="N4" s="1643"/>
      <c r="O4" s="1643"/>
      <c r="P4" s="1643"/>
      <c r="Q4" s="1643"/>
      <c r="R4" s="1643"/>
      <c r="S4" s="1643"/>
      <c r="T4" s="1643"/>
      <c r="U4" s="1643"/>
      <c r="V4" s="1643"/>
      <c r="W4" s="1643"/>
      <c r="X4" s="1643"/>
      <c r="Y4" s="1643"/>
      <c r="Z4" s="1643"/>
      <c r="AA4" s="1643"/>
      <c r="AB4" s="1643"/>
      <c r="AC4" s="1643"/>
      <c r="AD4" s="1643"/>
      <c r="AE4" s="1643"/>
      <c r="AF4" s="1643"/>
      <c r="AG4" s="1643"/>
      <c r="AH4" s="1643"/>
      <c r="AI4" s="1643"/>
      <c r="AJ4" s="1643"/>
      <c r="AK4" s="1643"/>
      <c r="AL4" s="1643"/>
      <c r="AM4" s="1643"/>
      <c r="AN4" s="1643"/>
      <c r="AO4" s="1643"/>
      <c r="AP4" s="1643"/>
      <c r="AQ4" s="1643"/>
      <c r="AR4" s="1643"/>
      <c r="AS4" s="1643"/>
      <c r="AT4" s="1643"/>
      <c r="AU4" s="1643"/>
      <c r="AV4" s="1643"/>
      <c r="AW4" s="1643"/>
      <c r="AX4" s="1643"/>
      <c r="AY4" s="1643"/>
      <c r="AZ4" s="1643"/>
      <c r="BA4" s="1643"/>
      <c r="BB4" s="1643"/>
      <c r="BC4" s="1643"/>
      <c r="BD4" s="1643"/>
      <c r="BE4" s="1643"/>
      <c r="BF4" s="1643"/>
      <c r="BG4" s="1644"/>
    </row>
    <row r="5" spans="1:65" ht="24.95" customHeight="1">
      <c r="A5" s="1114" t="s">
        <v>386</v>
      </c>
      <c r="B5" s="1115"/>
      <c r="C5" s="1115"/>
      <c r="D5" s="1115"/>
      <c r="E5" s="1115"/>
      <c r="F5" s="1115"/>
      <c r="G5" s="1115"/>
      <c r="H5" s="1115"/>
      <c r="I5" s="1115"/>
      <c r="J5" s="1115"/>
      <c r="K5" s="1115"/>
      <c r="L5" s="1115"/>
      <c r="M5" s="1115"/>
      <c r="N5" s="1115"/>
      <c r="O5" s="1115"/>
      <c r="P5" s="1115"/>
      <c r="Q5" s="1115"/>
      <c r="R5" s="1115"/>
      <c r="S5" s="1115"/>
      <c r="T5" s="1115"/>
      <c r="U5" s="1115"/>
      <c r="V5" s="1115"/>
      <c r="W5" s="1115"/>
      <c r="X5" s="1115"/>
      <c r="Y5" s="1115"/>
      <c r="Z5" s="1115"/>
      <c r="AA5" s="1115"/>
      <c r="AB5" s="1115"/>
      <c r="AC5" s="1115"/>
      <c r="AD5" s="1115"/>
      <c r="AE5" s="1115"/>
      <c r="AF5" s="1115"/>
      <c r="AG5" s="1115"/>
      <c r="AH5" s="1115"/>
      <c r="AI5" s="1115"/>
      <c r="AJ5" s="1115"/>
      <c r="AK5" s="1115"/>
      <c r="AL5" s="1115"/>
      <c r="AM5" s="1115"/>
      <c r="AN5" s="1115"/>
      <c r="AO5" s="1115"/>
      <c r="AP5" s="1115"/>
      <c r="AQ5" s="1115"/>
      <c r="AR5" s="1115"/>
      <c r="AS5" s="1115"/>
      <c r="AT5" s="1115"/>
      <c r="AU5" s="1115"/>
      <c r="AV5" s="1115"/>
      <c r="AW5" s="1115"/>
      <c r="AX5" s="1115"/>
      <c r="AY5" s="1115"/>
      <c r="AZ5" s="1115"/>
      <c r="BA5" s="1115"/>
      <c r="BB5" s="1115"/>
      <c r="BC5" s="1115"/>
      <c r="BD5" s="1115"/>
      <c r="BE5" s="1115"/>
      <c r="BF5" s="1115"/>
      <c r="BG5" s="1116"/>
    </row>
    <row r="6" spans="1:65" ht="9.9499999999999993" customHeight="1">
      <c r="A6" s="1623"/>
      <c r="B6" s="1624"/>
      <c r="C6" s="1624"/>
      <c r="D6" s="1624"/>
      <c r="E6" s="1624"/>
      <c r="F6" s="1624"/>
      <c r="G6" s="1624"/>
      <c r="H6" s="1624"/>
      <c r="I6" s="1624"/>
      <c r="J6" s="1624"/>
      <c r="K6" s="1624"/>
      <c r="L6" s="1624"/>
      <c r="M6" s="1624"/>
      <c r="N6" s="1624"/>
      <c r="O6" s="1624"/>
      <c r="P6" s="1624"/>
      <c r="Q6" s="1624"/>
      <c r="R6" s="1624"/>
      <c r="S6" s="1624"/>
      <c r="T6" s="1624"/>
      <c r="U6" s="1624"/>
      <c r="V6" s="1624"/>
      <c r="W6" s="1624"/>
      <c r="X6" s="1624"/>
      <c r="Y6" s="1624"/>
      <c r="Z6" s="1624"/>
      <c r="AA6" s="1624"/>
      <c r="AB6" s="1624"/>
      <c r="AC6" s="1624"/>
      <c r="AD6" s="1624"/>
      <c r="AE6" s="1624"/>
      <c r="AF6" s="1624"/>
      <c r="AG6" s="1624"/>
      <c r="AH6" s="1624"/>
      <c r="AI6" s="1624"/>
      <c r="AJ6" s="1624"/>
      <c r="AK6" s="1624"/>
      <c r="AL6" s="1624"/>
      <c r="AM6" s="1624"/>
      <c r="AN6" s="1624"/>
      <c r="AO6" s="1624"/>
      <c r="AP6" s="1624"/>
      <c r="AQ6" s="1624"/>
      <c r="AR6" s="1624"/>
      <c r="AS6" s="1624"/>
      <c r="AT6" s="1624"/>
      <c r="AU6" s="1624"/>
      <c r="AV6" s="1624"/>
      <c r="AW6" s="1624"/>
      <c r="AX6" s="1624"/>
      <c r="AY6" s="1624"/>
      <c r="AZ6" s="1624"/>
      <c r="BA6" s="1624"/>
      <c r="BB6" s="1624"/>
      <c r="BC6" s="1624"/>
      <c r="BD6" s="1624"/>
      <c r="BE6" s="1624"/>
      <c r="BF6" s="1624"/>
      <c r="BG6" s="1625"/>
    </row>
    <row r="7" spans="1:65" ht="20.25" customHeight="1">
      <c r="A7" s="1839" t="s">
        <v>387</v>
      </c>
      <c r="B7" s="1840"/>
      <c r="C7" s="1840"/>
      <c r="D7" s="1840"/>
      <c r="E7" s="1840"/>
      <c r="F7" s="1840"/>
      <c r="G7" s="1840"/>
      <c r="H7" s="1840"/>
      <c r="I7" s="1841"/>
      <c r="J7" s="1756" t="s">
        <v>791</v>
      </c>
      <c r="K7" s="1756"/>
      <c r="L7" s="1756"/>
      <c r="M7" s="1756"/>
      <c r="N7" s="1756"/>
      <c r="O7" s="1756"/>
      <c r="P7" s="1756"/>
      <c r="Q7" s="1756"/>
      <c r="R7" s="1756"/>
      <c r="S7" s="1756"/>
      <c r="T7" s="1756"/>
      <c r="U7" s="1756"/>
      <c r="V7" s="1756"/>
      <c r="W7" s="1756"/>
      <c r="X7" s="1756"/>
      <c r="Y7" s="1756"/>
      <c r="Z7" s="1756"/>
      <c r="AA7" s="1756"/>
      <c r="AB7" s="1756"/>
      <c r="AC7" s="1756"/>
      <c r="AD7" s="1756"/>
      <c r="AE7" s="1756"/>
      <c r="AF7" s="1756"/>
      <c r="AG7" s="1756"/>
      <c r="AH7" s="1756"/>
      <c r="AI7" s="1756" t="s">
        <v>792</v>
      </c>
      <c r="AJ7" s="1756"/>
      <c r="AK7" s="1756"/>
      <c r="AL7" s="1756"/>
      <c r="AM7" s="1756"/>
      <c r="AN7" s="1756"/>
      <c r="AO7" s="1756"/>
      <c r="AP7" s="1756"/>
      <c r="AQ7" s="1756"/>
      <c r="AR7" s="1756"/>
      <c r="AS7" s="1756"/>
      <c r="AT7" s="1756"/>
      <c r="AU7" s="1756"/>
      <c r="AV7" s="1756"/>
      <c r="AW7" s="1756"/>
      <c r="AX7" s="1756"/>
      <c r="AY7" s="1756"/>
      <c r="AZ7" s="1756"/>
      <c r="BA7" s="1756"/>
      <c r="BB7" s="1756"/>
      <c r="BC7" s="1756"/>
      <c r="BD7" s="1756"/>
      <c r="BE7" s="1756"/>
      <c r="BF7" s="1756"/>
      <c r="BG7" s="1756"/>
    </row>
    <row r="8" spans="1:65" s="77" customFormat="1" ht="37.5" customHeight="1">
      <c r="A8" s="1842"/>
      <c r="B8" s="1843"/>
      <c r="C8" s="1843"/>
      <c r="D8" s="1843"/>
      <c r="E8" s="1843"/>
      <c r="F8" s="1843"/>
      <c r="G8" s="1843"/>
      <c r="H8" s="1843"/>
      <c r="I8" s="1844"/>
      <c r="J8" s="1845" t="s">
        <v>388</v>
      </c>
      <c r="K8" s="1845"/>
      <c r="L8" s="1845"/>
      <c r="M8" s="1845"/>
      <c r="N8" s="1845"/>
      <c r="O8" s="1845"/>
      <c r="P8" s="1845" t="s">
        <v>389</v>
      </c>
      <c r="Q8" s="1845"/>
      <c r="R8" s="1845"/>
      <c r="S8" s="1845"/>
      <c r="T8" s="1845"/>
      <c r="U8" s="1845"/>
      <c r="V8" s="1752" t="s">
        <v>390</v>
      </c>
      <c r="W8" s="1752"/>
      <c r="X8" s="1752"/>
      <c r="Y8" s="1752"/>
      <c r="Z8" s="1752"/>
      <c r="AA8" s="1752"/>
      <c r="AB8" s="1752" t="s">
        <v>8</v>
      </c>
      <c r="AC8" s="1752"/>
      <c r="AD8" s="1752"/>
      <c r="AE8" s="1752"/>
      <c r="AF8" s="1752"/>
      <c r="AG8" s="1752"/>
      <c r="AH8" s="1752"/>
      <c r="AI8" s="1845" t="s">
        <v>388</v>
      </c>
      <c r="AJ8" s="1845"/>
      <c r="AK8" s="1845"/>
      <c r="AL8" s="1845"/>
      <c r="AM8" s="1845"/>
      <c r="AN8" s="1845"/>
      <c r="AO8" s="1845" t="s">
        <v>389</v>
      </c>
      <c r="AP8" s="1845"/>
      <c r="AQ8" s="1845"/>
      <c r="AR8" s="1845"/>
      <c r="AS8" s="1845"/>
      <c r="AT8" s="1845"/>
      <c r="AU8" s="1752" t="s">
        <v>390</v>
      </c>
      <c r="AV8" s="1752"/>
      <c r="AW8" s="1752"/>
      <c r="AX8" s="1752"/>
      <c r="AY8" s="1752"/>
      <c r="AZ8" s="1752"/>
      <c r="BA8" s="1752" t="s">
        <v>8</v>
      </c>
      <c r="BB8" s="1752"/>
      <c r="BC8" s="1752"/>
      <c r="BD8" s="1752"/>
      <c r="BE8" s="1752"/>
      <c r="BF8" s="1752"/>
      <c r="BG8" s="1752"/>
      <c r="BH8"/>
    </row>
    <row r="9" spans="1:65" s="77" customFormat="1" ht="30" customHeight="1">
      <c r="A9" s="1814" t="s">
        <v>46</v>
      </c>
      <c r="B9" s="1815"/>
      <c r="C9" s="1815"/>
      <c r="D9" s="1815"/>
      <c r="E9" s="1815"/>
      <c r="F9" s="1815"/>
      <c r="G9" s="1815"/>
      <c r="H9" s="1815"/>
      <c r="I9" s="1816"/>
      <c r="J9" s="1820">
        <v>69746.02</v>
      </c>
      <c r="K9" s="1821"/>
      <c r="L9" s="1821"/>
      <c r="M9" s="1821"/>
      <c r="N9" s="1821"/>
      <c r="O9" s="1822"/>
      <c r="P9" s="1823">
        <v>0</v>
      </c>
      <c r="Q9" s="1406"/>
      <c r="R9" s="1406"/>
      <c r="S9" s="1406"/>
      <c r="T9" s="1406"/>
      <c r="U9" s="1824"/>
      <c r="V9" s="1823">
        <v>8804.92</v>
      </c>
      <c r="W9" s="1406"/>
      <c r="X9" s="1406"/>
      <c r="Y9" s="1406"/>
      <c r="Z9" s="1406"/>
      <c r="AA9" s="1824"/>
      <c r="AB9" s="1817">
        <f>SUM(J9:AA9)</f>
        <v>78550.94</v>
      </c>
      <c r="AC9" s="1818"/>
      <c r="AD9" s="1818"/>
      <c r="AE9" s="1818"/>
      <c r="AF9" s="1818"/>
      <c r="AG9" s="1818"/>
      <c r="AH9" s="1819"/>
      <c r="AI9" s="1820">
        <v>73722.75</v>
      </c>
      <c r="AJ9" s="1821"/>
      <c r="AK9" s="1821"/>
      <c r="AL9" s="1821"/>
      <c r="AM9" s="1821"/>
      <c r="AN9" s="1822"/>
      <c r="AO9" s="1823">
        <v>0</v>
      </c>
      <c r="AP9" s="1406"/>
      <c r="AQ9" s="1406"/>
      <c r="AR9" s="1406"/>
      <c r="AS9" s="1406"/>
      <c r="AT9" s="1824"/>
      <c r="AU9" s="1823">
        <v>9138.5499999999993</v>
      </c>
      <c r="AV9" s="1406"/>
      <c r="AW9" s="1406"/>
      <c r="AX9" s="1406"/>
      <c r="AY9" s="1406"/>
      <c r="AZ9" s="1824"/>
      <c r="BA9" s="1817">
        <f>SUM(AI9:AZ9)</f>
        <v>82861.3</v>
      </c>
      <c r="BB9" s="1818"/>
      <c r="BC9" s="1818"/>
      <c r="BD9" s="1818"/>
      <c r="BE9" s="1818"/>
      <c r="BF9" s="1818"/>
      <c r="BG9" s="1819"/>
      <c r="BH9"/>
      <c r="BI9" s="77">
        <v>9138.5507333145888</v>
      </c>
      <c r="BJ9" s="297">
        <v>145667.35999999999</v>
      </c>
      <c r="BL9" s="562">
        <f>AU9/AU15</f>
        <v>6.0445382503378255E-2</v>
      </c>
      <c r="BM9" s="77">
        <f>BL15*BL9</f>
        <v>9138.5499999999975</v>
      </c>
    </row>
    <row r="10" spans="1:65" s="77" customFormat="1" ht="30" customHeight="1">
      <c r="A10" s="1814" t="s">
        <v>207</v>
      </c>
      <c r="B10" s="1815"/>
      <c r="C10" s="1815"/>
      <c r="D10" s="1815"/>
      <c r="E10" s="1815"/>
      <c r="F10" s="1815"/>
      <c r="G10" s="1815"/>
      <c r="H10" s="1815"/>
      <c r="I10" s="1816"/>
      <c r="J10" s="1820">
        <v>368156.65</v>
      </c>
      <c r="K10" s="1821"/>
      <c r="L10" s="1821"/>
      <c r="M10" s="1821"/>
      <c r="N10" s="1821"/>
      <c r="O10" s="1822"/>
      <c r="P10" s="1823">
        <v>0</v>
      </c>
      <c r="Q10" s="1406"/>
      <c r="R10" s="1406"/>
      <c r="S10" s="1406"/>
      <c r="T10" s="1406"/>
      <c r="U10" s="1824"/>
      <c r="V10" s="1823">
        <v>46477.03</v>
      </c>
      <c r="W10" s="1406"/>
      <c r="X10" s="1406"/>
      <c r="Y10" s="1406"/>
      <c r="Z10" s="1406"/>
      <c r="AA10" s="1824"/>
      <c r="AB10" s="1817">
        <f>SUM(J10:AA10)</f>
        <v>414633.68000000005</v>
      </c>
      <c r="AC10" s="1818"/>
      <c r="AD10" s="1818"/>
      <c r="AE10" s="1818"/>
      <c r="AF10" s="1818"/>
      <c r="AG10" s="1818"/>
      <c r="AH10" s="1819"/>
      <c r="AI10" s="1820">
        <v>244238.61</v>
      </c>
      <c r="AJ10" s="1821"/>
      <c r="AK10" s="1821"/>
      <c r="AL10" s="1821"/>
      <c r="AM10" s="1821"/>
      <c r="AN10" s="1822"/>
      <c r="AO10" s="1823">
        <v>0</v>
      </c>
      <c r="AP10" s="1406"/>
      <c r="AQ10" s="1406"/>
      <c r="AR10" s="1406"/>
      <c r="AS10" s="1406"/>
      <c r="AT10" s="1824"/>
      <c r="AU10" s="1823">
        <v>48238.11</v>
      </c>
      <c r="AV10" s="1406"/>
      <c r="AW10" s="1406"/>
      <c r="AX10" s="1406"/>
      <c r="AY10" s="1406"/>
      <c r="AZ10" s="1824"/>
      <c r="BA10" s="1817">
        <f>SUM(AI10:AZ10)</f>
        <v>292476.71999999997</v>
      </c>
      <c r="BB10" s="1818"/>
      <c r="BC10" s="1818"/>
      <c r="BD10" s="1818"/>
      <c r="BE10" s="1818"/>
      <c r="BF10" s="1818"/>
      <c r="BG10" s="1819"/>
      <c r="BH10"/>
      <c r="BI10" s="77">
        <v>48238.109669228572</v>
      </c>
      <c r="BL10" s="562">
        <f>AU10/AU15</f>
        <v>0.31906276271290696</v>
      </c>
      <c r="BM10" s="77">
        <f>BL10*BL15</f>
        <v>48238.109999999993</v>
      </c>
    </row>
    <row r="11" spans="1:65" s="77" customFormat="1" ht="30" customHeight="1">
      <c r="A11" s="1814" t="s">
        <v>208</v>
      </c>
      <c r="B11" s="1815"/>
      <c r="C11" s="1815"/>
      <c r="D11" s="1815"/>
      <c r="E11" s="1815"/>
      <c r="F11" s="1815"/>
      <c r="G11" s="1815"/>
      <c r="H11" s="1815"/>
      <c r="I11" s="1816"/>
      <c r="J11" s="1820">
        <v>106823.61</v>
      </c>
      <c r="K11" s="1821"/>
      <c r="L11" s="1821"/>
      <c r="M11" s="1821"/>
      <c r="N11" s="1821"/>
      <c r="O11" s="1822"/>
      <c r="P11" s="1823">
        <v>0</v>
      </c>
      <c r="Q11" s="1406"/>
      <c r="R11" s="1406"/>
      <c r="S11" s="1406"/>
      <c r="T11" s="1406"/>
      <c r="U11" s="1824"/>
      <c r="V11" s="1823">
        <v>13485.68</v>
      </c>
      <c r="W11" s="1406"/>
      <c r="X11" s="1406"/>
      <c r="Y11" s="1406"/>
      <c r="Z11" s="1406"/>
      <c r="AA11" s="1824"/>
      <c r="AB11" s="1817">
        <f>SUM(J11:AA11)</f>
        <v>120309.29000000001</v>
      </c>
      <c r="AC11" s="1818"/>
      <c r="AD11" s="1818"/>
      <c r="AE11" s="1818"/>
      <c r="AF11" s="1818"/>
      <c r="AG11" s="1818"/>
      <c r="AH11" s="1819"/>
      <c r="AI11" s="1820">
        <v>104909.66</v>
      </c>
      <c r="AJ11" s="1821"/>
      <c r="AK11" s="1821"/>
      <c r="AL11" s="1821"/>
      <c r="AM11" s="1821"/>
      <c r="AN11" s="1822"/>
      <c r="AO11" s="1823">
        <v>0</v>
      </c>
      <c r="AP11" s="1406"/>
      <c r="AQ11" s="1406"/>
      <c r="AR11" s="1406"/>
      <c r="AS11" s="1406"/>
      <c r="AT11" s="1824"/>
      <c r="AU11" s="1823">
        <v>13996.67</v>
      </c>
      <c r="AV11" s="1406"/>
      <c r="AW11" s="1406"/>
      <c r="AX11" s="1406"/>
      <c r="AY11" s="1406"/>
      <c r="AZ11" s="1824"/>
      <c r="BA11" s="1817">
        <f>SUM(AI11:AZ11)</f>
        <v>118906.33</v>
      </c>
      <c r="BB11" s="1818"/>
      <c r="BC11" s="1818"/>
      <c r="BD11" s="1818"/>
      <c r="BE11" s="1818"/>
      <c r="BF11" s="1818"/>
      <c r="BG11" s="1819"/>
      <c r="BH11"/>
      <c r="BI11" s="77">
        <v>13996.671276200792</v>
      </c>
      <c r="BJ11" s="562">
        <f>+AI9/SUM($AI$9+$AI$10+$AI$11+$AI$12)</f>
        <v>9.7574115013487492E-2</v>
      </c>
      <c r="BK11" s="281">
        <f>+BJ11*$BJ$9</f>
        <v>14213.363738351087</v>
      </c>
      <c r="BL11" s="562">
        <f>AU11/AU15</f>
        <v>9.2578589811683404E-2</v>
      </c>
      <c r="BM11" s="77">
        <f>BL15*BL11</f>
        <v>13996.669999999996</v>
      </c>
    </row>
    <row r="12" spans="1:65" s="77" customFormat="1" ht="30" customHeight="1">
      <c r="A12" s="1814" t="s">
        <v>391</v>
      </c>
      <c r="B12" s="1815"/>
      <c r="C12" s="1815"/>
      <c r="D12" s="1815"/>
      <c r="E12" s="1815"/>
      <c r="F12" s="1815"/>
      <c r="G12" s="1815"/>
      <c r="H12" s="1815"/>
      <c r="I12" s="1816"/>
      <c r="J12" s="1831">
        <v>609142.71</v>
      </c>
      <c r="K12" s="1832"/>
      <c r="L12" s="1832"/>
      <c r="M12" s="1832"/>
      <c r="N12" s="1832"/>
      <c r="O12" s="1833"/>
      <c r="P12" s="1837">
        <v>0</v>
      </c>
      <c r="Q12" s="1832"/>
      <c r="R12" s="1832"/>
      <c r="S12" s="1832"/>
      <c r="T12" s="1832"/>
      <c r="U12" s="1838"/>
      <c r="V12" s="1837">
        <v>76899.73</v>
      </c>
      <c r="W12" s="1832"/>
      <c r="X12" s="1832"/>
      <c r="Y12" s="1832"/>
      <c r="Z12" s="1832"/>
      <c r="AA12" s="1838"/>
      <c r="AB12" s="1837">
        <f>SUM(J12:AA12)</f>
        <v>686042.44</v>
      </c>
      <c r="AC12" s="1832"/>
      <c r="AD12" s="1832"/>
      <c r="AE12" s="1832"/>
      <c r="AF12" s="1832"/>
      <c r="AG12" s="1832"/>
      <c r="AH12" s="1838"/>
      <c r="AI12" s="1831">
        <v>332685.40999999997</v>
      </c>
      <c r="AJ12" s="1832"/>
      <c r="AK12" s="1832"/>
      <c r="AL12" s="1832"/>
      <c r="AM12" s="1832"/>
      <c r="AN12" s="1833"/>
      <c r="AO12" s="1837">
        <v>0</v>
      </c>
      <c r="AP12" s="1832"/>
      <c r="AQ12" s="1832"/>
      <c r="AR12" s="1832"/>
      <c r="AS12" s="1832"/>
      <c r="AT12" s="1838"/>
      <c r="AU12" s="1837">
        <v>79813.570000000007</v>
      </c>
      <c r="AV12" s="1832"/>
      <c r="AW12" s="1832"/>
      <c r="AX12" s="1832"/>
      <c r="AY12" s="1832"/>
      <c r="AZ12" s="1838"/>
      <c r="BA12" s="1837">
        <f>SUM(AI12:AZ12)</f>
        <v>412498.98</v>
      </c>
      <c r="BB12" s="1832"/>
      <c r="BC12" s="1832"/>
      <c r="BD12" s="1832"/>
      <c r="BE12" s="1832"/>
      <c r="BF12" s="1832"/>
      <c r="BG12" s="1838"/>
      <c r="BH12"/>
      <c r="BI12" s="77">
        <v>79813.568321256054</v>
      </c>
      <c r="BJ12" s="562">
        <f t="shared" ref="BJ12:BJ14" si="0">+AI10/SUM($AI$9+$AI$10+$AI$11+$AI$12)</f>
        <v>0.32325660970154141</v>
      </c>
      <c r="BK12" s="281">
        <f t="shared" ref="BK12:BK14" si="1">+BJ12*$BJ$9</f>
        <v>47087.93693777392</v>
      </c>
      <c r="BL12" s="562">
        <f>AU12/AU15</f>
        <v>0.52791326497203128</v>
      </c>
      <c r="BM12" s="77">
        <f>BL15*BL12</f>
        <v>79813.569999999992</v>
      </c>
    </row>
    <row r="13" spans="1:65" s="77" customFormat="1" ht="30" customHeight="1">
      <c r="A13" s="1814" t="s">
        <v>392</v>
      </c>
      <c r="B13" s="1815"/>
      <c r="C13" s="1815"/>
      <c r="D13" s="1815"/>
      <c r="E13" s="1815"/>
      <c r="F13" s="1815"/>
      <c r="G13" s="1815"/>
      <c r="H13" s="1815"/>
      <c r="I13" s="1816"/>
      <c r="J13" s="1834"/>
      <c r="K13" s="1835"/>
      <c r="L13" s="1835"/>
      <c r="M13" s="1835"/>
      <c r="N13" s="1835"/>
      <c r="O13" s="1836"/>
      <c r="P13" s="1834"/>
      <c r="Q13" s="1835"/>
      <c r="R13" s="1835"/>
      <c r="S13" s="1835"/>
      <c r="T13" s="1835"/>
      <c r="U13" s="1836"/>
      <c r="V13" s="1834"/>
      <c r="W13" s="1835"/>
      <c r="X13" s="1835"/>
      <c r="Y13" s="1835"/>
      <c r="Z13" s="1835"/>
      <c r="AA13" s="1836"/>
      <c r="AB13" s="1834"/>
      <c r="AC13" s="1835"/>
      <c r="AD13" s="1835"/>
      <c r="AE13" s="1835"/>
      <c r="AF13" s="1835"/>
      <c r="AG13" s="1835"/>
      <c r="AH13" s="1836"/>
      <c r="AI13" s="1834"/>
      <c r="AJ13" s="1835"/>
      <c r="AK13" s="1835"/>
      <c r="AL13" s="1835"/>
      <c r="AM13" s="1835"/>
      <c r="AN13" s="1836"/>
      <c r="AO13" s="1834"/>
      <c r="AP13" s="1835"/>
      <c r="AQ13" s="1835"/>
      <c r="AR13" s="1835"/>
      <c r="AS13" s="1835"/>
      <c r="AT13" s="1836"/>
      <c r="AU13" s="1834"/>
      <c r="AV13" s="1835"/>
      <c r="AW13" s="1835"/>
      <c r="AX13" s="1835"/>
      <c r="AY13" s="1835"/>
      <c r="AZ13" s="1836"/>
      <c r="BA13" s="1834"/>
      <c r="BB13" s="1835"/>
      <c r="BC13" s="1835"/>
      <c r="BD13" s="1835"/>
      <c r="BE13" s="1835"/>
      <c r="BF13" s="1835"/>
      <c r="BG13" s="1836"/>
      <c r="BH13"/>
      <c r="BJ13" s="562">
        <f t="shared" si="0"/>
        <v>0.13885085988878423</v>
      </c>
      <c r="BK13" s="281">
        <f t="shared" si="1"/>
        <v>20226.038193729091</v>
      </c>
    </row>
    <row r="14" spans="1:65" s="77" customFormat="1" ht="30" customHeight="1">
      <c r="A14" s="1814" t="s">
        <v>393</v>
      </c>
      <c r="B14" s="1815"/>
      <c r="C14" s="1815"/>
      <c r="D14" s="1815"/>
      <c r="E14" s="1815"/>
      <c r="F14" s="1815"/>
      <c r="G14" s="1815"/>
      <c r="H14" s="1815"/>
      <c r="I14" s="1816"/>
      <c r="J14" s="1825">
        <v>429448.31</v>
      </c>
      <c r="K14" s="1826"/>
      <c r="L14" s="1826"/>
      <c r="M14" s="1826"/>
      <c r="N14" s="1826"/>
      <c r="O14" s="1827"/>
      <c r="P14" s="1828">
        <v>0</v>
      </c>
      <c r="Q14" s="1829"/>
      <c r="R14" s="1829"/>
      <c r="S14" s="1829"/>
      <c r="T14" s="1829"/>
      <c r="U14" s="1830"/>
      <c r="V14" s="1817">
        <v>0</v>
      </c>
      <c r="W14" s="1818"/>
      <c r="X14" s="1818"/>
      <c r="Y14" s="1818"/>
      <c r="Z14" s="1818"/>
      <c r="AA14" s="1819"/>
      <c r="AB14" s="1817">
        <f>SUM(J14:AA14)</f>
        <v>429448.31</v>
      </c>
      <c r="AC14" s="1818"/>
      <c r="AD14" s="1818"/>
      <c r="AE14" s="1818"/>
      <c r="AF14" s="1818"/>
      <c r="AG14" s="1818"/>
      <c r="AH14" s="1819"/>
      <c r="AI14" s="1825">
        <v>323526.01</v>
      </c>
      <c r="AJ14" s="1826"/>
      <c r="AK14" s="1826"/>
      <c r="AL14" s="1826"/>
      <c r="AM14" s="1826"/>
      <c r="AN14" s="1827"/>
      <c r="AO14" s="1823">
        <v>0</v>
      </c>
      <c r="AP14" s="1406"/>
      <c r="AQ14" s="1406"/>
      <c r="AR14" s="1406"/>
      <c r="AS14" s="1406"/>
      <c r="AT14" s="1824"/>
      <c r="AU14" s="1817">
        <v>0</v>
      </c>
      <c r="AV14" s="1818"/>
      <c r="AW14" s="1818"/>
      <c r="AX14" s="1818"/>
      <c r="AY14" s="1818"/>
      <c r="AZ14" s="1819"/>
      <c r="BA14" s="1817">
        <f>SUM(AI14:AZ14)</f>
        <v>323526.01</v>
      </c>
      <c r="BB14" s="1818"/>
      <c r="BC14" s="1818"/>
      <c r="BD14" s="1818"/>
      <c r="BE14" s="1818"/>
      <c r="BF14" s="1818"/>
      <c r="BG14" s="1819"/>
      <c r="BH14"/>
      <c r="BJ14" s="562">
        <f t="shared" si="0"/>
        <v>0.44031841539618688</v>
      </c>
      <c r="BK14" s="281">
        <f t="shared" si="1"/>
        <v>64140.021130145891</v>
      </c>
    </row>
    <row r="15" spans="1:65" s="77" customFormat="1" ht="30" customHeight="1">
      <c r="A15" s="1814" t="s">
        <v>394</v>
      </c>
      <c r="B15" s="1815"/>
      <c r="C15" s="1815"/>
      <c r="D15" s="1815"/>
      <c r="E15" s="1815"/>
      <c r="F15" s="1815"/>
      <c r="G15" s="1815"/>
      <c r="H15" s="1815"/>
      <c r="I15" s="1816"/>
      <c r="J15" s="1820">
        <f>SUM(J9:O14)</f>
        <v>1583317.3</v>
      </c>
      <c r="K15" s="1821"/>
      <c r="L15" s="1821"/>
      <c r="M15" s="1821"/>
      <c r="N15" s="1821"/>
      <c r="O15" s="1822"/>
      <c r="P15" s="1823">
        <f>SUM(P9:U14)</f>
        <v>0</v>
      </c>
      <c r="Q15" s="1406"/>
      <c r="R15" s="1406"/>
      <c r="S15" s="1406"/>
      <c r="T15" s="1406"/>
      <c r="U15" s="1824"/>
      <c r="V15" s="1823">
        <f>SUM(V9:AA14)</f>
        <v>145667.35999999999</v>
      </c>
      <c r="W15" s="1406"/>
      <c r="X15" s="1406"/>
      <c r="Y15" s="1406"/>
      <c r="Z15" s="1406"/>
      <c r="AA15" s="1824"/>
      <c r="AB15" s="1808">
        <f>SUM(AB9:AH14)</f>
        <v>1728984.6600000001</v>
      </c>
      <c r="AC15" s="1809"/>
      <c r="AD15" s="1809"/>
      <c r="AE15" s="1809"/>
      <c r="AF15" s="1809"/>
      <c r="AG15" s="1809"/>
      <c r="AH15" s="1810"/>
      <c r="AI15" s="1805">
        <f>SUM(AI9:AN14)</f>
        <v>1079082.44</v>
      </c>
      <c r="AJ15" s="1806"/>
      <c r="AK15" s="1806"/>
      <c r="AL15" s="1806"/>
      <c r="AM15" s="1806"/>
      <c r="AN15" s="1807"/>
      <c r="AO15" s="1805">
        <f>SUM(AO9:AT14)</f>
        <v>0</v>
      </c>
      <c r="AP15" s="1806"/>
      <c r="AQ15" s="1806"/>
      <c r="AR15" s="1806"/>
      <c r="AS15" s="1806"/>
      <c r="AT15" s="1807"/>
      <c r="AU15" s="1805">
        <f>SUM(AU9:AZ14)</f>
        <v>151186.90000000002</v>
      </c>
      <c r="AV15" s="1806"/>
      <c r="AW15" s="1806"/>
      <c r="AX15" s="1806"/>
      <c r="AY15" s="1806"/>
      <c r="AZ15" s="1807"/>
      <c r="BA15" s="1808">
        <f>SUM(BA9:BG14)</f>
        <v>1230269.3399999999</v>
      </c>
      <c r="BB15" s="1809"/>
      <c r="BC15" s="1809"/>
      <c r="BD15" s="1809"/>
      <c r="BE15" s="1809"/>
      <c r="BF15" s="1809"/>
      <c r="BG15" s="1810"/>
      <c r="BH15"/>
      <c r="BL15" s="77">
        <v>151186.9</v>
      </c>
      <c r="BM15" s="77">
        <f>SUM(BM9:BM12)</f>
        <v>151186.89999999997</v>
      </c>
    </row>
    <row r="16" spans="1:65" s="77" customFormat="1" ht="30" customHeight="1">
      <c r="A16" s="1811"/>
      <c r="B16" s="1812"/>
      <c r="C16" s="1812"/>
      <c r="D16" s="1812"/>
      <c r="E16" s="1812"/>
      <c r="F16" s="1812"/>
      <c r="G16" s="1812"/>
      <c r="H16" s="1812"/>
      <c r="I16" s="1812"/>
      <c r="J16" s="1812"/>
      <c r="K16" s="1812"/>
      <c r="L16" s="1812"/>
      <c r="M16" s="1812"/>
      <c r="N16" s="1812"/>
      <c r="O16" s="1812"/>
      <c r="P16" s="1812"/>
      <c r="Q16" s="1812"/>
      <c r="R16" s="1812"/>
      <c r="S16" s="1812"/>
      <c r="T16" s="1812"/>
      <c r="U16" s="1812"/>
      <c r="V16" s="1812"/>
      <c r="W16" s="1812"/>
      <c r="X16" s="1812"/>
      <c r="Y16" s="1812"/>
      <c r="Z16" s="1812"/>
      <c r="AA16" s="1812"/>
      <c r="AB16" s="1812"/>
      <c r="AC16" s="1812"/>
      <c r="AD16" s="1812"/>
      <c r="AE16" s="1812"/>
      <c r="AF16" s="1812"/>
      <c r="AG16" s="1812"/>
      <c r="AH16" s="1812"/>
      <c r="AI16" s="1812"/>
      <c r="AJ16" s="1812"/>
      <c r="AK16" s="1812"/>
      <c r="AL16" s="1812"/>
      <c r="AM16" s="1812"/>
      <c r="AN16" s="1812"/>
      <c r="AO16" s="1812"/>
      <c r="AP16" s="1812"/>
      <c r="AQ16" s="1812"/>
      <c r="AR16" s="1812"/>
      <c r="AS16" s="1812"/>
      <c r="AT16" s="1812"/>
      <c r="AU16" s="1812"/>
      <c r="AV16" s="1812"/>
      <c r="AW16" s="1812"/>
      <c r="AX16" s="1812"/>
      <c r="AY16" s="1812"/>
      <c r="AZ16" s="1812"/>
      <c r="BA16" s="1812"/>
      <c r="BB16" s="1812"/>
      <c r="BC16" s="1812"/>
      <c r="BD16" s="1812"/>
      <c r="BE16" s="1812"/>
      <c r="BF16" s="1812"/>
      <c r="BG16" s="1813"/>
      <c r="BH16"/>
    </row>
    <row r="17" spans="1:60" s="77" customFormat="1" ht="30" customHeight="1">
      <c r="A17" s="1811"/>
      <c r="B17" s="1812"/>
      <c r="C17" s="1812"/>
      <c r="D17" s="1812"/>
      <c r="E17" s="1812"/>
      <c r="F17" s="1812"/>
      <c r="G17" s="1812"/>
      <c r="H17" s="1812"/>
      <c r="I17" s="1812"/>
      <c r="J17" s="1812"/>
      <c r="K17" s="1812"/>
      <c r="L17" s="1812"/>
      <c r="M17" s="1812"/>
      <c r="N17" s="1812"/>
      <c r="O17" s="1812"/>
      <c r="P17" s="1812"/>
      <c r="Q17" s="1812"/>
      <c r="R17" s="1812"/>
      <c r="S17" s="1812"/>
      <c r="T17" s="1812"/>
      <c r="U17" s="1812"/>
      <c r="V17" s="1812"/>
      <c r="W17" s="1812"/>
      <c r="X17" s="1812"/>
      <c r="Y17" s="1812"/>
      <c r="Z17" s="1812"/>
      <c r="AA17" s="1812"/>
      <c r="AB17" s="1812"/>
      <c r="AC17" s="1812"/>
      <c r="AD17" s="1812"/>
      <c r="AE17" s="1812"/>
      <c r="AF17" s="1812"/>
      <c r="AG17" s="1812"/>
      <c r="AH17" s="1812"/>
      <c r="AI17" s="1812"/>
      <c r="AJ17" s="1812"/>
      <c r="AK17" s="1812"/>
      <c r="AL17" s="1812"/>
      <c r="AM17" s="1812"/>
      <c r="AN17" s="1812"/>
      <c r="AO17" s="1812"/>
      <c r="AP17" s="1812"/>
      <c r="AQ17" s="1812"/>
      <c r="AR17" s="1812"/>
      <c r="AS17" s="1812"/>
      <c r="AT17" s="1812"/>
      <c r="AU17" s="1812"/>
      <c r="AV17" s="1812"/>
      <c r="AW17" s="1812"/>
      <c r="AX17" s="1812"/>
      <c r="AY17" s="1812"/>
      <c r="AZ17" s="1812"/>
      <c r="BA17" s="1812"/>
      <c r="BB17" s="1812"/>
      <c r="BC17" s="1812"/>
      <c r="BD17" s="1812"/>
      <c r="BE17" s="1812"/>
      <c r="BF17" s="1812"/>
      <c r="BG17" s="1813"/>
      <c r="BH17"/>
    </row>
    <row r="18" spans="1:60" s="77" customFormat="1" ht="30" customHeight="1">
      <c r="A18" s="1811"/>
      <c r="B18" s="1812"/>
      <c r="C18" s="1812"/>
      <c r="D18" s="1812"/>
      <c r="E18" s="1812"/>
      <c r="F18" s="1812"/>
      <c r="G18" s="1812"/>
      <c r="H18" s="1812"/>
      <c r="I18" s="1812"/>
      <c r="J18" s="1812"/>
      <c r="K18" s="1812"/>
      <c r="L18" s="1812"/>
      <c r="M18" s="1812"/>
      <c r="N18" s="1812"/>
      <c r="O18" s="1812"/>
      <c r="P18" s="1812"/>
      <c r="Q18" s="1812"/>
      <c r="R18" s="1812"/>
      <c r="S18" s="1812"/>
      <c r="T18" s="1812"/>
      <c r="U18" s="1812"/>
      <c r="V18" s="1812"/>
      <c r="W18" s="1812"/>
      <c r="X18" s="1812"/>
      <c r="Y18" s="1812"/>
      <c r="Z18" s="1812"/>
      <c r="AA18" s="1812"/>
      <c r="AB18" s="1812"/>
      <c r="AC18" s="1812"/>
      <c r="AD18" s="1812"/>
      <c r="AE18" s="1812"/>
      <c r="AF18" s="1812"/>
      <c r="AG18" s="1812"/>
      <c r="AH18" s="1812"/>
      <c r="AI18" s="1812"/>
      <c r="AJ18" s="1812"/>
      <c r="AK18" s="1812"/>
      <c r="AL18" s="1812"/>
      <c r="AM18" s="1812"/>
      <c r="AN18" s="1812"/>
      <c r="AO18" s="1812"/>
      <c r="AP18" s="1812"/>
      <c r="AQ18" s="1812"/>
      <c r="AR18" s="1812"/>
      <c r="AS18" s="1812"/>
      <c r="AT18" s="1812"/>
      <c r="AU18" s="1812"/>
      <c r="AV18" s="1812"/>
      <c r="AW18" s="1812"/>
      <c r="AX18" s="1812"/>
      <c r="AY18" s="1812"/>
      <c r="AZ18" s="1812"/>
      <c r="BA18" s="1812"/>
      <c r="BB18" s="1812"/>
      <c r="BC18" s="1812"/>
      <c r="BD18" s="1812"/>
      <c r="BE18" s="1812"/>
      <c r="BF18" s="1812"/>
      <c r="BG18" s="1813"/>
      <c r="BH18"/>
    </row>
    <row r="19" spans="1:60" s="77" customFormat="1" ht="24.95" customHeight="1">
      <c r="A19" s="1811"/>
      <c r="B19" s="1812"/>
      <c r="C19" s="1812"/>
      <c r="D19" s="1812"/>
      <c r="E19" s="1812"/>
      <c r="F19" s="1812"/>
      <c r="G19" s="1812"/>
      <c r="H19" s="1812"/>
      <c r="I19" s="1812"/>
      <c r="J19" s="1812"/>
      <c r="K19" s="1812"/>
      <c r="L19" s="1812"/>
      <c r="M19" s="1812"/>
      <c r="N19" s="1812"/>
      <c r="O19" s="1812"/>
      <c r="P19" s="1812"/>
      <c r="Q19" s="1812"/>
      <c r="R19" s="1812"/>
      <c r="S19" s="1812"/>
      <c r="T19" s="1812"/>
      <c r="U19" s="1812"/>
      <c r="V19" s="1812"/>
      <c r="W19" s="1812"/>
      <c r="X19" s="1812"/>
      <c r="Y19" s="1812"/>
      <c r="Z19" s="1812"/>
      <c r="AA19" s="1812"/>
      <c r="AB19" s="1812"/>
      <c r="AC19" s="1812"/>
      <c r="AD19" s="1812"/>
      <c r="AE19" s="1812"/>
      <c r="AF19" s="1812"/>
      <c r="AG19" s="1812"/>
      <c r="AH19" s="1812"/>
      <c r="AI19" s="1812"/>
      <c r="AJ19" s="1812"/>
      <c r="AK19" s="1812"/>
      <c r="AL19" s="1812"/>
      <c r="AM19" s="1812"/>
      <c r="AN19" s="1812"/>
      <c r="AO19" s="1812"/>
      <c r="AP19" s="1812"/>
      <c r="AQ19" s="1812"/>
      <c r="AR19" s="1812"/>
      <c r="AS19" s="1812"/>
      <c r="AT19" s="1812"/>
      <c r="AU19" s="1812"/>
      <c r="AV19" s="1812"/>
      <c r="AW19" s="1812"/>
      <c r="AX19" s="1812"/>
      <c r="AY19" s="1812"/>
      <c r="AZ19" s="1812"/>
      <c r="BA19" s="1812"/>
      <c r="BB19" s="1812"/>
      <c r="BC19" s="1812"/>
      <c r="BD19" s="1812"/>
      <c r="BE19" s="1812"/>
      <c r="BF19" s="1812"/>
      <c r="BG19" s="1813"/>
      <c r="BH19"/>
    </row>
    <row r="20" spans="1:60" s="77" customFormat="1" ht="24.95" customHeight="1">
      <c r="A20" s="1608"/>
      <c r="B20" s="1609"/>
      <c r="C20" s="1609"/>
      <c r="D20" s="1609"/>
      <c r="E20" s="1609"/>
      <c r="F20" s="1609"/>
      <c r="G20" s="1609"/>
      <c r="H20" s="1609"/>
      <c r="I20" s="1609"/>
      <c r="J20" s="1609"/>
      <c r="K20" s="1609"/>
      <c r="L20" s="1609"/>
      <c r="M20" s="1609"/>
      <c r="N20" s="1609"/>
      <c r="O20" s="1609"/>
      <c r="P20" s="1609"/>
      <c r="Q20" s="1609"/>
      <c r="R20" s="1609"/>
      <c r="S20" s="1609"/>
      <c r="T20" s="1609"/>
      <c r="U20" s="1609"/>
      <c r="V20" s="1609"/>
      <c r="W20" s="1609"/>
      <c r="X20" s="1609"/>
      <c r="Y20" s="1609"/>
      <c r="Z20" s="1609"/>
      <c r="AA20" s="1609"/>
      <c r="AB20" s="1609"/>
      <c r="AC20" s="1609"/>
      <c r="AD20" s="1609"/>
      <c r="AE20" s="1609"/>
      <c r="AF20" s="1609"/>
      <c r="AG20" s="1609"/>
      <c r="AH20" s="1609"/>
      <c r="AI20" s="1609"/>
      <c r="AJ20" s="1609"/>
      <c r="AK20" s="1609"/>
      <c r="AL20" s="1609"/>
      <c r="AM20" s="1609"/>
      <c r="AN20" s="1609"/>
      <c r="AO20" s="1609"/>
      <c r="AP20" s="1609"/>
      <c r="AQ20" s="1609"/>
      <c r="AR20" s="1609"/>
      <c r="AS20" s="1609"/>
      <c r="AT20" s="1609"/>
      <c r="AU20" s="1609"/>
      <c r="AV20" s="1609"/>
      <c r="AW20" s="1609"/>
      <c r="AX20" s="1609"/>
      <c r="AY20" s="1609"/>
      <c r="AZ20" s="1609"/>
      <c r="BA20" s="1609"/>
      <c r="BB20" s="1609"/>
      <c r="BC20" s="1609"/>
      <c r="BD20" s="1609"/>
      <c r="BE20" s="1609"/>
      <c r="BF20" s="1609"/>
      <c r="BG20" s="1610"/>
      <c r="BH20"/>
    </row>
  </sheetData>
  <mergeCells count="83">
    <mergeCell ref="A1:F3"/>
    <mergeCell ref="G1:AV3"/>
    <mergeCell ref="AW1:AY1"/>
    <mergeCell ref="AZ1:BG1"/>
    <mergeCell ref="AW2:AY2"/>
    <mergeCell ref="AZ2:BG2"/>
    <mergeCell ref="AW3:AY3"/>
    <mergeCell ref="AZ3:BG3"/>
    <mergeCell ref="A4:BG4"/>
    <mergeCell ref="A5:AV5"/>
    <mergeCell ref="AW5:BG5"/>
    <mergeCell ref="A6:BG6"/>
    <mergeCell ref="A7:I8"/>
    <mergeCell ref="J7:AH7"/>
    <mergeCell ref="AI7:BG7"/>
    <mergeCell ref="J8:O8"/>
    <mergeCell ref="P8:U8"/>
    <mergeCell ref="V8:AA8"/>
    <mergeCell ref="AB8:AH8"/>
    <mergeCell ref="AI8:AN8"/>
    <mergeCell ref="AO8:AT8"/>
    <mergeCell ref="AU8:AZ8"/>
    <mergeCell ref="BA8:BG8"/>
    <mergeCell ref="A9:I9"/>
    <mergeCell ref="J9:O9"/>
    <mergeCell ref="P9:U9"/>
    <mergeCell ref="V9:AA9"/>
    <mergeCell ref="AB9:AH9"/>
    <mergeCell ref="A10:I10"/>
    <mergeCell ref="J10:O10"/>
    <mergeCell ref="P10:U10"/>
    <mergeCell ref="V10:AA10"/>
    <mergeCell ref="AB10:AH10"/>
    <mergeCell ref="BA9:BG9"/>
    <mergeCell ref="AI10:AN10"/>
    <mergeCell ref="BA10:BG10"/>
    <mergeCell ref="AI9:AN9"/>
    <mergeCell ref="AU9:AZ9"/>
    <mergeCell ref="AU10:AZ10"/>
    <mergeCell ref="AO9:AT9"/>
    <mergeCell ref="AO10:AT10"/>
    <mergeCell ref="AO14:AT14"/>
    <mergeCell ref="J11:O11"/>
    <mergeCell ref="P11:U11"/>
    <mergeCell ref="V11:AA11"/>
    <mergeCell ref="AB11:AH11"/>
    <mergeCell ref="AO11:AT11"/>
    <mergeCell ref="BA11:BG11"/>
    <mergeCell ref="AI11:AN11"/>
    <mergeCell ref="AU11:AZ11"/>
    <mergeCell ref="AI12:AN13"/>
    <mergeCell ref="AO12:AT13"/>
    <mergeCell ref="AU12:AZ13"/>
    <mergeCell ref="BA12:BG13"/>
    <mergeCell ref="A12:I12"/>
    <mergeCell ref="J12:O13"/>
    <mergeCell ref="P12:U13"/>
    <mergeCell ref="V12:AA13"/>
    <mergeCell ref="AB12:AH13"/>
    <mergeCell ref="A13:I13"/>
    <mergeCell ref="A11:I11"/>
    <mergeCell ref="AU14:AZ14"/>
    <mergeCell ref="BA14:BG14"/>
    <mergeCell ref="A15:I15"/>
    <mergeCell ref="J15:O15"/>
    <mergeCell ref="P15:U15"/>
    <mergeCell ref="V15:AA15"/>
    <mergeCell ref="AB15:AH15"/>
    <mergeCell ref="AI15:AN15"/>
    <mergeCell ref="AO15:AT15"/>
    <mergeCell ref="A14:I14"/>
    <mergeCell ref="J14:O14"/>
    <mergeCell ref="P14:U14"/>
    <mergeCell ref="V14:AA14"/>
    <mergeCell ref="AB14:AH14"/>
    <mergeCell ref="AI14:AN14"/>
    <mergeCell ref="A20:BG20"/>
    <mergeCell ref="AU15:AZ15"/>
    <mergeCell ref="BA15:BG15"/>
    <mergeCell ref="A16:BG16"/>
    <mergeCell ref="A17:BG17"/>
    <mergeCell ref="A18:BG18"/>
    <mergeCell ref="A19:BG19"/>
  </mergeCells>
  <printOptions horizontalCentered="1"/>
  <pageMargins left="0.6" right="0.35" top="0.56999999999999995" bottom="0.81" header="0.3" footer="0.3"/>
  <pageSetup paperSize="9" scale="85" orientation="landscape" r:id="rId1"/>
  <headerFooter scaleWithDoc="0" alignWithMargins="0"/>
  <drawing r:id="rId2"/>
</worksheet>
</file>

<file path=xl/worksheets/sheet22.xml><?xml version="1.0" encoding="utf-8"?>
<worksheet xmlns="http://schemas.openxmlformats.org/spreadsheetml/2006/main" xmlns:r="http://schemas.openxmlformats.org/officeDocument/2006/relationships">
  <sheetPr>
    <tabColor theme="4" tint="0.39997558519241921"/>
    <pageSetUpPr fitToPage="1"/>
  </sheetPr>
  <dimension ref="A1:J19"/>
  <sheetViews>
    <sheetView view="pageBreakPreview" topLeftCell="A19" zoomScaleSheetLayoutView="100" workbookViewId="0">
      <selection activeCell="B13" sqref="B13:C13"/>
    </sheetView>
  </sheetViews>
  <sheetFormatPr defaultRowHeight="15"/>
  <cols>
    <col min="1" max="1" width="6.7109375" customWidth="1"/>
    <col min="2" max="2" width="9.28515625" customWidth="1"/>
    <col min="3" max="3" width="43.28515625" customWidth="1"/>
    <col min="4" max="4" width="43.7109375" customWidth="1"/>
    <col min="5" max="5" width="26.140625" customWidth="1"/>
    <col min="6" max="6" width="5.85546875" customWidth="1"/>
    <col min="7" max="7" width="9" customWidth="1"/>
    <col min="8" max="8" width="5.42578125" customWidth="1"/>
    <col min="9" max="9" width="17.28515625" customWidth="1"/>
    <col min="10" max="10" width="1.7109375" customWidth="1"/>
  </cols>
  <sheetData>
    <row r="1" spans="1:10" ht="20.100000000000001" customHeight="1">
      <c r="A1" s="1132"/>
      <c r="B1" s="1132"/>
      <c r="C1" s="1846" t="s">
        <v>517</v>
      </c>
      <c r="D1" s="1846"/>
      <c r="E1" s="1846"/>
      <c r="F1" s="1846"/>
      <c r="G1" s="156" t="s">
        <v>237</v>
      </c>
      <c r="H1" s="1759" t="s">
        <v>417</v>
      </c>
      <c r="I1" s="1759"/>
    </row>
    <row r="2" spans="1:10" ht="20.100000000000001" customHeight="1">
      <c r="A2" s="1058"/>
      <c r="B2" s="1058"/>
      <c r="C2" s="1846"/>
      <c r="D2" s="1846"/>
      <c r="E2" s="1846"/>
      <c r="F2" s="1846"/>
      <c r="G2" s="156" t="s">
        <v>235</v>
      </c>
      <c r="H2" s="1759">
        <v>1</v>
      </c>
      <c r="I2" s="1759"/>
    </row>
    <row r="3" spans="1:10" ht="21" customHeight="1">
      <c r="A3" s="1059"/>
      <c r="B3" s="1059"/>
      <c r="C3" s="1846"/>
      <c r="D3" s="1846"/>
      <c r="E3" s="1846"/>
      <c r="F3" s="1846"/>
      <c r="G3" s="156" t="s">
        <v>236</v>
      </c>
      <c r="H3" s="1760">
        <f>+'Cover '!T11</f>
        <v>42460</v>
      </c>
      <c r="I3" s="1762"/>
    </row>
    <row r="4" spans="1:10" ht="15" customHeight="1">
      <c r="A4" s="1642"/>
      <c r="B4" s="1643"/>
      <c r="C4" s="1643"/>
      <c r="D4" s="1643"/>
      <c r="E4" s="1643"/>
      <c r="F4" s="1643"/>
      <c r="G4" s="1643"/>
      <c r="H4" s="1643"/>
      <c r="I4" s="1644"/>
    </row>
    <row r="5" spans="1:10" ht="24.95" customHeight="1">
      <c r="A5" s="1114" t="s">
        <v>395</v>
      </c>
      <c r="B5" s="1115"/>
      <c r="C5" s="1115"/>
      <c r="D5" s="1115"/>
      <c r="E5" s="1115"/>
      <c r="F5" s="1115"/>
      <c r="G5" s="1115"/>
      <c r="H5" s="1115"/>
      <c r="I5" s="1116"/>
    </row>
    <row r="6" spans="1:10" ht="9.9499999999999993" customHeight="1">
      <c r="A6" s="1623"/>
      <c r="B6" s="1624"/>
      <c r="C6" s="1624"/>
      <c r="D6" s="1624"/>
      <c r="E6" s="1624"/>
      <c r="F6" s="1624"/>
      <c r="G6" s="1624"/>
      <c r="H6" s="1624"/>
      <c r="I6" s="1625"/>
    </row>
    <row r="7" spans="1:10" ht="20.25" customHeight="1">
      <c r="A7" s="1856" t="s">
        <v>69</v>
      </c>
      <c r="B7" s="1856" t="s">
        <v>396</v>
      </c>
      <c r="C7" s="1856"/>
      <c r="D7" s="1858" t="s">
        <v>18</v>
      </c>
      <c r="E7" s="1860" t="s">
        <v>397</v>
      </c>
      <c r="F7" s="1861"/>
      <c r="G7" s="1861"/>
      <c r="H7" s="1861"/>
      <c r="I7" s="1862"/>
    </row>
    <row r="8" spans="1:10" s="77" customFormat="1" ht="18" customHeight="1">
      <c r="A8" s="1857"/>
      <c r="B8" s="1857"/>
      <c r="C8" s="1857"/>
      <c r="D8" s="1859"/>
      <c r="E8" s="157" t="s">
        <v>398</v>
      </c>
      <c r="F8" s="1863" t="s">
        <v>399</v>
      </c>
      <c r="G8" s="1864"/>
      <c r="H8" s="1865"/>
      <c r="I8" s="158" t="s">
        <v>291</v>
      </c>
      <c r="J8"/>
    </row>
    <row r="9" spans="1:10" s="77" customFormat="1" ht="30" customHeight="1">
      <c r="A9" s="322">
        <v>1</v>
      </c>
      <c r="B9" s="1854" t="s">
        <v>754</v>
      </c>
      <c r="C9" s="1855"/>
      <c r="D9" s="277" t="s">
        <v>749</v>
      </c>
      <c r="E9" s="180" t="s">
        <v>525</v>
      </c>
      <c r="F9" s="1589" t="s">
        <v>519</v>
      </c>
      <c r="G9" s="1589"/>
      <c r="H9" s="1589"/>
      <c r="I9" s="278" t="s">
        <v>526</v>
      </c>
      <c r="J9"/>
    </row>
    <row r="10" spans="1:10" s="77" customFormat="1" ht="30" customHeight="1">
      <c r="A10" s="322">
        <v>2</v>
      </c>
      <c r="B10" s="1848" t="s">
        <v>748</v>
      </c>
      <c r="C10" s="1849"/>
      <c r="D10" s="277" t="s">
        <v>569</v>
      </c>
      <c r="E10" s="180" t="s">
        <v>525</v>
      </c>
      <c r="F10" s="1589" t="s">
        <v>519</v>
      </c>
      <c r="G10" s="1589"/>
      <c r="H10" s="1589"/>
      <c r="I10" s="278" t="s">
        <v>524</v>
      </c>
      <c r="J10"/>
    </row>
    <row r="11" spans="1:10" s="77" customFormat="1" ht="30" customHeight="1">
      <c r="A11" s="322">
        <v>3</v>
      </c>
      <c r="B11" s="1848" t="s">
        <v>793</v>
      </c>
      <c r="C11" s="1849"/>
      <c r="D11" s="317" t="s">
        <v>794</v>
      </c>
      <c r="E11" s="180" t="s">
        <v>525</v>
      </c>
      <c r="F11" s="1589" t="s">
        <v>519</v>
      </c>
      <c r="G11" s="1589"/>
      <c r="H11" s="1589"/>
      <c r="I11" s="278" t="s">
        <v>524</v>
      </c>
      <c r="J11"/>
    </row>
    <row r="12" spans="1:10" s="77" customFormat="1" ht="30" customHeight="1">
      <c r="A12" s="322">
        <v>4</v>
      </c>
      <c r="B12" s="1848" t="s">
        <v>795</v>
      </c>
      <c r="C12" s="1849"/>
      <c r="D12" s="317" t="s">
        <v>796</v>
      </c>
      <c r="E12" s="180" t="s">
        <v>525</v>
      </c>
      <c r="F12" s="1589" t="s">
        <v>519</v>
      </c>
      <c r="G12" s="1589"/>
      <c r="H12" s="1589"/>
      <c r="I12" s="278" t="s">
        <v>524</v>
      </c>
      <c r="J12"/>
    </row>
    <row r="13" spans="1:10" s="77" customFormat="1" ht="30" customHeight="1">
      <c r="A13" s="322">
        <v>5</v>
      </c>
      <c r="B13" s="1848"/>
      <c r="C13" s="1849"/>
      <c r="D13" s="317"/>
      <c r="E13" s="180"/>
      <c r="F13" s="1589"/>
      <c r="G13" s="1589"/>
      <c r="H13" s="1589"/>
      <c r="I13" s="278"/>
      <c r="J13"/>
    </row>
    <row r="14" spans="1:10" s="77" customFormat="1" ht="30" customHeight="1">
      <c r="A14" s="322">
        <v>6</v>
      </c>
      <c r="B14" s="1728"/>
      <c r="C14" s="1853"/>
      <c r="D14" s="277"/>
      <c r="E14" s="180"/>
      <c r="F14" s="1589"/>
      <c r="G14" s="1589"/>
      <c r="H14" s="1589"/>
      <c r="I14" s="617"/>
      <c r="J14"/>
    </row>
    <row r="15" spans="1:10" s="77" customFormat="1" ht="30" customHeight="1">
      <c r="A15" s="322">
        <v>7</v>
      </c>
      <c r="B15" s="1728"/>
      <c r="C15" s="1853"/>
      <c r="D15" s="317"/>
      <c r="E15" s="180"/>
      <c r="F15" s="1589"/>
      <c r="G15" s="1589"/>
      <c r="H15" s="1589"/>
      <c r="I15" s="617"/>
      <c r="J15"/>
    </row>
    <row r="16" spans="1:10" s="77" customFormat="1" ht="30" customHeight="1">
      <c r="A16" s="322">
        <v>8</v>
      </c>
      <c r="B16" s="1728"/>
      <c r="C16" s="1853"/>
      <c r="D16" s="277"/>
      <c r="E16" s="180"/>
      <c r="F16" s="1589"/>
      <c r="G16" s="1589"/>
      <c r="H16" s="1589"/>
      <c r="I16" s="617"/>
      <c r="J16"/>
    </row>
    <row r="17" spans="1:10" s="77" customFormat="1" ht="30" customHeight="1">
      <c r="A17" s="322">
        <v>9</v>
      </c>
      <c r="B17" s="1848"/>
      <c r="C17" s="1852"/>
      <c r="D17" s="277"/>
      <c r="E17" s="180"/>
      <c r="F17" s="1589"/>
      <c r="G17" s="1589"/>
      <c r="H17" s="1589"/>
      <c r="I17" s="278"/>
      <c r="J17"/>
    </row>
    <row r="18" spans="1:10" s="77" customFormat="1" ht="30" customHeight="1">
      <c r="A18" s="322">
        <v>10</v>
      </c>
      <c r="B18" s="1848"/>
      <c r="C18" s="1852"/>
      <c r="D18" s="277"/>
      <c r="E18" s="180"/>
      <c r="F18" s="1589"/>
      <c r="G18" s="1589"/>
      <c r="H18" s="1589"/>
      <c r="I18" s="623"/>
      <c r="J18"/>
    </row>
    <row r="19" spans="1:10" s="77" customFormat="1" ht="30" customHeight="1">
      <c r="A19" s="1850"/>
      <c r="B19" s="1851"/>
      <c r="C19" s="1851"/>
      <c r="D19" s="179"/>
      <c r="E19" s="179"/>
      <c r="F19" s="1797"/>
      <c r="G19" s="1797"/>
      <c r="H19" s="1797"/>
      <c r="I19" s="175"/>
      <c r="J19"/>
    </row>
  </sheetData>
  <mergeCells count="36">
    <mergeCell ref="A5:F5"/>
    <mergeCell ref="G5:I5"/>
    <mergeCell ref="A6:I6"/>
    <mergeCell ref="A7:A8"/>
    <mergeCell ref="B7:C8"/>
    <mergeCell ref="D7:D8"/>
    <mergeCell ref="E7:I7"/>
    <mergeCell ref="F8:H8"/>
    <mergeCell ref="A4:I4"/>
    <mergeCell ref="A1:B3"/>
    <mergeCell ref="C1:F3"/>
    <mergeCell ref="H1:I1"/>
    <mergeCell ref="H2:I2"/>
    <mergeCell ref="H3:I3"/>
    <mergeCell ref="B10:C10"/>
    <mergeCell ref="B9:C9"/>
    <mergeCell ref="F9:H9"/>
    <mergeCell ref="F10:H10"/>
    <mergeCell ref="B12:C12"/>
    <mergeCell ref="F12:H12"/>
    <mergeCell ref="B13:C13"/>
    <mergeCell ref="F13:H13"/>
    <mergeCell ref="B11:C11"/>
    <mergeCell ref="F11:H11"/>
    <mergeCell ref="A19:C19"/>
    <mergeCell ref="F19:H19"/>
    <mergeCell ref="F14:H14"/>
    <mergeCell ref="F16:H16"/>
    <mergeCell ref="F15:H15"/>
    <mergeCell ref="F17:H17"/>
    <mergeCell ref="B17:C17"/>
    <mergeCell ref="B18:C18"/>
    <mergeCell ref="F18:H18"/>
    <mergeCell ref="B14:C14"/>
    <mergeCell ref="B15:C15"/>
    <mergeCell ref="B16:C16"/>
  </mergeCells>
  <printOptions horizontalCentered="1"/>
  <pageMargins left="0.6" right="0.35" top="0.56999999999999995" bottom="0.81" header="0.3" footer="0.3"/>
  <pageSetup paperSize="9" scale="82" orientation="landscape" r:id="rId1"/>
  <headerFooter scaleWithDoc="0" alignWithMargins="0"/>
  <drawing r:id="rId2"/>
</worksheet>
</file>

<file path=xl/worksheets/sheet23.xml><?xml version="1.0" encoding="utf-8"?>
<worksheet xmlns="http://schemas.openxmlformats.org/spreadsheetml/2006/main" xmlns:r="http://schemas.openxmlformats.org/officeDocument/2006/relationships">
  <sheetPr>
    <tabColor theme="4" tint="0.39997558519241921"/>
    <pageSetUpPr fitToPage="1"/>
  </sheetPr>
  <dimension ref="A1:H52"/>
  <sheetViews>
    <sheetView view="pageBreakPreview" topLeftCell="A31" zoomScale="130" zoomScaleSheetLayoutView="130" workbookViewId="0">
      <selection activeCell="D7" sqref="D7:G7"/>
    </sheetView>
  </sheetViews>
  <sheetFormatPr defaultRowHeight="15"/>
  <cols>
    <col min="1" max="1" width="7.85546875" customWidth="1"/>
    <col min="2" max="2" width="31.42578125" customWidth="1"/>
    <col min="3" max="5" width="12.5703125" customWidth="1"/>
    <col min="6" max="6" width="6.85546875" customWidth="1"/>
    <col min="7" max="7" width="5.85546875" customWidth="1"/>
    <col min="8" max="8" width="13" customWidth="1"/>
  </cols>
  <sheetData>
    <row r="1" spans="1:8" ht="15" customHeight="1">
      <c r="A1" s="1875"/>
      <c r="B1" s="1882" t="s">
        <v>518</v>
      </c>
      <c r="C1" s="1883"/>
      <c r="D1" s="1883"/>
      <c r="E1" s="1883"/>
      <c r="F1" s="75" t="s">
        <v>237</v>
      </c>
      <c r="G1" s="1878" t="s">
        <v>418</v>
      </c>
      <c r="H1" s="1879"/>
    </row>
    <row r="2" spans="1:8" ht="15" customHeight="1">
      <c r="A2" s="1876"/>
      <c r="B2" s="1884"/>
      <c r="C2" s="1884"/>
      <c r="D2" s="1884"/>
      <c r="E2" s="1884"/>
      <c r="F2" s="75" t="s">
        <v>235</v>
      </c>
      <c r="G2" s="1878">
        <v>0</v>
      </c>
      <c r="H2" s="1879"/>
    </row>
    <row r="3" spans="1:8" ht="15" customHeight="1">
      <c r="A3" s="1877"/>
      <c r="B3" s="1885"/>
      <c r="C3" s="1885"/>
      <c r="D3" s="1885"/>
      <c r="E3" s="1885"/>
      <c r="F3" s="75" t="s">
        <v>236</v>
      </c>
      <c r="G3" s="1880">
        <f>+'Cover '!T11</f>
        <v>42460</v>
      </c>
      <c r="H3" s="1881"/>
    </row>
    <row r="4" spans="1:8">
      <c r="A4" s="1869"/>
      <c r="B4" s="1870"/>
      <c r="C4" s="1870"/>
      <c r="D4" s="1870"/>
      <c r="E4" s="1870"/>
      <c r="F4" s="1870"/>
      <c r="G4" s="1870"/>
      <c r="H4" s="1871"/>
    </row>
    <row r="5" spans="1:8" ht="35.1" customHeight="1">
      <c r="A5" s="1872" t="s">
        <v>259</v>
      </c>
      <c r="B5" s="1872"/>
      <c r="C5" s="74" t="s">
        <v>8</v>
      </c>
      <c r="D5" s="74" t="s">
        <v>46</v>
      </c>
      <c r="E5" s="74" t="s">
        <v>47</v>
      </c>
      <c r="F5" s="1873" t="s">
        <v>48</v>
      </c>
      <c r="G5" s="1874"/>
      <c r="H5" s="74" t="s">
        <v>209</v>
      </c>
    </row>
    <row r="6" spans="1:8" ht="18" customHeight="1">
      <c r="A6" s="1889" t="s">
        <v>13</v>
      </c>
      <c r="B6" s="91" t="s">
        <v>8</v>
      </c>
      <c r="C6" s="111">
        <f>SUM(D6:H6)</f>
        <v>64</v>
      </c>
      <c r="D6" s="1890">
        <v>37</v>
      </c>
      <c r="E6" s="1891"/>
      <c r="F6" s="1891"/>
      <c r="G6" s="1892"/>
      <c r="H6" s="112">
        <f>+'5-QA-QC'!K13</f>
        <v>27</v>
      </c>
    </row>
    <row r="7" spans="1:8" ht="18" customHeight="1">
      <c r="A7" s="1866"/>
      <c r="B7" s="92" t="s">
        <v>270</v>
      </c>
      <c r="C7" s="246">
        <f>+D7+H7</f>
        <v>25</v>
      </c>
      <c r="D7" s="1893">
        <v>13</v>
      </c>
      <c r="E7" s="1894"/>
      <c r="F7" s="1894"/>
      <c r="G7" s="1895"/>
      <c r="H7" s="120">
        <v>12</v>
      </c>
    </row>
    <row r="8" spans="1:8" ht="18" customHeight="1">
      <c r="A8" s="1866"/>
      <c r="B8" s="93" t="s">
        <v>271</v>
      </c>
      <c r="C8" s="246">
        <f>SUM(D8:H8)</f>
        <v>39</v>
      </c>
      <c r="D8" s="1893">
        <v>24</v>
      </c>
      <c r="E8" s="1894"/>
      <c r="F8" s="1894"/>
      <c r="G8" s="1895"/>
      <c r="H8" s="120">
        <v>15</v>
      </c>
    </row>
    <row r="9" spans="1:8" ht="18" customHeight="1">
      <c r="A9" s="1866"/>
      <c r="B9" s="92" t="s">
        <v>258</v>
      </c>
      <c r="C9" s="119"/>
      <c r="D9" s="119"/>
      <c r="E9" s="119"/>
      <c r="F9" s="1867"/>
      <c r="G9" s="1867"/>
      <c r="H9" s="120"/>
    </row>
    <row r="10" spans="1:8" ht="18" customHeight="1">
      <c r="A10" s="1866" t="s">
        <v>214</v>
      </c>
      <c r="B10" s="92" t="s">
        <v>8</v>
      </c>
      <c r="C10" s="295">
        <f>SUM(D10:H10)</f>
        <v>1131</v>
      </c>
      <c r="D10" s="1893">
        <v>608</v>
      </c>
      <c r="E10" s="1894"/>
      <c r="F10" s="1894"/>
      <c r="G10" s="1895"/>
      <c r="H10" s="120">
        <v>523</v>
      </c>
    </row>
    <row r="11" spans="1:8" ht="18" customHeight="1">
      <c r="A11" s="1866"/>
      <c r="B11" s="92" t="s">
        <v>270</v>
      </c>
      <c r="C11" s="246">
        <f>SUM(D11:H11)</f>
        <v>672</v>
      </c>
      <c r="D11" s="1893">
        <v>344</v>
      </c>
      <c r="E11" s="1894"/>
      <c r="F11" s="1894"/>
      <c r="G11" s="1895"/>
      <c r="H11" s="120">
        <v>328</v>
      </c>
    </row>
    <row r="12" spans="1:8" ht="18" customHeight="1">
      <c r="A12" s="1866"/>
      <c r="B12" s="93" t="s">
        <v>271</v>
      </c>
      <c r="C12" s="246">
        <f>SUM(D12:H12)</f>
        <v>459</v>
      </c>
      <c r="D12" s="1893">
        <f>D10-D11</f>
        <v>264</v>
      </c>
      <c r="E12" s="1894"/>
      <c r="F12" s="1894"/>
      <c r="G12" s="1895"/>
      <c r="H12" s="120">
        <f>H10-H11</f>
        <v>195</v>
      </c>
    </row>
    <row r="13" spans="1:8" ht="18" customHeight="1">
      <c r="A13" s="1866"/>
      <c r="B13" s="92" t="s">
        <v>258</v>
      </c>
      <c r="C13" s="119"/>
      <c r="D13" s="119"/>
      <c r="E13" s="119"/>
      <c r="F13" s="1867"/>
      <c r="G13" s="1867"/>
      <c r="H13" s="120"/>
    </row>
    <row r="14" spans="1:8" s="77" customFormat="1" ht="18" customHeight="1">
      <c r="A14" s="1866" t="s">
        <v>227</v>
      </c>
      <c r="B14" s="92" t="s">
        <v>8</v>
      </c>
      <c r="C14" s="119"/>
      <c r="D14" s="119"/>
      <c r="E14" s="119"/>
      <c r="F14" s="1867"/>
      <c r="G14" s="1867"/>
      <c r="H14" s="120"/>
    </row>
    <row r="15" spans="1:8" s="77" customFormat="1" ht="18" customHeight="1">
      <c r="A15" s="1866"/>
      <c r="B15" s="92" t="s">
        <v>16</v>
      </c>
      <c r="C15" s="119"/>
      <c r="D15" s="119"/>
      <c r="E15" s="119"/>
      <c r="F15" s="1867"/>
      <c r="G15" s="1867"/>
      <c r="H15" s="120"/>
    </row>
    <row r="16" spans="1:8" s="77" customFormat="1" ht="18" customHeight="1">
      <c r="A16" s="1866"/>
      <c r="B16" s="92" t="s">
        <v>2</v>
      </c>
      <c r="C16" s="119"/>
      <c r="D16" s="119"/>
      <c r="E16" s="119"/>
      <c r="F16" s="1867"/>
      <c r="G16" s="1867"/>
      <c r="H16" s="120"/>
    </row>
    <row r="17" spans="1:8" s="77" customFormat="1" ht="18" customHeight="1">
      <c r="A17" s="1866"/>
      <c r="B17" s="92" t="s">
        <v>258</v>
      </c>
      <c r="C17" s="119"/>
      <c r="D17" s="119"/>
      <c r="E17" s="119"/>
      <c r="F17" s="1867"/>
      <c r="G17" s="1867"/>
      <c r="H17" s="120"/>
    </row>
    <row r="18" spans="1:8" s="77" customFormat="1" ht="18" customHeight="1">
      <c r="A18" s="1866" t="s">
        <v>228</v>
      </c>
      <c r="B18" s="92" t="s">
        <v>8</v>
      </c>
      <c r="C18" s="357">
        <f t="shared" ref="C18:C20" si="0">SUM(D18:H18)</f>
        <v>457</v>
      </c>
      <c r="D18" s="1896">
        <v>202</v>
      </c>
      <c r="E18" s="1897"/>
      <c r="F18" s="1897"/>
      <c r="G18" s="1898"/>
      <c r="H18" s="114">
        <v>255</v>
      </c>
    </row>
    <row r="19" spans="1:8" s="77" customFormat="1" ht="18" customHeight="1">
      <c r="A19" s="1866"/>
      <c r="B19" s="92" t="s">
        <v>16</v>
      </c>
      <c r="C19" s="357">
        <f t="shared" si="0"/>
        <v>17</v>
      </c>
      <c r="D19" s="1896">
        <v>9</v>
      </c>
      <c r="E19" s="1897"/>
      <c r="F19" s="1897"/>
      <c r="G19" s="1898"/>
      <c r="H19" s="114">
        <v>8</v>
      </c>
    </row>
    <row r="20" spans="1:8" s="77" customFormat="1" ht="18" customHeight="1">
      <c r="A20" s="1866"/>
      <c r="B20" s="92" t="s">
        <v>2</v>
      </c>
      <c r="C20" s="357">
        <f t="shared" si="0"/>
        <v>0</v>
      </c>
      <c r="D20" s="1896">
        <v>0</v>
      </c>
      <c r="E20" s="1897"/>
      <c r="F20" s="1897"/>
      <c r="G20" s="1898"/>
      <c r="H20" s="114">
        <v>0</v>
      </c>
    </row>
    <row r="21" spans="1:8" s="77" customFormat="1" ht="18" customHeight="1">
      <c r="A21" s="1866"/>
      <c r="B21" s="92" t="s">
        <v>233</v>
      </c>
      <c r="C21" s="177"/>
      <c r="D21" s="177"/>
      <c r="E21" s="177"/>
      <c r="F21" s="1886"/>
      <c r="G21" s="1886"/>
      <c r="H21" s="114"/>
    </row>
    <row r="22" spans="1:8" s="77" customFormat="1" ht="18" customHeight="1">
      <c r="A22" s="1866"/>
      <c r="B22" s="92" t="s">
        <v>258</v>
      </c>
      <c r="C22" s="164"/>
      <c r="D22" s="164"/>
      <c r="E22" s="164"/>
      <c r="F22" s="1887"/>
      <c r="G22" s="1888"/>
      <c r="H22" s="129"/>
    </row>
    <row r="23" spans="1:8" s="77" customFormat="1" ht="18" customHeight="1">
      <c r="A23" s="1866" t="s">
        <v>229</v>
      </c>
      <c r="B23" s="92" t="s">
        <v>8</v>
      </c>
      <c r="C23" s="357">
        <f t="shared" ref="C23:C27" si="1">SUM(D23:H23)</f>
        <v>15</v>
      </c>
      <c r="D23" s="113">
        <v>1</v>
      </c>
      <c r="E23" s="113">
        <v>4</v>
      </c>
      <c r="F23" s="1867">
        <v>2</v>
      </c>
      <c r="G23" s="1867"/>
      <c r="H23" s="114">
        <v>8</v>
      </c>
    </row>
    <row r="24" spans="1:8" s="77" customFormat="1" ht="18" customHeight="1">
      <c r="A24" s="1866"/>
      <c r="B24" s="92" t="s">
        <v>16</v>
      </c>
      <c r="C24" s="357">
        <f t="shared" si="1"/>
        <v>15</v>
      </c>
      <c r="D24" s="113">
        <v>1</v>
      </c>
      <c r="E24" s="113">
        <v>4</v>
      </c>
      <c r="F24" s="1867">
        <v>2</v>
      </c>
      <c r="G24" s="1867"/>
      <c r="H24" s="114">
        <v>8</v>
      </c>
    </row>
    <row r="25" spans="1:8" s="77" customFormat="1" ht="18" customHeight="1">
      <c r="A25" s="1866"/>
      <c r="B25" s="92" t="s">
        <v>2</v>
      </c>
      <c r="C25" s="357">
        <f t="shared" si="1"/>
        <v>14</v>
      </c>
      <c r="D25" s="113">
        <v>1</v>
      </c>
      <c r="E25" s="113">
        <v>3</v>
      </c>
      <c r="F25" s="1867">
        <v>2</v>
      </c>
      <c r="G25" s="1867"/>
      <c r="H25" s="114">
        <v>8</v>
      </c>
    </row>
    <row r="26" spans="1:8" s="77" customFormat="1" ht="18" customHeight="1">
      <c r="A26" s="1866"/>
      <c r="B26" s="92" t="s">
        <v>272</v>
      </c>
      <c r="C26" s="357">
        <f t="shared" si="1"/>
        <v>10</v>
      </c>
      <c r="D26" s="113">
        <v>1</v>
      </c>
      <c r="E26" s="113">
        <v>3</v>
      </c>
      <c r="F26" s="1867">
        <v>2</v>
      </c>
      <c r="G26" s="1867"/>
      <c r="H26" s="114">
        <v>4</v>
      </c>
    </row>
    <row r="27" spans="1:8" s="77" customFormat="1" ht="18" customHeight="1">
      <c r="A27" s="1866"/>
      <c r="B27" s="93" t="s">
        <v>274</v>
      </c>
      <c r="C27" s="357">
        <f t="shared" si="1"/>
        <v>2</v>
      </c>
      <c r="D27" s="113">
        <v>0</v>
      </c>
      <c r="E27" s="113">
        <v>0</v>
      </c>
      <c r="F27" s="1867">
        <v>2</v>
      </c>
      <c r="G27" s="1867"/>
      <c r="H27" s="114">
        <v>0</v>
      </c>
    </row>
    <row r="28" spans="1:8" s="77" customFormat="1" ht="18" customHeight="1">
      <c r="A28" s="1866"/>
      <c r="B28" s="93" t="s">
        <v>273</v>
      </c>
      <c r="C28" s="113"/>
      <c r="D28" s="113"/>
      <c r="E28" s="113"/>
      <c r="F28" s="1867"/>
      <c r="G28" s="1867"/>
      <c r="H28" s="114"/>
    </row>
    <row r="29" spans="1:8" s="77" customFormat="1" ht="18" customHeight="1">
      <c r="A29" s="1866" t="s">
        <v>267</v>
      </c>
      <c r="B29" s="92" t="s">
        <v>122</v>
      </c>
      <c r="C29" s="113"/>
      <c r="D29" s="113"/>
      <c r="E29" s="113"/>
      <c r="F29" s="1867"/>
      <c r="G29" s="1867"/>
      <c r="H29" s="114"/>
    </row>
    <row r="30" spans="1:8" s="77" customFormat="1" ht="18" customHeight="1">
      <c r="A30" s="1866"/>
      <c r="B30" s="92" t="s">
        <v>268</v>
      </c>
      <c r="C30" s="113"/>
      <c r="D30" s="113"/>
      <c r="E30" s="113"/>
      <c r="F30" s="1867"/>
      <c r="G30" s="1867"/>
      <c r="H30" s="114"/>
    </row>
    <row r="31" spans="1:8" s="77" customFormat="1" ht="18" customHeight="1">
      <c r="A31" s="1866"/>
      <c r="B31" s="93" t="s">
        <v>275</v>
      </c>
      <c r="C31" s="113"/>
      <c r="D31" s="113"/>
      <c r="E31" s="113"/>
      <c r="F31" s="1867"/>
      <c r="G31" s="1867"/>
      <c r="H31" s="114"/>
    </row>
    <row r="32" spans="1:8" s="77" customFormat="1" ht="18" customHeight="1">
      <c r="A32" s="1866"/>
      <c r="B32" s="92" t="s">
        <v>258</v>
      </c>
      <c r="C32" s="113"/>
      <c r="D32" s="113"/>
      <c r="E32" s="113"/>
      <c r="F32" s="1867"/>
      <c r="G32" s="1867"/>
      <c r="H32" s="114"/>
    </row>
    <row r="33" spans="1:8" s="77" customFormat="1" ht="18" customHeight="1">
      <c r="A33" s="1866" t="s">
        <v>230</v>
      </c>
      <c r="B33" s="92" t="s">
        <v>8</v>
      </c>
      <c r="C33" s="357">
        <f t="shared" ref="C33:C36" si="2">SUM(D33:H33)</f>
        <v>21</v>
      </c>
      <c r="D33" s="176">
        <v>4</v>
      </c>
      <c r="E33" s="176">
        <v>4</v>
      </c>
      <c r="F33" s="1867">
        <v>6</v>
      </c>
      <c r="G33" s="1867"/>
      <c r="H33" s="120">
        <v>7</v>
      </c>
    </row>
    <row r="34" spans="1:8" s="77" customFormat="1" ht="18" customHeight="1">
      <c r="A34" s="1866"/>
      <c r="B34" s="92" t="s">
        <v>16</v>
      </c>
      <c r="C34" s="357">
        <f t="shared" si="2"/>
        <v>0</v>
      </c>
      <c r="D34" s="176">
        <v>0</v>
      </c>
      <c r="E34" s="176">
        <v>0</v>
      </c>
      <c r="F34" s="1867">
        <v>0</v>
      </c>
      <c r="G34" s="1867"/>
      <c r="H34" s="120">
        <v>0</v>
      </c>
    </row>
    <row r="35" spans="1:8" s="77" customFormat="1" ht="18" customHeight="1">
      <c r="A35" s="1866"/>
      <c r="B35" s="92" t="s">
        <v>2</v>
      </c>
      <c r="C35" s="357">
        <f t="shared" si="2"/>
        <v>0</v>
      </c>
      <c r="D35" s="176">
        <v>0</v>
      </c>
      <c r="E35" s="176">
        <v>0</v>
      </c>
      <c r="F35" s="1867">
        <v>0</v>
      </c>
      <c r="G35" s="1867"/>
      <c r="H35" s="120">
        <v>0</v>
      </c>
    </row>
    <row r="36" spans="1:8" s="77" customFormat="1" ht="18" customHeight="1">
      <c r="A36" s="1866"/>
      <c r="B36" s="92" t="s">
        <v>233</v>
      </c>
      <c r="C36" s="357">
        <f t="shared" si="2"/>
        <v>0</v>
      </c>
      <c r="D36" s="113">
        <v>0</v>
      </c>
      <c r="E36" s="113">
        <v>0</v>
      </c>
      <c r="F36" s="1886">
        <v>0</v>
      </c>
      <c r="G36" s="1886"/>
      <c r="H36" s="114">
        <v>0</v>
      </c>
    </row>
    <row r="37" spans="1:8" s="77" customFormat="1" ht="18" customHeight="1">
      <c r="A37" s="1866"/>
      <c r="B37" s="92" t="s">
        <v>258</v>
      </c>
      <c r="C37" s="113"/>
      <c r="D37" s="113"/>
      <c r="E37" s="113"/>
      <c r="F37" s="1886"/>
      <c r="G37" s="1886"/>
      <c r="H37" s="114"/>
    </row>
    <row r="38" spans="1:8" s="77" customFormat="1" ht="18" customHeight="1">
      <c r="A38" s="1866" t="s">
        <v>269</v>
      </c>
      <c r="B38" s="92" t="s">
        <v>8</v>
      </c>
      <c r="C38" s="113"/>
      <c r="D38" s="113"/>
      <c r="E38" s="113"/>
      <c r="F38" s="1867"/>
      <c r="G38" s="1867"/>
      <c r="H38" s="114"/>
    </row>
    <row r="39" spans="1:8" s="77" customFormat="1" ht="18" customHeight="1">
      <c r="A39" s="1866"/>
      <c r="B39" s="92" t="s">
        <v>16</v>
      </c>
      <c r="C39" s="113"/>
      <c r="D39" s="113"/>
      <c r="E39" s="113"/>
      <c r="F39" s="1867"/>
      <c r="G39" s="1867"/>
      <c r="H39" s="114"/>
    </row>
    <row r="40" spans="1:8" s="77" customFormat="1" ht="18" customHeight="1">
      <c r="A40" s="1866"/>
      <c r="B40" s="92" t="s">
        <v>2</v>
      </c>
      <c r="C40" s="113"/>
      <c r="D40" s="113"/>
      <c r="E40" s="113"/>
      <c r="F40" s="1867"/>
      <c r="G40" s="1867"/>
      <c r="H40" s="114"/>
    </row>
    <row r="41" spans="1:8" s="77" customFormat="1" ht="18" customHeight="1">
      <c r="A41" s="1866"/>
      <c r="B41" s="92" t="s">
        <v>234</v>
      </c>
      <c r="C41" s="113"/>
      <c r="D41" s="113"/>
      <c r="E41" s="113"/>
      <c r="F41" s="1867"/>
      <c r="G41" s="1867"/>
      <c r="H41" s="114"/>
    </row>
    <row r="42" spans="1:8" s="77" customFormat="1" ht="18" customHeight="1">
      <c r="A42" s="1866"/>
      <c r="B42" s="92" t="s">
        <v>258</v>
      </c>
      <c r="C42" s="113"/>
      <c r="D42" s="113"/>
      <c r="E42" s="113"/>
      <c r="F42" s="1867"/>
      <c r="G42" s="1867"/>
      <c r="H42" s="114"/>
    </row>
    <row r="43" spans="1:8" s="77" customFormat="1" ht="18" customHeight="1">
      <c r="A43" s="1866" t="s">
        <v>231</v>
      </c>
      <c r="B43" s="92" t="s">
        <v>8</v>
      </c>
      <c r="C43" s="113"/>
      <c r="D43" s="113"/>
      <c r="E43" s="113"/>
      <c r="F43" s="1886"/>
      <c r="G43" s="1886"/>
      <c r="H43" s="114"/>
    </row>
    <row r="44" spans="1:8" s="77" customFormat="1" ht="18" customHeight="1">
      <c r="A44" s="1866"/>
      <c r="B44" s="92" t="s">
        <v>16</v>
      </c>
      <c r="C44" s="113"/>
      <c r="D44" s="113"/>
      <c r="E44" s="113"/>
      <c r="F44" s="1886"/>
      <c r="G44" s="1886"/>
      <c r="H44" s="114"/>
    </row>
    <row r="45" spans="1:8" s="77" customFormat="1" ht="18" customHeight="1">
      <c r="A45" s="1866"/>
      <c r="B45" s="92" t="s">
        <v>2</v>
      </c>
      <c r="C45" s="113"/>
      <c r="D45" s="113"/>
      <c r="E45" s="113"/>
      <c r="F45" s="1886"/>
      <c r="G45" s="1886"/>
      <c r="H45" s="114"/>
    </row>
    <row r="46" spans="1:8" s="77" customFormat="1" ht="18" customHeight="1">
      <c r="A46" s="1866"/>
      <c r="B46" s="92" t="s">
        <v>233</v>
      </c>
      <c r="C46" s="113"/>
      <c r="D46" s="113"/>
      <c r="E46" s="113"/>
      <c r="F46" s="1886"/>
      <c r="G46" s="1886"/>
      <c r="H46" s="114"/>
    </row>
    <row r="47" spans="1:8" s="77" customFormat="1" ht="18" customHeight="1">
      <c r="A47" s="1866"/>
      <c r="B47" s="92" t="s">
        <v>258</v>
      </c>
      <c r="C47" s="113"/>
      <c r="D47" s="113"/>
      <c r="E47" s="113"/>
      <c r="F47" s="1886"/>
      <c r="G47" s="1886"/>
      <c r="H47" s="114"/>
    </row>
    <row r="48" spans="1:8" s="77" customFormat="1" ht="18" customHeight="1">
      <c r="A48" s="1866" t="s">
        <v>232</v>
      </c>
      <c r="B48" s="92" t="s">
        <v>8</v>
      </c>
      <c r="C48" s="113"/>
      <c r="D48" s="113"/>
      <c r="E48" s="113"/>
      <c r="F48" s="1867"/>
      <c r="G48" s="1867"/>
      <c r="H48" s="114"/>
    </row>
    <row r="49" spans="1:8" s="77" customFormat="1" ht="18" customHeight="1">
      <c r="A49" s="1866"/>
      <c r="B49" s="92" t="s">
        <v>16</v>
      </c>
      <c r="C49" s="113"/>
      <c r="D49" s="113"/>
      <c r="E49" s="113"/>
      <c r="F49" s="1867"/>
      <c r="G49" s="1867"/>
      <c r="H49" s="114"/>
    </row>
    <row r="50" spans="1:8" s="77" customFormat="1" ht="18" customHeight="1">
      <c r="A50" s="1866"/>
      <c r="B50" s="92" t="s">
        <v>2</v>
      </c>
      <c r="C50" s="113"/>
      <c r="D50" s="113"/>
      <c r="E50" s="113"/>
      <c r="F50" s="1867"/>
      <c r="G50" s="1867"/>
      <c r="H50" s="114"/>
    </row>
    <row r="51" spans="1:8" s="77" customFormat="1" ht="18" customHeight="1">
      <c r="A51" s="1866"/>
      <c r="B51" s="92" t="s">
        <v>233</v>
      </c>
      <c r="C51" s="113"/>
      <c r="D51" s="113"/>
      <c r="E51" s="113"/>
      <c r="F51" s="1867"/>
      <c r="G51" s="1867"/>
      <c r="H51" s="114"/>
    </row>
    <row r="52" spans="1:8" s="77" customFormat="1" ht="18" customHeight="1">
      <c r="A52" s="1868"/>
      <c r="B52" s="94" t="s">
        <v>258</v>
      </c>
      <c r="C52" s="115"/>
      <c r="D52" s="115"/>
      <c r="E52" s="115"/>
      <c r="F52" s="1556"/>
      <c r="G52" s="1556"/>
      <c r="H52" s="116"/>
    </row>
  </sheetData>
  <mergeCells count="65">
    <mergeCell ref="A6:A9"/>
    <mergeCell ref="A10:A13"/>
    <mergeCell ref="F13:G13"/>
    <mergeCell ref="F26:G26"/>
    <mergeCell ref="F27:G27"/>
    <mergeCell ref="D6:G6"/>
    <mergeCell ref="D7:G7"/>
    <mergeCell ref="D8:G8"/>
    <mergeCell ref="D10:G10"/>
    <mergeCell ref="F24:G24"/>
    <mergeCell ref="F25:G25"/>
    <mergeCell ref="D11:G11"/>
    <mergeCell ref="D18:G18"/>
    <mergeCell ref="D19:G19"/>
    <mergeCell ref="D20:G20"/>
    <mergeCell ref="D12:G12"/>
    <mergeCell ref="F49:G49"/>
    <mergeCell ref="F50:G50"/>
    <mergeCell ref="F51:G51"/>
    <mergeCell ref="F52:G52"/>
    <mergeCell ref="F21:G21"/>
    <mergeCell ref="F22:G22"/>
    <mergeCell ref="F33:G33"/>
    <mergeCell ref="F34:G34"/>
    <mergeCell ref="F35:G35"/>
    <mergeCell ref="F36:G36"/>
    <mergeCell ref="F37:G37"/>
    <mergeCell ref="F43:G43"/>
    <mergeCell ref="F44:G44"/>
    <mergeCell ref="F29:G29"/>
    <mergeCell ref="F28:G28"/>
    <mergeCell ref="F30:G30"/>
    <mergeCell ref="F48:G48"/>
    <mergeCell ref="F45:G45"/>
    <mergeCell ref="F46:G46"/>
    <mergeCell ref="F47:G47"/>
    <mergeCell ref="F38:G38"/>
    <mergeCell ref="A1:A3"/>
    <mergeCell ref="G1:H1"/>
    <mergeCell ref="G2:H2"/>
    <mergeCell ref="G3:H3"/>
    <mergeCell ref="B1:E3"/>
    <mergeCell ref="A48:A52"/>
    <mergeCell ref="A4:H4"/>
    <mergeCell ref="A14:A17"/>
    <mergeCell ref="A5:B5"/>
    <mergeCell ref="A18:A22"/>
    <mergeCell ref="A23:A28"/>
    <mergeCell ref="F5:G5"/>
    <mergeCell ref="F14:G14"/>
    <mergeCell ref="F15:G15"/>
    <mergeCell ref="F16:G16"/>
    <mergeCell ref="F9:G9"/>
    <mergeCell ref="F17:G17"/>
    <mergeCell ref="F23:G23"/>
    <mergeCell ref="A33:A37"/>
    <mergeCell ref="A38:A42"/>
    <mergeCell ref="F39:G39"/>
    <mergeCell ref="A43:A47"/>
    <mergeCell ref="F40:G40"/>
    <mergeCell ref="F41:G41"/>
    <mergeCell ref="F42:G42"/>
    <mergeCell ref="F31:G31"/>
    <mergeCell ref="F32:G32"/>
    <mergeCell ref="A29:A32"/>
  </mergeCells>
  <printOptions horizontalCentered="1"/>
  <pageMargins left="0.6" right="0.35" top="0.75" bottom="0.5" header="0.3" footer="0.3"/>
  <pageSetup paperSize="9" scale="82" orientation="portrait" r:id="rId1"/>
  <headerFooter scaleWithDoc="0" alignWithMargins="0"/>
  <drawing r:id="rId2"/>
</worksheet>
</file>

<file path=xl/worksheets/sheet24.xml><?xml version="1.0" encoding="utf-8"?>
<worksheet xmlns="http://schemas.openxmlformats.org/spreadsheetml/2006/main" xmlns:r="http://schemas.openxmlformats.org/officeDocument/2006/relationships">
  <dimension ref="A1:CX458"/>
  <sheetViews>
    <sheetView view="pageBreakPreview" topLeftCell="A64" zoomScale="115" zoomScaleSheetLayoutView="115" workbookViewId="0">
      <selection activeCell="O175" sqref="O175"/>
    </sheetView>
  </sheetViews>
  <sheetFormatPr defaultRowHeight="15"/>
  <cols>
    <col min="1" max="2" width="1.7109375" style="10" customWidth="1"/>
    <col min="3" max="4" width="1.7109375" style="26" customWidth="1"/>
    <col min="5" max="8" width="1.7109375" style="10" customWidth="1"/>
    <col min="9" max="9" width="2" style="10" customWidth="1"/>
    <col min="10" max="19" width="1.7109375" style="10" customWidth="1"/>
    <col min="20" max="20" width="1.7109375" style="26" customWidth="1"/>
    <col min="21" max="39" width="1.7109375" style="10" customWidth="1"/>
    <col min="40" max="40" width="1.7109375" style="26" customWidth="1"/>
    <col min="41" max="59" width="1.7109375" style="10" customWidth="1"/>
    <col min="60" max="60" width="1.7109375" style="26" customWidth="1"/>
    <col min="61" max="80" width="1.7109375" style="10" customWidth="1"/>
    <col min="81" max="81" width="1.7109375" style="26" customWidth="1"/>
    <col min="82" max="102" width="1.7109375" style="10" customWidth="1"/>
  </cols>
  <sheetData>
    <row r="1" spans="1:102" s="19" customFormat="1" ht="1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18"/>
      <c r="CE1" s="18"/>
      <c r="CF1" s="18"/>
      <c r="CG1" s="18"/>
      <c r="CH1" s="18"/>
      <c r="CI1" s="18"/>
      <c r="CJ1" s="18"/>
      <c r="CK1" s="18"/>
      <c r="CL1" s="18"/>
      <c r="CM1" s="18"/>
      <c r="CN1" s="18"/>
      <c r="CO1" s="18"/>
      <c r="CP1" s="18"/>
      <c r="CQ1" s="18"/>
      <c r="CR1" s="18"/>
      <c r="CS1" s="18"/>
      <c r="CT1" s="18"/>
      <c r="CU1" s="18"/>
      <c r="CV1" s="18"/>
      <c r="CW1" s="18"/>
      <c r="CX1" s="18"/>
    </row>
    <row r="2" spans="1:102" ht="15" customHeight="1">
      <c r="A2" s="26"/>
      <c r="B2" s="29"/>
      <c r="E2" s="26"/>
      <c r="F2" s="26"/>
      <c r="G2" s="26"/>
      <c r="H2" s="26"/>
      <c r="I2" s="26"/>
      <c r="J2" s="26"/>
      <c r="K2" s="26"/>
      <c r="L2" s="26"/>
      <c r="M2" s="26"/>
      <c r="N2" s="26"/>
      <c r="O2" s="26"/>
      <c r="P2" s="26"/>
      <c r="Q2" s="26"/>
      <c r="R2" s="26"/>
      <c r="S2" s="26"/>
      <c r="U2" s="26"/>
      <c r="V2" s="26"/>
      <c r="W2" s="26"/>
      <c r="X2" s="26"/>
      <c r="Y2" s="26"/>
      <c r="Z2" s="26"/>
      <c r="AA2" s="26"/>
      <c r="AB2" s="26"/>
      <c r="AC2" s="26"/>
      <c r="AD2" s="26"/>
      <c r="AE2" s="26"/>
      <c r="AF2" s="26"/>
      <c r="AG2" s="26"/>
      <c r="AH2" s="26"/>
      <c r="AI2" s="26"/>
      <c r="AJ2" s="26"/>
      <c r="AK2" s="26"/>
      <c r="AL2" s="26"/>
      <c r="AM2" s="26"/>
      <c r="AO2" s="26"/>
      <c r="AP2" s="26"/>
      <c r="AQ2" s="26"/>
      <c r="AR2" s="26"/>
      <c r="AS2" s="26"/>
      <c r="AT2" s="26"/>
      <c r="AU2" s="26"/>
      <c r="AV2" s="26"/>
      <c r="AW2" s="26"/>
      <c r="AX2" s="26"/>
      <c r="AY2" s="26"/>
      <c r="AZ2" s="26"/>
      <c r="BA2" s="26"/>
      <c r="BB2" s="26"/>
      <c r="BC2" s="26"/>
      <c r="BD2" s="26"/>
      <c r="BE2" s="26"/>
      <c r="BF2" s="26"/>
      <c r="BG2" s="26"/>
      <c r="BI2" s="26"/>
      <c r="BJ2" s="26"/>
      <c r="BK2" s="26"/>
      <c r="BL2" s="26"/>
      <c r="BM2" s="26"/>
      <c r="BN2" s="26"/>
      <c r="BO2" s="26"/>
      <c r="BP2" s="26"/>
      <c r="BQ2" s="26"/>
      <c r="BR2" s="26"/>
      <c r="BS2" s="26"/>
      <c r="BT2" s="26"/>
      <c r="BU2" s="26"/>
      <c r="BV2" s="26"/>
      <c r="BW2" s="26"/>
      <c r="BX2" s="26"/>
      <c r="BY2" s="26"/>
      <c r="BZ2" s="26"/>
      <c r="CA2" s="26"/>
      <c r="CB2" s="26"/>
    </row>
    <row r="3" spans="1:102" ht="15" customHeight="1">
      <c r="A3" s="26"/>
      <c r="B3" s="29"/>
      <c r="E3" s="26"/>
      <c r="F3" s="26"/>
      <c r="G3" s="26"/>
      <c r="H3" s="26"/>
      <c r="I3" s="26"/>
      <c r="J3" s="26"/>
      <c r="K3" s="26"/>
      <c r="L3" s="26"/>
      <c r="M3" s="26"/>
      <c r="N3" s="26"/>
      <c r="O3" s="26"/>
      <c r="P3" s="26"/>
      <c r="Q3" s="26"/>
      <c r="R3" s="26"/>
      <c r="S3" s="26"/>
      <c r="U3" s="26"/>
      <c r="V3" s="26"/>
      <c r="W3" s="26"/>
      <c r="X3" s="26"/>
      <c r="Y3" s="26"/>
      <c r="Z3" s="26"/>
      <c r="AA3" s="26"/>
      <c r="AB3" s="26"/>
      <c r="AC3" s="26"/>
      <c r="AD3" s="26"/>
      <c r="AE3" s="26"/>
      <c r="AF3" s="26"/>
      <c r="AG3" s="26"/>
      <c r="AH3" s="26"/>
      <c r="AI3" s="26"/>
      <c r="AJ3" s="26"/>
      <c r="AK3" s="26"/>
      <c r="AL3" s="26"/>
      <c r="AM3" s="26"/>
      <c r="AO3" s="26"/>
      <c r="AP3" s="26"/>
      <c r="AQ3" s="26"/>
      <c r="AR3" s="26"/>
      <c r="AS3" s="26"/>
      <c r="AT3" s="26"/>
      <c r="AU3" s="26"/>
      <c r="AV3" s="26"/>
      <c r="AW3" s="26"/>
      <c r="AX3" s="26"/>
      <c r="AY3" s="26"/>
      <c r="AZ3" s="26"/>
      <c r="BA3" s="26"/>
      <c r="BB3" s="26"/>
      <c r="BC3" s="26"/>
      <c r="BD3" s="26"/>
      <c r="BE3" s="26"/>
      <c r="BF3" s="26"/>
      <c r="BG3" s="26"/>
      <c r="BI3" s="26"/>
      <c r="BJ3" s="26"/>
      <c r="BK3" s="26"/>
      <c r="BL3" s="26"/>
      <c r="BM3" s="26"/>
      <c r="BN3" s="26"/>
      <c r="BO3" s="26"/>
      <c r="BP3" s="26"/>
      <c r="BQ3" s="26"/>
      <c r="BR3" s="26"/>
      <c r="BS3" s="26"/>
      <c r="BT3" s="26"/>
      <c r="BU3" s="26"/>
      <c r="BV3" s="26"/>
      <c r="BW3" s="26"/>
      <c r="BX3" s="26"/>
      <c r="BY3" s="26"/>
      <c r="BZ3" s="26"/>
      <c r="CA3" s="26"/>
      <c r="CB3" s="26"/>
    </row>
    <row r="4" spans="1:102" ht="15" customHeight="1">
      <c r="A4" s="26"/>
      <c r="B4" s="29"/>
      <c r="E4" s="26"/>
      <c r="F4" s="26"/>
      <c r="G4" s="26"/>
      <c r="H4" s="26"/>
      <c r="I4" s="26"/>
      <c r="J4" s="26"/>
      <c r="K4" s="26"/>
      <c r="L4" s="26"/>
      <c r="M4" s="26"/>
      <c r="N4" s="26"/>
      <c r="O4" s="26"/>
      <c r="P4" s="26"/>
      <c r="Q4" s="26"/>
      <c r="R4" s="26"/>
      <c r="S4" s="26"/>
      <c r="U4" s="26"/>
      <c r="V4" s="26"/>
      <c r="W4" s="26"/>
      <c r="X4" s="26"/>
      <c r="Y4" s="26"/>
      <c r="Z4" s="26"/>
      <c r="AA4" s="26"/>
      <c r="AB4" s="26"/>
      <c r="AC4" s="26"/>
      <c r="AD4" s="26"/>
      <c r="AE4" s="26"/>
      <c r="AF4" s="26"/>
      <c r="AG4" s="26"/>
      <c r="AH4" s="26"/>
      <c r="AI4" s="26"/>
      <c r="AJ4" s="26"/>
      <c r="AK4" s="26"/>
      <c r="AL4" s="26"/>
      <c r="AM4" s="26"/>
      <c r="AO4" s="26"/>
      <c r="AP4" s="26"/>
      <c r="AQ4" s="26"/>
      <c r="AR4" s="26"/>
      <c r="AS4" s="26"/>
      <c r="AT4" s="26"/>
      <c r="AU4" s="26"/>
      <c r="AV4" s="26"/>
      <c r="AW4" s="26"/>
      <c r="AX4" s="26"/>
      <c r="AY4" s="26"/>
      <c r="AZ4" s="26"/>
      <c r="BA4" s="26"/>
      <c r="BB4" s="26"/>
      <c r="BC4" s="26"/>
      <c r="BD4" s="26"/>
      <c r="BE4" s="26"/>
      <c r="BF4" s="26"/>
      <c r="BG4" s="26"/>
      <c r="BI4" s="26"/>
      <c r="BJ4" s="26"/>
      <c r="BK4" s="26"/>
      <c r="BL4" s="26"/>
      <c r="BM4" s="26"/>
      <c r="BN4" s="26"/>
      <c r="BO4" s="26"/>
      <c r="BP4" s="26"/>
      <c r="BQ4" s="26"/>
      <c r="BR4" s="26"/>
      <c r="BS4" s="26"/>
      <c r="BT4" s="26"/>
      <c r="BU4" s="26"/>
      <c r="BV4" s="26"/>
      <c r="BW4" s="26"/>
      <c r="BX4" s="26"/>
      <c r="BY4" s="26"/>
      <c r="BZ4" s="26"/>
      <c r="CA4" s="26"/>
      <c r="CB4" s="26"/>
    </row>
    <row r="5" spans="1:102" ht="15" customHeight="1">
      <c r="A5" s="26"/>
      <c r="B5" s="29"/>
      <c r="E5" s="26"/>
      <c r="F5" s="26"/>
      <c r="G5" s="26"/>
      <c r="H5" s="26"/>
      <c r="I5" s="26"/>
      <c r="J5" s="26"/>
      <c r="K5" s="26"/>
      <c r="L5" s="26"/>
      <c r="M5" s="26"/>
      <c r="N5" s="26"/>
      <c r="O5" s="26"/>
      <c r="P5" s="26"/>
      <c r="Q5" s="26"/>
      <c r="R5" s="26"/>
      <c r="S5" s="26"/>
      <c r="U5" s="26"/>
      <c r="V5" s="26"/>
      <c r="W5" s="26"/>
      <c r="X5" s="26"/>
      <c r="Y5" s="26"/>
      <c r="Z5" s="26"/>
      <c r="AA5" s="26"/>
      <c r="AB5" s="26"/>
      <c r="AC5" s="26"/>
      <c r="AD5" s="26"/>
      <c r="AE5" s="26"/>
      <c r="AF5" s="26"/>
      <c r="AG5" s="26"/>
      <c r="AH5" s="26"/>
      <c r="AI5" s="26"/>
      <c r="AJ5" s="26"/>
      <c r="AK5" s="26"/>
      <c r="AL5" s="26"/>
      <c r="AM5" s="26"/>
      <c r="AO5" s="26"/>
      <c r="AP5" s="26"/>
      <c r="AQ5" s="26"/>
      <c r="AR5" s="26"/>
      <c r="AS5" s="26"/>
      <c r="AT5" s="26"/>
      <c r="AU5" s="26"/>
      <c r="AV5" s="26"/>
      <c r="AW5" s="26"/>
      <c r="AX5" s="26"/>
      <c r="AY5" s="26"/>
      <c r="AZ5" s="26"/>
      <c r="BA5" s="26"/>
      <c r="BB5" s="26"/>
      <c r="BC5" s="26"/>
      <c r="BD5" s="26"/>
      <c r="BE5" s="26"/>
      <c r="BF5" s="26"/>
      <c r="BG5" s="26"/>
      <c r="BI5" s="26"/>
      <c r="BJ5" s="26"/>
      <c r="BK5" s="26"/>
      <c r="BL5" s="26"/>
      <c r="BM5" s="26"/>
      <c r="BN5" s="26"/>
      <c r="BO5" s="26"/>
      <c r="BP5" s="26"/>
      <c r="BQ5" s="26"/>
      <c r="BR5" s="26"/>
      <c r="BS5" s="26"/>
      <c r="BT5" s="26"/>
      <c r="BU5" s="26"/>
      <c r="BV5" s="26"/>
      <c r="BW5" s="26"/>
      <c r="BX5" s="26"/>
      <c r="BY5" s="26"/>
      <c r="BZ5" s="26"/>
      <c r="CA5" s="26"/>
      <c r="CB5" s="26"/>
    </row>
    <row r="6" spans="1:102" ht="15" customHeight="1">
      <c r="A6" s="26"/>
      <c r="B6" s="29"/>
      <c r="E6" s="26"/>
      <c r="F6" s="26"/>
      <c r="G6" s="26"/>
      <c r="H6" s="26"/>
      <c r="I6" s="26"/>
      <c r="J6" s="26"/>
      <c r="K6" s="26"/>
      <c r="L6" s="26"/>
      <c r="M6" s="26"/>
      <c r="N6" s="26"/>
      <c r="O6" s="26"/>
      <c r="P6" s="26"/>
      <c r="Q6" s="26"/>
      <c r="R6" s="26"/>
      <c r="S6" s="26"/>
      <c r="U6" s="26"/>
      <c r="V6" s="26"/>
      <c r="W6" s="26"/>
      <c r="X6" s="26"/>
      <c r="Y6" s="26"/>
      <c r="Z6" s="26"/>
      <c r="AA6" s="26"/>
      <c r="AB6" s="26"/>
      <c r="AC6" s="26"/>
      <c r="AD6" s="26"/>
      <c r="AE6" s="26"/>
      <c r="AF6" s="26"/>
      <c r="AG6" s="26"/>
      <c r="AH6" s="26"/>
      <c r="AI6" s="26"/>
      <c r="AJ6" s="26"/>
      <c r="AK6" s="26"/>
      <c r="AL6" s="26"/>
      <c r="AM6" s="26"/>
      <c r="AO6" s="26"/>
      <c r="AP6" s="26"/>
      <c r="AQ6" s="26"/>
      <c r="AR6" s="26"/>
      <c r="AS6" s="26"/>
      <c r="AT6" s="26"/>
      <c r="AU6" s="26"/>
      <c r="AV6" s="26"/>
      <c r="AW6" s="26"/>
      <c r="AX6" s="26"/>
      <c r="AY6" s="26"/>
      <c r="AZ6" s="26"/>
      <c r="BA6" s="26"/>
      <c r="BB6" s="26"/>
      <c r="BC6" s="26"/>
      <c r="BD6" s="26"/>
      <c r="BE6" s="26"/>
      <c r="BF6" s="26"/>
      <c r="BG6" s="26"/>
      <c r="BI6" s="26"/>
      <c r="BJ6" s="26"/>
      <c r="BK6" s="26"/>
      <c r="BL6" s="26"/>
      <c r="BM6" s="26"/>
      <c r="BN6" s="26"/>
      <c r="BO6" s="26"/>
      <c r="BP6" s="26"/>
      <c r="BQ6" s="26"/>
      <c r="BR6" s="26"/>
      <c r="BS6" s="26"/>
      <c r="BT6" s="26"/>
      <c r="BU6" s="26"/>
      <c r="BV6" s="26"/>
      <c r="BW6" s="26"/>
      <c r="BX6" s="26"/>
      <c r="BY6" s="26"/>
      <c r="BZ6" s="26"/>
      <c r="CA6" s="26"/>
      <c r="CB6" s="26"/>
    </row>
    <row r="7" spans="1:102" ht="15" customHeight="1">
      <c r="A7" s="26"/>
      <c r="B7" s="29"/>
      <c r="E7" s="26"/>
      <c r="F7" s="26"/>
      <c r="G7" s="26"/>
      <c r="H7" s="26"/>
      <c r="I7" s="26"/>
      <c r="J7" s="26"/>
      <c r="K7" s="26"/>
      <c r="L7" s="26"/>
      <c r="M7" s="26"/>
      <c r="N7" s="26"/>
      <c r="O7" s="26"/>
      <c r="P7" s="26"/>
      <c r="Q7" s="26"/>
      <c r="R7" s="26"/>
      <c r="S7" s="26"/>
      <c r="U7" s="26"/>
      <c r="V7" s="26"/>
      <c r="W7" s="26"/>
      <c r="X7" s="26"/>
      <c r="Y7" s="26"/>
      <c r="Z7" s="26"/>
      <c r="AA7" s="26"/>
      <c r="AB7" s="26"/>
      <c r="AC7" s="26"/>
      <c r="AD7" s="26"/>
      <c r="AE7" s="26"/>
      <c r="AF7" s="26"/>
      <c r="AG7" s="26"/>
      <c r="AH7" s="26"/>
      <c r="AI7" s="26"/>
      <c r="AJ7" s="26"/>
      <c r="AK7" s="26"/>
      <c r="AL7" s="26"/>
      <c r="AM7" s="26"/>
      <c r="AO7" s="26"/>
      <c r="AP7" s="26"/>
      <c r="AQ7" s="26"/>
      <c r="AR7" s="26"/>
      <c r="AS7" s="26"/>
      <c r="AT7" s="26"/>
      <c r="AU7" s="26"/>
      <c r="AV7" s="26"/>
      <c r="AW7" s="26"/>
      <c r="AX7" s="26"/>
      <c r="AY7" s="26"/>
      <c r="AZ7" s="26"/>
      <c r="BA7" s="26"/>
      <c r="BB7" s="26"/>
      <c r="BC7" s="26"/>
      <c r="BD7" s="26"/>
      <c r="BE7" s="26"/>
      <c r="BF7" s="26"/>
      <c r="BG7" s="26"/>
      <c r="BI7" s="26"/>
      <c r="BJ7" s="26"/>
      <c r="BK7" s="26"/>
      <c r="BL7" s="26"/>
      <c r="BM7" s="26"/>
      <c r="BN7" s="26"/>
      <c r="BO7" s="26"/>
      <c r="BP7" s="26"/>
      <c r="BQ7" s="26"/>
      <c r="BR7" s="26"/>
      <c r="BS7" s="26"/>
      <c r="BT7" s="26"/>
      <c r="BU7" s="26"/>
      <c r="BV7" s="26"/>
      <c r="BW7" s="26"/>
      <c r="BX7" s="26"/>
      <c r="BY7" s="26"/>
      <c r="BZ7" s="26"/>
      <c r="CA7" s="26"/>
      <c r="CB7" s="26"/>
    </row>
    <row r="8" spans="1:102" ht="15" customHeight="1">
      <c r="A8" s="26"/>
      <c r="B8" s="29"/>
      <c r="E8" s="26"/>
      <c r="F8" s="26"/>
      <c r="G8" s="26"/>
      <c r="H8" s="26"/>
      <c r="I8" s="26"/>
      <c r="J8" s="26"/>
      <c r="K8" s="26"/>
      <c r="L8" s="26"/>
      <c r="M8" s="26"/>
      <c r="N8" s="26"/>
      <c r="O8" s="26"/>
      <c r="P8" s="26"/>
      <c r="Q8" s="26"/>
      <c r="R8" s="26"/>
      <c r="S8" s="26"/>
      <c r="U8" s="26"/>
      <c r="V8" s="26"/>
      <c r="W8" s="26"/>
      <c r="X8" s="26"/>
      <c r="Y8" s="26"/>
      <c r="Z8" s="26"/>
      <c r="AA8" s="26"/>
      <c r="AB8" s="26"/>
      <c r="AC8" s="26"/>
      <c r="AD8" s="26"/>
      <c r="AE8" s="26"/>
      <c r="AF8" s="26"/>
      <c r="AG8" s="26"/>
      <c r="AH8" s="26"/>
      <c r="AI8" s="26"/>
      <c r="AJ8" s="26"/>
      <c r="AK8" s="26"/>
      <c r="AL8" s="26"/>
      <c r="AM8" s="26"/>
      <c r="AO8" s="26"/>
      <c r="AP8" s="26"/>
      <c r="AQ8" s="26"/>
      <c r="AR8" s="26"/>
      <c r="AS8" s="26"/>
      <c r="AT8" s="26"/>
      <c r="AU8" s="26"/>
      <c r="AV8" s="26"/>
      <c r="AW8" s="26"/>
      <c r="AX8" s="26"/>
      <c r="AY8" s="26"/>
      <c r="AZ8" s="26"/>
      <c r="BA8" s="26"/>
      <c r="BB8" s="26"/>
      <c r="BC8" s="26"/>
      <c r="BD8" s="26"/>
      <c r="BE8" s="26"/>
      <c r="BF8" s="26"/>
      <c r="BG8" s="26"/>
      <c r="BI8" s="26"/>
      <c r="BJ8" s="26"/>
      <c r="BK8" s="26"/>
      <c r="BL8" s="26"/>
      <c r="BM8" s="26"/>
      <c r="BN8" s="26"/>
      <c r="BO8" s="26"/>
      <c r="BP8" s="26"/>
      <c r="BQ8" s="26"/>
      <c r="BR8" s="26"/>
      <c r="BS8" s="26"/>
      <c r="BT8" s="26"/>
      <c r="BU8" s="26"/>
      <c r="BV8" s="26"/>
      <c r="BW8" s="26"/>
      <c r="BX8" s="26"/>
      <c r="BY8" s="26"/>
      <c r="BZ8" s="26"/>
      <c r="CA8" s="26"/>
      <c r="CB8" s="26"/>
    </row>
    <row r="9" spans="1:102" ht="15" customHeight="1">
      <c r="B9" s="1"/>
    </row>
    <row r="10" spans="1:102" ht="15" customHeight="1">
      <c r="B10" s="1"/>
    </row>
    <row r="11" spans="1:102" ht="15" customHeight="1">
      <c r="B11" s="1"/>
    </row>
    <row r="12" spans="1:102" ht="15" customHeight="1">
      <c r="B12" s="1"/>
    </row>
    <row r="13" spans="1:102" ht="15" customHeight="1">
      <c r="B13" s="1"/>
    </row>
    <row r="14" spans="1:102" ht="15" customHeight="1">
      <c r="B14" s="1"/>
    </row>
    <row r="15" spans="1:102" ht="15" customHeight="1">
      <c r="B15" s="1"/>
    </row>
    <row r="16" spans="1:102" ht="15" customHeight="1">
      <c r="B16" s="1"/>
    </row>
    <row r="17" spans="2:78" ht="15" customHeight="1">
      <c r="B17" s="1"/>
    </row>
    <row r="18" spans="2:78" ht="15" customHeight="1">
      <c r="B18" s="1"/>
    </row>
    <row r="19" spans="2:78" ht="15" customHeight="1">
      <c r="B19" s="1"/>
    </row>
    <row r="20" spans="2:78" ht="15" customHeight="1">
      <c r="B20" s="1"/>
    </row>
    <row r="21" spans="2:78" ht="15" customHeight="1">
      <c r="B21" s="1"/>
      <c r="F21" s="2287" t="s">
        <v>140</v>
      </c>
      <c r="G21" s="2287"/>
      <c r="H21" s="2287"/>
      <c r="I21" s="2287"/>
      <c r="J21" s="2287"/>
      <c r="K21" s="2287"/>
      <c r="L21" s="2287"/>
      <c r="M21" s="2287"/>
      <c r="N21" s="2287"/>
      <c r="O21" s="2287"/>
      <c r="P21" s="2287"/>
      <c r="Q21" s="2287"/>
      <c r="R21" s="2287"/>
      <c r="S21" s="2287"/>
      <c r="T21" s="2287"/>
      <c r="U21" s="2287"/>
      <c r="V21" s="2287"/>
      <c r="W21" s="2287"/>
      <c r="X21" s="2287"/>
      <c r="Y21" s="2287"/>
      <c r="Z21" s="2287"/>
      <c r="AA21" s="2287"/>
      <c r="AB21" s="2287"/>
      <c r="AC21" s="2287"/>
      <c r="AD21" s="2287"/>
      <c r="AE21" s="2287"/>
      <c r="AF21" s="2287"/>
      <c r="AG21" s="2287"/>
      <c r="AH21" s="2287"/>
      <c r="AI21" s="2287"/>
      <c r="AJ21" s="2287"/>
      <c r="AK21" s="2287"/>
      <c r="AL21" s="2287"/>
      <c r="AM21" s="2287"/>
      <c r="AN21" s="2287"/>
      <c r="AO21" s="2287"/>
      <c r="AP21" s="2287"/>
      <c r="AQ21" s="2287"/>
      <c r="AR21" s="2287"/>
      <c r="AS21" s="2287"/>
      <c r="AT21" s="2287"/>
      <c r="AU21" s="2287"/>
      <c r="AV21" s="2287"/>
      <c r="AW21" s="2287"/>
      <c r="AX21" s="2287"/>
      <c r="AY21" s="2287"/>
      <c r="AZ21" s="2287"/>
      <c r="BA21" s="2287"/>
      <c r="BB21" s="2287"/>
      <c r="BC21" s="2287"/>
      <c r="BD21" s="2287"/>
      <c r="BE21" s="2287"/>
      <c r="BF21" s="2287"/>
      <c r="BG21" s="2287"/>
      <c r="BH21" s="2287"/>
      <c r="BI21" s="2287"/>
      <c r="BJ21" s="2287"/>
      <c r="BK21" s="2287"/>
      <c r="BL21" s="2287"/>
      <c r="BM21" s="2287"/>
      <c r="BN21" s="2287"/>
      <c r="BO21" s="2287"/>
      <c r="BP21" s="2287"/>
      <c r="BQ21" s="2287"/>
      <c r="BR21" s="2287"/>
      <c r="BS21" s="2287"/>
      <c r="BT21" s="2287"/>
      <c r="BU21" s="2287"/>
      <c r="BV21" s="2287"/>
      <c r="BW21" s="2287"/>
      <c r="BX21" s="2287"/>
      <c r="BY21" s="2287"/>
      <c r="BZ21" s="2287"/>
    </row>
    <row r="22" spans="2:78" ht="15" customHeight="1">
      <c r="B22" s="1"/>
      <c r="F22" s="2287"/>
      <c r="G22" s="2287"/>
      <c r="H22" s="2287"/>
      <c r="I22" s="2287"/>
      <c r="J22" s="2287"/>
      <c r="K22" s="2287"/>
      <c r="L22" s="2287"/>
      <c r="M22" s="2287"/>
      <c r="N22" s="2287"/>
      <c r="O22" s="2287"/>
      <c r="P22" s="2287"/>
      <c r="Q22" s="2287"/>
      <c r="R22" s="2287"/>
      <c r="S22" s="2287"/>
      <c r="T22" s="2287"/>
      <c r="U22" s="2287"/>
      <c r="V22" s="2287"/>
      <c r="W22" s="2287"/>
      <c r="X22" s="2287"/>
      <c r="Y22" s="2287"/>
      <c r="Z22" s="2287"/>
      <c r="AA22" s="2287"/>
      <c r="AB22" s="2287"/>
      <c r="AC22" s="2287"/>
      <c r="AD22" s="2287"/>
      <c r="AE22" s="2287"/>
      <c r="AF22" s="2287"/>
      <c r="AG22" s="2287"/>
      <c r="AH22" s="2287"/>
      <c r="AI22" s="2287"/>
      <c r="AJ22" s="2287"/>
      <c r="AK22" s="2287"/>
      <c r="AL22" s="2287"/>
      <c r="AM22" s="2287"/>
      <c r="AN22" s="2287"/>
      <c r="AO22" s="2287"/>
      <c r="AP22" s="2287"/>
      <c r="AQ22" s="2287"/>
      <c r="AR22" s="2287"/>
      <c r="AS22" s="2287"/>
      <c r="AT22" s="2287"/>
      <c r="AU22" s="2287"/>
      <c r="AV22" s="2287"/>
      <c r="AW22" s="2287"/>
      <c r="AX22" s="2287"/>
      <c r="AY22" s="2287"/>
      <c r="AZ22" s="2287"/>
      <c r="BA22" s="2287"/>
      <c r="BB22" s="2287"/>
      <c r="BC22" s="2287"/>
      <c r="BD22" s="2287"/>
      <c r="BE22" s="2287"/>
      <c r="BF22" s="2287"/>
      <c r="BG22" s="2287"/>
      <c r="BH22" s="2287"/>
      <c r="BI22" s="2287"/>
      <c r="BJ22" s="2287"/>
      <c r="BK22" s="2287"/>
      <c r="BL22" s="2287"/>
      <c r="BM22" s="2287"/>
      <c r="BN22" s="2287"/>
      <c r="BO22" s="2287"/>
      <c r="BP22" s="2287"/>
      <c r="BQ22" s="2287"/>
      <c r="BR22" s="2287"/>
      <c r="BS22" s="2287"/>
      <c r="BT22" s="2287"/>
      <c r="BU22" s="2287"/>
      <c r="BV22" s="2287"/>
      <c r="BW22" s="2287"/>
      <c r="BX22" s="2287"/>
      <c r="BY22" s="2287"/>
      <c r="BZ22" s="2287"/>
    </row>
    <row r="23" spans="2:78" ht="15" customHeight="1">
      <c r="B23" s="1"/>
      <c r="F23" s="2287"/>
      <c r="G23" s="2287"/>
      <c r="H23" s="2287"/>
      <c r="I23" s="2287"/>
      <c r="J23" s="2287"/>
      <c r="K23" s="2287"/>
      <c r="L23" s="2287"/>
      <c r="M23" s="2287"/>
      <c r="N23" s="2287"/>
      <c r="O23" s="2287"/>
      <c r="P23" s="2287"/>
      <c r="Q23" s="2287"/>
      <c r="R23" s="2287"/>
      <c r="S23" s="2287"/>
      <c r="T23" s="2287"/>
      <c r="U23" s="2287"/>
      <c r="V23" s="2287"/>
      <c r="W23" s="2287"/>
      <c r="X23" s="2287"/>
      <c r="Y23" s="2287"/>
      <c r="Z23" s="2287"/>
      <c r="AA23" s="2287"/>
      <c r="AB23" s="2287"/>
      <c r="AC23" s="2287"/>
      <c r="AD23" s="2287"/>
      <c r="AE23" s="2287"/>
      <c r="AF23" s="2287"/>
      <c r="AG23" s="2287"/>
      <c r="AH23" s="2287"/>
      <c r="AI23" s="2287"/>
      <c r="AJ23" s="2287"/>
      <c r="AK23" s="2287"/>
      <c r="AL23" s="2287"/>
      <c r="AM23" s="2287"/>
      <c r="AN23" s="2287"/>
      <c r="AO23" s="2287"/>
      <c r="AP23" s="2287"/>
      <c r="AQ23" s="2287"/>
      <c r="AR23" s="2287"/>
      <c r="AS23" s="2287"/>
      <c r="AT23" s="2287"/>
      <c r="AU23" s="2287"/>
      <c r="AV23" s="2287"/>
      <c r="AW23" s="2287"/>
      <c r="AX23" s="2287"/>
      <c r="AY23" s="2287"/>
      <c r="AZ23" s="2287"/>
      <c r="BA23" s="2287"/>
      <c r="BB23" s="2287"/>
      <c r="BC23" s="2287"/>
      <c r="BD23" s="2287"/>
      <c r="BE23" s="2287"/>
      <c r="BF23" s="2287"/>
      <c r="BG23" s="2287"/>
      <c r="BH23" s="2287"/>
      <c r="BI23" s="2287"/>
      <c r="BJ23" s="2287"/>
      <c r="BK23" s="2287"/>
      <c r="BL23" s="2287"/>
      <c r="BM23" s="2287"/>
      <c r="BN23" s="2287"/>
      <c r="BO23" s="2287"/>
      <c r="BP23" s="2287"/>
      <c r="BQ23" s="2287"/>
      <c r="BR23" s="2287"/>
      <c r="BS23" s="2287"/>
      <c r="BT23" s="2287"/>
      <c r="BU23" s="2287"/>
      <c r="BV23" s="2287"/>
      <c r="BW23" s="2287"/>
      <c r="BX23" s="2287"/>
      <c r="BY23" s="2287"/>
      <c r="BZ23" s="2287"/>
    </row>
    <row r="24" spans="2:78" ht="15" customHeight="1">
      <c r="B24" s="1"/>
    </row>
    <row r="25" spans="2:78" ht="15" customHeight="1">
      <c r="B25" s="1"/>
    </row>
    <row r="26" spans="2:78" ht="15" customHeight="1">
      <c r="B26" s="1"/>
    </row>
    <row r="27" spans="2:78" ht="15" customHeight="1">
      <c r="B27" s="1"/>
    </row>
    <row r="28" spans="2:78" ht="15" customHeight="1">
      <c r="B28" s="1"/>
      <c r="E28" s="14"/>
    </row>
    <row r="29" spans="2:78" ht="15" customHeight="1">
      <c r="B29" s="1"/>
      <c r="E29" s="14"/>
    </row>
    <row r="30" spans="2:78" ht="15" customHeight="1">
      <c r="B30" s="1"/>
      <c r="E30" s="14"/>
    </row>
    <row r="31" spans="2:78" ht="15" customHeight="1">
      <c r="B31" s="1"/>
      <c r="E31" s="14"/>
    </row>
    <row r="32" spans="2:78" ht="15" customHeight="1">
      <c r="B32" s="1"/>
      <c r="E32" s="14"/>
    </row>
    <row r="33" spans="2:78" ht="15" customHeight="1">
      <c r="B33" s="1"/>
      <c r="E33" s="30"/>
    </row>
    <row r="34" spans="2:78" ht="15" customHeight="1">
      <c r="B34" s="1"/>
      <c r="E34" s="30"/>
    </row>
    <row r="35" spans="2:78" ht="15" customHeight="1">
      <c r="B35" s="1"/>
      <c r="E35" s="30"/>
    </row>
    <row r="36" spans="2:78" ht="15" customHeight="1">
      <c r="B36" s="1"/>
      <c r="E36" s="14"/>
    </row>
    <row r="37" spans="2:78" ht="15" customHeight="1">
      <c r="B37" s="1"/>
      <c r="E37" s="14"/>
      <c r="F37" s="2288" t="s">
        <v>170</v>
      </c>
      <c r="G37" s="2288"/>
      <c r="H37" s="2288"/>
      <c r="I37" s="2288"/>
      <c r="J37" s="2288"/>
      <c r="K37" s="2288"/>
      <c r="L37" s="2288"/>
      <c r="M37" s="2288"/>
      <c r="N37" s="2288"/>
      <c r="O37" s="2288"/>
      <c r="P37" s="2288"/>
      <c r="Q37" s="2288"/>
      <c r="R37" s="2288"/>
      <c r="S37" s="2288"/>
      <c r="T37" s="2288"/>
      <c r="U37" s="2288"/>
      <c r="V37" s="2288"/>
      <c r="W37" s="2288"/>
      <c r="X37" s="2288"/>
      <c r="Y37" s="2288"/>
      <c r="Z37" s="2288"/>
      <c r="AA37" s="2288"/>
      <c r="AB37" s="2288"/>
      <c r="AC37" s="2288"/>
      <c r="AD37" s="2288"/>
      <c r="AE37" s="2288"/>
      <c r="AF37" s="2288"/>
      <c r="AG37" s="2288"/>
      <c r="AH37" s="2288"/>
      <c r="AI37" s="2288"/>
      <c r="AJ37" s="2288"/>
      <c r="AK37" s="2288"/>
      <c r="AL37" s="2288"/>
      <c r="AM37" s="2288"/>
      <c r="AN37" s="2288"/>
      <c r="AO37" s="2288"/>
      <c r="AP37" s="2288"/>
      <c r="AQ37" s="2288"/>
      <c r="AR37" s="2288"/>
      <c r="AS37" s="2288"/>
      <c r="AT37" s="2288"/>
      <c r="AU37" s="2288"/>
      <c r="AV37" s="2288"/>
      <c r="AW37" s="2288"/>
      <c r="AX37" s="2288"/>
      <c r="AY37" s="2288"/>
      <c r="AZ37" s="2288"/>
      <c r="BA37" s="2288"/>
      <c r="BB37" s="2288"/>
      <c r="BC37" s="2288"/>
      <c r="BD37" s="2288"/>
      <c r="BE37" s="2288"/>
      <c r="BF37" s="2288"/>
      <c r="BG37" s="2288"/>
      <c r="BH37" s="2288"/>
      <c r="BI37" s="2288"/>
      <c r="BJ37" s="2288"/>
      <c r="BK37" s="2288"/>
      <c r="BL37" s="2288"/>
      <c r="BM37" s="2288"/>
      <c r="BN37" s="2288"/>
      <c r="BO37" s="2288"/>
      <c r="BP37" s="2288"/>
      <c r="BQ37" s="2288"/>
      <c r="BR37" s="2288"/>
      <c r="BS37" s="2288"/>
      <c r="BT37" s="2288"/>
      <c r="BU37" s="2288"/>
      <c r="BV37" s="2288"/>
      <c r="BW37" s="2288"/>
      <c r="BX37" s="2288"/>
      <c r="BY37" s="2288"/>
      <c r="BZ37" s="2288"/>
    </row>
    <row r="38" spans="2:78" ht="15" customHeight="1">
      <c r="B38" s="1"/>
      <c r="E38" s="14"/>
      <c r="F38" s="2288"/>
      <c r="G38" s="2288"/>
      <c r="H38" s="2288"/>
      <c r="I38" s="2288"/>
      <c r="J38" s="2288"/>
      <c r="K38" s="2288"/>
      <c r="L38" s="2288"/>
      <c r="M38" s="2288"/>
      <c r="N38" s="2288"/>
      <c r="O38" s="2288"/>
      <c r="P38" s="2288"/>
      <c r="Q38" s="2288"/>
      <c r="R38" s="2288"/>
      <c r="S38" s="2288"/>
      <c r="T38" s="2288"/>
      <c r="U38" s="2288"/>
      <c r="V38" s="2288"/>
      <c r="W38" s="2288"/>
      <c r="X38" s="2288"/>
      <c r="Y38" s="2288"/>
      <c r="Z38" s="2288"/>
      <c r="AA38" s="2288"/>
      <c r="AB38" s="2288"/>
      <c r="AC38" s="2288"/>
      <c r="AD38" s="2288"/>
      <c r="AE38" s="2288"/>
      <c r="AF38" s="2288"/>
      <c r="AG38" s="2288"/>
      <c r="AH38" s="2288"/>
      <c r="AI38" s="2288"/>
      <c r="AJ38" s="2288"/>
      <c r="AK38" s="2288"/>
      <c r="AL38" s="2288"/>
      <c r="AM38" s="2288"/>
      <c r="AN38" s="2288"/>
      <c r="AO38" s="2288"/>
      <c r="AP38" s="2288"/>
      <c r="AQ38" s="2288"/>
      <c r="AR38" s="2288"/>
      <c r="AS38" s="2288"/>
      <c r="AT38" s="2288"/>
      <c r="AU38" s="2288"/>
      <c r="AV38" s="2288"/>
      <c r="AW38" s="2288"/>
      <c r="AX38" s="2288"/>
      <c r="AY38" s="2288"/>
      <c r="AZ38" s="2288"/>
      <c r="BA38" s="2288"/>
      <c r="BB38" s="2288"/>
      <c r="BC38" s="2288"/>
      <c r="BD38" s="2288"/>
      <c r="BE38" s="2288"/>
      <c r="BF38" s="2288"/>
      <c r="BG38" s="2288"/>
      <c r="BH38" s="2288"/>
      <c r="BI38" s="2288"/>
      <c r="BJ38" s="2288"/>
      <c r="BK38" s="2288"/>
      <c r="BL38" s="2288"/>
      <c r="BM38" s="2288"/>
      <c r="BN38" s="2288"/>
      <c r="BO38" s="2288"/>
      <c r="BP38" s="2288"/>
      <c r="BQ38" s="2288"/>
      <c r="BR38" s="2288"/>
      <c r="BS38" s="2288"/>
      <c r="BT38" s="2288"/>
      <c r="BU38" s="2288"/>
      <c r="BV38" s="2288"/>
      <c r="BW38" s="2288"/>
      <c r="BX38" s="2288"/>
      <c r="BY38" s="2288"/>
      <c r="BZ38" s="2288"/>
    </row>
    <row r="39" spans="2:78" ht="15" customHeight="1">
      <c r="B39" s="1"/>
      <c r="E39" s="14"/>
      <c r="F39" s="2288"/>
      <c r="G39" s="2288"/>
      <c r="H39" s="2288"/>
      <c r="I39" s="2288"/>
      <c r="J39" s="2288"/>
      <c r="K39" s="2288"/>
      <c r="L39" s="2288"/>
      <c r="M39" s="2288"/>
      <c r="N39" s="2288"/>
      <c r="O39" s="2288"/>
      <c r="P39" s="2288"/>
      <c r="Q39" s="2288"/>
      <c r="R39" s="2288"/>
      <c r="S39" s="2288"/>
      <c r="T39" s="2288"/>
      <c r="U39" s="2288"/>
      <c r="V39" s="2288"/>
      <c r="W39" s="2288"/>
      <c r="X39" s="2288"/>
      <c r="Y39" s="2288"/>
      <c r="Z39" s="2288"/>
      <c r="AA39" s="2288"/>
      <c r="AB39" s="2288"/>
      <c r="AC39" s="2288"/>
      <c r="AD39" s="2288"/>
      <c r="AE39" s="2288"/>
      <c r="AF39" s="2288"/>
      <c r="AG39" s="2288"/>
      <c r="AH39" s="2288"/>
      <c r="AI39" s="2288"/>
      <c r="AJ39" s="2288"/>
      <c r="AK39" s="2288"/>
      <c r="AL39" s="2288"/>
      <c r="AM39" s="2288"/>
      <c r="AN39" s="2288"/>
      <c r="AO39" s="2288"/>
      <c r="AP39" s="2288"/>
      <c r="AQ39" s="2288"/>
      <c r="AR39" s="2288"/>
      <c r="AS39" s="2288"/>
      <c r="AT39" s="2288"/>
      <c r="AU39" s="2288"/>
      <c r="AV39" s="2288"/>
      <c r="AW39" s="2288"/>
      <c r="AX39" s="2288"/>
      <c r="AY39" s="2288"/>
      <c r="AZ39" s="2288"/>
      <c r="BA39" s="2288"/>
      <c r="BB39" s="2288"/>
      <c r="BC39" s="2288"/>
      <c r="BD39" s="2288"/>
      <c r="BE39" s="2288"/>
      <c r="BF39" s="2288"/>
      <c r="BG39" s="2288"/>
      <c r="BH39" s="2288"/>
      <c r="BI39" s="2288"/>
      <c r="BJ39" s="2288"/>
      <c r="BK39" s="2288"/>
      <c r="BL39" s="2288"/>
      <c r="BM39" s="2288"/>
      <c r="BN39" s="2288"/>
      <c r="BO39" s="2288"/>
      <c r="BP39" s="2288"/>
      <c r="BQ39" s="2288"/>
      <c r="BR39" s="2288"/>
      <c r="BS39" s="2288"/>
      <c r="BT39" s="2288"/>
      <c r="BU39" s="2288"/>
      <c r="BV39" s="2288"/>
      <c r="BW39" s="2288"/>
      <c r="BX39" s="2288"/>
      <c r="BY39" s="2288"/>
      <c r="BZ39" s="2288"/>
    </row>
    <row r="40" spans="2:78" ht="15" customHeight="1">
      <c r="B40" s="1"/>
      <c r="E40" s="14"/>
    </row>
    <row r="41" spans="2:78" ht="15" customHeight="1">
      <c r="B41" s="1"/>
      <c r="E41" s="14"/>
    </row>
    <row r="42" spans="2:78" ht="15" customHeight="1">
      <c r="B42" s="1"/>
      <c r="E42" s="14"/>
    </row>
    <row r="43" spans="2:78" ht="15" customHeight="1">
      <c r="B43" s="1"/>
      <c r="E43" s="14"/>
    </row>
    <row r="44" spans="2:78" ht="15" customHeight="1">
      <c r="B44" s="1"/>
      <c r="E44" s="14"/>
    </row>
    <row r="45" spans="2:78" ht="15" customHeight="1">
      <c r="B45" s="1"/>
      <c r="E45" s="14"/>
    </row>
    <row r="46" spans="2:78" ht="15" customHeight="1">
      <c r="B46" s="1"/>
      <c r="E46" s="14"/>
    </row>
    <row r="47" spans="2:78" ht="15" customHeight="1">
      <c r="B47" s="1"/>
      <c r="E47" s="14"/>
    </row>
    <row r="48" spans="2:78" ht="15" customHeight="1">
      <c r="B48" s="1"/>
      <c r="E48" s="14"/>
    </row>
    <row r="49" spans="2:5" ht="15" customHeight="1">
      <c r="B49" s="1"/>
      <c r="E49" s="14"/>
    </row>
    <row r="50" spans="2:5" ht="15" customHeight="1">
      <c r="B50" s="1"/>
      <c r="E50" s="14"/>
    </row>
    <row r="51" spans="2:5" ht="15" customHeight="1">
      <c r="B51" s="1"/>
      <c r="E51" s="14"/>
    </row>
    <row r="52" spans="2:5" ht="15" customHeight="1">
      <c r="B52" s="1"/>
      <c r="E52" s="14"/>
    </row>
    <row r="53" spans="2:5" ht="15" customHeight="1">
      <c r="B53" s="1"/>
      <c r="E53" s="14"/>
    </row>
    <row r="54" spans="2:5" ht="15" customHeight="1">
      <c r="B54" s="1"/>
      <c r="E54" s="14"/>
    </row>
    <row r="55" spans="2:5" ht="15" customHeight="1">
      <c r="B55" s="1"/>
      <c r="E55" s="14"/>
    </row>
    <row r="56" spans="2:5" ht="15" customHeight="1">
      <c r="B56" s="1"/>
      <c r="E56" s="14"/>
    </row>
    <row r="57" spans="2:5" ht="15" customHeight="1">
      <c r="B57" s="1"/>
      <c r="E57" s="14"/>
    </row>
    <row r="58" spans="2:5" ht="15" customHeight="1">
      <c r="B58" s="1"/>
      <c r="E58" s="14"/>
    </row>
    <row r="59" spans="2:5" ht="15" customHeight="1">
      <c r="B59" s="1"/>
      <c r="E59" s="14"/>
    </row>
    <row r="60" spans="2:5" ht="15" customHeight="1">
      <c r="B60" s="1"/>
      <c r="E60" s="14"/>
    </row>
    <row r="61" spans="2:5" ht="15" customHeight="1">
      <c r="B61" s="1"/>
      <c r="E61" s="14"/>
    </row>
    <row r="62" spans="2:5" ht="15" customHeight="1">
      <c r="B62" s="1"/>
      <c r="E62" s="14"/>
    </row>
    <row r="63" spans="2:5" ht="15" customHeight="1">
      <c r="B63" s="1"/>
      <c r="E63" s="14"/>
    </row>
    <row r="64" spans="2:5" ht="15" customHeight="1">
      <c r="B64" s="1"/>
      <c r="E64" s="14"/>
    </row>
    <row r="65" spans="2:77" ht="15" customHeight="1">
      <c r="B65" s="1"/>
      <c r="E65" s="14"/>
    </row>
    <row r="66" spans="2:77" ht="15" customHeight="1">
      <c r="B66" s="1"/>
      <c r="E66" s="14"/>
    </row>
    <row r="67" spans="2:77" ht="15" customHeight="1">
      <c r="B67" s="1"/>
      <c r="E67" s="14"/>
    </row>
    <row r="68" spans="2:77" ht="15" customHeight="1">
      <c r="B68" s="1"/>
      <c r="E68" s="14"/>
    </row>
    <row r="69" spans="2:77" ht="15" customHeight="1">
      <c r="B69" s="1"/>
      <c r="E69" s="14"/>
    </row>
    <row r="70" spans="2:77" ht="15" customHeight="1">
      <c r="B70" s="1"/>
      <c r="E70" s="14"/>
    </row>
    <row r="71" spans="2:77" ht="15" customHeight="1">
      <c r="B71" s="1"/>
    </row>
    <row r="72" spans="2:77" ht="15" customHeight="1">
      <c r="B72" s="1"/>
    </row>
    <row r="73" spans="2:77" ht="15" customHeight="1">
      <c r="B73" s="1"/>
    </row>
    <row r="74" spans="2:77" ht="15" customHeight="1">
      <c r="B74" s="1"/>
    </row>
    <row r="75" spans="2:77" ht="15" customHeight="1">
      <c r="B75" s="1"/>
    </row>
    <row r="76" spans="2:77" ht="15" customHeight="1">
      <c r="B76" s="1"/>
    </row>
    <row r="77" spans="2:77" ht="15" customHeight="1">
      <c r="B77" s="1"/>
    </row>
    <row r="78" spans="2:77" ht="15" customHeight="1">
      <c r="B78" s="1"/>
      <c r="E78" s="2289" t="s">
        <v>19</v>
      </c>
      <c r="F78" s="2289"/>
      <c r="G78" s="2289"/>
      <c r="H78" s="2289"/>
      <c r="I78" s="2289"/>
      <c r="J78" s="2289"/>
      <c r="K78" s="2289"/>
      <c r="L78" s="2289"/>
      <c r="M78" s="2289"/>
      <c r="N78" s="2289"/>
      <c r="O78" s="2289"/>
      <c r="P78" s="2289"/>
      <c r="Q78" s="2289"/>
      <c r="R78" s="2289"/>
      <c r="S78" s="2289"/>
      <c r="T78" s="2289"/>
      <c r="U78" s="2289"/>
      <c r="V78" s="2289"/>
      <c r="W78" s="2289"/>
      <c r="X78" s="2289"/>
      <c r="Y78" s="2289"/>
      <c r="Z78" s="2289"/>
      <c r="AA78" s="2289"/>
      <c r="AB78" s="2289"/>
      <c r="AC78" s="2289"/>
      <c r="AD78" s="2289"/>
      <c r="AE78" s="2289"/>
      <c r="AF78" s="2289"/>
      <c r="AG78" s="2289"/>
      <c r="AH78" s="2289"/>
      <c r="AI78" s="2289"/>
      <c r="AJ78" s="2289"/>
      <c r="AK78" s="2289"/>
      <c r="AL78" s="2289"/>
      <c r="AM78" s="2289"/>
      <c r="AN78" s="2289"/>
      <c r="AO78" s="2289"/>
      <c r="AP78" s="2289"/>
      <c r="AQ78" s="2289"/>
      <c r="AR78" s="2289"/>
      <c r="AS78" s="2289"/>
      <c r="AT78" s="2289"/>
      <c r="AU78" s="2289"/>
      <c r="AV78" s="2289"/>
      <c r="AW78" s="2289"/>
      <c r="AX78" s="2289"/>
      <c r="AY78" s="2289"/>
      <c r="AZ78" s="2289"/>
      <c r="BA78" s="2289"/>
      <c r="BB78" s="2289"/>
      <c r="BC78" s="2289"/>
      <c r="BD78" s="2289"/>
      <c r="BE78" s="2289"/>
      <c r="BF78" s="2289"/>
      <c r="BG78" s="2289"/>
      <c r="BH78" s="2289"/>
      <c r="BI78" s="2289"/>
      <c r="BJ78" s="2289"/>
      <c r="BK78" s="2289"/>
      <c r="BL78" s="2289"/>
      <c r="BM78" s="2289"/>
      <c r="BN78" s="2289"/>
      <c r="BO78" s="2289"/>
      <c r="BP78" s="2289"/>
      <c r="BQ78" s="2289"/>
      <c r="BR78" s="2289"/>
      <c r="BS78" s="2289"/>
      <c r="BT78" s="2289"/>
      <c r="BU78" s="2289"/>
      <c r="BV78" s="2289"/>
      <c r="BW78" s="2289"/>
      <c r="BX78" s="2289"/>
      <c r="BY78" s="2289"/>
    </row>
    <row r="79" spans="2:77" ht="15" customHeight="1">
      <c r="B79" s="1"/>
      <c r="E79" s="2289"/>
      <c r="F79" s="2289"/>
      <c r="G79" s="2289"/>
      <c r="H79" s="2289"/>
      <c r="I79" s="2289"/>
      <c r="J79" s="2289"/>
      <c r="K79" s="2289"/>
      <c r="L79" s="2289"/>
      <c r="M79" s="2289"/>
      <c r="N79" s="2289"/>
      <c r="O79" s="2289"/>
      <c r="P79" s="2289"/>
      <c r="Q79" s="2289"/>
      <c r="R79" s="2289"/>
      <c r="S79" s="2289"/>
      <c r="T79" s="2289"/>
      <c r="U79" s="2289"/>
      <c r="V79" s="2289"/>
      <c r="W79" s="2289"/>
      <c r="X79" s="2289"/>
      <c r="Y79" s="2289"/>
      <c r="Z79" s="2289"/>
      <c r="AA79" s="2289"/>
      <c r="AB79" s="2289"/>
      <c r="AC79" s="2289"/>
      <c r="AD79" s="2289"/>
      <c r="AE79" s="2289"/>
      <c r="AF79" s="2289"/>
      <c r="AG79" s="2289"/>
      <c r="AH79" s="2289"/>
      <c r="AI79" s="2289"/>
      <c r="AJ79" s="2289"/>
      <c r="AK79" s="2289"/>
      <c r="AL79" s="2289"/>
      <c r="AM79" s="2289"/>
      <c r="AN79" s="2289"/>
      <c r="AO79" s="2289"/>
      <c r="AP79" s="2289"/>
      <c r="AQ79" s="2289"/>
      <c r="AR79" s="2289"/>
      <c r="AS79" s="2289"/>
      <c r="AT79" s="2289"/>
      <c r="AU79" s="2289"/>
      <c r="AV79" s="2289"/>
      <c r="AW79" s="2289"/>
      <c r="AX79" s="2289"/>
      <c r="AY79" s="2289"/>
      <c r="AZ79" s="2289"/>
      <c r="BA79" s="2289"/>
      <c r="BB79" s="2289"/>
      <c r="BC79" s="2289"/>
      <c r="BD79" s="2289"/>
      <c r="BE79" s="2289"/>
      <c r="BF79" s="2289"/>
      <c r="BG79" s="2289"/>
      <c r="BH79" s="2289"/>
      <c r="BI79" s="2289"/>
      <c r="BJ79" s="2289"/>
      <c r="BK79" s="2289"/>
      <c r="BL79" s="2289"/>
      <c r="BM79" s="2289"/>
      <c r="BN79" s="2289"/>
      <c r="BO79" s="2289"/>
      <c r="BP79" s="2289"/>
      <c r="BQ79" s="2289"/>
      <c r="BR79" s="2289"/>
      <c r="BS79" s="2289"/>
      <c r="BT79" s="2289"/>
      <c r="BU79" s="2289"/>
      <c r="BV79" s="2289"/>
      <c r="BW79" s="2289"/>
      <c r="BX79" s="2289"/>
      <c r="BY79" s="2289"/>
    </row>
    <row r="80" spans="2:77" ht="15" customHeight="1">
      <c r="B80" s="1"/>
    </row>
    <row r="81" spans="1:102" s="35" customFormat="1" ht="24.95" customHeight="1">
      <c r="A81" s="32"/>
      <c r="B81" s="8"/>
      <c r="C81" s="33"/>
      <c r="D81" s="33"/>
      <c r="E81" s="34" t="s">
        <v>20</v>
      </c>
      <c r="F81" s="32"/>
      <c r="G81" s="32"/>
      <c r="H81" s="32"/>
      <c r="I81" s="32"/>
      <c r="J81" s="32"/>
      <c r="K81" s="32"/>
      <c r="L81" s="32"/>
      <c r="M81" s="32"/>
      <c r="N81" s="32"/>
      <c r="O81" s="32"/>
      <c r="P81" s="32"/>
      <c r="Q81" s="32"/>
      <c r="R81" s="32"/>
      <c r="S81" s="32"/>
      <c r="T81" s="33"/>
      <c r="U81" s="32"/>
      <c r="V81" s="32"/>
      <c r="W81" s="32"/>
      <c r="X81" s="32"/>
      <c r="Y81" s="32"/>
      <c r="Z81" s="32"/>
      <c r="AA81" s="32"/>
      <c r="AB81" s="32"/>
      <c r="AC81" s="32"/>
      <c r="AD81" s="32"/>
      <c r="AE81" s="32"/>
      <c r="AF81" s="32"/>
      <c r="AG81" s="32"/>
      <c r="AH81" s="32"/>
      <c r="AI81" s="32"/>
      <c r="AJ81" s="32"/>
      <c r="AK81" s="32"/>
      <c r="AL81" s="32"/>
      <c r="AM81" s="32"/>
      <c r="AN81" s="33"/>
      <c r="AO81" s="32"/>
      <c r="AP81" s="32"/>
      <c r="AQ81" s="32"/>
      <c r="AR81" s="32"/>
      <c r="AS81" s="32"/>
      <c r="AT81" s="32"/>
      <c r="AU81" s="32"/>
      <c r="AV81" s="32"/>
      <c r="AW81" s="32"/>
      <c r="AX81" s="32"/>
      <c r="AY81" s="32"/>
      <c r="AZ81" s="32"/>
      <c r="BA81" s="32"/>
      <c r="BB81" s="32"/>
      <c r="BC81" s="32"/>
      <c r="BD81" s="32"/>
      <c r="BE81" s="32"/>
      <c r="BF81" s="32"/>
      <c r="BG81" s="32"/>
      <c r="BH81" s="33"/>
      <c r="BI81" s="32"/>
      <c r="BJ81" s="32"/>
      <c r="BK81" s="32"/>
      <c r="BL81" s="32"/>
      <c r="BM81" s="32"/>
      <c r="BN81" s="32"/>
      <c r="BO81" s="32"/>
      <c r="BP81" s="32"/>
      <c r="BQ81" s="32"/>
      <c r="BR81" s="32"/>
      <c r="BS81" s="32"/>
      <c r="BT81" s="32"/>
      <c r="BU81" s="32"/>
      <c r="BV81" s="32"/>
      <c r="BW81" s="32"/>
      <c r="BX81" s="32"/>
      <c r="BY81" s="32"/>
      <c r="BZ81" s="32"/>
      <c r="CA81" s="32"/>
      <c r="CB81" s="32"/>
      <c r="CC81" s="33"/>
      <c r="CD81" s="32"/>
      <c r="CE81" s="32"/>
      <c r="CF81" s="32"/>
      <c r="CG81" s="32"/>
      <c r="CH81" s="32"/>
      <c r="CI81" s="32"/>
      <c r="CJ81" s="32"/>
      <c r="CK81" s="32"/>
      <c r="CL81" s="32"/>
      <c r="CM81" s="32"/>
      <c r="CN81" s="32"/>
      <c r="CO81" s="32"/>
      <c r="CP81" s="32"/>
      <c r="CQ81" s="32"/>
      <c r="CR81" s="32"/>
      <c r="CS81" s="32"/>
      <c r="CT81" s="32"/>
      <c r="CU81" s="32"/>
      <c r="CV81" s="32"/>
      <c r="CW81" s="32"/>
      <c r="CX81" s="32"/>
    </row>
    <row r="82" spans="1:102" s="35" customFormat="1" ht="24.95" customHeight="1">
      <c r="A82" s="32"/>
      <c r="B82" s="32"/>
      <c r="C82" s="33"/>
      <c r="D82" s="33"/>
      <c r="E82" s="36" t="s">
        <v>165</v>
      </c>
      <c r="F82" s="32"/>
      <c r="G82" s="32"/>
      <c r="H82" s="32"/>
      <c r="I82" s="32"/>
      <c r="J82" s="32"/>
      <c r="K82" s="32"/>
      <c r="L82" s="32"/>
      <c r="M82" s="32"/>
      <c r="N82" s="32"/>
      <c r="O82" s="32"/>
      <c r="P82" s="32"/>
      <c r="Q82" s="32"/>
      <c r="R82" s="32"/>
      <c r="S82" s="32"/>
      <c r="T82" s="33"/>
      <c r="U82" s="32"/>
      <c r="V82" s="32"/>
      <c r="W82" s="32"/>
      <c r="X82" s="32"/>
      <c r="Y82" s="32"/>
      <c r="Z82" s="32"/>
      <c r="AA82" s="32"/>
      <c r="AB82" s="32"/>
      <c r="AC82" s="32"/>
      <c r="AD82" s="32"/>
      <c r="AE82" s="32"/>
      <c r="AF82" s="32"/>
      <c r="AG82" s="32"/>
      <c r="AH82" s="32"/>
      <c r="AI82" s="32"/>
      <c r="AJ82" s="32"/>
      <c r="AK82" s="32"/>
      <c r="AL82" s="32"/>
      <c r="AM82" s="32"/>
      <c r="AN82" s="33"/>
      <c r="AO82" s="32"/>
      <c r="AP82" s="32"/>
      <c r="AQ82" s="32"/>
      <c r="AR82" s="32"/>
      <c r="AS82" s="32"/>
      <c r="AT82" s="32"/>
      <c r="AU82" s="32"/>
      <c r="AV82" s="32"/>
      <c r="AW82" s="32"/>
      <c r="AX82" s="32"/>
      <c r="AY82" s="32"/>
      <c r="AZ82" s="32"/>
      <c r="BA82" s="32"/>
      <c r="BB82" s="32"/>
      <c r="BC82" s="32"/>
      <c r="BD82" s="32"/>
      <c r="BE82" s="32"/>
      <c r="BF82" s="32"/>
      <c r="BG82" s="32"/>
      <c r="BH82" s="33"/>
      <c r="BI82" s="32"/>
      <c r="BJ82" s="32"/>
      <c r="BK82" s="32"/>
      <c r="BL82" s="32"/>
      <c r="BM82" s="32"/>
      <c r="BN82" s="32"/>
      <c r="BO82" s="32"/>
      <c r="BP82" s="32"/>
      <c r="BQ82" s="32"/>
      <c r="BR82" s="32"/>
      <c r="BS82" s="32"/>
      <c r="BT82" s="32"/>
      <c r="BU82" s="32"/>
      <c r="BV82" s="32"/>
      <c r="BW82" s="32"/>
      <c r="BX82" s="32"/>
      <c r="BY82" s="32"/>
      <c r="BZ82" s="32"/>
      <c r="CA82" s="32"/>
      <c r="CB82" s="32"/>
      <c r="CC82" s="33"/>
      <c r="CD82" s="32"/>
      <c r="CE82" s="32"/>
      <c r="CF82" s="32"/>
      <c r="CG82" s="32"/>
      <c r="CH82" s="32"/>
      <c r="CI82" s="32"/>
      <c r="CJ82" s="32"/>
      <c r="CK82" s="32"/>
      <c r="CL82" s="32"/>
      <c r="CM82" s="32"/>
      <c r="CN82" s="32"/>
      <c r="CO82" s="32"/>
      <c r="CP82" s="32"/>
      <c r="CQ82" s="32"/>
      <c r="CR82" s="32"/>
      <c r="CS82" s="32"/>
      <c r="CT82" s="32"/>
      <c r="CU82" s="32"/>
      <c r="CV82" s="32"/>
      <c r="CW82" s="32"/>
      <c r="CX82" s="32"/>
    </row>
    <row r="83" spans="1:102" s="35" customFormat="1" ht="24.95" customHeight="1">
      <c r="A83" s="32"/>
      <c r="B83" s="32"/>
      <c r="C83" s="33"/>
      <c r="D83" s="33"/>
      <c r="E83" s="36" t="s">
        <v>167</v>
      </c>
      <c r="F83" s="32"/>
      <c r="G83" s="32"/>
      <c r="H83" s="32"/>
      <c r="I83" s="32"/>
      <c r="J83" s="32"/>
      <c r="K83" s="32"/>
      <c r="L83" s="32"/>
      <c r="M83" s="32"/>
      <c r="N83" s="32"/>
      <c r="O83" s="32"/>
      <c r="P83" s="32"/>
      <c r="Q83" s="32"/>
      <c r="R83" s="32"/>
      <c r="S83" s="32"/>
      <c r="T83" s="33"/>
      <c r="U83" s="32"/>
      <c r="V83" s="32"/>
      <c r="W83" s="32"/>
      <c r="X83" s="32"/>
      <c r="Y83" s="32"/>
      <c r="Z83" s="32"/>
      <c r="AA83" s="32"/>
      <c r="AB83" s="32"/>
      <c r="AC83" s="32"/>
      <c r="AD83" s="32"/>
      <c r="AE83" s="32"/>
      <c r="AF83" s="32"/>
      <c r="AG83" s="32"/>
      <c r="AH83" s="32"/>
      <c r="AI83" s="32"/>
      <c r="AJ83" s="32"/>
      <c r="AK83" s="32"/>
      <c r="AL83" s="32"/>
      <c r="AM83" s="32"/>
      <c r="AN83" s="33"/>
      <c r="AO83" s="32"/>
      <c r="AP83" s="32"/>
      <c r="AQ83" s="32"/>
      <c r="AR83" s="32"/>
      <c r="AS83" s="32"/>
      <c r="AT83" s="32"/>
      <c r="AU83" s="32"/>
      <c r="AV83" s="32"/>
      <c r="AW83" s="32"/>
      <c r="AX83" s="32"/>
      <c r="AY83" s="32"/>
      <c r="AZ83" s="32"/>
      <c r="BA83" s="32"/>
      <c r="BB83" s="32"/>
      <c r="BC83" s="32"/>
      <c r="BD83" s="32"/>
      <c r="BE83" s="32"/>
      <c r="BF83" s="32"/>
      <c r="BG83" s="32"/>
      <c r="BH83" s="33"/>
      <c r="BI83" s="32"/>
      <c r="BJ83" s="32"/>
      <c r="BK83" s="32"/>
      <c r="BL83" s="32"/>
      <c r="BM83" s="32"/>
      <c r="BN83" s="32"/>
      <c r="BO83" s="32"/>
      <c r="BP83" s="32"/>
      <c r="BQ83" s="32"/>
      <c r="BR83" s="32"/>
      <c r="BS83" s="32"/>
      <c r="BT83" s="32"/>
      <c r="BU83" s="32"/>
      <c r="BV83" s="32"/>
      <c r="BW83" s="32"/>
      <c r="BX83" s="32"/>
      <c r="BY83" s="32"/>
      <c r="BZ83" s="32"/>
      <c r="CA83" s="32"/>
      <c r="CB83" s="32"/>
      <c r="CC83" s="33"/>
      <c r="CD83" s="32"/>
      <c r="CE83" s="32"/>
      <c r="CF83" s="32"/>
      <c r="CG83" s="32"/>
      <c r="CH83" s="32"/>
      <c r="CI83" s="32"/>
      <c r="CJ83" s="32"/>
      <c r="CK83" s="32"/>
      <c r="CL83" s="32"/>
      <c r="CM83" s="32"/>
      <c r="CN83" s="32"/>
      <c r="CO83" s="32"/>
      <c r="CP83" s="32"/>
      <c r="CQ83" s="32"/>
      <c r="CR83" s="32"/>
      <c r="CS83" s="32"/>
      <c r="CT83" s="32"/>
      <c r="CU83" s="32"/>
      <c r="CV83" s="32"/>
      <c r="CW83" s="32"/>
      <c r="CX83" s="32"/>
    </row>
    <row r="84" spans="1:102" s="35" customFormat="1" ht="24.95" customHeight="1">
      <c r="A84" s="32"/>
      <c r="B84" s="32"/>
      <c r="C84" s="33"/>
      <c r="D84" s="33"/>
      <c r="E84" s="36" t="s">
        <v>168</v>
      </c>
      <c r="F84" s="32"/>
      <c r="G84" s="32"/>
      <c r="H84" s="32"/>
      <c r="I84" s="32"/>
      <c r="J84" s="32"/>
      <c r="K84" s="32"/>
      <c r="L84" s="32"/>
      <c r="M84" s="32"/>
      <c r="N84" s="32"/>
      <c r="O84" s="32"/>
      <c r="P84" s="32"/>
      <c r="Q84" s="32"/>
      <c r="R84" s="32"/>
      <c r="S84" s="32"/>
      <c r="T84" s="33"/>
      <c r="U84" s="32"/>
      <c r="V84" s="32"/>
      <c r="W84" s="32"/>
      <c r="X84" s="32"/>
      <c r="Y84" s="32"/>
      <c r="Z84" s="32"/>
      <c r="AA84" s="32"/>
      <c r="AB84" s="32"/>
      <c r="AC84" s="32"/>
      <c r="AD84" s="32"/>
      <c r="AE84" s="32"/>
      <c r="AF84" s="32"/>
      <c r="AG84" s="32"/>
      <c r="AH84" s="32"/>
      <c r="AI84" s="32"/>
      <c r="AJ84" s="32"/>
      <c r="AK84" s="32"/>
      <c r="AL84" s="32"/>
      <c r="AM84" s="32"/>
      <c r="AN84" s="33"/>
      <c r="AO84" s="32"/>
      <c r="AP84" s="32"/>
      <c r="AQ84" s="32"/>
      <c r="AR84" s="32"/>
      <c r="AS84" s="32"/>
      <c r="AT84" s="32"/>
      <c r="AU84" s="32"/>
      <c r="AV84" s="32"/>
      <c r="AW84" s="32"/>
      <c r="AX84" s="32"/>
      <c r="AY84" s="32"/>
      <c r="AZ84" s="32"/>
      <c r="BA84" s="32"/>
      <c r="BB84" s="32"/>
      <c r="BC84" s="32"/>
      <c r="BD84" s="32"/>
      <c r="BE84" s="32"/>
      <c r="BF84" s="32"/>
      <c r="BG84" s="32"/>
      <c r="BH84" s="33"/>
      <c r="BI84" s="32"/>
      <c r="BJ84" s="32"/>
      <c r="BK84" s="32"/>
      <c r="BL84" s="32"/>
      <c r="BM84" s="32"/>
      <c r="BN84" s="32"/>
      <c r="BO84" s="32"/>
      <c r="BP84" s="32"/>
      <c r="BQ84" s="32"/>
      <c r="BR84" s="32"/>
      <c r="BS84" s="32"/>
      <c r="BT84" s="32"/>
      <c r="BU84" s="32"/>
      <c r="BV84" s="32"/>
      <c r="BW84" s="32"/>
      <c r="BX84" s="32"/>
      <c r="BY84" s="32"/>
      <c r="BZ84" s="32"/>
      <c r="CA84" s="32"/>
      <c r="CB84" s="32"/>
      <c r="CC84" s="33"/>
      <c r="CD84" s="32"/>
      <c r="CE84" s="32"/>
      <c r="CF84" s="32"/>
      <c r="CG84" s="32"/>
      <c r="CH84" s="32"/>
      <c r="CI84" s="32"/>
      <c r="CJ84" s="32"/>
      <c r="CK84" s="32"/>
      <c r="CL84" s="32"/>
      <c r="CM84" s="32"/>
      <c r="CN84" s="32"/>
      <c r="CO84" s="32"/>
      <c r="CP84" s="32"/>
      <c r="CQ84" s="32"/>
      <c r="CR84" s="32"/>
      <c r="CS84" s="32"/>
      <c r="CT84" s="32"/>
      <c r="CU84" s="32"/>
      <c r="CV84" s="32"/>
      <c r="CW84" s="32"/>
      <c r="CX84" s="32"/>
    </row>
    <row r="85" spans="1:102" s="35" customFormat="1" ht="24.95" customHeight="1">
      <c r="A85" s="32"/>
      <c r="B85" s="32"/>
      <c r="C85" s="33"/>
      <c r="D85" s="33"/>
      <c r="E85" s="36" t="s">
        <v>166</v>
      </c>
      <c r="F85" s="11"/>
      <c r="G85" s="32"/>
      <c r="H85" s="32"/>
      <c r="I85" s="32"/>
      <c r="J85" s="32"/>
      <c r="K85" s="32"/>
      <c r="L85" s="32"/>
      <c r="M85" s="32"/>
      <c r="N85" s="32"/>
      <c r="O85" s="32"/>
      <c r="P85" s="32"/>
      <c r="Q85" s="32"/>
      <c r="R85" s="32"/>
      <c r="S85" s="32"/>
      <c r="T85" s="33"/>
      <c r="U85" s="32"/>
      <c r="V85" s="32"/>
      <c r="W85" s="32"/>
      <c r="X85" s="32"/>
      <c r="Y85" s="32"/>
      <c r="Z85" s="32"/>
      <c r="AA85" s="32"/>
      <c r="AB85" s="32"/>
      <c r="AC85" s="32"/>
      <c r="AD85" s="32"/>
      <c r="AE85" s="32"/>
      <c r="AF85" s="32"/>
      <c r="AG85" s="32"/>
      <c r="AH85" s="32"/>
      <c r="AI85" s="32"/>
      <c r="AJ85" s="32"/>
      <c r="AK85" s="32"/>
      <c r="AL85" s="32"/>
      <c r="AM85" s="32"/>
      <c r="AN85" s="33"/>
      <c r="AO85" s="32"/>
      <c r="AP85" s="32"/>
      <c r="AQ85" s="32"/>
      <c r="AR85" s="32"/>
      <c r="AS85" s="32"/>
      <c r="AT85" s="32"/>
      <c r="AU85" s="32"/>
      <c r="AV85" s="32"/>
      <c r="AW85" s="32"/>
      <c r="AX85" s="32"/>
      <c r="AY85" s="32"/>
      <c r="AZ85" s="32"/>
      <c r="BA85" s="32"/>
      <c r="BB85" s="32"/>
      <c r="BC85" s="32"/>
      <c r="BD85" s="32"/>
      <c r="BE85" s="32"/>
      <c r="BF85" s="32"/>
      <c r="BG85" s="32"/>
      <c r="BH85" s="33"/>
      <c r="BI85" s="32"/>
      <c r="BJ85" s="32"/>
      <c r="BK85" s="32"/>
      <c r="BL85" s="32"/>
      <c r="BM85" s="32"/>
      <c r="BN85" s="32"/>
      <c r="BO85" s="32"/>
      <c r="BP85" s="32"/>
      <c r="BQ85" s="32"/>
      <c r="BR85" s="32"/>
      <c r="BS85" s="32"/>
      <c r="BT85" s="32"/>
      <c r="BU85" s="32"/>
      <c r="BV85" s="32"/>
      <c r="BW85" s="32"/>
      <c r="BX85" s="32"/>
      <c r="BY85" s="32"/>
      <c r="BZ85" s="32"/>
      <c r="CA85" s="32"/>
      <c r="CB85" s="32"/>
      <c r="CC85" s="33"/>
      <c r="CD85" s="32"/>
      <c r="CE85" s="32"/>
      <c r="CF85" s="32"/>
      <c r="CG85" s="32"/>
      <c r="CH85" s="32"/>
      <c r="CI85" s="32"/>
      <c r="CJ85" s="32"/>
      <c r="CK85" s="32"/>
      <c r="CL85" s="32"/>
      <c r="CM85" s="32"/>
      <c r="CN85" s="32"/>
      <c r="CO85" s="32"/>
      <c r="CP85" s="32"/>
      <c r="CQ85" s="32"/>
      <c r="CR85" s="32"/>
      <c r="CS85" s="32"/>
      <c r="CT85" s="32"/>
      <c r="CU85" s="32"/>
      <c r="CV85" s="32"/>
      <c r="CW85" s="32"/>
      <c r="CX85" s="32"/>
    </row>
    <row r="86" spans="1:102" s="35" customFormat="1" ht="24.95" customHeight="1">
      <c r="A86" s="32"/>
      <c r="B86" s="32"/>
      <c r="C86" s="33"/>
      <c r="D86" s="33"/>
      <c r="E86" s="36" t="s">
        <v>169</v>
      </c>
      <c r="F86" s="11"/>
      <c r="G86" s="32"/>
      <c r="H86" s="32"/>
      <c r="I86" s="32"/>
      <c r="J86" s="32"/>
      <c r="K86" s="32"/>
      <c r="L86" s="32"/>
      <c r="M86" s="32"/>
      <c r="N86" s="32"/>
      <c r="O86" s="32"/>
      <c r="P86" s="32"/>
      <c r="Q86" s="32"/>
      <c r="R86" s="32"/>
      <c r="S86" s="32"/>
      <c r="T86" s="33"/>
      <c r="U86" s="32"/>
      <c r="V86" s="32"/>
      <c r="W86" s="32"/>
      <c r="X86" s="32"/>
      <c r="Y86" s="32"/>
      <c r="Z86" s="32"/>
      <c r="AA86" s="32"/>
      <c r="AB86" s="32"/>
      <c r="AC86" s="32"/>
      <c r="AD86" s="32"/>
      <c r="AE86" s="32"/>
      <c r="AF86" s="32"/>
      <c r="AG86" s="32"/>
      <c r="AH86" s="32"/>
      <c r="AI86" s="32"/>
      <c r="AJ86" s="32"/>
      <c r="AK86" s="32"/>
      <c r="AL86" s="32"/>
      <c r="AM86" s="32"/>
      <c r="AN86" s="33"/>
      <c r="AO86" s="32"/>
      <c r="AP86" s="32"/>
      <c r="AQ86" s="32"/>
      <c r="AR86" s="32"/>
      <c r="AS86" s="32"/>
      <c r="AT86" s="32"/>
      <c r="AU86" s="32"/>
      <c r="AV86" s="32"/>
      <c r="AW86" s="32"/>
      <c r="AX86" s="32"/>
      <c r="AY86" s="32"/>
      <c r="AZ86" s="32"/>
      <c r="BA86" s="32"/>
      <c r="BB86" s="32"/>
      <c r="BC86" s="32"/>
      <c r="BD86" s="32"/>
      <c r="BE86" s="32"/>
      <c r="BF86" s="32"/>
      <c r="BG86" s="32"/>
      <c r="BH86" s="33"/>
      <c r="BI86" s="32"/>
      <c r="BJ86" s="32"/>
      <c r="BK86" s="32"/>
      <c r="BL86" s="32"/>
      <c r="BM86" s="32"/>
      <c r="BN86" s="32"/>
      <c r="BO86" s="32"/>
      <c r="BP86" s="32"/>
      <c r="BQ86" s="32"/>
      <c r="BR86" s="32"/>
      <c r="BS86" s="32"/>
      <c r="BT86" s="32"/>
      <c r="BU86" s="32"/>
      <c r="BV86" s="32"/>
      <c r="BW86" s="32"/>
      <c r="BX86" s="32"/>
      <c r="BY86" s="32"/>
      <c r="BZ86" s="32"/>
      <c r="CA86" s="32"/>
      <c r="CB86" s="32"/>
      <c r="CC86" s="33"/>
      <c r="CD86" s="32"/>
      <c r="CE86" s="32"/>
      <c r="CF86" s="32"/>
      <c r="CG86" s="32"/>
      <c r="CH86" s="32"/>
      <c r="CI86" s="32"/>
      <c r="CJ86" s="32"/>
      <c r="CK86" s="32"/>
      <c r="CL86" s="32"/>
      <c r="CM86" s="32"/>
      <c r="CN86" s="32"/>
      <c r="CO86" s="32"/>
      <c r="CP86" s="32"/>
      <c r="CQ86" s="32"/>
      <c r="CR86" s="32"/>
      <c r="CS86" s="32"/>
      <c r="CT86" s="32"/>
      <c r="CU86" s="32"/>
      <c r="CV86" s="32"/>
      <c r="CW86" s="32"/>
      <c r="CX86" s="32"/>
    </row>
    <row r="87" spans="1:102" s="35" customFormat="1" ht="24.95" customHeight="1">
      <c r="A87" s="32"/>
      <c r="B87" s="32"/>
      <c r="C87" s="33"/>
      <c r="D87" s="33"/>
      <c r="E87" s="34" t="s">
        <v>3</v>
      </c>
      <c r="F87" s="32"/>
      <c r="G87" s="32"/>
      <c r="H87" s="32"/>
      <c r="I87" s="32"/>
      <c r="J87" s="32"/>
      <c r="K87" s="32"/>
      <c r="L87" s="32"/>
      <c r="M87" s="32"/>
      <c r="N87" s="32"/>
      <c r="O87" s="32"/>
      <c r="P87" s="32"/>
      <c r="Q87" s="32"/>
      <c r="R87" s="32"/>
      <c r="S87" s="32"/>
      <c r="T87" s="33"/>
      <c r="U87" s="32"/>
      <c r="V87" s="32"/>
      <c r="W87" s="32"/>
      <c r="X87" s="32"/>
      <c r="Y87" s="32"/>
      <c r="Z87" s="32"/>
      <c r="AA87" s="32"/>
      <c r="AB87" s="32"/>
      <c r="AC87" s="32"/>
      <c r="AD87" s="32"/>
      <c r="AE87" s="32"/>
      <c r="AF87" s="32"/>
      <c r="AG87" s="32"/>
      <c r="AH87" s="32"/>
      <c r="AI87" s="32"/>
      <c r="AJ87" s="32"/>
      <c r="AK87" s="32"/>
      <c r="AL87" s="32"/>
      <c r="AM87" s="32"/>
      <c r="AN87" s="33"/>
      <c r="AO87" s="32"/>
      <c r="AP87" s="32"/>
      <c r="AQ87" s="32"/>
      <c r="AR87" s="32"/>
      <c r="AS87" s="32"/>
      <c r="AT87" s="32"/>
      <c r="AU87" s="32"/>
      <c r="AV87" s="32"/>
      <c r="AW87" s="32"/>
      <c r="AX87" s="32"/>
      <c r="AY87" s="32"/>
      <c r="AZ87" s="32"/>
      <c r="BA87" s="32"/>
      <c r="BB87" s="32"/>
      <c r="BC87" s="32"/>
      <c r="BD87" s="32"/>
      <c r="BE87" s="32"/>
      <c r="BF87" s="32"/>
      <c r="BG87" s="32"/>
      <c r="BH87" s="33"/>
      <c r="BI87" s="32"/>
      <c r="BJ87" s="32"/>
      <c r="BK87" s="32"/>
      <c r="BL87" s="32"/>
      <c r="BM87" s="32"/>
      <c r="BN87" s="32"/>
      <c r="BO87" s="32"/>
      <c r="BP87" s="32"/>
      <c r="BQ87" s="32"/>
      <c r="BR87" s="32"/>
      <c r="BS87" s="32"/>
      <c r="BT87" s="32"/>
      <c r="BU87" s="32"/>
      <c r="BV87" s="32"/>
      <c r="BW87" s="32"/>
      <c r="BX87" s="32"/>
      <c r="BY87" s="32"/>
      <c r="BZ87" s="32"/>
      <c r="CA87" s="32"/>
      <c r="CB87" s="32"/>
      <c r="CC87" s="33"/>
      <c r="CD87" s="32"/>
      <c r="CE87" s="32"/>
      <c r="CF87" s="32"/>
      <c r="CG87" s="32"/>
      <c r="CH87" s="32"/>
      <c r="CI87" s="32"/>
      <c r="CJ87" s="32"/>
      <c r="CK87" s="32"/>
      <c r="CL87" s="32"/>
      <c r="CM87" s="32"/>
      <c r="CN87" s="32"/>
      <c r="CO87" s="32"/>
      <c r="CP87" s="32"/>
      <c r="CQ87" s="32"/>
      <c r="CR87" s="32"/>
      <c r="CS87" s="32"/>
      <c r="CT87" s="32"/>
      <c r="CU87" s="32"/>
      <c r="CV87" s="32"/>
      <c r="CW87" s="32"/>
      <c r="CX87" s="32"/>
    </row>
    <row r="88" spans="1:102" s="35" customFormat="1" ht="24.95" customHeight="1">
      <c r="A88" s="32"/>
      <c r="B88" s="32"/>
      <c r="C88" s="33"/>
      <c r="D88" s="33"/>
      <c r="E88" s="34" t="s">
        <v>9</v>
      </c>
      <c r="F88" s="32"/>
      <c r="G88" s="32"/>
      <c r="H88" s="32"/>
      <c r="I88" s="32"/>
      <c r="J88" s="32"/>
      <c r="K88" s="32"/>
      <c r="L88" s="32"/>
      <c r="M88" s="32"/>
      <c r="N88" s="32"/>
      <c r="O88" s="32"/>
      <c r="P88" s="32"/>
      <c r="Q88" s="32"/>
      <c r="R88" s="32"/>
      <c r="S88" s="32"/>
      <c r="T88" s="33"/>
      <c r="U88" s="32"/>
      <c r="V88" s="32"/>
      <c r="W88" s="32"/>
      <c r="X88" s="32"/>
      <c r="Y88" s="32"/>
      <c r="Z88" s="32"/>
      <c r="AA88" s="32"/>
      <c r="AB88" s="32"/>
      <c r="AC88" s="32"/>
      <c r="AD88" s="32"/>
      <c r="AE88" s="32"/>
      <c r="AF88" s="32"/>
      <c r="AG88" s="32"/>
      <c r="AH88" s="32"/>
      <c r="AI88" s="32"/>
      <c r="AJ88" s="32"/>
      <c r="AK88" s="32"/>
      <c r="AL88" s="32"/>
      <c r="AM88" s="32"/>
      <c r="AN88" s="33"/>
      <c r="AO88" s="32"/>
      <c r="AP88" s="32"/>
      <c r="AQ88" s="32"/>
      <c r="AR88" s="32"/>
      <c r="AS88" s="32"/>
      <c r="AT88" s="32"/>
      <c r="AU88" s="32"/>
      <c r="AV88" s="32"/>
      <c r="AW88" s="32"/>
      <c r="AX88" s="32"/>
      <c r="AY88" s="32"/>
      <c r="AZ88" s="32"/>
      <c r="BA88" s="32"/>
      <c r="BB88" s="32"/>
      <c r="BC88" s="32"/>
      <c r="BD88" s="32"/>
      <c r="BE88" s="32"/>
      <c r="BF88" s="32"/>
      <c r="BG88" s="32"/>
      <c r="BH88" s="33"/>
      <c r="BI88" s="32"/>
      <c r="BJ88" s="32"/>
      <c r="BK88" s="32"/>
      <c r="BL88" s="32"/>
      <c r="BM88" s="32"/>
      <c r="BN88" s="32"/>
      <c r="BO88" s="32"/>
      <c r="BP88" s="32"/>
      <c r="BQ88" s="32"/>
      <c r="BR88" s="32"/>
      <c r="BS88" s="32"/>
      <c r="BT88" s="32"/>
      <c r="BU88" s="32"/>
      <c r="BV88" s="32"/>
      <c r="BW88" s="32"/>
      <c r="BX88" s="32"/>
      <c r="BY88" s="32"/>
      <c r="BZ88" s="32"/>
      <c r="CA88" s="32"/>
      <c r="CB88" s="32"/>
      <c r="CC88" s="33"/>
      <c r="CD88" s="32"/>
      <c r="CE88" s="32"/>
      <c r="CF88" s="32"/>
      <c r="CG88" s="32"/>
      <c r="CH88" s="32"/>
      <c r="CI88" s="32"/>
      <c r="CJ88" s="32"/>
      <c r="CK88" s="32"/>
      <c r="CL88" s="32"/>
      <c r="CM88" s="32"/>
      <c r="CN88" s="32"/>
      <c r="CO88" s="32"/>
      <c r="CP88" s="32"/>
      <c r="CQ88" s="32"/>
      <c r="CR88" s="32"/>
      <c r="CS88" s="32"/>
      <c r="CT88" s="32"/>
      <c r="CU88" s="32"/>
      <c r="CV88" s="32"/>
      <c r="CW88" s="32"/>
      <c r="CX88" s="32"/>
    </row>
    <row r="89" spans="1:102" s="35" customFormat="1" ht="24.95" customHeight="1">
      <c r="A89" s="32"/>
      <c r="B89" s="32"/>
      <c r="C89" s="33"/>
      <c r="D89" s="33"/>
      <c r="E89" s="34" t="s">
        <v>21</v>
      </c>
      <c r="F89" s="32"/>
      <c r="G89" s="32"/>
      <c r="H89" s="32"/>
      <c r="I89" s="32"/>
      <c r="J89" s="32"/>
      <c r="K89" s="32"/>
      <c r="L89" s="32"/>
      <c r="M89" s="32"/>
      <c r="N89" s="32"/>
      <c r="O89" s="32"/>
      <c r="P89" s="32"/>
      <c r="Q89" s="32"/>
      <c r="R89" s="32"/>
      <c r="S89" s="32"/>
      <c r="T89" s="33"/>
      <c r="U89" s="32"/>
      <c r="V89" s="32"/>
      <c r="W89" s="32"/>
      <c r="X89" s="32"/>
      <c r="Y89" s="32"/>
      <c r="Z89" s="32"/>
      <c r="AA89" s="32"/>
      <c r="AB89" s="32"/>
      <c r="AC89" s="32"/>
      <c r="AD89" s="32"/>
      <c r="AE89" s="32"/>
      <c r="AF89" s="32"/>
      <c r="AG89" s="32"/>
      <c r="AH89" s="32"/>
      <c r="AI89" s="32"/>
      <c r="AJ89" s="32"/>
      <c r="AK89" s="32"/>
      <c r="AL89" s="32"/>
      <c r="AM89" s="32"/>
      <c r="AN89" s="33"/>
      <c r="AO89" s="32"/>
      <c r="AP89" s="32"/>
      <c r="AQ89" s="32"/>
      <c r="AR89" s="32"/>
      <c r="AS89" s="32"/>
      <c r="AT89" s="32"/>
      <c r="AU89" s="32"/>
      <c r="AV89" s="32"/>
      <c r="AW89" s="32"/>
      <c r="AX89" s="32"/>
      <c r="AY89" s="32"/>
      <c r="AZ89" s="32"/>
      <c r="BA89" s="32"/>
      <c r="BB89" s="32"/>
      <c r="BC89" s="32"/>
      <c r="BD89" s="32"/>
      <c r="BE89" s="32"/>
      <c r="BF89" s="32"/>
      <c r="BG89" s="32"/>
      <c r="BH89" s="33"/>
      <c r="BI89" s="32"/>
      <c r="BJ89" s="32"/>
      <c r="BK89" s="32"/>
      <c r="BL89" s="32"/>
      <c r="BM89" s="32"/>
      <c r="BN89" s="32"/>
      <c r="BO89" s="32"/>
      <c r="BP89" s="32"/>
      <c r="BQ89" s="32"/>
      <c r="BR89" s="32"/>
      <c r="BS89" s="32"/>
      <c r="BT89" s="32"/>
      <c r="BU89" s="32"/>
      <c r="BV89" s="32"/>
      <c r="BW89" s="32"/>
      <c r="BX89" s="32"/>
      <c r="BY89" s="32"/>
      <c r="BZ89" s="32"/>
      <c r="CA89" s="32"/>
      <c r="CB89" s="32"/>
      <c r="CC89" s="33"/>
      <c r="CD89" s="32"/>
      <c r="CE89" s="32"/>
      <c r="CF89" s="32"/>
      <c r="CG89" s="32"/>
      <c r="CH89" s="32"/>
      <c r="CI89" s="32"/>
      <c r="CJ89" s="32"/>
      <c r="CK89" s="32"/>
      <c r="CL89" s="32"/>
      <c r="CM89" s="32"/>
      <c r="CN89" s="32"/>
      <c r="CO89" s="32"/>
      <c r="CP89" s="32"/>
      <c r="CQ89" s="32"/>
      <c r="CR89" s="32"/>
      <c r="CS89" s="32"/>
      <c r="CT89" s="32"/>
      <c r="CU89" s="32"/>
      <c r="CV89" s="32"/>
      <c r="CW89" s="32"/>
      <c r="CX89" s="32"/>
    </row>
    <row r="90" spans="1:102" s="35" customFormat="1" ht="24.95" customHeight="1">
      <c r="A90" s="32"/>
      <c r="B90" s="32"/>
      <c r="C90" s="33"/>
      <c r="D90" s="33"/>
      <c r="E90" s="34" t="s">
        <v>11</v>
      </c>
      <c r="F90" s="32"/>
      <c r="G90" s="32"/>
      <c r="H90" s="32"/>
      <c r="I90" s="32"/>
      <c r="J90" s="32"/>
      <c r="K90" s="32"/>
      <c r="L90" s="32"/>
      <c r="M90" s="32"/>
      <c r="N90" s="32"/>
      <c r="O90" s="32"/>
      <c r="P90" s="32"/>
      <c r="Q90" s="32"/>
      <c r="R90" s="32"/>
      <c r="S90" s="32"/>
      <c r="T90" s="33"/>
      <c r="U90" s="32"/>
      <c r="V90" s="32"/>
      <c r="W90" s="32"/>
      <c r="X90" s="32"/>
      <c r="Y90" s="32"/>
      <c r="Z90" s="32"/>
      <c r="AA90" s="32"/>
      <c r="AB90" s="32"/>
      <c r="AC90" s="32"/>
      <c r="AD90" s="32"/>
      <c r="AE90" s="32"/>
      <c r="AF90" s="32"/>
      <c r="AG90" s="32"/>
      <c r="AH90" s="32"/>
      <c r="AI90" s="32"/>
      <c r="AJ90" s="32"/>
      <c r="AK90" s="32"/>
      <c r="AL90" s="32"/>
      <c r="AM90" s="32"/>
      <c r="AN90" s="33"/>
      <c r="AO90" s="32"/>
      <c r="AP90" s="32"/>
      <c r="AQ90" s="32"/>
      <c r="AR90" s="32"/>
      <c r="AS90" s="32"/>
      <c r="AT90" s="32"/>
      <c r="AU90" s="32"/>
      <c r="AV90" s="32"/>
      <c r="AW90" s="32"/>
      <c r="AX90" s="32"/>
      <c r="AY90" s="32"/>
      <c r="AZ90" s="32"/>
      <c r="BA90" s="32"/>
      <c r="BB90" s="32"/>
      <c r="BC90" s="32"/>
      <c r="BD90" s="32"/>
      <c r="BE90" s="32"/>
      <c r="BF90" s="32"/>
      <c r="BG90" s="32"/>
      <c r="BH90" s="33"/>
      <c r="BI90" s="32"/>
      <c r="BJ90" s="32"/>
      <c r="BK90" s="32"/>
      <c r="BL90" s="32"/>
      <c r="BM90" s="32"/>
      <c r="BN90" s="32"/>
      <c r="BO90" s="32"/>
      <c r="BP90" s="32"/>
      <c r="BQ90" s="32"/>
      <c r="BR90" s="32"/>
      <c r="BS90" s="32"/>
      <c r="BT90" s="32"/>
      <c r="BU90" s="32"/>
      <c r="BV90" s="32"/>
      <c r="BW90" s="32"/>
      <c r="BX90" s="32"/>
      <c r="BY90" s="32"/>
      <c r="BZ90" s="32"/>
      <c r="CA90" s="32"/>
      <c r="CB90" s="32"/>
      <c r="CC90" s="33"/>
      <c r="CD90" s="32"/>
      <c r="CE90" s="32"/>
      <c r="CF90" s="32"/>
      <c r="CG90" s="32"/>
      <c r="CH90" s="32"/>
      <c r="CI90" s="32"/>
      <c r="CJ90" s="32"/>
      <c r="CK90" s="32"/>
      <c r="CL90" s="32"/>
      <c r="CM90" s="32"/>
      <c r="CN90" s="32"/>
      <c r="CO90" s="32"/>
      <c r="CP90" s="32"/>
      <c r="CQ90" s="32"/>
      <c r="CR90" s="32"/>
      <c r="CS90" s="32"/>
      <c r="CT90" s="32"/>
      <c r="CU90" s="32"/>
      <c r="CV90" s="32"/>
      <c r="CW90" s="32"/>
      <c r="CX90" s="32"/>
    </row>
    <row r="91" spans="1:102" s="35" customFormat="1" ht="24.95" customHeight="1">
      <c r="A91" s="32"/>
      <c r="B91" s="32"/>
      <c r="C91" s="33"/>
      <c r="D91" s="33"/>
      <c r="E91" s="36" t="s">
        <v>156</v>
      </c>
      <c r="F91" s="32"/>
      <c r="G91" s="32"/>
      <c r="H91" s="32"/>
      <c r="I91" s="32"/>
      <c r="J91" s="32"/>
      <c r="K91" s="32"/>
      <c r="L91" s="32"/>
      <c r="M91" s="32"/>
      <c r="N91" s="32"/>
      <c r="O91" s="32"/>
      <c r="P91" s="32"/>
      <c r="Q91" s="32"/>
      <c r="R91" s="32"/>
      <c r="S91" s="32"/>
      <c r="T91" s="33"/>
      <c r="U91" s="32"/>
      <c r="V91" s="32"/>
      <c r="W91" s="32"/>
      <c r="X91" s="32"/>
      <c r="Y91" s="32"/>
      <c r="Z91" s="32"/>
      <c r="AA91" s="32"/>
      <c r="AB91" s="32"/>
      <c r="AC91" s="32"/>
      <c r="AD91" s="32"/>
      <c r="AE91" s="32"/>
      <c r="AF91" s="32"/>
      <c r="AG91" s="32"/>
      <c r="AH91" s="32"/>
      <c r="AI91" s="32"/>
      <c r="AJ91" s="32"/>
      <c r="AK91" s="32"/>
      <c r="AL91" s="32"/>
      <c r="AM91" s="32"/>
      <c r="AN91" s="33"/>
      <c r="AO91" s="32"/>
      <c r="AP91" s="32"/>
      <c r="AQ91" s="32"/>
      <c r="AR91" s="32"/>
      <c r="AS91" s="32"/>
      <c r="AT91" s="32"/>
      <c r="AU91" s="32"/>
      <c r="AV91" s="32"/>
      <c r="AW91" s="32"/>
      <c r="AX91" s="32"/>
      <c r="AY91" s="32"/>
      <c r="AZ91" s="32"/>
      <c r="BA91" s="32"/>
      <c r="BB91" s="32"/>
      <c r="BC91" s="32"/>
      <c r="BD91" s="32"/>
      <c r="BE91" s="32"/>
      <c r="BF91" s="32"/>
      <c r="BG91" s="32"/>
      <c r="BH91" s="33"/>
      <c r="BI91" s="32"/>
      <c r="BJ91" s="32"/>
      <c r="BK91" s="32"/>
      <c r="BL91" s="32"/>
      <c r="BM91" s="32"/>
      <c r="BN91" s="32"/>
      <c r="BO91" s="32"/>
      <c r="BP91" s="32"/>
      <c r="BQ91" s="32"/>
      <c r="BR91" s="32"/>
      <c r="BS91" s="32"/>
      <c r="BT91" s="32"/>
      <c r="BU91" s="32"/>
      <c r="BV91" s="32"/>
      <c r="BW91" s="32"/>
      <c r="BX91" s="32"/>
      <c r="BY91" s="32"/>
      <c r="BZ91" s="32"/>
      <c r="CA91" s="32"/>
      <c r="CB91" s="32"/>
      <c r="CC91" s="33"/>
      <c r="CD91" s="32"/>
      <c r="CE91" s="32"/>
      <c r="CF91" s="32"/>
      <c r="CG91" s="32"/>
      <c r="CH91" s="32"/>
      <c r="CI91" s="32"/>
      <c r="CJ91" s="32"/>
      <c r="CK91" s="32"/>
      <c r="CL91" s="32"/>
      <c r="CM91" s="32"/>
      <c r="CN91" s="32"/>
      <c r="CO91" s="32"/>
      <c r="CP91" s="32"/>
      <c r="CQ91" s="32"/>
      <c r="CR91" s="32"/>
      <c r="CS91" s="32"/>
      <c r="CT91" s="32"/>
      <c r="CU91" s="32"/>
      <c r="CV91" s="32"/>
      <c r="CW91" s="32"/>
      <c r="CX91" s="32"/>
    </row>
    <row r="92" spans="1:102" s="35" customFormat="1" ht="24.95" customHeight="1">
      <c r="A92" s="32"/>
      <c r="B92" s="32"/>
      <c r="C92" s="33"/>
      <c r="D92" s="33"/>
      <c r="E92" s="36" t="s">
        <v>157</v>
      </c>
      <c r="F92" s="32"/>
      <c r="G92" s="32"/>
      <c r="H92" s="32"/>
      <c r="I92" s="32"/>
      <c r="J92" s="32"/>
      <c r="K92" s="32"/>
      <c r="L92" s="32"/>
      <c r="M92" s="32"/>
      <c r="N92" s="32"/>
      <c r="O92" s="32"/>
      <c r="P92" s="32"/>
      <c r="Q92" s="32"/>
      <c r="R92" s="32"/>
      <c r="S92" s="32"/>
      <c r="T92" s="33"/>
      <c r="U92" s="32"/>
      <c r="V92" s="32"/>
      <c r="W92" s="32"/>
      <c r="X92" s="32"/>
      <c r="Y92" s="32"/>
      <c r="Z92" s="32"/>
      <c r="AA92" s="32"/>
      <c r="AB92" s="32"/>
      <c r="AC92" s="32"/>
      <c r="AD92" s="32"/>
      <c r="AE92" s="32"/>
      <c r="AF92" s="32"/>
      <c r="AG92" s="32"/>
      <c r="AH92" s="32"/>
      <c r="AI92" s="32"/>
      <c r="AJ92" s="32"/>
      <c r="AK92" s="32"/>
      <c r="AL92" s="32"/>
      <c r="AM92" s="32"/>
      <c r="AN92" s="33"/>
      <c r="AO92" s="32"/>
      <c r="AP92" s="32"/>
      <c r="AQ92" s="32"/>
      <c r="AR92" s="32"/>
      <c r="AS92" s="32"/>
      <c r="AT92" s="32"/>
      <c r="AU92" s="32"/>
      <c r="AV92" s="32"/>
      <c r="AW92" s="32"/>
      <c r="AX92" s="32"/>
      <c r="AY92" s="32"/>
      <c r="AZ92" s="32"/>
      <c r="BA92" s="32"/>
      <c r="BB92" s="32"/>
      <c r="BC92" s="32"/>
      <c r="BD92" s="32"/>
      <c r="BE92" s="32"/>
      <c r="BF92" s="32"/>
      <c r="BG92" s="32"/>
      <c r="BH92" s="33"/>
      <c r="BI92" s="32"/>
      <c r="BJ92" s="32"/>
      <c r="BK92" s="32"/>
      <c r="BL92" s="32"/>
      <c r="BM92" s="32"/>
      <c r="BN92" s="32"/>
      <c r="BO92" s="32"/>
      <c r="BP92" s="32"/>
      <c r="BQ92" s="32"/>
      <c r="BR92" s="32"/>
      <c r="BS92" s="32"/>
      <c r="BT92" s="32"/>
      <c r="BU92" s="32"/>
      <c r="BV92" s="32"/>
      <c r="BW92" s="32"/>
      <c r="BX92" s="32"/>
      <c r="BY92" s="32"/>
      <c r="BZ92" s="32"/>
      <c r="CA92" s="32"/>
      <c r="CB92" s="32"/>
      <c r="CC92" s="33"/>
      <c r="CD92" s="32"/>
      <c r="CE92" s="32"/>
      <c r="CF92" s="32"/>
      <c r="CG92" s="32"/>
      <c r="CH92" s="32"/>
      <c r="CI92" s="32"/>
      <c r="CJ92" s="32"/>
      <c r="CK92" s="32"/>
      <c r="CL92" s="32"/>
      <c r="CM92" s="32"/>
      <c r="CN92" s="32"/>
      <c r="CO92" s="32"/>
      <c r="CP92" s="32"/>
      <c r="CQ92" s="32"/>
      <c r="CR92" s="32"/>
      <c r="CS92" s="32"/>
      <c r="CT92" s="32"/>
      <c r="CU92" s="32"/>
      <c r="CV92" s="32"/>
      <c r="CW92" s="32"/>
      <c r="CX92" s="32"/>
    </row>
    <row r="93" spans="1:102" s="35" customFormat="1" ht="24.95" customHeight="1">
      <c r="A93" s="32"/>
      <c r="B93" s="32"/>
      <c r="C93" s="33"/>
      <c r="D93" s="33"/>
      <c r="E93" s="34" t="s">
        <v>22</v>
      </c>
      <c r="F93" s="32"/>
      <c r="G93" s="32"/>
      <c r="H93" s="32"/>
      <c r="I93" s="32"/>
      <c r="J93" s="32"/>
      <c r="K93" s="32"/>
      <c r="L93" s="32"/>
      <c r="M93" s="32"/>
      <c r="N93" s="32"/>
      <c r="O93" s="32"/>
      <c r="P93" s="32"/>
      <c r="Q93" s="32"/>
      <c r="R93" s="32"/>
      <c r="S93" s="32"/>
      <c r="T93" s="33"/>
      <c r="U93" s="32"/>
      <c r="V93" s="32"/>
      <c r="W93" s="32"/>
      <c r="X93" s="32"/>
      <c r="Y93" s="32"/>
      <c r="Z93" s="32"/>
      <c r="AA93" s="32"/>
      <c r="AB93" s="32"/>
      <c r="AC93" s="32"/>
      <c r="AD93" s="32"/>
      <c r="AE93" s="32"/>
      <c r="AF93" s="32"/>
      <c r="AG93" s="32"/>
      <c r="AH93" s="32"/>
      <c r="AI93" s="32"/>
      <c r="AJ93" s="32"/>
      <c r="AK93" s="32"/>
      <c r="AL93" s="32"/>
      <c r="AM93" s="32"/>
      <c r="AN93" s="33"/>
      <c r="AO93" s="32"/>
      <c r="AP93" s="32"/>
      <c r="AQ93" s="32"/>
      <c r="AR93" s="32"/>
      <c r="AS93" s="32"/>
      <c r="AT93" s="32"/>
      <c r="AU93" s="32"/>
      <c r="AV93" s="32"/>
      <c r="AW93" s="32"/>
      <c r="AX93" s="32"/>
      <c r="AY93" s="32"/>
      <c r="AZ93" s="32"/>
      <c r="BA93" s="32"/>
      <c r="BB93" s="32"/>
      <c r="BC93" s="32"/>
      <c r="BD93" s="32"/>
      <c r="BE93" s="32"/>
      <c r="BF93" s="32"/>
      <c r="BG93" s="32"/>
      <c r="BH93" s="33"/>
      <c r="BI93" s="32"/>
      <c r="BJ93" s="32"/>
      <c r="BK93" s="32"/>
      <c r="BL93" s="32"/>
      <c r="BM93" s="32"/>
      <c r="BN93" s="32"/>
      <c r="BO93" s="32"/>
      <c r="BP93" s="32"/>
      <c r="BQ93" s="32"/>
      <c r="BR93" s="32"/>
      <c r="BS93" s="32"/>
      <c r="BT93" s="32"/>
      <c r="BU93" s="32"/>
      <c r="BV93" s="32"/>
      <c r="BW93" s="32"/>
      <c r="BX93" s="32"/>
      <c r="BY93" s="32"/>
      <c r="BZ93" s="32"/>
      <c r="CA93" s="32"/>
      <c r="CB93" s="32"/>
      <c r="CC93" s="33"/>
      <c r="CD93" s="32"/>
      <c r="CE93" s="32"/>
      <c r="CF93" s="32"/>
      <c r="CG93" s="32"/>
      <c r="CH93" s="32"/>
      <c r="CI93" s="32"/>
      <c r="CJ93" s="32"/>
      <c r="CK93" s="32"/>
      <c r="CL93" s="32"/>
      <c r="CM93" s="32"/>
      <c r="CN93" s="32"/>
      <c r="CO93" s="32"/>
      <c r="CP93" s="32"/>
      <c r="CQ93" s="32"/>
      <c r="CR93" s="32"/>
      <c r="CS93" s="32"/>
      <c r="CT93" s="32"/>
      <c r="CU93" s="32"/>
      <c r="CV93" s="32"/>
      <c r="CW93" s="32"/>
      <c r="CX93" s="32"/>
    </row>
    <row r="94" spans="1:102" s="35" customFormat="1" ht="24.95" customHeight="1">
      <c r="A94" s="32"/>
      <c r="B94" s="32"/>
      <c r="C94" s="33"/>
      <c r="D94" s="33"/>
      <c r="E94" s="34" t="s">
        <v>23</v>
      </c>
      <c r="F94" s="32"/>
      <c r="G94" s="32"/>
      <c r="H94" s="32"/>
      <c r="I94" s="32"/>
      <c r="J94" s="32"/>
      <c r="K94" s="32"/>
      <c r="L94" s="32"/>
      <c r="M94" s="32"/>
      <c r="N94" s="32"/>
      <c r="O94" s="32"/>
      <c r="P94" s="32"/>
      <c r="Q94" s="32"/>
      <c r="R94" s="32"/>
      <c r="S94" s="32"/>
      <c r="T94" s="33"/>
      <c r="U94" s="32"/>
      <c r="V94" s="32"/>
      <c r="W94" s="32"/>
      <c r="X94" s="32"/>
      <c r="Y94" s="32"/>
      <c r="Z94" s="32"/>
      <c r="AA94" s="32"/>
      <c r="AB94" s="32"/>
      <c r="AC94" s="32"/>
      <c r="AD94" s="32"/>
      <c r="AE94" s="32"/>
      <c r="AF94" s="32"/>
      <c r="AG94" s="32"/>
      <c r="AH94" s="32"/>
      <c r="AI94" s="32"/>
      <c r="AJ94" s="32"/>
      <c r="AK94" s="32"/>
      <c r="AL94" s="32"/>
      <c r="AM94" s="32"/>
      <c r="AN94" s="33"/>
      <c r="AO94" s="32"/>
      <c r="AP94" s="32"/>
      <c r="AQ94" s="32"/>
      <c r="AR94" s="32"/>
      <c r="AS94" s="32"/>
      <c r="AT94" s="32"/>
      <c r="AU94" s="32"/>
      <c r="AV94" s="32"/>
      <c r="AW94" s="32"/>
      <c r="AX94" s="32"/>
      <c r="AY94" s="32"/>
      <c r="AZ94" s="32"/>
      <c r="BA94" s="32"/>
      <c r="BB94" s="32"/>
      <c r="BC94" s="32"/>
      <c r="BD94" s="32"/>
      <c r="BE94" s="32"/>
      <c r="BF94" s="32"/>
      <c r="BG94" s="32"/>
      <c r="BH94" s="33"/>
      <c r="BI94" s="32"/>
      <c r="BJ94" s="32"/>
      <c r="BK94" s="32"/>
      <c r="BL94" s="32"/>
      <c r="BM94" s="32"/>
      <c r="BN94" s="32"/>
      <c r="BO94" s="32"/>
      <c r="BP94" s="32"/>
      <c r="BQ94" s="32"/>
      <c r="BR94" s="32"/>
      <c r="BS94" s="32"/>
      <c r="BT94" s="32"/>
      <c r="BU94" s="32"/>
      <c r="BV94" s="32"/>
      <c r="BW94" s="32"/>
      <c r="BX94" s="32"/>
      <c r="BY94" s="32"/>
      <c r="BZ94" s="32"/>
      <c r="CA94" s="32"/>
      <c r="CB94" s="32"/>
      <c r="CC94" s="33"/>
      <c r="CD94" s="32"/>
      <c r="CE94" s="32"/>
      <c r="CF94" s="32"/>
      <c r="CG94" s="32"/>
      <c r="CH94" s="32"/>
      <c r="CI94" s="32"/>
      <c r="CJ94" s="32"/>
      <c r="CK94" s="32"/>
      <c r="CL94" s="32"/>
      <c r="CM94" s="32"/>
      <c r="CN94" s="32"/>
      <c r="CO94" s="32"/>
      <c r="CP94" s="32"/>
      <c r="CQ94" s="32"/>
      <c r="CR94" s="32"/>
      <c r="CS94" s="32"/>
      <c r="CT94" s="32"/>
      <c r="CU94" s="32"/>
      <c r="CV94" s="32"/>
      <c r="CW94" s="32"/>
      <c r="CX94" s="32"/>
    </row>
    <row r="95" spans="1:102" s="35" customFormat="1" ht="24.95" customHeight="1">
      <c r="A95" s="32"/>
      <c r="B95" s="32"/>
      <c r="C95" s="33"/>
      <c r="D95" s="33"/>
      <c r="E95" s="34" t="s">
        <v>0</v>
      </c>
      <c r="F95" s="32"/>
      <c r="G95" s="32"/>
      <c r="H95" s="32"/>
      <c r="I95" s="32"/>
      <c r="J95" s="32"/>
      <c r="K95" s="32"/>
      <c r="L95" s="32"/>
      <c r="M95" s="32"/>
      <c r="N95" s="32"/>
      <c r="O95" s="32"/>
      <c r="P95" s="32"/>
      <c r="Q95" s="32"/>
      <c r="R95" s="32"/>
      <c r="S95" s="32"/>
      <c r="T95" s="33"/>
      <c r="U95" s="32"/>
      <c r="V95" s="32"/>
      <c r="W95" s="32"/>
      <c r="X95" s="32"/>
      <c r="Y95" s="32"/>
      <c r="Z95" s="32"/>
      <c r="AA95" s="32"/>
      <c r="AB95" s="32"/>
      <c r="AC95" s="32"/>
      <c r="AD95" s="32"/>
      <c r="AE95" s="32"/>
      <c r="AF95" s="32"/>
      <c r="AG95" s="32"/>
      <c r="AH95" s="32"/>
      <c r="AI95" s="32"/>
      <c r="AJ95" s="32"/>
      <c r="AK95" s="32"/>
      <c r="AL95" s="32"/>
      <c r="AM95" s="32"/>
      <c r="AN95" s="33"/>
      <c r="AO95" s="32"/>
      <c r="AP95" s="32"/>
      <c r="AQ95" s="32"/>
      <c r="AR95" s="32"/>
      <c r="AS95" s="32"/>
      <c r="AT95" s="32"/>
      <c r="AU95" s="32"/>
      <c r="AV95" s="32"/>
      <c r="AW95" s="32"/>
      <c r="AX95" s="32"/>
      <c r="AY95" s="32"/>
      <c r="AZ95" s="32"/>
      <c r="BA95" s="32"/>
      <c r="BB95" s="32"/>
      <c r="BC95" s="32"/>
      <c r="BD95" s="32"/>
      <c r="BE95" s="32"/>
      <c r="BF95" s="32"/>
      <c r="BG95" s="32"/>
      <c r="BH95" s="33"/>
      <c r="BI95" s="32"/>
      <c r="BJ95" s="32"/>
      <c r="BK95" s="32"/>
      <c r="BL95" s="32"/>
      <c r="BM95" s="32"/>
      <c r="BN95" s="32"/>
      <c r="BO95" s="32"/>
      <c r="BP95" s="32"/>
      <c r="BQ95" s="32"/>
      <c r="BR95" s="32"/>
      <c r="BS95" s="32"/>
      <c r="BT95" s="32"/>
      <c r="BU95" s="32"/>
      <c r="BV95" s="32"/>
      <c r="BW95" s="32"/>
      <c r="BX95" s="32"/>
      <c r="BY95" s="32"/>
      <c r="BZ95" s="32"/>
      <c r="CA95" s="32"/>
      <c r="CB95" s="32"/>
      <c r="CC95" s="33"/>
      <c r="CD95" s="32"/>
      <c r="CE95" s="32"/>
      <c r="CF95" s="32"/>
      <c r="CG95" s="32"/>
      <c r="CH95" s="32"/>
      <c r="CI95" s="32"/>
      <c r="CJ95" s="32"/>
      <c r="CK95" s="32"/>
      <c r="CL95" s="32"/>
      <c r="CM95" s="32"/>
      <c r="CN95" s="32"/>
      <c r="CO95" s="32"/>
      <c r="CP95" s="32"/>
      <c r="CQ95" s="32"/>
      <c r="CR95" s="32"/>
      <c r="CS95" s="32"/>
      <c r="CT95" s="32"/>
      <c r="CU95" s="32"/>
      <c r="CV95" s="32"/>
      <c r="CW95" s="32"/>
      <c r="CX95" s="32"/>
    </row>
    <row r="96" spans="1:102" s="35" customFormat="1" ht="24.95" customHeight="1">
      <c r="A96" s="32"/>
      <c r="B96" s="32"/>
      <c r="C96" s="33"/>
      <c r="D96" s="33"/>
      <c r="E96" s="36" t="s">
        <v>158</v>
      </c>
      <c r="F96" s="32"/>
      <c r="G96" s="32"/>
      <c r="H96" s="32"/>
      <c r="I96" s="32"/>
      <c r="J96" s="32"/>
      <c r="K96" s="32"/>
      <c r="L96" s="32"/>
      <c r="M96" s="32"/>
      <c r="N96" s="32"/>
      <c r="O96" s="32"/>
      <c r="P96" s="32"/>
      <c r="Q96" s="32"/>
      <c r="R96" s="32"/>
      <c r="S96" s="32"/>
      <c r="T96" s="33"/>
      <c r="U96" s="32"/>
      <c r="V96" s="32"/>
      <c r="W96" s="32"/>
      <c r="X96" s="32"/>
      <c r="Y96" s="32"/>
      <c r="Z96" s="32"/>
      <c r="AA96" s="32"/>
      <c r="AB96" s="32"/>
      <c r="AC96" s="32"/>
      <c r="AD96" s="32"/>
      <c r="AE96" s="32"/>
      <c r="AF96" s="32"/>
      <c r="AG96" s="32"/>
      <c r="AH96" s="32"/>
      <c r="AI96" s="32"/>
      <c r="AJ96" s="32"/>
      <c r="AK96" s="32"/>
      <c r="AL96" s="32"/>
      <c r="AM96" s="32"/>
      <c r="AN96" s="33"/>
      <c r="AO96" s="32"/>
      <c r="AP96" s="32"/>
      <c r="AQ96" s="32"/>
      <c r="AR96" s="32"/>
      <c r="AS96" s="32"/>
      <c r="AT96" s="32"/>
      <c r="AU96" s="32"/>
      <c r="AV96" s="32"/>
      <c r="AW96" s="32"/>
      <c r="AX96" s="32"/>
      <c r="AY96" s="32"/>
      <c r="AZ96" s="32"/>
      <c r="BA96" s="32"/>
      <c r="BB96" s="32"/>
      <c r="BC96" s="32"/>
      <c r="BD96" s="32"/>
      <c r="BE96" s="32"/>
      <c r="BF96" s="32"/>
      <c r="BG96" s="32"/>
      <c r="BH96" s="33"/>
      <c r="BI96" s="32"/>
      <c r="BJ96" s="32"/>
      <c r="BK96" s="32"/>
      <c r="BL96" s="32"/>
      <c r="BM96" s="32"/>
      <c r="BN96" s="32"/>
      <c r="BO96" s="32"/>
      <c r="BP96" s="32"/>
      <c r="BQ96" s="32"/>
      <c r="BR96" s="32"/>
      <c r="BS96" s="32"/>
      <c r="BT96" s="32"/>
      <c r="BU96" s="32"/>
      <c r="BV96" s="32"/>
      <c r="BW96" s="32"/>
      <c r="BX96" s="32"/>
      <c r="BY96" s="32"/>
      <c r="BZ96" s="32"/>
      <c r="CA96" s="32"/>
      <c r="CB96" s="32"/>
      <c r="CC96" s="33"/>
      <c r="CD96" s="32"/>
      <c r="CE96" s="32"/>
      <c r="CF96" s="32"/>
      <c r="CG96" s="32"/>
      <c r="CH96" s="32"/>
      <c r="CI96" s="32"/>
      <c r="CJ96" s="32"/>
      <c r="CK96" s="32"/>
      <c r="CL96" s="32"/>
      <c r="CM96" s="32"/>
      <c r="CN96" s="32"/>
      <c r="CO96" s="32"/>
      <c r="CP96" s="32"/>
      <c r="CQ96" s="32"/>
      <c r="CR96" s="32"/>
      <c r="CS96" s="32"/>
      <c r="CT96" s="32"/>
      <c r="CU96" s="32"/>
      <c r="CV96" s="32"/>
      <c r="CW96" s="32"/>
      <c r="CX96" s="32"/>
    </row>
    <row r="97" spans="1:102" s="35" customFormat="1" ht="24.95" customHeight="1">
      <c r="A97" s="32"/>
      <c r="B97" s="32"/>
      <c r="C97" s="33"/>
      <c r="D97" s="33"/>
      <c r="E97" s="36" t="s">
        <v>159</v>
      </c>
      <c r="F97" s="32"/>
      <c r="G97" s="32"/>
      <c r="H97" s="32"/>
      <c r="I97" s="32"/>
      <c r="J97" s="32"/>
      <c r="K97" s="32"/>
      <c r="L97" s="32"/>
      <c r="M97" s="32"/>
      <c r="N97" s="32"/>
      <c r="O97" s="32"/>
      <c r="P97" s="32"/>
      <c r="Q97" s="32"/>
      <c r="R97" s="32"/>
      <c r="S97" s="32"/>
      <c r="T97" s="33"/>
      <c r="U97" s="32"/>
      <c r="V97" s="32"/>
      <c r="W97" s="32"/>
      <c r="X97" s="32"/>
      <c r="Y97" s="32"/>
      <c r="Z97" s="32"/>
      <c r="AA97" s="32"/>
      <c r="AB97" s="32"/>
      <c r="AC97" s="32"/>
      <c r="AD97" s="32"/>
      <c r="AE97" s="32"/>
      <c r="AF97" s="32"/>
      <c r="AG97" s="32"/>
      <c r="AH97" s="32"/>
      <c r="AI97" s="32"/>
      <c r="AJ97" s="32"/>
      <c r="AK97" s="32"/>
      <c r="AL97" s="32"/>
      <c r="AM97" s="32"/>
      <c r="AN97" s="33"/>
      <c r="AO97" s="32"/>
      <c r="AP97" s="32"/>
      <c r="AQ97" s="32"/>
      <c r="AR97" s="32"/>
      <c r="AS97" s="32"/>
      <c r="AT97" s="32"/>
      <c r="AU97" s="32"/>
      <c r="AV97" s="32"/>
      <c r="AW97" s="32"/>
      <c r="AX97" s="32"/>
      <c r="AY97" s="32"/>
      <c r="AZ97" s="32"/>
      <c r="BA97" s="32"/>
      <c r="BB97" s="32"/>
      <c r="BC97" s="32"/>
      <c r="BD97" s="32"/>
      <c r="BE97" s="32"/>
      <c r="BF97" s="32"/>
      <c r="BG97" s="32"/>
      <c r="BH97" s="33"/>
      <c r="BI97" s="32"/>
      <c r="BJ97" s="32"/>
      <c r="BK97" s="32"/>
      <c r="BL97" s="32"/>
      <c r="BM97" s="32"/>
      <c r="BN97" s="32"/>
      <c r="BO97" s="32"/>
      <c r="BP97" s="32"/>
      <c r="BQ97" s="32"/>
      <c r="BR97" s="32"/>
      <c r="BS97" s="32"/>
      <c r="BT97" s="32"/>
      <c r="BU97" s="32"/>
      <c r="BV97" s="32"/>
      <c r="BW97" s="32"/>
      <c r="BX97" s="32"/>
      <c r="BY97" s="32"/>
      <c r="BZ97" s="32"/>
      <c r="CA97" s="32"/>
      <c r="CB97" s="32"/>
      <c r="CC97" s="33"/>
      <c r="CD97" s="32"/>
      <c r="CE97" s="32"/>
      <c r="CF97" s="32"/>
      <c r="CG97" s="32"/>
      <c r="CH97" s="32"/>
      <c r="CI97" s="32"/>
      <c r="CJ97" s="32"/>
      <c r="CK97" s="32"/>
      <c r="CL97" s="32"/>
      <c r="CM97" s="32"/>
      <c r="CN97" s="32"/>
      <c r="CO97" s="32"/>
      <c r="CP97" s="32"/>
      <c r="CQ97" s="32"/>
      <c r="CR97" s="32"/>
      <c r="CS97" s="32"/>
      <c r="CT97" s="32"/>
      <c r="CU97" s="32"/>
      <c r="CV97" s="32"/>
      <c r="CW97" s="32"/>
      <c r="CX97" s="32"/>
    </row>
    <row r="98" spans="1:102" s="35" customFormat="1" ht="24.95" customHeight="1">
      <c r="A98" s="32"/>
      <c r="B98" s="32"/>
      <c r="C98" s="33"/>
      <c r="D98" s="33"/>
      <c r="E98" s="36" t="s">
        <v>160</v>
      </c>
      <c r="F98" s="32"/>
      <c r="G98" s="32"/>
      <c r="H98" s="32"/>
      <c r="I98" s="32"/>
      <c r="J98" s="32"/>
      <c r="K98" s="32"/>
      <c r="L98" s="32"/>
      <c r="M98" s="32"/>
      <c r="N98" s="32"/>
      <c r="O98" s="32"/>
      <c r="P98" s="32"/>
      <c r="Q98" s="32"/>
      <c r="R98" s="32"/>
      <c r="S98" s="32"/>
      <c r="T98" s="33"/>
      <c r="U98" s="32"/>
      <c r="V98" s="32"/>
      <c r="W98" s="32"/>
      <c r="X98" s="32"/>
      <c r="Y98" s="32"/>
      <c r="Z98" s="32"/>
      <c r="AA98" s="32"/>
      <c r="AB98" s="32"/>
      <c r="AC98" s="32"/>
      <c r="AD98" s="32"/>
      <c r="AE98" s="32"/>
      <c r="AF98" s="32"/>
      <c r="AG98" s="32"/>
      <c r="AH98" s="32"/>
      <c r="AI98" s="32"/>
      <c r="AJ98" s="32"/>
      <c r="AK98" s="32"/>
      <c r="AL98" s="32"/>
      <c r="AM98" s="32"/>
      <c r="AN98" s="33"/>
      <c r="AO98" s="32"/>
      <c r="AP98" s="32"/>
      <c r="AQ98" s="32"/>
      <c r="AR98" s="32"/>
      <c r="AS98" s="32"/>
      <c r="AT98" s="32"/>
      <c r="AU98" s="32"/>
      <c r="AV98" s="32"/>
      <c r="AW98" s="32"/>
      <c r="AX98" s="32"/>
      <c r="AY98" s="32"/>
      <c r="AZ98" s="32"/>
      <c r="BA98" s="32"/>
      <c r="BB98" s="32"/>
      <c r="BC98" s="32"/>
      <c r="BD98" s="32"/>
      <c r="BE98" s="32"/>
      <c r="BF98" s="32"/>
      <c r="BG98" s="32"/>
      <c r="BH98" s="33"/>
      <c r="BI98" s="32"/>
      <c r="BJ98" s="32"/>
      <c r="BK98" s="32"/>
      <c r="BL98" s="32"/>
      <c r="BM98" s="32"/>
      <c r="BN98" s="32"/>
      <c r="BO98" s="32"/>
      <c r="BP98" s="32"/>
      <c r="BQ98" s="32"/>
      <c r="BR98" s="32"/>
      <c r="BS98" s="32"/>
      <c r="BT98" s="32"/>
      <c r="BU98" s="32"/>
      <c r="BV98" s="32"/>
      <c r="BW98" s="32"/>
      <c r="BX98" s="32"/>
      <c r="BY98" s="32"/>
      <c r="BZ98" s="32"/>
      <c r="CA98" s="32"/>
      <c r="CB98" s="32"/>
      <c r="CC98" s="33"/>
      <c r="CD98" s="32"/>
      <c r="CE98" s="32"/>
      <c r="CF98" s="32"/>
      <c r="CG98" s="32"/>
      <c r="CH98" s="32"/>
      <c r="CI98" s="32"/>
      <c r="CJ98" s="32"/>
      <c r="CK98" s="32"/>
      <c r="CL98" s="32"/>
      <c r="CM98" s="32"/>
      <c r="CN98" s="32"/>
      <c r="CO98" s="32"/>
      <c r="CP98" s="32"/>
      <c r="CQ98" s="32"/>
      <c r="CR98" s="32"/>
      <c r="CS98" s="32"/>
      <c r="CT98" s="32"/>
      <c r="CU98" s="32"/>
      <c r="CV98" s="32"/>
      <c r="CW98" s="32"/>
      <c r="CX98" s="32"/>
    </row>
    <row r="99" spans="1:102" s="35" customFormat="1" ht="24.95" customHeight="1">
      <c r="A99" s="32"/>
      <c r="B99" s="32"/>
      <c r="C99" s="33"/>
      <c r="D99" s="33"/>
      <c r="E99" s="36" t="s">
        <v>161</v>
      </c>
      <c r="F99" s="32"/>
      <c r="G99" s="32"/>
      <c r="H99" s="32"/>
      <c r="I99" s="32"/>
      <c r="J99" s="32"/>
      <c r="K99" s="32"/>
      <c r="L99" s="32"/>
      <c r="M99" s="32"/>
      <c r="N99" s="32"/>
      <c r="O99" s="32"/>
      <c r="P99" s="32"/>
      <c r="Q99" s="32"/>
      <c r="R99" s="32"/>
      <c r="S99" s="32"/>
      <c r="T99" s="33"/>
      <c r="U99" s="32"/>
      <c r="V99" s="32"/>
      <c r="W99" s="32"/>
      <c r="X99" s="32"/>
      <c r="Y99" s="32"/>
      <c r="Z99" s="32"/>
      <c r="AA99" s="32"/>
      <c r="AB99" s="32"/>
      <c r="AC99" s="32"/>
      <c r="AD99" s="32"/>
      <c r="AE99" s="32"/>
      <c r="AF99" s="32"/>
      <c r="AG99" s="32"/>
      <c r="AH99" s="32"/>
      <c r="AI99" s="32"/>
      <c r="AJ99" s="32"/>
      <c r="AK99" s="32"/>
      <c r="AL99" s="32"/>
      <c r="AM99" s="32"/>
      <c r="AN99" s="33"/>
      <c r="AO99" s="32"/>
      <c r="AP99" s="32"/>
      <c r="AQ99" s="32"/>
      <c r="AR99" s="32"/>
      <c r="AS99" s="32"/>
      <c r="AT99" s="32"/>
      <c r="AU99" s="32"/>
      <c r="AV99" s="32"/>
      <c r="AW99" s="32"/>
      <c r="AX99" s="32"/>
      <c r="AY99" s="32"/>
      <c r="AZ99" s="32"/>
      <c r="BA99" s="32"/>
      <c r="BB99" s="32"/>
      <c r="BC99" s="32"/>
      <c r="BD99" s="32"/>
      <c r="BE99" s="32"/>
      <c r="BF99" s="32"/>
      <c r="BG99" s="32"/>
      <c r="BH99" s="33"/>
      <c r="BI99" s="32"/>
      <c r="BJ99" s="32"/>
      <c r="BK99" s="32"/>
      <c r="BL99" s="32"/>
      <c r="BM99" s="32"/>
      <c r="BN99" s="32"/>
      <c r="BO99" s="32"/>
      <c r="BP99" s="32"/>
      <c r="BQ99" s="32"/>
      <c r="BR99" s="32"/>
      <c r="BS99" s="32"/>
      <c r="BT99" s="32"/>
      <c r="BU99" s="32"/>
      <c r="BV99" s="32"/>
      <c r="BW99" s="32"/>
      <c r="BX99" s="32"/>
      <c r="BY99" s="32"/>
      <c r="BZ99" s="32"/>
      <c r="CA99" s="32"/>
      <c r="CB99" s="32"/>
      <c r="CC99" s="33"/>
      <c r="CD99" s="32"/>
      <c r="CE99" s="32"/>
      <c r="CF99" s="32"/>
      <c r="CG99" s="32"/>
      <c r="CH99" s="32"/>
      <c r="CI99" s="32"/>
      <c r="CJ99" s="32"/>
      <c r="CK99" s="32"/>
      <c r="CL99" s="32"/>
      <c r="CM99" s="32"/>
      <c r="CN99" s="32"/>
      <c r="CO99" s="32"/>
      <c r="CP99" s="32"/>
      <c r="CQ99" s="32"/>
      <c r="CR99" s="32"/>
      <c r="CS99" s="32"/>
      <c r="CT99" s="32"/>
      <c r="CU99" s="32"/>
      <c r="CV99" s="32"/>
      <c r="CW99" s="32"/>
      <c r="CX99" s="32"/>
    </row>
    <row r="100" spans="1:102" s="35" customFormat="1" ht="24.95" customHeight="1">
      <c r="A100" s="32"/>
      <c r="B100" s="32"/>
      <c r="C100" s="33"/>
      <c r="D100" s="33"/>
      <c r="E100" s="36" t="s">
        <v>162</v>
      </c>
      <c r="F100" s="32"/>
      <c r="G100" s="32"/>
      <c r="H100" s="32"/>
      <c r="I100" s="32"/>
      <c r="J100" s="32"/>
      <c r="K100" s="32"/>
      <c r="L100" s="32"/>
      <c r="M100" s="32"/>
      <c r="N100" s="32"/>
      <c r="O100" s="32"/>
      <c r="P100" s="32"/>
      <c r="Q100" s="32"/>
      <c r="R100" s="32"/>
      <c r="S100" s="32"/>
      <c r="T100" s="33"/>
      <c r="U100" s="32"/>
      <c r="V100" s="32"/>
      <c r="W100" s="32"/>
      <c r="X100" s="32"/>
      <c r="Y100" s="32"/>
      <c r="Z100" s="32"/>
      <c r="AA100" s="32"/>
      <c r="AB100" s="32"/>
      <c r="AC100" s="32"/>
      <c r="AD100" s="32"/>
      <c r="AE100" s="32"/>
      <c r="AF100" s="32"/>
      <c r="AG100" s="32"/>
      <c r="AH100" s="32"/>
      <c r="AI100" s="32"/>
      <c r="AJ100" s="32"/>
      <c r="AK100" s="32"/>
      <c r="AL100" s="32"/>
      <c r="AM100" s="32"/>
      <c r="AN100" s="33"/>
      <c r="AO100" s="32"/>
      <c r="AP100" s="32"/>
      <c r="AQ100" s="32"/>
      <c r="AR100" s="32"/>
      <c r="AS100" s="32"/>
      <c r="AT100" s="32"/>
      <c r="AU100" s="32"/>
      <c r="AV100" s="32"/>
      <c r="AW100" s="32"/>
      <c r="AX100" s="32"/>
      <c r="AY100" s="32"/>
      <c r="AZ100" s="32"/>
      <c r="BA100" s="32"/>
      <c r="BB100" s="32"/>
      <c r="BC100" s="32"/>
      <c r="BD100" s="32"/>
      <c r="BE100" s="32"/>
      <c r="BF100" s="32"/>
      <c r="BG100" s="32"/>
      <c r="BH100" s="33"/>
      <c r="BI100" s="32"/>
      <c r="BJ100" s="32"/>
      <c r="BK100" s="32"/>
      <c r="BL100" s="32"/>
      <c r="BM100" s="32"/>
      <c r="BN100" s="32"/>
      <c r="BO100" s="32"/>
      <c r="BP100" s="32"/>
      <c r="BQ100" s="32"/>
      <c r="BR100" s="32"/>
      <c r="BS100" s="32"/>
      <c r="BT100" s="32"/>
      <c r="BU100" s="32"/>
      <c r="BV100" s="32"/>
      <c r="BW100" s="32"/>
      <c r="BX100" s="32"/>
      <c r="BY100" s="32"/>
      <c r="BZ100" s="32"/>
      <c r="CA100" s="32"/>
      <c r="CB100" s="32"/>
      <c r="CC100" s="33"/>
      <c r="CD100" s="32"/>
      <c r="CE100" s="32"/>
      <c r="CF100" s="32"/>
      <c r="CG100" s="32"/>
      <c r="CH100" s="32"/>
      <c r="CI100" s="32"/>
      <c r="CJ100" s="32"/>
      <c r="CK100" s="32"/>
      <c r="CL100" s="32"/>
      <c r="CM100" s="32"/>
      <c r="CN100" s="32"/>
      <c r="CO100" s="32"/>
      <c r="CP100" s="32"/>
      <c r="CQ100" s="32"/>
      <c r="CR100" s="32"/>
      <c r="CS100" s="32"/>
      <c r="CT100" s="32"/>
      <c r="CU100" s="32"/>
      <c r="CV100" s="32"/>
      <c r="CW100" s="32"/>
      <c r="CX100" s="32"/>
    </row>
    <row r="101" spans="1:102" s="35" customFormat="1" ht="24.95" customHeight="1">
      <c r="A101" s="32"/>
      <c r="B101" s="32"/>
      <c r="C101" s="33"/>
      <c r="D101" s="33"/>
      <c r="E101" s="36" t="s">
        <v>163</v>
      </c>
      <c r="F101" s="32"/>
      <c r="G101" s="32"/>
      <c r="H101" s="32"/>
      <c r="I101" s="32"/>
      <c r="J101" s="32"/>
      <c r="K101" s="32"/>
      <c r="L101" s="32"/>
      <c r="M101" s="32"/>
      <c r="N101" s="32"/>
      <c r="O101" s="32"/>
      <c r="P101" s="32"/>
      <c r="Q101" s="32"/>
      <c r="R101" s="32"/>
      <c r="S101" s="32"/>
      <c r="T101" s="33"/>
      <c r="U101" s="32"/>
      <c r="V101" s="32"/>
      <c r="W101" s="32"/>
      <c r="X101" s="32"/>
      <c r="Y101" s="32"/>
      <c r="Z101" s="32"/>
      <c r="AA101" s="32"/>
      <c r="AB101" s="32"/>
      <c r="AC101" s="32"/>
      <c r="AD101" s="32"/>
      <c r="AE101" s="32"/>
      <c r="AF101" s="32"/>
      <c r="AG101" s="32"/>
      <c r="AH101" s="32"/>
      <c r="AI101" s="32"/>
      <c r="AJ101" s="32"/>
      <c r="AK101" s="32"/>
      <c r="AL101" s="32"/>
      <c r="AM101" s="32"/>
      <c r="AN101" s="33"/>
      <c r="AO101" s="32"/>
      <c r="AP101" s="32"/>
      <c r="AQ101" s="32"/>
      <c r="AR101" s="32"/>
      <c r="AS101" s="32"/>
      <c r="AT101" s="32"/>
      <c r="AU101" s="32"/>
      <c r="AV101" s="32"/>
      <c r="AW101" s="32"/>
      <c r="AX101" s="32"/>
      <c r="AY101" s="32"/>
      <c r="AZ101" s="32"/>
      <c r="BA101" s="32"/>
      <c r="BB101" s="32"/>
      <c r="BC101" s="32"/>
      <c r="BD101" s="32"/>
      <c r="BE101" s="32"/>
      <c r="BF101" s="32"/>
      <c r="BG101" s="32"/>
      <c r="BH101" s="33"/>
      <c r="BI101" s="32"/>
      <c r="BJ101" s="32"/>
      <c r="BK101" s="32"/>
      <c r="BL101" s="32"/>
      <c r="BM101" s="32"/>
      <c r="BN101" s="32"/>
      <c r="BO101" s="32"/>
      <c r="BP101" s="32"/>
      <c r="BQ101" s="32"/>
      <c r="BR101" s="32"/>
      <c r="BS101" s="32"/>
      <c r="BT101" s="32"/>
      <c r="BU101" s="32"/>
      <c r="BV101" s="32"/>
      <c r="BW101" s="32"/>
      <c r="BX101" s="32"/>
      <c r="BY101" s="32"/>
      <c r="BZ101" s="32"/>
      <c r="CA101" s="32"/>
      <c r="CB101" s="32"/>
      <c r="CC101" s="33"/>
      <c r="CD101" s="32"/>
      <c r="CE101" s="32"/>
      <c r="CF101" s="32"/>
      <c r="CG101" s="32"/>
      <c r="CH101" s="32"/>
      <c r="CI101" s="32"/>
      <c r="CJ101" s="32"/>
      <c r="CK101" s="32"/>
      <c r="CL101" s="32"/>
      <c r="CM101" s="32"/>
      <c r="CN101" s="32"/>
      <c r="CO101" s="32"/>
      <c r="CP101" s="32"/>
      <c r="CQ101" s="32"/>
      <c r="CR101" s="32"/>
      <c r="CS101" s="32"/>
      <c r="CT101" s="32"/>
      <c r="CU101" s="32"/>
      <c r="CV101" s="32"/>
      <c r="CW101" s="32"/>
      <c r="CX101" s="32"/>
    </row>
    <row r="102" spans="1:102" s="35" customFormat="1" ht="24.95" customHeight="1">
      <c r="A102" s="32"/>
      <c r="B102" s="32"/>
      <c r="C102" s="33"/>
      <c r="D102" s="33"/>
      <c r="E102" s="36" t="s">
        <v>164</v>
      </c>
      <c r="F102" s="32"/>
      <c r="G102" s="32"/>
      <c r="H102" s="32"/>
      <c r="I102" s="32"/>
      <c r="J102" s="32"/>
      <c r="K102" s="32"/>
      <c r="L102" s="32"/>
      <c r="M102" s="32"/>
      <c r="N102" s="32"/>
      <c r="O102" s="32"/>
      <c r="P102" s="32"/>
      <c r="Q102" s="32"/>
      <c r="R102" s="32"/>
      <c r="S102" s="32"/>
      <c r="T102" s="33"/>
      <c r="U102" s="32"/>
      <c r="V102" s="32"/>
      <c r="W102" s="32"/>
      <c r="X102" s="32"/>
      <c r="Y102" s="32"/>
      <c r="Z102" s="32"/>
      <c r="AA102" s="32"/>
      <c r="AB102" s="32"/>
      <c r="AC102" s="32"/>
      <c r="AD102" s="32"/>
      <c r="AE102" s="32"/>
      <c r="AF102" s="32"/>
      <c r="AG102" s="32"/>
      <c r="AH102" s="32"/>
      <c r="AI102" s="32"/>
      <c r="AJ102" s="32"/>
      <c r="AK102" s="32"/>
      <c r="AL102" s="32"/>
      <c r="AM102" s="32"/>
      <c r="AN102" s="33"/>
      <c r="AO102" s="32"/>
      <c r="AP102" s="32"/>
      <c r="AQ102" s="32"/>
      <c r="AR102" s="32"/>
      <c r="AS102" s="32"/>
      <c r="AT102" s="32"/>
      <c r="AU102" s="32"/>
      <c r="AV102" s="32"/>
      <c r="AW102" s="32"/>
      <c r="AX102" s="32"/>
      <c r="AY102" s="32"/>
      <c r="AZ102" s="32"/>
      <c r="BA102" s="32"/>
      <c r="BB102" s="32"/>
      <c r="BC102" s="32"/>
      <c r="BD102" s="32"/>
      <c r="BE102" s="32"/>
      <c r="BF102" s="32"/>
      <c r="BG102" s="32"/>
      <c r="BH102" s="33"/>
      <c r="BI102" s="32"/>
      <c r="BJ102" s="32"/>
      <c r="BK102" s="32"/>
      <c r="BL102" s="32"/>
      <c r="BM102" s="32"/>
      <c r="BN102" s="32"/>
      <c r="BO102" s="32"/>
      <c r="BP102" s="32"/>
      <c r="BQ102" s="32"/>
      <c r="BR102" s="32"/>
      <c r="BS102" s="32"/>
      <c r="BT102" s="32"/>
      <c r="BU102" s="32"/>
      <c r="BV102" s="32"/>
      <c r="BW102" s="32"/>
      <c r="BX102" s="32"/>
      <c r="BY102" s="32"/>
      <c r="BZ102" s="32"/>
      <c r="CA102" s="32"/>
      <c r="CB102" s="32"/>
      <c r="CC102" s="33"/>
      <c r="CD102" s="32"/>
      <c r="CE102" s="32"/>
      <c r="CF102" s="32"/>
      <c r="CG102" s="32"/>
      <c r="CH102" s="32"/>
      <c r="CI102" s="32"/>
      <c r="CJ102" s="32"/>
      <c r="CK102" s="32"/>
      <c r="CL102" s="32"/>
      <c r="CM102" s="32"/>
      <c r="CN102" s="32"/>
      <c r="CO102" s="32"/>
      <c r="CP102" s="32"/>
      <c r="CQ102" s="32"/>
      <c r="CR102" s="32"/>
      <c r="CS102" s="32"/>
      <c r="CT102" s="32"/>
      <c r="CU102" s="32"/>
      <c r="CV102" s="32"/>
      <c r="CW102" s="32"/>
      <c r="CX102" s="32"/>
    </row>
    <row r="103" spans="1:102" s="35" customFormat="1" ht="24.95" customHeight="1">
      <c r="A103" s="32"/>
      <c r="B103" s="32"/>
      <c r="C103" s="33"/>
      <c r="D103" s="33"/>
      <c r="E103" s="34" t="s">
        <v>17</v>
      </c>
      <c r="F103" s="32"/>
      <c r="G103" s="32"/>
      <c r="H103" s="32"/>
      <c r="I103" s="32"/>
      <c r="J103" s="32"/>
      <c r="K103" s="32"/>
      <c r="L103" s="32"/>
      <c r="M103" s="32"/>
      <c r="N103" s="32"/>
      <c r="O103" s="32"/>
      <c r="P103" s="32"/>
      <c r="Q103" s="32"/>
      <c r="R103" s="32"/>
      <c r="S103" s="32"/>
      <c r="T103" s="33"/>
      <c r="U103" s="32"/>
      <c r="V103" s="32"/>
      <c r="W103" s="32"/>
      <c r="X103" s="32"/>
      <c r="Y103" s="32"/>
      <c r="Z103" s="32"/>
      <c r="AA103" s="32"/>
      <c r="AB103" s="32"/>
      <c r="AC103" s="32"/>
      <c r="AD103" s="32"/>
      <c r="AE103" s="32"/>
      <c r="AF103" s="32"/>
      <c r="AG103" s="32"/>
      <c r="AH103" s="32"/>
      <c r="AI103" s="32"/>
      <c r="AJ103" s="32"/>
      <c r="AK103" s="32"/>
      <c r="AL103" s="32"/>
      <c r="AM103" s="32"/>
      <c r="AN103" s="33"/>
      <c r="AO103" s="32"/>
      <c r="AP103" s="32"/>
      <c r="AQ103" s="32"/>
      <c r="AR103" s="32"/>
      <c r="AS103" s="32"/>
      <c r="AT103" s="32"/>
      <c r="AU103" s="32"/>
      <c r="AV103" s="32"/>
      <c r="AW103" s="32"/>
      <c r="AX103" s="32"/>
      <c r="AY103" s="32"/>
      <c r="AZ103" s="32"/>
      <c r="BA103" s="32"/>
      <c r="BB103" s="32"/>
      <c r="BC103" s="32"/>
      <c r="BD103" s="32"/>
      <c r="BE103" s="32"/>
      <c r="BF103" s="32"/>
      <c r="BG103" s="32"/>
      <c r="BH103" s="33"/>
      <c r="BI103" s="32"/>
      <c r="BJ103" s="32"/>
      <c r="BK103" s="32"/>
      <c r="BL103" s="32"/>
      <c r="BM103" s="32"/>
      <c r="BN103" s="32"/>
      <c r="BO103" s="32"/>
      <c r="BP103" s="32"/>
      <c r="BQ103" s="32"/>
      <c r="BR103" s="32"/>
      <c r="BS103" s="32"/>
      <c r="BT103" s="32"/>
      <c r="BU103" s="32"/>
      <c r="BV103" s="32"/>
      <c r="BW103" s="32"/>
      <c r="BX103" s="32"/>
      <c r="BY103" s="32"/>
      <c r="BZ103" s="32"/>
      <c r="CA103" s="32"/>
      <c r="CB103" s="32"/>
      <c r="CC103" s="33"/>
      <c r="CD103" s="32"/>
      <c r="CE103" s="32"/>
      <c r="CF103" s="32"/>
      <c r="CG103" s="32"/>
      <c r="CH103" s="32"/>
      <c r="CI103" s="32"/>
      <c r="CJ103" s="32"/>
      <c r="CK103" s="32"/>
      <c r="CL103" s="32"/>
      <c r="CM103" s="32"/>
      <c r="CN103" s="32"/>
      <c r="CO103" s="32"/>
      <c r="CP103" s="32"/>
      <c r="CQ103" s="32"/>
      <c r="CR103" s="32"/>
      <c r="CS103" s="32"/>
      <c r="CT103" s="32"/>
      <c r="CU103" s="32"/>
      <c r="CV103" s="32"/>
      <c r="CW103" s="32"/>
      <c r="CX103" s="32"/>
    </row>
    <row r="104" spans="1:102" s="35" customFormat="1" ht="24.95" customHeight="1">
      <c r="A104" s="32"/>
      <c r="B104" s="32"/>
      <c r="C104" s="33"/>
      <c r="D104" s="33"/>
      <c r="E104" s="34" t="s">
        <v>24</v>
      </c>
      <c r="F104" s="32"/>
      <c r="G104" s="32"/>
      <c r="H104" s="32"/>
      <c r="I104" s="32"/>
      <c r="J104" s="32"/>
      <c r="K104" s="32"/>
      <c r="L104" s="32"/>
      <c r="M104" s="32"/>
      <c r="N104" s="32"/>
      <c r="O104" s="32"/>
      <c r="P104" s="32"/>
      <c r="Q104" s="32"/>
      <c r="R104" s="32"/>
      <c r="S104" s="32"/>
      <c r="T104" s="33"/>
      <c r="U104" s="32"/>
      <c r="V104" s="32"/>
      <c r="W104" s="32"/>
      <c r="X104" s="32"/>
      <c r="Y104" s="32"/>
      <c r="Z104" s="32"/>
      <c r="AA104" s="32"/>
      <c r="AB104" s="32"/>
      <c r="AC104" s="32"/>
      <c r="AD104" s="32"/>
      <c r="AE104" s="32"/>
      <c r="AF104" s="32"/>
      <c r="AG104" s="32"/>
      <c r="AH104" s="32"/>
      <c r="AI104" s="32"/>
      <c r="AJ104" s="32"/>
      <c r="AK104" s="32"/>
      <c r="AL104" s="32"/>
      <c r="AM104" s="32"/>
      <c r="AN104" s="33"/>
      <c r="AO104" s="32"/>
      <c r="AP104" s="32"/>
      <c r="AQ104" s="32"/>
      <c r="AR104" s="32"/>
      <c r="AS104" s="32"/>
      <c r="AT104" s="32"/>
      <c r="AU104" s="32"/>
      <c r="AV104" s="32"/>
      <c r="AW104" s="32"/>
      <c r="AX104" s="32"/>
      <c r="AY104" s="32"/>
      <c r="AZ104" s="32"/>
      <c r="BA104" s="32"/>
      <c r="BB104" s="32"/>
      <c r="BC104" s="32"/>
      <c r="BD104" s="32"/>
      <c r="BE104" s="32"/>
      <c r="BF104" s="32"/>
      <c r="BG104" s="32"/>
      <c r="BH104" s="33"/>
      <c r="BI104" s="32"/>
      <c r="BJ104" s="32"/>
      <c r="BK104" s="32"/>
      <c r="BL104" s="32"/>
      <c r="BM104" s="32"/>
      <c r="BN104" s="32"/>
      <c r="BO104" s="32"/>
      <c r="BP104" s="32"/>
      <c r="BQ104" s="32"/>
      <c r="BR104" s="32"/>
      <c r="BS104" s="32"/>
      <c r="BT104" s="32"/>
      <c r="BU104" s="32"/>
      <c r="BV104" s="32"/>
      <c r="BW104" s="32"/>
      <c r="BX104" s="32"/>
      <c r="BY104" s="32"/>
      <c r="BZ104" s="32"/>
      <c r="CA104" s="32"/>
      <c r="CB104" s="32"/>
      <c r="CC104" s="33"/>
      <c r="CD104" s="32"/>
      <c r="CE104" s="32"/>
      <c r="CF104" s="32"/>
      <c r="CG104" s="32"/>
      <c r="CH104" s="32"/>
      <c r="CI104" s="32"/>
      <c r="CJ104" s="32"/>
      <c r="CK104" s="32"/>
      <c r="CL104" s="32"/>
      <c r="CM104" s="32"/>
      <c r="CN104" s="32"/>
      <c r="CO104" s="32"/>
      <c r="CP104" s="32"/>
      <c r="CQ104" s="32"/>
      <c r="CR104" s="32"/>
      <c r="CS104" s="32"/>
      <c r="CT104" s="32"/>
      <c r="CU104" s="32"/>
      <c r="CV104" s="32"/>
      <c r="CW104" s="32"/>
      <c r="CX104" s="32"/>
    </row>
    <row r="105" spans="1:102" s="35" customFormat="1" ht="24.95" customHeight="1">
      <c r="A105" s="32"/>
      <c r="B105" s="32"/>
      <c r="C105" s="33"/>
      <c r="D105" s="33"/>
      <c r="E105" s="34" t="s">
        <v>25</v>
      </c>
      <c r="F105" s="32"/>
      <c r="G105" s="32"/>
      <c r="H105" s="32"/>
      <c r="I105" s="32"/>
      <c r="J105" s="32"/>
      <c r="K105" s="32"/>
      <c r="L105" s="32"/>
      <c r="M105" s="32"/>
      <c r="N105" s="32"/>
      <c r="O105" s="32"/>
      <c r="P105" s="32"/>
      <c r="Q105" s="32"/>
      <c r="R105" s="32"/>
      <c r="S105" s="32"/>
      <c r="T105" s="33"/>
      <c r="U105" s="32"/>
      <c r="V105" s="32"/>
      <c r="W105" s="32"/>
      <c r="X105" s="32"/>
      <c r="Y105" s="32"/>
      <c r="Z105" s="32"/>
      <c r="AA105" s="32"/>
      <c r="AB105" s="32"/>
      <c r="AC105" s="32"/>
      <c r="AD105" s="32"/>
      <c r="AE105" s="32"/>
      <c r="AF105" s="32"/>
      <c r="AG105" s="32"/>
      <c r="AH105" s="32"/>
      <c r="AI105" s="32"/>
      <c r="AJ105" s="32"/>
      <c r="AK105" s="32"/>
      <c r="AL105" s="32"/>
      <c r="AM105" s="32"/>
      <c r="AN105" s="33"/>
      <c r="AO105" s="32"/>
      <c r="AP105" s="32"/>
      <c r="AQ105" s="32"/>
      <c r="AR105" s="32"/>
      <c r="AS105" s="32"/>
      <c r="AT105" s="32"/>
      <c r="AU105" s="32"/>
      <c r="AV105" s="32"/>
      <c r="AW105" s="32"/>
      <c r="AX105" s="32"/>
      <c r="AY105" s="32"/>
      <c r="AZ105" s="32"/>
      <c r="BA105" s="32"/>
      <c r="BB105" s="32"/>
      <c r="BC105" s="32"/>
      <c r="BD105" s="32"/>
      <c r="BE105" s="32"/>
      <c r="BF105" s="32"/>
      <c r="BG105" s="32"/>
      <c r="BH105" s="33"/>
      <c r="BI105" s="32"/>
      <c r="BJ105" s="32"/>
      <c r="BK105" s="32"/>
      <c r="BL105" s="32"/>
      <c r="BM105" s="32"/>
      <c r="BN105" s="32"/>
      <c r="BO105" s="32"/>
      <c r="BP105" s="32"/>
      <c r="BQ105" s="32"/>
      <c r="BR105" s="32"/>
      <c r="BS105" s="32"/>
      <c r="BT105" s="32"/>
      <c r="BU105" s="32"/>
      <c r="BV105" s="32"/>
      <c r="BW105" s="32"/>
      <c r="BX105" s="32"/>
      <c r="BY105" s="32"/>
      <c r="BZ105" s="32"/>
      <c r="CA105" s="32"/>
      <c r="CB105" s="32"/>
      <c r="CC105" s="33"/>
      <c r="CD105" s="32"/>
      <c r="CE105" s="32"/>
      <c r="CF105" s="32"/>
      <c r="CG105" s="32"/>
      <c r="CH105" s="32"/>
      <c r="CI105" s="32"/>
      <c r="CJ105" s="32"/>
      <c r="CK105" s="32"/>
      <c r="CL105" s="32"/>
      <c r="CM105" s="32"/>
      <c r="CN105" s="32"/>
      <c r="CO105" s="32"/>
      <c r="CP105" s="32"/>
      <c r="CQ105" s="32"/>
      <c r="CR105" s="32"/>
      <c r="CS105" s="32"/>
      <c r="CT105" s="32"/>
      <c r="CU105" s="32"/>
      <c r="CV105" s="32"/>
      <c r="CW105" s="32"/>
      <c r="CX105" s="32"/>
    </row>
    <row r="106" spans="1:102" s="35" customFormat="1" ht="24.95" customHeight="1">
      <c r="A106" s="32"/>
      <c r="B106" s="32"/>
      <c r="C106" s="33"/>
      <c r="D106" s="33"/>
      <c r="E106" s="34" t="s">
        <v>26</v>
      </c>
      <c r="F106" s="32"/>
      <c r="G106" s="32"/>
      <c r="H106" s="32"/>
      <c r="I106" s="32"/>
      <c r="J106" s="32"/>
      <c r="K106" s="32"/>
      <c r="L106" s="32"/>
      <c r="M106" s="32"/>
      <c r="N106" s="32"/>
      <c r="O106" s="32"/>
      <c r="P106" s="32"/>
      <c r="Q106" s="32"/>
      <c r="R106" s="32"/>
      <c r="S106" s="32"/>
      <c r="T106" s="33"/>
      <c r="U106" s="32"/>
      <c r="V106" s="32"/>
      <c r="W106" s="32"/>
      <c r="X106" s="32"/>
      <c r="Y106" s="32"/>
      <c r="Z106" s="32"/>
      <c r="AA106" s="32"/>
      <c r="AB106" s="32"/>
      <c r="AC106" s="32"/>
      <c r="AD106" s="32"/>
      <c r="AE106" s="32"/>
      <c r="AF106" s="32"/>
      <c r="AG106" s="32"/>
      <c r="AH106" s="32"/>
      <c r="AI106" s="32"/>
      <c r="AJ106" s="32"/>
      <c r="AK106" s="32"/>
      <c r="AL106" s="32"/>
      <c r="AM106" s="32"/>
      <c r="AN106" s="33"/>
      <c r="AO106" s="32"/>
      <c r="AP106" s="32"/>
      <c r="AQ106" s="32"/>
      <c r="AR106" s="32"/>
      <c r="AS106" s="32"/>
      <c r="AT106" s="32"/>
      <c r="AU106" s="32"/>
      <c r="AV106" s="32"/>
      <c r="AW106" s="32"/>
      <c r="AX106" s="32"/>
      <c r="AY106" s="32"/>
      <c r="AZ106" s="32"/>
      <c r="BA106" s="32"/>
      <c r="BB106" s="32"/>
      <c r="BC106" s="32"/>
      <c r="BD106" s="32"/>
      <c r="BE106" s="32"/>
      <c r="BF106" s="32"/>
      <c r="BG106" s="32"/>
      <c r="BH106" s="33"/>
      <c r="BI106" s="32"/>
      <c r="BJ106" s="32"/>
      <c r="BK106" s="32"/>
      <c r="BL106" s="32"/>
      <c r="BM106" s="32"/>
      <c r="BN106" s="32"/>
      <c r="BO106" s="32"/>
      <c r="BP106" s="32"/>
      <c r="BQ106" s="32"/>
      <c r="BR106" s="32"/>
      <c r="BS106" s="32"/>
      <c r="BT106" s="32"/>
      <c r="BU106" s="32"/>
      <c r="BV106" s="32"/>
      <c r="BW106" s="32"/>
      <c r="BX106" s="32"/>
      <c r="BY106" s="32"/>
      <c r="BZ106" s="32"/>
      <c r="CA106" s="32"/>
      <c r="CB106" s="32"/>
      <c r="CC106" s="33"/>
      <c r="CD106" s="32"/>
      <c r="CE106" s="32"/>
      <c r="CF106" s="32"/>
      <c r="CG106" s="32"/>
      <c r="CH106" s="32"/>
      <c r="CI106" s="32"/>
      <c r="CJ106" s="32"/>
      <c r="CK106" s="32"/>
      <c r="CL106" s="32"/>
      <c r="CM106" s="32"/>
      <c r="CN106" s="32"/>
      <c r="CO106" s="32"/>
      <c r="CP106" s="32"/>
      <c r="CQ106" s="32"/>
      <c r="CR106" s="32"/>
      <c r="CS106" s="32"/>
      <c r="CT106" s="32"/>
      <c r="CU106" s="32"/>
      <c r="CV106" s="32"/>
      <c r="CW106" s="32"/>
      <c r="CX106" s="32"/>
    </row>
    <row r="107" spans="1:102" ht="15" customHeight="1">
      <c r="E107" s="2"/>
    </row>
    <row r="108" spans="1:102" ht="15" customHeight="1">
      <c r="E108" s="2"/>
    </row>
    <row r="109" spans="1:102" ht="15" customHeight="1">
      <c r="E109" s="2"/>
    </row>
    <row r="110" spans="1:102" ht="15" customHeight="1">
      <c r="E110" s="2"/>
    </row>
    <row r="111" spans="1:102" ht="15" customHeight="1">
      <c r="E111" s="2"/>
    </row>
    <row r="112" spans="1:102" ht="15" customHeight="1">
      <c r="E112" s="2"/>
    </row>
    <row r="113" spans="5:5" ht="15" customHeight="1">
      <c r="E113" s="2"/>
    </row>
    <row r="114" spans="5:5" ht="15" customHeight="1">
      <c r="E114" s="2"/>
    </row>
    <row r="115" spans="5:5" ht="15" customHeight="1">
      <c r="E115" s="2"/>
    </row>
    <row r="116" spans="5:5" ht="15" customHeight="1">
      <c r="E116" s="2"/>
    </row>
    <row r="117" spans="5:5" ht="15" customHeight="1">
      <c r="E117" s="2"/>
    </row>
    <row r="118" spans="5:5" ht="15" customHeight="1">
      <c r="E118" s="2"/>
    </row>
    <row r="119" spans="5:5" ht="15" customHeight="1">
      <c r="E119" s="2"/>
    </row>
    <row r="120" spans="5:5" ht="15" customHeight="1">
      <c r="E120" s="2"/>
    </row>
    <row r="121" spans="5:5" ht="15" customHeight="1">
      <c r="E121" s="2"/>
    </row>
    <row r="122" spans="5:5" ht="15" customHeight="1">
      <c r="E122" s="2"/>
    </row>
    <row r="123" spans="5:5" ht="15" customHeight="1">
      <c r="E123" s="2"/>
    </row>
    <row r="124" spans="5:5" ht="15" customHeight="1">
      <c r="E124" s="2"/>
    </row>
    <row r="125" spans="5:5" ht="15" customHeight="1">
      <c r="E125" s="2"/>
    </row>
    <row r="126" spans="5:5" ht="15" customHeight="1">
      <c r="E126" s="2"/>
    </row>
    <row r="127" spans="5:5" ht="15" customHeight="1">
      <c r="E127" s="2"/>
    </row>
    <row r="128" spans="5:5" ht="15" customHeight="1">
      <c r="E128" s="2"/>
    </row>
    <row r="129" spans="1:81" ht="15" customHeight="1">
      <c r="E129" s="2"/>
    </row>
    <row r="130" spans="1:81" ht="15" customHeight="1">
      <c r="E130" s="2"/>
    </row>
    <row r="131" spans="1:81" ht="15" customHeight="1">
      <c r="E131" s="2"/>
    </row>
    <row r="132" spans="1:81" ht="15" customHeight="1" thickBot="1"/>
    <row r="133" spans="1:81" ht="15" customHeight="1">
      <c r="A133" s="2290" t="s">
        <v>27</v>
      </c>
      <c r="B133" s="2291"/>
      <c r="C133" s="2291"/>
      <c r="D133" s="2291"/>
      <c r="E133" s="2291"/>
      <c r="F133" s="2291"/>
      <c r="G133" s="2291"/>
      <c r="H133" s="2291"/>
      <c r="I133" s="2291"/>
      <c r="J133" s="2291"/>
      <c r="K133" s="2291"/>
      <c r="L133" s="2291"/>
      <c r="M133" s="2291"/>
      <c r="N133" s="2291"/>
      <c r="O133" s="2291"/>
      <c r="P133" s="2291"/>
      <c r="Q133" s="2291"/>
      <c r="R133" s="2291"/>
      <c r="S133" s="2291"/>
      <c r="T133" s="2291"/>
      <c r="U133" s="2291"/>
      <c r="V133" s="2291"/>
      <c r="W133" s="2291"/>
      <c r="X133" s="2291"/>
      <c r="Y133" s="2291"/>
      <c r="Z133" s="2291"/>
      <c r="AA133" s="2291"/>
      <c r="AB133" s="2291"/>
      <c r="AC133" s="2291"/>
      <c r="AD133" s="2291"/>
      <c r="AE133" s="2291"/>
      <c r="AF133" s="2291"/>
      <c r="AG133" s="2291"/>
      <c r="AH133" s="2291"/>
      <c r="AI133" s="2291"/>
      <c r="AJ133" s="2291"/>
      <c r="AK133" s="2291"/>
      <c r="AL133" s="2291"/>
      <c r="AM133" s="2291"/>
      <c r="AN133" s="2291"/>
      <c r="AO133" s="2291"/>
      <c r="AP133" s="2291"/>
      <c r="AQ133" s="2291"/>
      <c r="AR133" s="2291"/>
      <c r="AS133" s="2291"/>
      <c r="AT133" s="2291"/>
      <c r="AU133" s="2291"/>
      <c r="AV133" s="2291"/>
      <c r="AW133" s="2291"/>
      <c r="AX133" s="2291"/>
      <c r="AY133" s="2291"/>
      <c r="AZ133" s="2291"/>
      <c r="BA133" s="2291"/>
      <c r="BB133" s="2291"/>
      <c r="BC133" s="2291"/>
      <c r="BD133" s="2291"/>
      <c r="BE133" s="2291"/>
      <c r="BF133" s="2291"/>
      <c r="BG133" s="2291"/>
      <c r="BH133" s="2291"/>
      <c r="BI133" s="2291"/>
      <c r="BJ133" s="2291"/>
      <c r="BK133" s="2291"/>
      <c r="BL133" s="2291"/>
      <c r="BM133" s="2291"/>
      <c r="BN133" s="2291"/>
      <c r="BO133" s="2291"/>
      <c r="BP133" s="2291"/>
      <c r="BQ133" s="2291"/>
      <c r="BR133" s="2291"/>
      <c r="BS133" s="2291"/>
      <c r="BT133" s="2291"/>
      <c r="BU133" s="2291"/>
      <c r="BV133" s="2291"/>
      <c r="BW133" s="2291"/>
      <c r="BX133" s="2291"/>
      <c r="BY133" s="2291"/>
      <c r="BZ133" s="2291"/>
      <c r="CA133" s="2291"/>
      <c r="CB133" s="2291"/>
      <c r="CC133" s="2292"/>
    </row>
    <row r="134" spans="1:81" ht="15" customHeight="1" thickBot="1">
      <c r="A134" s="2293"/>
      <c r="B134" s="2294"/>
      <c r="C134" s="2294"/>
      <c r="D134" s="2294"/>
      <c r="E134" s="2294"/>
      <c r="F134" s="2294"/>
      <c r="G134" s="2294"/>
      <c r="H134" s="2294"/>
      <c r="I134" s="2294"/>
      <c r="J134" s="2294"/>
      <c r="K134" s="2294"/>
      <c r="L134" s="2294"/>
      <c r="M134" s="2294"/>
      <c r="N134" s="2294"/>
      <c r="O134" s="2294"/>
      <c r="P134" s="2294"/>
      <c r="Q134" s="2294"/>
      <c r="R134" s="2294"/>
      <c r="S134" s="2294"/>
      <c r="T134" s="2294"/>
      <c r="U134" s="2294"/>
      <c r="V134" s="2294"/>
      <c r="W134" s="2294"/>
      <c r="X134" s="2294"/>
      <c r="Y134" s="2294"/>
      <c r="Z134" s="2294"/>
      <c r="AA134" s="2294"/>
      <c r="AB134" s="2294"/>
      <c r="AC134" s="2294"/>
      <c r="AD134" s="2294"/>
      <c r="AE134" s="2294"/>
      <c r="AF134" s="2294"/>
      <c r="AG134" s="2294"/>
      <c r="AH134" s="2294"/>
      <c r="AI134" s="2294"/>
      <c r="AJ134" s="2294"/>
      <c r="AK134" s="2294"/>
      <c r="AL134" s="2294"/>
      <c r="AM134" s="2294"/>
      <c r="AN134" s="2294"/>
      <c r="AO134" s="2294"/>
      <c r="AP134" s="2294"/>
      <c r="AQ134" s="2294"/>
      <c r="AR134" s="2294"/>
      <c r="AS134" s="2294"/>
      <c r="AT134" s="2294"/>
      <c r="AU134" s="2294"/>
      <c r="AV134" s="2294"/>
      <c r="AW134" s="2294"/>
      <c r="AX134" s="2294"/>
      <c r="AY134" s="2294"/>
      <c r="AZ134" s="2294"/>
      <c r="BA134" s="2294"/>
      <c r="BB134" s="2294"/>
      <c r="BC134" s="2294"/>
      <c r="BD134" s="2294"/>
      <c r="BE134" s="2294"/>
      <c r="BF134" s="2294"/>
      <c r="BG134" s="2294"/>
      <c r="BH134" s="2294"/>
      <c r="BI134" s="2294"/>
      <c r="BJ134" s="2294"/>
      <c r="BK134" s="2294"/>
      <c r="BL134" s="2294"/>
      <c r="BM134" s="2294"/>
      <c r="BN134" s="2294"/>
      <c r="BO134" s="2294"/>
      <c r="BP134" s="2294"/>
      <c r="BQ134" s="2294"/>
      <c r="BR134" s="2294"/>
      <c r="BS134" s="2294"/>
      <c r="BT134" s="2294"/>
      <c r="BU134" s="2294"/>
      <c r="BV134" s="2294"/>
      <c r="BW134" s="2294"/>
      <c r="BX134" s="2294"/>
      <c r="BY134" s="2294"/>
      <c r="BZ134" s="2294"/>
      <c r="CA134" s="2294"/>
      <c r="CB134" s="2294"/>
      <c r="CC134" s="2295"/>
    </row>
    <row r="135" spans="1:81" ht="15" customHeight="1"/>
    <row r="136" spans="1:81" ht="24" thickBot="1">
      <c r="A136" s="2296" t="s">
        <v>28</v>
      </c>
      <c r="B136" s="2296"/>
      <c r="C136" s="2296"/>
      <c r="D136" s="2296"/>
      <c r="E136" s="2296"/>
      <c r="F136" s="2296"/>
      <c r="G136" s="2296"/>
      <c r="H136" s="2296"/>
      <c r="I136" s="2296"/>
      <c r="J136" s="2296"/>
      <c r="K136" s="2296"/>
      <c r="L136" s="2296"/>
      <c r="M136" s="2296"/>
      <c r="N136" s="2296"/>
      <c r="O136" s="2296"/>
      <c r="P136" s="2296"/>
      <c r="Q136" s="2296"/>
      <c r="R136" s="2296"/>
      <c r="S136" s="2296"/>
      <c r="T136" s="2296"/>
      <c r="U136" s="2296"/>
      <c r="V136" s="2296"/>
      <c r="W136" s="2296"/>
      <c r="X136" s="2296"/>
      <c r="Y136" s="2296"/>
      <c r="Z136" s="2296"/>
      <c r="AA136" s="2296"/>
      <c r="AB136" s="2296"/>
      <c r="AC136" s="2296"/>
      <c r="AD136" s="2296"/>
      <c r="AE136" s="2296"/>
      <c r="AF136" s="2296"/>
      <c r="AG136" s="2296"/>
      <c r="AH136" s="2296"/>
      <c r="AI136" s="2296"/>
      <c r="AJ136" s="2296"/>
      <c r="AK136" s="2296"/>
      <c r="AL136" s="2296"/>
      <c r="AM136" s="2296"/>
      <c r="AN136" s="2296"/>
      <c r="AO136" s="2296"/>
      <c r="AP136" s="2296"/>
      <c r="AQ136" s="2296"/>
      <c r="AR136" s="2296"/>
      <c r="AS136" s="2296"/>
      <c r="AT136" s="2296"/>
      <c r="AU136" s="2296"/>
      <c r="AV136" s="2296"/>
      <c r="AW136" s="2296"/>
      <c r="AX136" s="2296"/>
      <c r="AY136" s="2296"/>
      <c r="AZ136" s="2296"/>
      <c r="BA136" s="2296"/>
      <c r="BB136" s="2296"/>
      <c r="BC136" s="2296"/>
      <c r="BD136" s="2296"/>
      <c r="BE136" s="2296"/>
      <c r="BF136" s="2296"/>
      <c r="BG136" s="2296"/>
      <c r="BH136" s="2296"/>
      <c r="BI136" s="2296"/>
      <c r="BJ136" s="2296"/>
      <c r="BK136" s="2296"/>
      <c r="BL136" s="2296"/>
      <c r="BM136" s="2296"/>
      <c r="BN136" s="2296"/>
      <c r="BO136" s="2296"/>
      <c r="BP136" s="2296"/>
      <c r="BQ136" s="2296"/>
      <c r="BR136" s="2296"/>
      <c r="BS136" s="2296"/>
      <c r="BT136" s="2296"/>
      <c r="BU136" s="2296"/>
      <c r="BV136" s="2296"/>
      <c r="BW136" s="2296"/>
      <c r="BX136" s="2296"/>
      <c r="BY136" s="2296"/>
      <c r="BZ136" s="2296"/>
      <c r="CA136" s="2296"/>
      <c r="CB136" s="2296"/>
      <c r="CC136" s="2296"/>
    </row>
    <row r="137" spans="1:81" ht="15" customHeight="1" thickTop="1">
      <c r="A137" s="2297" t="s">
        <v>29</v>
      </c>
      <c r="B137" s="2298"/>
      <c r="C137" s="2298"/>
      <c r="D137" s="2298"/>
      <c r="E137" s="2298"/>
      <c r="F137" s="2298"/>
      <c r="G137" s="2298"/>
      <c r="H137" s="2298"/>
      <c r="I137" s="2298"/>
      <c r="J137" s="2298"/>
      <c r="K137" s="2298"/>
      <c r="L137" s="2298"/>
      <c r="M137" s="2298"/>
      <c r="N137" s="2298"/>
      <c r="O137" s="2298"/>
      <c r="P137" s="2298"/>
      <c r="Q137" s="2298"/>
      <c r="R137" s="2298"/>
      <c r="S137" s="2298"/>
      <c r="T137" s="2298"/>
      <c r="U137" s="2298"/>
      <c r="V137" s="2299"/>
      <c r="W137" s="2299"/>
      <c r="X137" s="2299"/>
      <c r="Y137" s="2299"/>
      <c r="Z137" s="2299"/>
      <c r="AA137" s="2299"/>
      <c r="AB137" s="2299"/>
      <c r="AC137" s="2299"/>
      <c r="AD137" s="2299"/>
      <c r="AE137" s="2299"/>
      <c r="AF137" s="2299"/>
      <c r="AG137" s="2299"/>
      <c r="AH137" s="2299"/>
      <c r="AI137" s="2299"/>
      <c r="AJ137" s="2299"/>
      <c r="AK137" s="2299"/>
      <c r="AL137" s="2299"/>
      <c r="AM137" s="2299"/>
      <c r="AN137" s="2299"/>
      <c r="AO137" s="2299"/>
      <c r="AP137" s="2299"/>
      <c r="AQ137" s="2299"/>
      <c r="AR137" s="2299"/>
      <c r="AS137" s="2299"/>
      <c r="AT137" s="2299"/>
      <c r="AU137" s="2299"/>
      <c r="AV137" s="2299"/>
      <c r="AW137" s="2299"/>
      <c r="AX137" s="2299"/>
      <c r="AY137" s="2299"/>
      <c r="AZ137" s="2299"/>
      <c r="BA137" s="2299"/>
      <c r="BB137" s="2299"/>
      <c r="BC137" s="2299"/>
      <c r="BD137" s="2299"/>
      <c r="BE137" s="2299"/>
      <c r="BF137" s="2299"/>
      <c r="BG137" s="2299"/>
      <c r="BH137" s="2299"/>
      <c r="BI137" s="2299"/>
      <c r="BJ137" s="2299"/>
      <c r="BK137" s="2299"/>
      <c r="BL137" s="2299"/>
      <c r="BM137" s="2299"/>
      <c r="BN137" s="2299"/>
      <c r="BO137" s="2299"/>
      <c r="BP137" s="2299"/>
      <c r="BQ137" s="2299"/>
      <c r="BR137" s="2299"/>
      <c r="BS137" s="2299"/>
      <c r="BT137" s="2299"/>
      <c r="BU137" s="2299"/>
      <c r="BV137" s="2299"/>
      <c r="BW137" s="2299"/>
      <c r="BX137" s="2299"/>
      <c r="BY137" s="2299"/>
      <c r="BZ137" s="2299"/>
      <c r="CA137" s="2299"/>
      <c r="CB137" s="2299"/>
      <c r="CC137" s="2300"/>
    </row>
    <row r="138" spans="1:81" ht="15" customHeight="1">
      <c r="A138" s="2281"/>
      <c r="B138" s="2282"/>
      <c r="C138" s="2282"/>
      <c r="D138" s="2282"/>
      <c r="E138" s="2282"/>
      <c r="F138" s="2282"/>
      <c r="G138" s="2282"/>
      <c r="H138" s="2282"/>
      <c r="I138" s="2282"/>
      <c r="J138" s="2282"/>
      <c r="K138" s="2282"/>
      <c r="L138" s="2282"/>
      <c r="M138" s="2282"/>
      <c r="N138" s="2282"/>
      <c r="O138" s="2282"/>
      <c r="P138" s="2282"/>
      <c r="Q138" s="2282"/>
      <c r="R138" s="2282"/>
      <c r="S138" s="2282"/>
      <c r="T138" s="2282"/>
      <c r="U138" s="2282"/>
      <c r="V138" s="2283"/>
      <c r="W138" s="2283"/>
      <c r="X138" s="2283"/>
      <c r="Y138" s="2283"/>
      <c r="Z138" s="2283"/>
      <c r="AA138" s="2283"/>
      <c r="AB138" s="2283"/>
      <c r="AC138" s="2283"/>
      <c r="AD138" s="2283"/>
      <c r="AE138" s="2283"/>
      <c r="AF138" s="2283"/>
      <c r="AG138" s="2283"/>
      <c r="AH138" s="2283"/>
      <c r="AI138" s="2283"/>
      <c r="AJ138" s="2283"/>
      <c r="AK138" s="2283"/>
      <c r="AL138" s="2283"/>
      <c r="AM138" s="2283"/>
      <c r="AN138" s="2283"/>
      <c r="AO138" s="2283"/>
      <c r="AP138" s="2283"/>
      <c r="AQ138" s="2283"/>
      <c r="AR138" s="2283"/>
      <c r="AS138" s="2283"/>
      <c r="AT138" s="2283"/>
      <c r="AU138" s="2283"/>
      <c r="AV138" s="2283"/>
      <c r="AW138" s="2283"/>
      <c r="AX138" s="2283"/>
      <c r="AY138" s="2283"/>
      <c r="AZ138" s="2283"/>
      <c r="BA138" s="2283"/>
      <c r="BB138" s="2283"/>
      <c r="BC138" s="2283"/>
      <c r="BD138" s="2283"/>
      <c r="BE138" s="2283"/>
      <c r="BF138" s="2283"/>
      <c r="BG138" s="2283"/>
      <c r="BH138" s="2283"/>
      <c r="BI138" s="2283"/>
      <c r="BJ138" s="2283"/>
      <c r="BK138" s="2283"/>
      <c r="BL138" s="2283"/>
      <c r="BM138" s="2283"/>
      <c r="BN138" s="2283"/>
      <c r="BO138" s="2283"/>
      <c r="BP138" s="2283"/>
      <c r="BQ138" s="2283"/>
      <c r="BR138" s="2283"/>
      <c r="BS138" s="2283"/>
      <c r="BT138" s="2283"/>
      <c r="BU138" s="2283"/>
      <c r="BV138" s="2283"/>
      <c r="BW138" s="2283"/>
      <c r="BX138" s="2283"/>
      <c r="BY138" s="2283"/>
      <c r="BZ138" s="2283"/>
      <c r="CA138" s="2283"/>
      <c r="CB138" s="2283"/>
      <c r="CC138" s="2284"/>
    </row>
    <row r="139" spans="1:81" ht="15" customHeight="1">
      <c r="A139" s="2271" t="s">
        <v>30</v>
      </c>
      <c r="B139" s="2272"/>
      <c r="C139" s="2272"/>
      <c r="D139" s="2272"/>
      <c r="E139" s="2272"/>
      <c r="F139" s="2272"/>
      <c r="G139" s="2272"/>
      <c r="H139" s="2272"/>
      <c r="I139" s="2272"/>
      <c r="J139" s="2272"/>
      <c r="K139" s="2272"/>
      <c r="L139" s="2272"/>
      <c r="M139" s="2272"/>
      <c r="N139" s="2272"/>
      <c r="O139" s="2272"/>
      <c r="P139" s="2272"/>
      <c r="Q139" s="2272"/>
      <c r="R139" s="2272"/>
      <c r="S139" s="2272"/>
      <c r="T139" s="2272"/>
      <c r="U139" s="2272"/>
      <c r="V139" s="2285"/>
      <c r="W139" s="2285"/>
      <c r="X139" s="2285"/>
      <c r="Y139" s="2285"/>
      <c r="Z139" s="2285"/>
      <c r="AA139" s="2285"/>
      <c r="AB139" s="2285"/>
      <c r="AC139" s="2285"/>
      <c r="AD139" s="2285"/>
      <c r="AE139" s="2285"/>
      <c r="AF139" s="2285"/>
      <c r="AG139" s="2285"/>
      <c r="AH139" s="2285"/>
      <c r="AI139" s="2285"/>
      <c r="AJ139" s="2285"/>
      <c r="AK139" s="2285"/>
      <c r="AL139" s="2285"/>
      <c r="AM139" s="2285"/>
      <c r="AN139" s="2285"/>
      <c r="AO139" s="2285"/>
      <c r="AP139" s="2285"/>
      <c r="AQ139" s="2285"/>
      <c r="AR139" s="2285"/>
      <c r="AS139" s="2285"/>
      <c r="AT139" s="2285"/>
      <c r="AU139" s="2285"/>
      <c r="AV139" s="2285"/>
      <c r="AW139" s="2285"/>
      <c r="AX139" s="2285"/>
      <c r="AY139" s="2285"/>
      <c r="AZ139" s="2285"/>
      <c r="BA139" s="2285"/>
      <c r="BB139" s="2285"/>
      <c r="BC139" s="2285"/>
      <c r="BD139" s="2285"/>
      <c r="BE139" s="2285"/>
      <c r="BF139" s="2285"/>
      <c r="BG139" s="2285"/>
      <c r="BH139" s="2285"/>
      <c r="BI139" s="2285"/>
      <c r="BJ139" s="2285"/>
      <c r="BK139" s="2285"/>
      <c r="BL139" s="2285"/>
      <c r="BM139" s="2285"/>
      <c r="BN139" s="2285"/>
      <c r="BO139" s="2285"/>
      <c r="BP139" s="2285"/>
      <c r="BQ139" s="2285"/>
      <c r="BR139" s="2285"/>
      <c r="BS139" s="2285"/>
      <c r="BT139" s="2285"/>
      <c r="BU139" s="2285"/>
      <c r="BV139" s="2285"/>
      <c r="BW139" s="2285"/>
      <c r="BX139" s="2285"/>
      <c r="BY139" s="2285"/>
      <c r="BZ139" s="2285"/>
      <c r="CA139" s="2285"/>
      <c r="CB139" s="2285"/>
      <c r="CC139" s="2286"/>
    </row>
    <row r="140" spans="1:81" ht="15" customHeight="1">
      <c r="A140" s="2271"/>
      <c r="B140" s="2272"/>
      <c r="C140" s="2272"/>
      <c r="D140" s="2272"/>
      <c r="E140" s="2272"/>
      <c r="F140" s="2272"/>
      <c r="G140" s="2272"/>
      <c r="H140" s="2272"/>
      <c r="I140" s="2272"/>
      <c r="J140" s="2272"/>
      <c r="K140" s="2272"/>
      <c r="L140" s="2272"/>
      <c r="M140" s="2272"/>
      <c r="N140" s="2272"/>
      <c r="O140" s="2272"/>
      <c r="P140" s="2272"/>
      <c r="Q140" s="2272"/>
      <c r="R140" s="2272"/>
      <c r="S140" s="2272"/>
      <c r="T140" s="2272"/>
      <c r="U140" s="2272"/>
      <c r="V140" s="2285"/>
      <c r="W140" s="2285"/>
      <c r="X140" s="2285"/>
      <c r="Y140" s="2285"/>
      <c r="Z140" s="2285"/>
      <c r="AA140" s="2285"/>
      <c r="AB140" s="2285"/>
      <c r="AC140" s="2285"/>
      <c r="AD140" s="2285"/>
      <c r="AE140" s="2285"/>
      <c r="AF140" s="2285"/>
      <c r="AG140" s="2285"/>
      <c r="AH140" s="2285"/>
      <c r="AI140" s="2285"/>
      <c r="AJ140" s="2285"/>
      <c r="AK140" s="2285"/>
      <c r="AL140" s="2285"/>
      <c r="AM140" s="2285"/>
      <c r="AN140" s="2285"/>
      <c r="AO140" s="2285"/>
      <c r="AP140" s="2285"/>
      <c r="AQ140" s="2285"/>
      <c r="AR140" s="2285"/>
      <c r="AS140" s="2285"/>
      <c r="AT140" s="2285"/>
      <c r="AU140" s="2285"/>
      <c r="AV140" s="2285"/>
      <c r="AW140" s="2285"/>
      <c r="AX140" s="2285"/>
      <c r="AY140" s="2285"/>
      <c r="AZ140" s="2285"/>
      <c r="BA140" s="2285"/>
      <c r="BB140" s="2285"/>
      <c r="BC140" s="2285"/>
      <c r="BD140" s="2285"/>
      <c r="BE140" s="2285"/>
      <c r="BF140" s="2285"/>
      <c r="BG140" s="2285"/>
      <c r="BH140" s="2285"/>
      <c r="BI140" s="2285"/>
      <c r="BJ140" s="2285"/>
      <c r="BK140" s="2285"/>
      <c r="BL140" s="2285"/>
      <c r="BM140" s="2285"/>
      <c r="BN140" s="2285"/>
      <c r="BO140" s="2285"/>
      <c r="BP140" s="2285"/>
      <c r="BQ140" s="2285"/>
      <c r="BR140" s="2285"/>
      <c r="BS140" s="2285"/>
      <c r="BT140" s="2285"/>
      <c r="BU140" s="2285"/>
      <c r="BV140" s="2285"/>
      <c r="BW140" s="2285"/>
      <c r="BX140" s="2285"/>
      <c r="BY140" s="2285"/>
      <c r="BZ140" s="2285"/>
      <c r="CA140" s="2285"/>
      <c r="CB140" s="2285"/>
      <c r="CC140" s="2286"/>
    </row>
    <row r="141" spans="1:81" ht="15" customHeight="1">
      <c r="A141" s="2281" t="s">
        <v>31</v>
      </c>
      <c r="B141" s="2282"/>
      <c r="C141" s="2282"/>
      <c r="D141" s="2282"/>
      <c r="E141" s="2282"/>
      <c r="F141" s="2282"/>
      <c r="G141" s="2282"/>
      <c r="H141" s="2282"/>
      <c r="I141" s="2282"/>
      <c r="J141" s="2282"/>
      <c r="K141" s="2282"/>
      <c r="L141" s="2282"/>
      <c r="M141" s="2282"/>
      <c r="N141" s="2282"/>
      <c r="O141" s="2282"/>
      <c r="P141" s="2282"/>
      <c r="Q141" s="2282"/>
      <c r="R141" s="2282"/>
      <c r="S141" s="2282"/>
      <c r="T141" s="2282"/>
      <c r="U141" s="2282"/>
      <c r="V141" s="2283"/>
      <c r="W141" s="2283"/>
      <c r="X141" s="2283"/>
      <c r="Y141" s="2283"/>
      <c r="Z141" s="2283"/>
      <c r="AA141" s="2283"/>
      <c r="AB141" s="2283"/>
      <c r="AC141" s="2283"/>
      <c r="AD141" s="2283"/>
      <c r="AE141" s="2283"/>
      <c r="AF141" s="2283"/>
      <c r="AG141" s="2283"/>
      <c r="AH141" s="2283"/>
      <c r="AI141" s="2283"/>
      <c r="AJ141" s="2283"/>
      <c r="AK141" s="2283"/>
      <c r="AL141" s="2283"/>
      <c r="AM141" s="2283"/>
      <c r="AN141" s="2283"/>
      <c r="AO141" s="2283"/>
      <c r="AP141" s="2283"/>
      <c r="AQ141" s="2283"/>
      <c r="AR141" s="2283"/>
      <c r="AS141" s="2283"/>
      <c r="AT141" s="2283"/>
      <c r="AU141" s="2283"/>
      <c r="AV141" s="2283"/>
      <c r="AW141" s="2283"/>
      <c r="AX141" s="2283"/>
      <c r="AY141" s="2283"/>
      <c r="AZ141" s="2283"/>
      <c r="BA141" s="2283"/>
      <c r="BB141" s="2283"/>
      <c r="BC141" s="2283"/>
      <c r="BD141" s="2283"/>
      <c r="BE141" s="2283"/>
      <c r="BF141" s="2283"/>
      <c r="BG141" s="2283"/>
      <c r="BH141" s="2283"/>
      <c r="BI141" s="2283"/>
      <c r="BJ141" s="2283"/>
      <c r="BK141" s="2283"/>
      <c r="BL141" s="2283"/>
      <c r="BM141" s="2283"/>
      <c r="BN141" s="2283"/>
      <c r="BO141" s="2283"/>
      <c r="BP141" s="2283"/>
      <c r="BQ141" s="2283"/>
      <c r="BR141" s="2283"/>
      <c r="BS141" s="2283"/>
      <c r="BT141" s="2283"/>
      <c r="BU141" s="2283"/>
      <c r="BV141" s="2283"/>
      <c r="BW141" s="2283"/>
      <c r="BX141" s="2283"/>
      <c r="BY141" s="2283"/>
      <c r="BZ141" s="2283"/>
      <c r="CA141" s="2283"/>
      <c r="CB141" s="2283"/>
      <c r="CC141" s="2284"/>
    </row>
    <row r="142" spans="1:81" ht="15" customHeight="1">
      <c r="A142" s="2281"/>
      <c r="B142" s="2282"/>
      <c r="C142" s="2282"/>
      <c r="D142" s="2282"/>
      <c r="E142" s="2282"/>
      <c r="F142" s="2282"/>
      <c r="G142" s="2282"/>
      <c r="H142" s="2282"/>
      <c r="I142" s="2282"/>
      <c r="J142" s="2282"/>
      <c r="K142" s="2282"/>
      <c r="L142" s="2282"/>
      <c r="M142" s="2282"/>
      <c r="N142" s="2282"/>
      <c r="O142" s="2282"/>
      <c r="P142" s="2282"/>
      <c r="Q142" s="2282"/>
      <c r="R142" s="2282"/>
      <c r="S142" s="2282"/>
      <c r="T142" s="2282"/>
      <c r="U142" s="2282"/>
      <c r="V142" s="2283"/>
      <c r="W142" s="2283"/>
      <c r="X142" s="2283"/>
      <c r="Y142" s="2283"/>
      <c r="Z142" s="2283"/>
      <c r="AA142" s="2283"/>
      <c r="AB142" s="2283"/>
      <c r="AC142" s="2283"/>
      <c r="AD142" s="2283"/>
      <c r="AE142" s="2283"/>
      <c r="AF142" s="2283"/>
      <c r="AG142" s="2283"/>
      <c r="AH142" s="2283"/>
      <c r="AI142" s="2283"/>
      <c r="AJ142" s="2283"/>
      <c r="AK142" s="2283"/>
      <c r="AL142" s="2283"/>
      <c r="AM142" s="2283"/>
      <c r="AN142" s="2283"/>
      <c r="AO142" s="2283"/>
      <c r="AP142" s="2283"/>
      <c r="AQ142" s="2283"/>
      <c r="AR142" s="2283"/>
      <c r="AS142" s="2283"/>
      <c r="AT142" s="2283"/>
      <c r="AU142" s="2283"/>
      <c r="AV142" s="2283"/>
      <c r="AW142" s="2283"/>
      <c r="AX142" s="2283"/>
      <c r="AY142" s="2283"/>
      <c r="AZ142" s="2283"/>
      <c r="BA142" s="2283"/>
      <c r="BB142" s="2283"/>
      <c r="BC142" s="2283"/>
      <c r="BD142" s="2283"/>
      <c r="BE142" s="2283"/>
      <c r="BF142" s="2283"/>
      <c r="BG142" s="2283"/>
      <c r="BH142" s="2283"/>
      <c r="BI142" s="2283"/>
      <c r="BJ142" s="2283"/>
      <c r="BK142" s="2283"/>
      <c r="BL142" s="2283"/>
      <c r="BM142" s="2283"/>
      <c r="BN142" s="2283"/>
      <c r="BO142" s="2283"/>
      <c r="BP142" s="2283"/>
      <c r="BQ142" s="2283"/>
      <c r="BR142" s="2283"/>
      <c r="BS142" s="2283"/>
      <c r="BT142" s="2283"/>
      <c r="BU142" s="2283"/>
      <c r="BV142" s="2283"/>
      <c r="BW142" s="2283"/>
      <c r="BX142" s="2283"/>
      <c r="BY142" s="2283"/>
      <c r="BZ142" s="2283"/>
      <c r="CA142" s="2283"/>
      <c r="CB142" s="2283"/>
      <c r="CC142" s="2284"/>
    </row>
    <row r="143" spans="1:81" ht="15" customHeight="1">
      <c r="A143" s="2271" t="s">
        <v>32</v>
      </c>
      <c r="B143" s="2272"/>
      <c r="C143" s="2272"/>
      <c r="D143" s="2272"/>
      <c r="E143" s="2272"/>
      <c r="F143" s="2272"/>
      <c r="G143" s="2272"/>
      <c r="H143" s="2272"/>
      <c r="I143" s="2272"/>
      <c r="J143" s="2272"/>
      <c r="K143" s="2272"/>
      <c r="L143" s="2272"/>
      <c r="M143" s="2272"/>
      <c r="N143" s="2272"/>
      <c r="O143" s="2272"/>
      <c r="P143" s="2272"/>
      <c r="Q143" s="2272"/>
      <c r="R143" s="2272"/>
      <c r="S143" s="2272"/>
      <c r="T143" s="2272"/>
      <c r="U143" s="2272"/>
      <c r="V143" s="2285"/>
      <c r="W143" s="2285"/>
      <c r="X143" s="2285"/>
      <c r="Y143" s="2285"/>
      <c r="Z143" s="2285"/>
      <c r="AA143" s="2285"/>
      <c r="AB143" s="2285"/>
      <c r="AC143" s="2285"/>
      <c r="AD143" s="2285"/>
      <c r="AE143" s="2285"/>
      <c r="AF143" s="2285"/>
      <c r="AG143" s="2285"/>
      <c r="AH143" s="2285"/>
      <c r="AI143" s="2285"/>
      <c r="AJ143" s="2285"/>
      <c r="AK143" s="2285"/>
      <c r="AL143" s="2285"/>
      <c r="AM143" s="2285"/>
      <c r="AN143" s="2285"/>
      <c r="AO143" s="2285"/>
      <c r="AP143" s="2285"/>
      <c r="AQ143" s="2285"/>
      <c r="AR143" s="2285"/>
      <c r="AS143" s="2285"/>
      <c r="AT143" s="2285"/>
      <c r="AU143" s="2285"/>
      <c r="AV143" s="2285"/>
      <c r="AW143" s="2285"/>
      <c r="AX143" s="2285"/>
      <c r="AY143" s="2285"/>
      <c r="AZ143" s="2285"/>
      <c r="BA143" s="2285"/>
      <c r="BB143" s="2285"/>
      <c r="BC143" s="2285"/>
      <c r="BD143" s="2285"/>
      <c r="BE143" s="2285"/>
      <c r="BF143" s="2285"/>
      <c r="BG143" s="2285"/>
      <c r="BH143" s="2285"/>
      <c r="BI143" s="2285"/>
      <c r="BJ143" s="2285"/>
      <c r="BK143" s="2285"/>
      <c r="BL143" s="2285"/>
      <c r="BM143" s="2285"/>
      <c r="BN143" s="2285"/>
      <c r="BO143" s="2285"/>
      <c r="BP143" s="2285"/>
      <c r="BQ143" s="2285"/>
      <c r="BR143" s="2285"/>
      <c r="BS143" s="2285"/>
      <c r="BT143" s="2285"/>
      <c r="BU143" s="2285"/>
      <c r="BV143" s="2285"/>
      <c r="BW143" s="2285"/>
      <c r="BX143" s="2285"/>
      <c r="BY143" s="2285"/>
      <c r="BZ143" s="2285"/>
      <c r="CA143" s="2285"/>
      <c r="CB143" s="2285"/>
      <c r="CC143" s="2286"/>
    </row>
    <row r="144" spans="1:81" ht="15" customHeight="1">
      <c r="A144" s="2271"/>
      <c r="B144" s="2272"/>
      <c r="C144" s="2272"/>
      <c r="D144" s="2272"/>
      <c r="E144" s="2272"/>
      <c r="F144" s="2272"/>
      <c r="G144" s="2272"/>
      <c r="H144" s="2272"/>
      <c r="I144" s="2272"/>
      <c r="J144" s="2272"/>
      <c r="K144" s="2272"/>
      <c r="L144" s="2272"/>
      <c r="M144" s="2272"/>
      <c r="N144" s="2272"/>
      <c r="O144" s="2272"/>
      <c r="P144" s="2272"/>
      <c r="Q144" s="2272"/>
      <c r="R144" s="2272"/>
      <c r="S144" s="2272"/>
      <c r="T144" s="2272"/>
      <c r="U144" s="2272"/>
      <c r="V144" s="2285"/>
      <c r="W144" s="2285"/>
      <c r="X144" s="2285"/>
      <c r="Y144" s="2285"/>
      <c r="Z144" s="2285"/>
      <c r="AA144" s="2285"/>
      <c r="AB144" s="2285"/>
      <c r="AC144" s="2285"/>
      <c r="AD144" s="2285"/>
      <c r="AE144" s="2285"/>
      <c r="AF144" s="2285"/>
      <c r="AG144" s="2285"/>
      <c r="AH144" s="2285"/>
      <c r="AI144" s="2285"/>
      <c r="AJ144" s="2285"/>
      <c r="AK144" s="2285"/>
      <c r="AL144" s="2285"/>
      <c r="AM144" s="2285"/>
      <c r="AN144" s="2285"/>
      <c r="AO144" s="2285"/>
      <c r="AP144" s="2285"/>
      <c r="AQ144" s="2285"/>
      <c r="AR144" s="2285"/>
      <c r="AS144" s="2285"/>
      <c r="AT144" s="2285"/>
      <c r="AU144" s="2285"/>
      <c r="AV144" s="2285"/>
      <c r="AW144" s="2285"/>
      <c r="AX144" s="2285"/>
      <c r="AY144" s="2285"/>
      <c r="AZ144" s="2285"/>
      <c r="BA144" s="2285"/>
      <c r="BB144" s="2285"/>
      <c r="BC144" s="2285"/>
      <c r="BD144" s="2285"/>
      <c r="BE144" s="2285"/>
      <c r="BF144" s="2285"/>
      <c r="BG144" s="2285"/>
      <c r="BH144" s="2285"/>
      <c r="BI144" s="2285"/>
      <c r="BJ144" s="2285"/>
      <c r="BK144" s="2285"/>
      <c r="BL144" s="2285"/>
      <c r="BM144" s="2285"/>
      <c r="BN144" s="2285"/>
      <c r="BO144" s="2285"/>
      <c r="BP144" s="2285"/>
      <c r="BQ144" s="2285"/>
      <c r="BR144" s="2285"/>
      <c r="BS144" s="2285"/>
      <c r="BT144" s="2285"/>
      <c r="BU144" s="2285"/>
      <c r="BV144" s="2285"/>
      <c r="BW144" s="2285"/>
      <c r="BX144" s="2285"/>
      <c r="BY144" s="2285"/>
      <c r="BZ144" s="2285"/>
      <c r="CA144" s="2285"/>
      <c r="CB144" s="2285"/>
      <c r="CC144" s="2286"/>
    </row>
    <row r="145" spans="1:102" ht="15" customHeight="1">
      <c r="A145" s="2281" t="s">
        <v>33</v>
      </c>
      <c r="B145" s="2282"/>
      <c r="C145" s="2282"/>
      <c r="D145" s="2282"/>
      <c r="E145" s="2282"/>
      <c r="F145" s="2282"/>
      <c r="G145" s="2282"/>
      <c r="H145" s="2282"/>
      <c r="I145" s="2282"/>
      <c r="J145" s="2282"/>
      <c r="K145" s="2282"/>
      <c r="L145" s="2282"/>
      <c r="M145" s="2282"/>
      <c r="N145" s="2282"/>
      <c r="O145" s="2282"/>
      <c r="P145" s="2282"/>
      <c r="Q145" s="2282"/>
      <c r="R145" s="2282"/>
      <c r="S145" s="2282"/>
      <c r="T145" s="2282"/>
      <c r="U145" s="2282"/>
      <c r="V145" s="2283"/>
      <c r="W145" s="2283"/>
      <c r="X145" s="2283"/>
      <c r="Y145" s="2283"/>
      <c r="Z145" s="2283"/>
      <c r="AA145" s="2283"/>
      <c r="AB145" s="2283"/>
      <c r="AC145" s="2283"/>
      <c r="AD145" s="2283"/>
      <c r="AE145" s="2283"/>
      <c r="AF145" s="2283"/>
      <c r="AG145" s="2283"/>
      <c r="AH145" s="2283"/>
      <c r="AI145" s="2283"/>
      <c r="AJ145" s="2283"/>
      <c r="AK145" s="2283"/>
      <c r="AL145" s="2283"/>
      <c r="AM145" s="2283"/>
      <c r="AN145" s="2283"/>
      <c r="AO145" s="2283"/>
      <c r="AP145" s="2283"/>
      <c r="AQ145" s="2283"/>
      <c r="AR145" s="2283"/>
      <c r="AS145" s="2283"/>
      <c r="AT145" s="2283"/>
      <c r="AU145" s="2283"/>
      <c r="AV145" s="2283"/>
      <c r="AW145" s="2283"/>
      <c r="AX145" s="2283"/>
      <c r="AY145" s="2283"/>
      <c r="AZ145" s="2283"/>
      <c r="BA145" s="2283"/>
      <c r="BB145" s="2283"/>
      <c r="BC145" s="2283"/>
      <c r="BD145" s="2283"/>
      <c r="BE145" s="2283"/>
      <c r="BF145" s="2283"/>
      <c r="BG145" s="2283"/>
      <c r="BH145" s="2283"/>
      <c r="BI145" s="2283"/>
      <c r="BJ145" s="2283"/>
      <c r="BK145" s="2283"/>
      <c r="BL145" s="2283"/>
      <c r="BM145" s="2283"/>
      <c r="BN145" s="2283"/>
      <c r="BO145" s="2283"/>
      <c r="BP145" s="2283"/>
      <c r="BQ145" s="2283"/>
      <c r="BR145" s="2283"/>
      <c r="BS145" s="2283"/>
      <c r="BT145" s="2283"/>
      <c r="BU145" s="2283"/>
      <c r="BV145" s="2283"/>
      <c r="BW145" s="2283"/>
      <c r="BX145" s="2283"/>
      <c r="BY145" s="2283"/>
      <c r="BZ145" s="2283"/>
      <c r="CA145" s="2283"/>
      <c r="CB145" s="2283"/>
      <c r="CC145" s="2284"/>
    </row>
    <row r="146" spans="1:102" ht="15" customHeight="1">
      <c r="A146" s="2281"/>
      <c r="B146" s="2282"/>
      <c r="C146" s="2282"/>
      <c r="D146" s="2282"/>
      <c r="E146" s="2282"/>
      <c r="F146" s="2282"/>
      <c r="G146" s="2282"/>
      <c r="H146" s="2282"/>
      <c r="I146" s="2282"/>
      <c r="J146" s="2282"/>
      <c r="K146" s="2282"/>
      <c r="L146" s="2282"/>
      <c r="M146" s="2282"/>
      <c r="N146" s="2282"/>
      <c r="O146" s="2282"/>
      <c r="P146" s="2282"/>
      <c r="Q146" s="2282"/>
      <c r="R146" s="2282"/>
      <c r="S146" s="2282"/>
      <c r="T146" s="2282"/>
      <c r="U146" s="2282"/>
      <c r="V146" s="2283"/>
      <c r="W146" s="2283"/>
      <c r="X146" s="2283"/>
      <c r="Y146" s="2283"/>
      <c r="Z146" s="2283"/>
      <c r="AA146" s="2283"/>
      <c r="AB146" s="2283"/>
      <c r="AC146" s="2283"/>
      <c r="AD146" s="2283"/>
      <c r="AE146" s="2283"/>
      <c r="AF146" s="2283"/>
      <c r="AG146" s="2283"/>
      <c r="AH146" s="2283"/>
      <c r="AI146" s="2283"/>
      <c r="AJ146" s="2283"/>
      <c r="AK146" s="2283"/>
      <c r="AL146" s="2283"/>
      <c r="AM146" s="2283"/>
      <c r="AN146" s="2283"/>
      <c r="AO146" s="2283"/>
      <c r="AP146" s="2283"/>
      <c r="AQ146" s="2283"/>
      <c r="AR146" s="2283"/>
      <c r="AS146" s="2283"/>
      <c r="AT146" s="2283"/>
      <c r="AU146" s="2283"/>
      <c r="AV146" s="2283"/>
      <c r="AW146" s="2283"/>
      <c r="AX146" s="2283"/>
      <c r="AY146" s="2283"/>
      <c r="AZ146" s="2283"/>
      <c r="BA146" s="2283"/>
      <c r="BB146" s="2283"/>
      <c r="BC146" s="2283"/>
      <c r="BD146" s="2283"/>
      <c r="BE146" s="2283"/>
      <c r="BF146" s="2283"/>
      <c r="BG146" s="2283"/>
      <c r="BH146" s="2283"/>
      <c r="BI146" s="2283"/>
      <c r="BJ146" s="2283"/>
      <c r="BK146" s="2283"/>
      <c r="BL146" s="2283"/>
      <c r="BM146" s="2283"/>
      <c r="BN146" s="2283"/>
      <c r="BO146" s="2283"/>
      <c r="BP146" s="2283"/>
      <c r="BQ146" s="2283"/>
      <c r="BR146" s="2283"/>
      <c r="BS146" s="2283"/>
      <c r="BT146" s="2283"/>
      <c r="BU146" s="2283"/>
      <c r="BV146" s="2283"/>
      <c r="BW146" s="2283"/>
      <c r="BX146" s="2283"/>
      <c r="BY146" s="2283"/>
      <c r="BZ146" s="2283"/>
      <c r="CA146" s="2283"/>
      <c r="CB146" s="2283"/>
      <c r="CC146" s="2284"/>
    </row>
    <row r="147" spans="1:102" ht="15" customHeight="1">
      <c r="A147" s="2271" t="s">
        <v>34</v>
      </c>
      <c r="B147" s="2272"/>
      <c r="C147" s="2272"/>
      <c r="D147" s="2272"/>
      <c r="E147" s="2272"/>
      <c r="F147" s="2272"/>
      <c r="G147" s="2272"/>
      <c r="H147" s="2272"/>
      <c r="I147" s="2272"/>
      <c r="J147" s="2272"/>
      <c r="K147" s="2272"/>
      <c r="L147" s="2272"/>
      <c r="M147" s="2272"/>
      <c r="N147" s="2272"/>
      <c r="O147" s="2272"/>
      <c r="P147" s="2272"/>
      <c r="Q147" s="2272"/>
      <c r="R147" s="2272"/>
      <c r="S147" s="2272"/>
      <c r="T147" s="2272"/>
      <c r="U147" s="2272"/>
      <c r="V147" s="2285"/>
      <c r="W147" s="2285"/>
      <c r="X147" s="2285"/>
      <c r="Y147" s="2285"/>
      <c r="Z147" s="2285"/>
      <c r="AA147" s="2285"/>
      <c r="AB147" s="2285"/>
      <c r="AC147" s="2285"/>
      <c r="AD147" s="2285"/>
      <c r="AE147" s="2285"/>
      <c r="AF147" s="2285"/>
      <c r="AG147" s="2285"/>
      <c r="AH147" s="2285"/>
      <c r="AI147" s="2285"/>
      <c r="AJ147" s="2285"/>
      <c r="AK147" s="2285"/>
      <c r="AL147" s="2285"/>
      <c r="AM147" s="2285"/>
      <c r="AN147" s="2285"/>
      <c r="AO147" s="2285"/>
      <c r="AP147" s="2285"/>
      <c r="AQ147" s="2285"/>
      <c r="AR147" s="2285"/>
      <c r="AS147" s="2285"/>
      <c r="AT147" s="2285"/>
      <c r="AU147" s="2285"/>
      <c r="AV147" s="2285"/>
      <c r="AW147" s="2285"/>
      <c r="AX147" s="2285"/>
      <c r="AY147" s="2285"/>
      <c r="AZ147" s="2285"/>
      <c r="BA147" s="2285"/>
      <c r="BB147" s="2285"/>
      <c r="BC147" s="2285"/>
      <c r="BD147" s="2285"/>
      <c r="BE147" s="2285"/>
      <c r="BF147" s="2285"/>
      <c r="BG147" s="2285"/>
      <c r="BH147" s="2285"/>
      <c r="BI147" s="2285"/>
      <c r="BJ147" s="2285"/>
      <c r="BK147" s="2285"/>
      <c r="BL147" s="2285"/>
      <c r="BM147" s="2285"/>
      <c r="BN147" s="2285"/>
      <c r="BO147" s="2285"/>
      <c r="BP147" s="2285"/>
      <c r="BQ147" s="2285"/>
      <c r="BR147" s="2285"/>
      <c r="BS147" s="2285"/>
      <c r="BT147" s="2285"/>
      <c r="BU147" s="2285"/>
      <c r="BV147" s="2285"/>
      <c r="BW147" s="2285"/>
      <c r="BX147" s="2285"/>
      <c r="BY147" s="2285"/>
      <c r="BZ147" s="2285"/>
      <c r="CA147" s="2285"/>
      <c r="CB147" s="2285"/>
      <c r="CC147" s="2286"/>
    </row>
    <row r="148" spans="1:102" ht="15" customHeight="1">
      <c r="A148" s="2271"/>
      <c r="B148" s="2272"/>
      <c r="C148" s="2272"/>
      <c r="D148" s="2272"/>
      <c r="E148" s="2272"/>
      <c r="F148" s="2272"/>
      <c r="G148" s="2272"/>
      <c r="H148" s="2272"/>
      <c r="I148" s="2272"/>
      <c r="J148" s="2272"/>
      <c r="K148" s="2272"/>
      <c r="L148" s="2272"/>
      <c r="M148" s="2272"/>
      <c r="N148" s="2272"/>
      <c r="O148" s="2272"/>
      <c r="P148" s="2272"/>
      <c r="Q148" s="2272"/>
      <c r="R148" s="2272"/>
      <c r="S148" s="2272"/>
      <c r="T148" s="2272"/>
      <c r="U148" s="2272"/>
      <c r="V148" s="2285"/>
      <c r="W148" s="2285"/>
      <c r="X148" s="2285"/>
      <c r="Y148" s="2285"/>
      <c r="Z148" s="2285"/>
      <c r="AA148" s="2285"/>
      <c r="AB148" s="2285"/>
      <c r="AC148" s="2285"/>
      <c r="AD148" s="2285"/>
      <c r="AE148" s="2285"/>
      <c r="AF148" s="2285"/>
      <c r="AG148" s="2285"/>
      <c r="AH148" s="2285"/>
      <c r="AI148" s="2285"/>
      <c r="AJ148" s="2285"/>
      <c r="AK148" s="2285"/>
      <c r="AL148" s="2285"/>
      <c r="AM148" s="2285"/>
      <c r="AN148" s="2285"/>
      <c r="AO148" s="2285"/>
      <c r="AP148" s="2285"/>
      <c r="AQ148" s="2285"/>
      <c r="AR148" s="2285"/>
      <c r="AS148" s="2285"/>
      <c r="AT148" s="2285"/>
      <c r="AU148" s="2285"/>
      <c r="AV148" s="2285"/>
      <c r="AW148" s="2285"/>
      <c r="AX148" s="2285"/>
      <c r="AY148" s="2285"/>
      <c r="AZ148" s="2285"/>
      <c r="BA148" s="2285"/>
      <c r="BB148" s="2285"/>
      <c r="BC148" s="2285"/>
      <c r="BD148" s="2285"/>
      <c r="BE148" s="2285"/>
      <c r="BF148" s="2285"/>
      <c r="BG148" s="2285"/>
      <c r="BH148" s="2285"/>
      <c r="BI148" s="2285"/>
      <c r="BJ148" s="2285"/>
      <c r="BK148" s="2285"/>
      <c r="BL148" s="2285"/>
      <c r="BM148" s="2285"/>
      <c r="BN148" s="2285"/>
      <c r="BO148" s="2285"/>
      <c r="BP148" s="2285"/>
      <c r="BQ148" s="2285"/>
      <c r="BR148" s="2285"/>
      <c r="BS148" s="2285"/>
      <c r="BT148" s="2285"/>
      <c r="BU148" s="2285"/>
      <c r="BV148" s="2285"/>
      <c r="BW148" s="2285"/>
      <c r="BX148" s="2285"/>
      <c r="BY148" s="2285"/>
      <c r="BZ148" s="2285"/>
      <c r="CA148" s="2285"/>
      <c r="CB148" s="2285"/>
      <c r="CC148" s="2286"/>
    </row>
    <row r="149" spans="1:102" ht="15" customHeight="1">
      <c r="A149" s="2281" t="s">
        <v>35</v>
      </c>
      <c r="B149" s="2282"/>
      <c r="C149" s="2282"/>
      <c r="D149" s="2282"/>
      <c r="E149" s="2282"/>
      <c r="F149" s="2282"/>
      <c r="G149" s="2282"/>
      <c r="H149" s="2282"/>
      <c r="I149" s="2282"/>
      <c r="J149" s="2282"/>
      <c r="K149" s="2282"/>
      <c r="L149" s="2282"/>
      <c r="M149" s="2282"/>
      <c r="N149" s="2282"/>
      <c r="O149" s="2282"/>
      <c r="P149" s="2282"/>
      <c r="Q149" s="2282"/>
      <c r="R149" s="2282"/>
      <c r="S149" s="2282"/>
      <c r="T149" s="2282"/>
      <c r="U149" s="2282"/>
      <c r="V149" s="2283"/>
      <c r="W149" s="2283"/>
      <c r="X149" s="2283"/>
      <c r="Y149" s="2283"/>
      <c r="Z149" s="2283"/>
      <c r="AA149" s="2283"/>
      <c r="AB149" s="2283"/>
      <c r="AC149" s="2283"/>
      <c r="AD149" s="2283"/>
      <c r="AE149" s="2283"/>
      <c r="AF149" s="2283"/>
      <c r="AG149" s="2283"/>
      <c r="AH149" s="2283"/>
      <c r="AI149" s="2283"/>
      <c r="AJ149" s="2283"/>
      <c r="AK149" s="2283"/>
      <c r="AL149" s="2283"/>
      <c r="AM149" s="2283"/>
      <c r="AN149" s="2283"/>
      <c r="AO149" s="2283"/>
      <c r="AP149" s="2283"/>
      <c r="AQ149" s="2283"/>
      <c r="AR149" s="2283"/>
      <c r="AS149" s="2283"/>
      <c r="AT149" s="2283"/>
      <c r="AU149" s="2283"/>
      <c r="AV149" s="2283"/>
      <c r="AW149" s="2283"/>
      <c r="AX149" s="2283"/>
      <c r="AY149" s="2283"/>
      <c r="AZ149" s="2283"/>
      <c r="BA149" s="2283"/>
      <c r="BB149" s="2283"/>
      <c r="BC149" s="2283"/>
      <c r="BD149" s="2283"/>
      <c r="BE149" s="2283"/>
      <c r="BF149" s="2283"/>
      <c r="BG149" s="2283"/>
      <c r="BH149" s="2283"/>
      <c r="BI149" s="2283"/>
      <c r="BJ149" s="2283"/>
      <c r="BK149" s="2283"/>
      <c r="BL149" s="2283"/>
      <c r="BM149" s="2283"/>
      <c r="BN149" s="2283"/>
      <c r="BO149" s="2283"/>
      <c r="BP149" s="2283"/>
      <c r="BQ149" s="2283"/>
      <c r="BR149" s="2283"/>
      <c r="BS149" s="2283"/>
      <c r="BT149" s="2283"/>
      <c r="BU149" s="2283"/>
      <c r="BV149" s="2283"/>
      <c r="BW149" s="2283"/>
      <c r="BX149" s="2283"/>
      <c r="BY149" s="2283"/>
      <c r="BZ149" s="2283"/>
      <c r="CA149" s="2283"/>
      <c r="CB149" s="2283"/>
      <c r="CC149" s="2284"/>
    </row>
    <row r="150" spans="1:102" ht="15" customHeight="1">
      <c r="A150" s="2281"/>
      <c r="B150" s="2282"/>
      <c r="C150" s="2282"/>
      <c r="D150" s="2282"/>
      <c r="E150" s="2282"/>
      <c r="F150" s="2282"/>
      <c r="G150" s="2282"/>
      <c r="H150" s="2282"/>
      <c r="I150" s="2282"/>
      <c r="J150" s="2282"/>
      <c r="K150" s="2282"/>
      <c r="L150" s="2282"/>
      <c r="M150" s="2282"/>
      <c r="N150" s="2282"/>
      <c r="O150" s="2282"/>
      <c r="P150" s="2282"/>
      <c r="Q150" s="2282"/>
      <c r="R150" s="2282"/>
      <c r="S150" s="2282"/>
      <c r="T150" s="2282"/>
      <c r="U150" s="2282"/>
      <c r="V150" s="2283"/>
      <c r="W150" s="2283"/>
      <c r="X150" s="2283"/>
      <c r="Y150" s="2283"/>
      <c r="Z150" s="2283"/>
      <c r="AA150" s="2283"/>
      <c r="AB150" s="2283"/>
      <c r="AC150" s="2283"/>
      <c r="AD150" s="2283"/>
      <c r="AE150" s="2283"/>
      <c r="AF150" s="2283"/>
      <c r="AG150" s="2283"/>
      <c r="AH150" s="2283"/>
      <c r="AI150" s="2283"/>
      <c r="AJ150" s="2283"/>
      <c r="AK150" s="2283"/>
      <c r="AL150" s="2283"/>
      <c r="AM150" s="2283"/>
      <c r="AN150" s="2283"/>
      <c r="AO150" s="2283"/>
      <c r="AP150" s="2283"/>
      <c r="AQ150" s="2283"/>
      <c r="AR150" s="2283"/>
      <c r="AS150" s="2283"/>
      <c r="AT150" s="2283"/>
      <c r="AU150" s="2283"/>
      <c r="AV150" s="2283"/>
      <c r="AW150" s="2283"/>
      <c r="AX150" s="2283"/>
      <c r="AY150" s="2283"/>
      <c r="AZ150" s="2283"/>
      <c r="BA150" s="2283"/>
      <c r="BB150" s="2283"/>
      <c r="BC150" s="2283"/>
      <c r="BD150" s="2283"/>
      <c r="BE150" s="2283"/>
      <c r="BF150" s="2283"/>
      <c r="BG150" s="2283"/>
      <c r="BH150" s="2283"/>
      <c r="BI150" s="2283"/>
      <c r="BJ150" s="2283"/>
      <c r="BK150" s="2283"/>
      <c r="BL150" s="2283"/>
      <c r="BM150" s="2283"/>
      <c r="BN150" s="2283"/>
      <c r="BO150" s="2283"/>
      <c r="BP150" s="2283"/>
      <c r="BQ150" s="2283"/>
      <c r="BR150" s="2283"/>
      <c r="BS150" s="2283"/>
      <c r="BT150" s="2283"/>
      <c r="BU150" s="2283"/>
      <c r="BV150" s="2283"/>
      <c r="BW150" s="2283"/>
      <c r="BX150" s="2283"/>
      <c r="BY150" s="2283"/>
      <c r="BZ150" s="2283"/>
      <c r="CA150" s="2283"/>
      <c r="CB150" s="2283"/>
      <c r="CC150" s="2284"/>
    </row>
    <row r="151" spans="1:102" ht="15" customHeight="1">
      <c r="A151" s="2271" t="s">
        <v>36</v>
      </c>
      <c r="B151" s="2272"/>
      <c r="C151" s="2272"/>
      <c r="D151" s="2272"/>
      <c r="E151" s="2272"/>
      <c r="F151" s="2272"/>
      <c r="G151" s="2272"/>
      <c r="H151" s="2272"/>
      <c r="I151" s="2272"/>
      <c r="J151" s="2272"/>
      <c r="K151" s="2272"/>
      <c r="L151" s="2272"/>
      <c r="M151" s="2272"/>
      <c r="N151" s="2272"/>
      <c r="O151" s="2272"/>
      <c r="P151" s="2272"/>
      <c r="Q151" s="2272"/>
      <c r="R151" s="2272"/>
      <c r="S151" s="2275">
        <v>1</v>
      </c>
      <c r="T151" s="2275"/>
      <c r="U151" s="2275"/>
      <c r="V151" s="2276"/>
      <c r="W151" s="2276"/>
      <c r="X151" s="2276"/>
      <c r="Y151" s="2276"/>
      <c r="Z151" s="2276"/>
      <c r="AA151" s="2276"/>
      <c r="AB151" s="2276"/>
      <c r="AC151" s="2276"/>
      <c r="AD151" s="2276"/>
      <c r="AE151" s="2276"/>
      <c r="AF151" s="2276"/>
      <c r="AG151" s="2276"/>
      <c r="AH151" s="2276"/>
      <c r="AI151" s="2276"/>
      <c r="AJ151" s="2276"/>
      <c r="AK151" s="2276"/>
      <c r="AL151" s="2276"/>
      <c r="AM151" s="2276"/>
      <c r="AN151" s="2276"/>
      <c r="AO151" s="2276"/>
      <c r="AP151" s="2276"/>
      <c r="AQ151" s="2276"/>
      <c r="AR151" s="2276"/>
      <c r="AS151" s="2276"/>
      <c r="AT151" s="2276"/>
      <c r="AU151" s="2276"/>
      <c r="AV151" s="2276"/>
      <c r="AW151" s="2276"/>
      <c r="AX151" s="2276"/>
      <c r="AY151" s="2276"/>
      <c r="AZ151" s="2276"/>
      <c r="BA151" s="2276"/>
      <c r="BB151" s="2276"/>
      <c r="BC151" s="2276"/>
      <c r="BD151" s="2276"/>
      <c r="BE151" s="2276"/>
      <c r="BF151" s="2276"/>
      <c r="BG151" s="2276"/>
      <c r="BH151" s="2276"/>
      <c r="BI151" s="2276"/>
      <c r="BJ151" s="2276"/>
      <c r="BK151" s="2276"/>
      <c r="BL151" s="2276"/>
      <c r="BM151" s="2276"/>
      <c r="BN151" s="2276"/>
      <c r="BO151" s="2276"/>
      <c r="BP151" s="2276"/>
      <c r="BQ151" s="2276"/>
      <c r="BR151" s="2276"/>
      <c r="BS151" s="2276"/>
      <c r="BT151" s="2276"/>
      <c r="BU151" s="2276"/>
      <c r="BV151" s="2276"/>
      <c r="BW151" s="2276"/>
      <c r="BX151" s="2276"/>
      <c r="BY151" s="2276"/>
      <c r="BZ151" s="2276"/>
      <c r="CA151" s="2276"/>
      <c r="CB151" s="2276"/>
      <c r="CC151" s="2277"/>
    </row>
    <row r="152" spans="1:102" ht="15" customHeight="1">
      <c r="A152" s="2271"/>
      <c r="B152" s="2272"/>
      <c r="C152" s="2272"/>
      <c r="D152" s="2272"/>
      <c r="E152" s="2272"/>
      <c r="F152" s="2272"/>
      <c r="G152" s="2272"/>
      <c r="H152" s="2272"/>
      <c r="I152" s="2272"/>
      <c r="J152" s="2272"/>
      <c r="K152" s="2272"/>
      <c r="L152" s="2272"/>
      <c r="M152" s="2272"/>
      <c r="N152" s="2272"/>
      <c r="O152" s="2272"/>
      <c r="P152" s="2272"/>
      <c r="Q152" s="2272"/>
      <c r="R152" s="2272"/>
      <c r="S152" s="2275">
        <v>2</v>
      </c>
      <c r="T152" s="2275"/>
      <c r="U152" s="2275"/>
      <c r="V152" s="2276"/>
      <c r="W152" s="2276"/>
      <c r="X152" s="2276"/>
      <c r="Y152" s="2276"/>
      <c r="Z152" s="2276"/>
      <c r="AA152" s="2276"/>
      <c r="AB152" s="2276"/>
      <c r="AC152" s="2276"/>
      <c r="AD152" s="2276"/>
      <c r="AE152" s="2276"/>
      <c r="AF152" s="2276"/>
      <c r="AG152" s="2276"/>
      <c r="AH152" s="2276"/>
      <c r="AI152" s="2276"/>
      <c r="AJ152" s="2276"/>
      <c r="AK152" s="2276"/>
      <c r="AL152" s="2276"/>
      <c r="AM152" s="2276"/>
      <c r="AN152" s="2276"/>
      <c r="AO152" s="2276"/>
      <c r="AP152" s="2276"/>
      <c r="AQ152" s="2276"/>
      <c r="AR152" s="2276"/>
      <c r="AS152" s="2276"/>
      <c r="AT152" s="2276"/>
      <c r="AU152" s="2276"/>
      <c r="AV152" s="2276"/>
      <c r="AW152" s="2276"/>
      <c r="AX152" s="2276"/>
      <c r="AY152" s="2276"/>
      <c r="AZ152" s="2276"/>
      <c r="BA152" s="2276"/>
      <c r="BB152" s="2276"/>
      <c r="BC152" s="2276"/>
      <c r="BD152" s="2276"/>
      <c r="BE152" s="2276"/>
      <c r="BF152" s="2276"/>
      <c r="BG152" s="2276"/>
      <c r="BH152" s="2276"/>
      <c r="BI152" s="2276"/>
      <c r="BJ152" s="2276"/>
      <c r="BK152" s="2276"/>
      <c r="BL152" s="2276"/>
      <c r="BM152" s="2276"/>
      <c r="BN152" s="2276"/>
      <c r="BO152" s="2276"/>
      <c r="BP152" s="2276"/>
      <c r="BQ152" s="2276"/>
      <c r="BR152" s="2276"/>
      <c r="BS152" s="2276"/>
      <c r="BT152" s="2276"/>
      <c r="BU152" s="2276"/>
      <c r="BV152" s="2276"/>
      <c r="BW152" s="2276"/>
      <c r="BX152" s="2276"/>
      <c r="BY152" s="2276"/>
      <c r="BZ152" s="2276"/>
      <c r="CA152" s="2276"/>
      <c r="CB152" s="2276"/>
      <c r="CC152" s="2277"/>
    </row>
    <row r="153" spans="1:102" ht="15" customHeight="1">
      <c r="A153" s="2271"/>
      <c r="B153" s="2272"/>
      <c r="C153" s="2272"/>
      <c r="D153" s="2272"/>
      <c r="E153" s="2272"/>
      <c r="F153" s="2272"/>
      <c r="G153" s="2272"/>
      <c r="H153" s="2272"/>
      <c r="I153" s="2272"/>
      <c r="J153" s="2272"/>
      <c r="K153" s="2272"/>
      <c r="L153" s="2272"/>
      <c r="M153" s="2272"/>
      <c r="N153" s="2272"/>
      <c r="O153" s="2272"/>
      <c r="P153" s="2272"/>
      <c r="Q153" s="2272"/>
      <c r="R153" s="2272"/>
      <c r="S153" s="2275">
        <v>3</v>
      </c>
      <c r="T153" s="2275"/>
      <c r="U153" s="2275"/>
      <c r="V153" s="2276"/>
      <c r="W153" s="2276"/>
      <c r="X153" s="2276"/>
      <c r="Y153" s="2276"/>
      <c r="Z153" s="2276"/>
      <c r="AA153" s="2276"/>
      <c r="AB153" s="2276"/>
      <c r="AC153" s="2276"/>
      <c r="AD153" s="2276"/>
      <c r="AE153" s="2276"/>
      <c r="AF153" s="2276"/>
      <c r="AG153" s="2276"/>
      <c r="AH153" s="2276"/>
      <c r="AI153" s="2276"/>
      <c r="AJ153" s="2276"/>
      <c r="AK153" s="2276"/>
      <c r="AL153" s="2276"/>
      <c r="AM153" s="2276"/>
      <c r="AN153" s="2276"/>
      <c r="AO153" s="2276"/>
      <c r="AP153" s="2276"/>
      <c r="AQ153" s="2276"/>
      <c r="AR153" s="2276"/>
      <c r="AS153" s="2276"/>
      <c r="AT153" s="2276"/>
      <c r="AU153" s="2276"/>
      <c r="AV153" s="2276"/>
      <c r="AW153" s="2276"/>
      <c r="AX153" s="2276"/>
      <c r="AY153" s="2276"/>
      <c r="AZ153" s="2276"/>
      <c r="BA153" s="2276"/>
      <c r="BB153" s="2276"/>
      <c r="BC153" s="2276"/>
      <c r="BD153" s="2276"/>
      <c r="BE153" s="2276"/>
      <c r="BF153" s="2276"/>
      <c r="BG153" s="2276"/>
      <c r="BH153" s="2276"/>
      <c r="BI153" s="2276"/>
      <c r="BJ153" s="2276"/>
      <c r="BK153" s="2276"/>
      <c r="BL153" s="2276"/>
      <c r="BM153" s="2276"/>
      <c r="BN153" s="2276"/>
      <c r="BO153" s="2276"/>
      <c r="BP153" s="2276"/>
      <c r="BQ153" s="2276"/>
      <c r="BR153" s="2276"/>
      <c r="BS153" s="2276"/>
      <c r="BT153" s="2276"/>
      <c r="BU153" s="2276"/>
      <c r="BV153" s="2276"/>
      <c r="BW153" s="2276"/>
      <c r="BX153" s="2276"/>
      <c r="BY153" s="2276"/>
      <c r="BZ153" s="2276"/>
      <c r="CA153" s="2276"/>
      <c r="CB153" s="2276"/>
      <c r="CC153" s="2277"/>
    </row>
    <row r="154" spans="1:102" ht="15" customHeight="1" thickBot="1">
      <c r="A154" s="2273"/>
      <c r="B154" s="2274"/>
      <c r="C154" s="2274"/>
      <c r="D154" s="2274"/>
      <c r="E154" s="2274"/>
      <c r="F154" s="2274"/>
      <c r="G154" s="2274"/>
      <c r="H154" s="2274"/>
      <c r="I154" s="2274"/>
      <c r="J154" s="2274"/>
      <c r="K154" s="2274"/>
      <c r="L154" s="2274"/>
      <c r="M154" s="2274"/>
      <c r="N154" s="2274"/>
      <c r="O154" s="2274"/>
      <c r="P154" s="2274"/>
      <c r="Q154" s="2274"/>
      <c r="R154" s="2274"/>
      <c r="S154" s="2278">
        <v>4</v>
      </c>
      <c r="T154" s="2278"/>
      <c r="U154" s="2278"/>
      <c r="V154" s="2279"/>
      <c r="W154" s="2279"/>
      <c r="X154" s="2279"/>
      <c r="Y154" s="2279"/>
      <c r="Z154" s="2279"/>
      <c r="AA154" s="2279"/>
      <c r="AB154" s="2279"/>
      <c r="AC154" s="2279"/>
      <c r="AD154" s="2279"/>
      <c r="AE154" s="2279"/>
      <c r="AF154" s="2279"/>
      <c r="AG154" s="2279"/>
      <c r="AH154" s="2279"/>
      <c r="AI154" s="2279"/>
      <c r="AJ154" s="2279"/>
      <c r="AK154" s="2279"/>
      <c r="AL154" s="2279"/>
      <c r="AM154" s="2279"/>
      <c r="AN154" s="2279"/>
      <c r="AO154" s="2279"/>
      <c r="AP154" s="2279"/>
      <c r="AQ154" s="2279"/>
      <c r="AR154" s="2279"/>
      <c r="AS154" s="2279"/>
      <c r="AT154" s="2279"/>
      <c r="AU154" s="2279"/>
      <c r="AV154" s="2279"/>
      <c r="AW154" s="2279"/>
      <c r="AX154" s="2279"/>
      <c r="AY154" s="2279"/>
      <c r="AZ154" s="2279"/>
      <c r="BA154" s="2279"/>
      <c r="BB154" s="2279"/>
      <c r="BC154" s="2279"/>
      <c r="BD154" s="2279"/>
      <c r="BE154" s="2279"/>
      <c r="BF154" s="2279"/>
      <c r="BG154" s="2279"/>
      <c r="BH154" s="2279"/>
      <c r="BI154" s="2279"/>
      <c r="BJ154" s="2279"/>
      <c r="BK154" s="2279"/>
      <c r="BL154" s="2279"/>
      <c r="BM154" s="2279"/>
      <c r="BN154" s="2279"/>
      <c r="BO154" s="2279"/>
      <c r="BP154" s="2279"/>
      <c r="BQ154" s="2279"/>
      <c r="BR154" s="2279"/>
      <c r="BS154" s="2279"/>
      <c r="BT154" s="2279"/>
      <c r="BU154" s="2279"/>
      <c r="BV154" s="2279"/>
      <c r="BW154" s="2279"/>
      <c r="BX154" s="2279"/>
      <c r="BY154" s="2279"/>
      <c r="BZ154" s="2279"/>
      <c r="CA154" s="2279"/>
      <c r="CB154" s="2279"/>
      <c r="CC154" s="2280"/>
    </row>
    <row r="155" spans="1:102" ht="15" customHeight="1" thickTop="1">
      <c r="E155" s="17"/>
      <c r="F155" s="16"/>
      <c r="G155" s="15"/>
    </row>
    <row r="156" spans="1:102" s="35" customFormat="1" ht="23.25">
      <c r="A156" s="37" t="s">
        <v>37</v>
      </c>
      <c r="B156" s="32"/>
      <c r="C156" s="33"/>
      <c r="D156" s="33"/>
      <c r="E156" s="32"/>
      <c r="F156" s="32"/>
      <c r="G156" s="32"/>
      <c r="H156" s="32"/>
      <c r="I156" s="32"/>
      <c r="J156" s="32"/>
      <c r="K156" s="32"/>
      <c r="L156" s="32"/>
      <c r="M156" s="32"/>
      <c r="N156" s="32"/>
      <c r="O156" s="32"/>
      <c r="P156" s="32"/>
      <c r="Q156" s="32"/>
      <c r="R156" s="32"/>
      <c r="S156" s="32"/>
      <c r="T156" s="33"/>
      <c r="U156" s="32"/>
      <c r="V156" s="32"/>
      <c r="W156" s="32"/>
      <c r="X156" s="32"/>
      <c r="Y156" s="32"/>
      <c r="Z156" s="32"/>
      <c r="AA156" s="32"/>
      <c r="AB156" s="32"/>
      <c r="AC156" s="32"/>
      <c r="AD156" s="32"/>
      <c r="AE156" s="32"/>
      <c r="AF156" s="32"/>
      <c r="AG156" s="32"/>
      <c r="AH156" s="32"/>
      <c r="AI156" s="32"/>
      <c r="AJ156" s="32"/>
      <c r="AK156" s="32"/>
      <c r="AL156" s="32"/>
      <c r="AM156" s="32"/>
      <c r="AN156" s="33"/>
      <c r="AO156" s="32"/>
      <c r="AP156" s="32"/>
      <c r="AQ156" s="32"/>
      <c r="AR156" s="32"/>
      <c r="AS156" s="32"/>
      <c r="AT156" s="32"/>
      <c r="AU156" s="32"/>
      <c r="AV156" s="32"/>
      <c r="AW156" s="32"/>
      <c r="AX156" s="32"/>
      <c r="AY156" s="32"/>
      <c r="AZ156" s="32"/>
      <c r="BA156" s="32"/>
      <c r="BB156" s="32"/>
      <c r="BC156" s="32"/>
      <c r="BD156" s="32"/>
      <c r="BE156" s="32"/>
      <c r="BF156" s="32"/>
      <c r="BG156" s="32"/>
      <c r="BH156" s="33"/>
      <c r="BI156" s="32"/>
      <c r="BJ156" s="32"/>
      <c r="BK156" s="32"/>
      <c r="BL156" s="32"/>
      <c r="BM156" s="32"/>
      <c r="BN156" s="32"/>
      <c r="BO156" s="32"/>
      <c r="BP156" s="32"/>
      <c r="BQ156" s="32"/>
      <c r="BR156" s="32"/>
      <c r="BS156" s="32"/>
      <c r="BT156" s="32"/>
      <c r="BU156" s="32"/>
      <c r="BV156" s="32"/>
      <c r="BW156" s="32"/>
      <c r="BX156" s="32"/>
      <c r="BY156" s="32"/>
      <c r="BZ156" s="32"/>
      <c r="CA156" s="32"/>
      <c r="CB156" s="32"/>
      <c r="CC156" s="33"/>
      <c r="CD156" s="32"/>
      <c r="CE156" s="32"/>
      <c r="CF156" s="32"/>
      <c r="CG156" s="32"/>
      <c r="CH156" s="32"/>
      <c r="CI156" s="32"/>
      <c r="CJ156" s="32"/>
      <c r="CK156" s="32"/>
      <c r="CL156" s="32"/>
      <c r="CM156" s="32"/>
      <c r="CN156" s="32"/>
      <c r="CO156" s="32"/>
      <c r="CP156" s="32"/>
      <c r="CQ156" s="32"/>
      <c r="CR156" s="32"/>
      <c r="CS156" s="32"/>
      <c r="CT156" s="32"/>
      <c r="CU156" s="32"/>
      <c r="CV156" s="32"/>
      <c r="CW156" s="32"/>
      <c r="CX156" s="32"/>
    </row>
    <row r="157" spans="1:102" ht="15" customHeight="1" thickBot="1"/>
    <row r="158" spans="1:102" ht="15" customHeight="1" thickTop="1">
      <c r="A158" s="1915" t="s">
        <v>38</v>
      </c>
      <c r="B158" s="1916"/>
      <c r="C158" s="1916"/>
      <c r="D158" s="1916"/>
      <c r="E158" s="1916"/>
      <c r="F158" s="1916"/>
      <c r="G158" s="1916"/>
      <c r="H158" s="1916"/>
      <c r="I158" s="1916"/>
      <c r="J158" s="1916"/>
      <c r="K158" s="1916"/>
      <c r="L158" s="1916"/>
      <c r="M158" s="1916"/>
      <c r="N158" s="1916"/>
      <c r="O158" s="1916"/>
      <c r="P158" s="1916"/>
      <c r="Q158" s="1916" t="s">
        <v>41</v>
      </c>
      <c r="R158" s="1916"/>
      <c r="S158" s="1916"/>
      <c r="T158" s="1916"/>
      <c r="U158" s="1916" t="s">
        <v>39</v>
      </c>
      <c r="V158" s="1916"/>
      <c r="W158" s="1916"/>
      <c r="X158" s="1916"/>
      <c r="Y158" s="1916"/>
      <c r="Z158" s="1916"/>
      <c r="AA158" s="1916"/>
      <c r="AB158" s="1916"/>
      <c r="AC158" s="1916"/>
      <c r="AD158" s="1916"/>
      <c r="AE158" s="1916"/>
      <c r="AF158" s="1916"/>
      <c r="AG158" s="1916" t="s">
        <v>40</v>
      </c>
      <c r="AH158" s="1916"/>
      <c r="AI158" s="1916"/>
      <c r="AJ158" s="1916"/>
      <c r="AK158" s="1916"/>
      <c r="AL158" s="1916"/>
      <c r="AM158" s="1916"/>
      <c r="AN158" s="1916"/>
      <c r="AO158" s="1916"/>
      <c r="AP158" s="1916"/>
      <c r="AQ158" s="1916"/>
      <c r="AR158" s="1916"/>
      <c r="AS158" s="1916"/>
      <c r="AT158" s="1916" t="s">
        <v>141</v>
      </c>
      <c r="AU158" s="1916"/>
      <c r="AV158" s="1916"/>
      <c r="AW158" s="1916"/>
      <c r="AX158" s="1916"/>
      <c r="AY158" s="1916"/>
      <c r="AZ158" s="1916"/>
      <c r="BA158" s="1916"/>
      <c r="BB158" s="1916"/>
      <c r="BC158" s="1916"/>
      <c r="BD158" s="1916"/>
      <c r="BE158" s="1916"/>
      <c r="BF158" s="1916"/>
      <c r="BG158" s="1916"/>
      <c r="BH158" s="1916"/>
      <c r="BI158" s="1916"/>
      <c r="BJ158" s="1916"/>
      <c r="BK158" s="1916" t="s">
        <v>142</v>
      </c>
      <c r="BL158" s="1916"/>
      <c r="BM158" s="1916"/>
      <c r="BN158" s="1916"/>
      <c r="BO158" s="1916"/>
      <c r="BP158" s="1916"/>
      <c r="BQ158" s="1916"/>
      <c r="BR158" s="1916"/>
      <c r="BS158" s="1916"/>
      <c r="BT158" s="1916"/>
      <c r="BU158" s="1916"/>
      <c r="BV158" s="1916"/>
      <c r="BW158" s="1916"/>
      <c r="BX158" s="1916"/>
      <c r="BY158" s="1916"/>
      <c r="BZ158" s="1916"/>
      <c r="CA158" s="1916"/>
      <c r="CB158" s="1916"/>
      <c r="CC158" s="1922"/>
    </row>
    <row r="159" spans="1:102" ht="15" customHeight="1">
      <c r="A159" s="1917"/>
      <c r="B159" s="1918"/>
      <c r="C159" s="1918"/>
      <c r="D159" s="1918"/>
      <c r="E159" s="1918"/>
      <c r="F159" s="1918"/>
      <c r="G159" s="1918"/>
      <c r="H159" s="1918"/>
      <c r="I159" s="1918"/>
      <c r="J159" s="1918"/>
      <c r="K159" s="1918"/>
      <c r="L159" s="1918"/>
      <c r="M159" s="1918"/>
      <c r="N159" s="1918"/>
      <c r="O159" s="1918"/>
      <c r="P159" s="1918"/>
      <c r="Q159" s="1918"/>
      <c r="R159" s="1918"/>
      <c r="S159" s="1918"/>
      <c r="T159" s="1918"/>
      <c r="U159" s="1918"/>
      <c r="V159" s="1918"/>
      <c r="W159" s="1918"/>
      <c r="X159" s="1918"/>
      <c r="Y159" s="1918"/>
      <c r="Z159" s="1918"/>
      <c r="AA159" s="1918"/>
      <c r="AB159" s="1918"/>
      <c r="AC159" s="1918"/>
      <c r="AD159" s="1918"/>
      <c r="AE159" s="1918"/>
      <c r="AF159" s="1918"/>
      <c r="AG159" s="1918"/>
      <c r="AH159" s="1918"/>
      <c r="AI159" s="1918"/>
      <c r="AJ159" s="1918"/>
      <c r="AK159" s="1918"/>
      <c r="AL159" s="1918"/>
      <c r="AM159" s="1918"/>
      <c r="AN159" s="1918"/>
      <c r="AO159" s="1918"/>
      <c r="AP159" s="1918"/>
      <c r="AQ159" s="1918"/>
      <c r="AR159" s="1918"/>
      <c r="AS159" s="1918"/>
      <c r="AT159" s="1918"/>
      <c r="AU159" s="1918"/>
      <c r="AV159" s="1918"/>
      <c r="AW159" s="1918"/>
      <c r="AX159" s="1918"/>
      <c r="AY159" s="1918"/>
      <c r="AZ159" s="1918"/>
      <c r="BA159" s="1918"/>
      <c r="BB159" s="1918"/>
      <c r="BC159" s="1918"/>
      <c r="BD159" s="1918"/>
      <c r="BE159" s="1918"/>
      <c r="BF159" s="1918"/>
      <c r="BG159" s="1918"/>
      <c r="BH159" s="1918"/>
      <c r="BI159" s="1918"/>
      <c r="BJ159" s="1918"/>
      <c r="BK159" s="1918"/>
      <c r="BL159" s="1918"/>
      <c r="BM159" s="1918"/>
      <c r="BN159" s="1918"/>
      <c r="BO159" s="1918"/>
      <c r="BP159" s="1918"/>
      <c r="BQ159" s="1918"/>
      <c r="BR159" s="1918"/>
      <c r="BS159" s="1918"/>
      <c r="BT159" s="1918"/>
      <c r="BU159" s="1918"/>
      <c r="BV159" s="1918"/>
      <c r="BW159" s="1918"/>
      <c r="BX159" s="1918"/>
      <c r="BY159" s="1918"/>
      <c r="BZ159" s="1918"/>
      <c r="CA159" s="1918"/>
      <c r="CB159" s="1918"/>
      <c r="CC159" s="2260"/>
    </row>
    <row r="160" spans="1:102" ht="20.100000000000001" customHeight="1">
      <c r="A160" s="2261"/>
      <c r="B160" s="2262"/>
      <c r="C160" s="2262"/>
      <c r="D160" s="2262"/>
      <c r="E160" s="2262"/>
      <c r="F160" s="2262"/>
      <c r="G160" s="2262"/>
      <c r="H160" s="2262"/>
      <c r="I160" s="2262"/>
      <c r="J160" s="2262"/>
      <c r="K160" s="2262"/>
      <c r="L160" s="2262"/>
      <c r="M160" s="2262"/>
      <c r="N160" s="2262"/>
      <c r="O160" s="2262"/>
      <c r="P160" s="2262"/>
      <c r="Q160" s="2247"/>
      <c r="R160" s="2247"/>
      <c r="S160" s="2247"/>
      <c r="T160" s="2247"/>
      <c r="U160" s="2263"/>
      <c r="V160" s="2263"/>
      <c r="W160" s="2263"/>
      <c r="X160" s="2263"/>
      <c r="Y160" s="2263"/>
      <c r="Z160" s="2263"/>
      <c r="AA160" s="2263"/>
      <c r="AB160" s="2263"/>
      <c r="AC160" s="2263"/>
      <c r="AD160" s="2263"/>
      <c r="AE160" s="2263"/>
      <c r="AF160" s="2263"/>
      <c r="AG160" s="2264"/>
      <c r="AH160" s="2264"/>
      <c r="AI160" s="2264"/>
      <c r="AJ160" s="2264"/>
      <c r="AK160" s="2264"/>
      <c r="AL160" s="2264"/>
      <c r="AM160" s="2264"/>
      <c r="AN160" s="2264"/>
      <c r="AO160" s="2264"/>
      <c r="AP160" s="2264"/>
      <c r="AQ160" s="2264"/>
      <c r="AR160" s="2264"/>
      <c r="AS160" s="2264"/>
      <c r="AT160" s="2264"/>
      <c r="AU160" s="2264"/>
      <c r="AV160" s="2264"/>
      <c r="AW160" s="2264"/>
      <c r="AX160" s="2264"/>
      <c r="AY160" s="2264"/>
      <c r="AZ160" s="2264"/>
      <c r="BA160" s="2264"/>
      <c r="BB160" s="2264"/>
      <c r="BC160" s="2264"/>
      <c r="BD160" s="2264"/>
      <c r="BE160" s="2264"/>
      <c r="BF160" s="2264"/>
      <c r="BG160" s="2264"/>
      <c r="BH160" s="2264"/>
      <c r="BI160" s="2264"/>
      <c r="BJ160" s="2264"/>
      <c r="BK160" s="2264"/>
      <c r="BL160" s="2264"/>
      <c r="BM160" s="2264"/>
      <c r="BN160" s="2264"/>
      <c r="BO160" s="2264"/>
      <c r="BP160" s="2264"/>
      <c r="BQ160" s="2264"/>
      <c r="BR160" s="2264"/>
      <c r="BS160" s="2264"/>
      <c r="BT160" s="2264"/>
      <c r="BU160" s="2264"/>
      <c r="BV160" s="2264"/>
      <c r="BW160" s="2264"/>
      <c r="BX160" s="2264"/>
      <c r="BY160" s="2264"/>
      <c r="BZ160" s="2264"/>
      <c r="CA160" s="2264"/>
      <c r="CB160" s="2264"/>
      <c r="CC160" s="2265"/>
    </row>
    <row r="161" spans="1:81" ht="20.100000000000001" customHeight="1">
      <c r="A161" s="2266"/>
      <c r="B161" s="2267"/>
      <c r="C161" s="2267"/>
      <c r="D161" s="2267"/>
      <c r="E161" s="2267"/>
      <c r="F161" s="2267"/>
      <c r="G161" s="2267"/>
      <c r="H161" s="2267"/>
      <c r="I161" s="2267"/>
      <c r="J161" s="2267"/>
      <c r="K161" s="2267"/>
      <c r="L161" s="2267"/>
      <c r="M161" s="2267"/>
      <c r="N161" s="2267"/>
      <c r="O161" s="2267"/>
      <c r="P161" s="2267"/>
      <c r="Q161" s="2241"/>
      <c r="R161" s="2241"/>
      <c r="S161" s="2241"/>
      <c r="T161" s="2241"/>
      <c r="U161" s="2268"/>
      <c r="V161" s="2268"/>
      <c r="W161" s="2268"/>
      <c r="X161" s="2268"/>
      <c r="Y161" s="2268"/>
      <c r="Z161" s="2268"/>
      <c r="AA161" s="2268"/>
      <c r="AB161" s="2268"/>
      <c r="AC161" s="2268"/>
      <c r="AD161" s="2268"/>
      <c r="AE161" s="2268"/>
      <c r="AF161" s="2268"/>
      <c r="AG161" s="2269"/>
      <c r="AH161" s="2269"/>
      <c r="AI161" s="2269"/>
      <c r="AJ161" s="2269"/>
      <c r="AK161" s="2269"/>
      <c r="AL161" s="2269"/>
      <c r="AM161" s="2269"/>
      <c r="AN161" s="2269"/>
      <c r="AO161" s="2269"/>
      <c r="AP161" s="2269"/>
      <c r="AQ161" s="2269"/>
      <c r="AR161" s="2269"/>
      <c r="AS161" s="2269"/>
      <c r="AT161" s="2269"/>
      <c r="AU161" s="2269"/>
      <c r="AV161" s="2269"/>
      <c r="AW161" s="2269"/>
      <c r="AX161" s="2269"/>
      <c r="AY161" s="2269"/>
      <c r="AZ161" s="2269"/>
      <c r="BA161" s="2269"/>
      <c r="BB161" s="2269"/>
      <c r="BC161" s="2269"/>
      <c r="BD161" s="2269"/>
      <c r="BE161" s="2269"/>
      <c r="BF161" s="2269"/>
      <c r="BG161" s="2269"/>
      <c r="BH161" s="2269"/>
      <c r="BI161" s="2269"/>
      <c r="BJ161" s="2269"/>
      <c r="BK161" s="2269"/>
      <c r="BL161" s="2269"/>
      <c r="BM161" s="2269"/>
      <c r="BN161" s="2269"/>
      <c r="BO161" s="2269"/>
      <c r="BP161" s="2269"/>
      <c r="BQ161" s="2269"/>
      <c r="BR161" s="2269"/>
      <c r="BS161" s="2269"/>
      <c r="BT161" s="2269"/>
      <c r="BU161" s="2269"/>
      <c r="BV161" s="2269"/>
      <c r="BW161" s="2269"/>
      <c r="BX161" s="2269"/>
      <c r="BY161" s="2269"/>
      <c r="BZ161" s="2269"/>
      <c r="CA161" s="2269"/>
      <c r="CB161" s="2269"/>
      <c r="CC161" s="2270"/>
    </row>
    <row r="162" spans="1:81" ht="20.100000000000001" customHeight="1">
      <c r="A162" s="2261"/>
      <c r="B162" s="2262"/>
      <c r="C162" s="2262"/>
      <c r="D162" s="2262"/>
      <c r="E162" s="2262"/>
      <c r="F162" s="2262"/>
      <c r="G162" s="2262"/>
      <c r="H162" s="2262"/>
      <c r="I162" s="2262"/>
      <c r="J162" s="2262"/>
      <c r="K162" s="2262"/>
      <c r="L162" s="2262"/>
      <c r="M162" s="2262"/>
      <c r="N162" s="2262"/>
      <c r="O162" s="2262"/>
      <c r="P162" s="2262"/>
      <c r="Q162" s="2247"/>
      <c r="R162" s="2247"/>
      <c r="S162" s="2247"/>
      <c r="T162" s="2247"/>
      <c r="U162" s="2263"/>
      <c r="V162" s="2263"/>
      <c r="W162" s="2263"/>
      <c r="X162" s="2263"/>
      <c r="Y162" s="2263"/>
      <c r="Z162" s="2263"/>
      <c r="AA162" s="2263"/>
      <c r="AB162" s="2263"/>
      <c r="AC162" s="2263"/>
      <c r="AD162" s="2263"/>
      <c r="AE162" s="2263"/>
      <c r="AF162" s="2263"/>
      <c r="AG162" s="2264"/>
      <c r="AH162" s="2264"/>
      <c r="AI162" s="2264"/>
      <c r="AJ162" s="2264"/>
      <c r="AK162" s="2264"/>
      <c r="AL162" s="2264"/>
      <c r="AM162" s="2264"/>
      <c r="AN162" s="2264"/>
      <c r="AO162" s="2264"/>
      <c r="AP162" s="2264"/>
      <c r="AQ162" s="2264"/>
      <c r="AR162" s="2264"/>
      <c r="AS162" s="2264"/>
      <c r="AT162" s="2264"/>
      <c r="AU162" s="2264"/>
      <c r="AV162" s="2264"/>
      <c r="AW162" s="2264"/>
      <c r="AX162" s="2264"/>
      <c r="AY162" s="2264"/>
      <c r="AZ162" s="2264"/>
      <c r="BA162" s="2264"/>
      <c r="BB162" s="2264"/>
      <c r="BC162" s="2264"/>
      <c r="BD162" s="2264"/>
      <c r="BE162" s="2264"/>
      <c r="BF162" s="2264"/>
      <c r="BG162" s="2264"/>
      <c r="BH162" s="2264"/>
      <c r="BI162" s="2264"/>
      <c r="BJ162" s="2264"/>
      <c r="BK162" s="2264"/>
      <c r="BL162" s="2264"/>
      <c r="BM162" s="2264"/>
      <c r="BN162" s="2264"/>
      <c r="BO162" s="2264"/>
      <c r="BP162" s="2264"/>
      <c r="BQ162" s="2264"/>
      <c r="BR162" s="2264"/>
      <c r="BS162" s="2264"/>
      <c r="BT162" s="2264"/>
      <c r="BU162" s="2264"/>
      <c r="BV162" s="2264"/>
      <c r="BW162" s="2264"/>
      <c r="BX162" s="2264"/>
      <c r="BY162" s="2264"/>
      <c r="BZ162" s="2264"/>
      <c r="CA162" s="2264"/>
      <c r="CB162" s="2264"/>
      <c r="CC162" s="2265"/>
    </row>
    <row r="163" spans="1:81" ht="15.95" customHeight="1" thickBot="1">
      <c r="A163" s="2257" t="s">
        <v>42</v>
      </c>
      <c r="B163" s="2258"/>
      <c r="C163" s="2258"/>
      <c r="D163" s="2258"/>
      <c r="E163" s="2258"/>
      <c r="F163" s="2258"/>
      <c r="G163" s="2258"/>
      <c r="H163" s="2258"/>
      <c r="I163" s="2258"/>
      <c r="J163" s="2258"/>
      <c r="K163" s="2258"/>
      <c r="L163" s="2258"/>
      <c r="M163" s="2258"/>
      <c r="N163" s="2258"/>
      <c r="O163" s="2258"/>
      <c r="P163" s="2258"/>
      <c r="Q163" s="2258"/>
      <c r="R163" s="2258"/>
      <c r="S163" s="2258"/>
      <c r="T163" s="2258"/>
      <c r="U163" s="2258"/>
      <c r="V163" s="2258"/>
      <c r="W163" s="2258"/>
      <c r="X163" s="2258"/>
      <c r="Y163" s="2258"/>
      <c r="Z163" s="2258"/>
      <c r="AA163" s="2258"/>
      <c r="AB163" s="2258"/>
      <c r="AC163" s="2258"/>
      <c r="AD163" s="2258"/>
      <c r="AE163" s="2258"/>
      <c r="AF163" s="2258"/>
      <c r="AG163" s="2258"/>
      <c r="AH163" s="2258"/>
      <c r="AI163" s="2258"/>
      <c r="AJ163" s="2258"/>
      <c r="AK163" s="2258"/>
      <c r="AL163" s="2258"/>
      <c r="AM163" s="2258"/>
      <c r="AN163" s="2258"/>
      <c r="AO163" s="2258"/>
      <c r="AP163" s="2258"/>
      <c r="AQ163" s="2258"/>
      <c r="AR163" s="2258"/>
      <c r="AS163" s="2258"/>
      <c r="AT163" s="2258"/>
      <c r="AU163" s="2258"/>
      <c r="AV163" s="2258"/>
      <c r="AW163" s="2258"/>
      <c r="AX163" s="2258"/>
      <c r="AY163" s="2258"/>
      <c r="AZ163" s="2258"/>
      <c r="BA163" s="2258"/>
      <c r="BB163" s="2258"/>
      <c r="BC163" s="2258"/>
      <c r="BD163" s="2258"/>
      <c r="BE163" s="2258"/>
      <c r="BF163" s="2258"/>
      <c r="BG163" s="2258"/>
      <c r="BH163" s="2258"/>
      <c r="BI163" s="2258"/>
      <c r="BJ163" s="2258"/>
      <c r="BK163" s="2258"/>
      <c r="BL163" s="2258"/>
      <c r="BM163" s="2258"/>
      <c r="BN163" s="2258"/>
      <c r="BO163" s="2258"/>
      <c r="BP163" s="2258"/>
      <c r="BQ163" s="2258"/>
      <c r="BR163" s="2258"/>
      <c r="BS163" s="2258"/>
      <c r="BT163" s="2258"/>
      <c r="BU163" s="2258"/>
      <c r="BV163" s="2258"/>
      <c r="BW163" s="2258"/>
      <c r="BX163" s="2258"/>
      <c r="BY163" s="2258"/>
      <c r="BZ163" s="2258"/>
      <c r="CA163" s="2258"/>
      <c r="CB163" s="2258"/>
      <c r="CC163" s="2259"/>
    </row>
    <row r="164" spans="1:81" ht="15" customHeight="1" thickTop="1">
      <c r="B164" s="4"/>
    </row>
    <row r="165" spans="1:81" ht="23.25">
      <c r="A165" s="37" t="s">
        <v>43</v>
      </c>
    </row>
    <row r="166" spans="1:81" ht="15" customHeight="1" thickBot="1">
      <c r="B166" s="3"/>
    </row>
    <row r="167" spans="1:81" ht="15" customHeight="1" thickTop="1">
      <c r="A167" s="1915" t="s">
        <v>44</v>
      </c>
      <c r="B167" s="1916"/>
      <c r="C167" s="1916"/>
      <c r="D167" s="1916"/>
      <c r="E167" s="1916"/>
      <c r="F167" s="1916"/>
      <c r="G167" s="1916"/>
      <c r="H167" s="1916"/>
      <c r="I167" s="1916"/>
      <c r="J167" s="1916"/>
      <c r="K167" s="1916"/>
      <c r="L167" s="1916"/>
      <c r="M167" s="1916"/>
      <c r="N167" s="1916"/>
      <c r="O167" s="1916"/>
      <c r="P167" s="1916"/>
      <c r="Q167" s="1916" t="s">
        <v>1</v>
      </c>
      <c r="R167" s="1916"/>
      <c r="S167" s="1916"/>
      <c r="T167" s="1916"/>
      <c r="U167" s="1916"/>
      <c r="V167" s="1916"/>
      <c r="W167" s="1916"/>
      <c r="X167" s="1916"/>
      <c r="Y167" s="1916"/>
      <c r="Z167" s="1916"/>
      <c r="AA167" s="1916"/>
      <c r="AB167" s="1916" t="s">
        <v>14</v>
      </c>
      <c r="AC167" s="1916"/>
      <c r="AD167" s="1916"/>
      <c r="AE167" s="1916"/>
      <c r="AF167" s="1916"/>
      <c r="AG167" s="1916"/>
      <c r="AH167" s="1916"/>
      <c r="AI167" s="1916"/>
      <c r="AJ167" s="1916"/>
      <c r="AK167" s="1916"/>
      <c r="AL167" s="1916" t="s">
        <v>12</v>
      </c>
      <c r="AM167" s="1916"/>
      <c r="AN167" s="1916"/>
      <c r="AO167" s="1916"/>
      <c r="AP167" s="1916"/>
      <c r="AQ167" s="1916"/>
      <c r="AR167" s="1916"/>
      <c r="AS167" s="1916"/>
      <c r="AT167" s="1916"/>
      <c r="AU167" s="1916"/>
      <c r="AV167" s="1916"/>
      <c r="AW167" s="1916"/>
      <c r="AX167" s="1916"/>
      <c r="AY167" s="1916"/>
      <c r="AZ167" s="1916"/>
      <c r="BA167" s="1916"/>
      <c r="BB167" s="1916"/>
      <c r="BC167" s="1916"/>
      <c r="BD167" s="1916"/>
      <c r="BE167" s="1916"/>
      <c r="BF167" s="1916"/>
      <c r="BG167" s="1916"/>
      <c r="BH167" s="1916"/>
      <c r="BI167" s="1916"/>
      <c r="BJ167" s="1916"/>
      <c r="BK167" s="1916"/>
      <c r="BL167" s="1916"/>
      <c r="BM167" s="1916"/>
      <c r="BN167" s="1916"/>
      <c r="BO167" s="1916"/>
      <c r="BP167" s="1916"/>
      <c r="BQ167" s="1916"/>
      <c r="BR167" s="1916"/>
      <c r="BS167" s="1916"/>
      <c r="BT167" s="1916"/>
      <c r="BU167" s="1916"/>
      <c r="BV167" s="1916"/>
      <c r="BW167" s="1916"/>
      <c r="BX167" s="1916"/>
      <c r="BY167" s="1916"/>
      <c r="BZ167" s="1916"/>
      <c r="CA167" s="1916"/>
      <c r="CB167" s="1916"/>
      <c r="CC167" s="1922"/>
    </row>
    <row r="168" spans="1:81" ht="15" customHeight="1">
      <c r="A168" s="1917"/>
      <c r="B168" s="1918"/>
      <c r="C168" s="1918"/>
      <c r="D168" s="1918"/>
      <c r="E168" s="1918"/>
      <c r="F168" s="1918"/>
      <c r="G168" s="1918"/>
      <c r="H168" s="1918"/>
      <c r="I168" s="1918"/>
      <c r="J168" s="1918"/>
      <c r="K168" s="1918"/>
      <c r="L168" s="1918"/>
      <c r="M168" s="1918"/>
      <c r="N168" s="1918"/>
      <c r="O168" s="1918"/>
      <c r="P168" s="1918"/>
      <c r="Q168" s="1918"/>
      <c r="R168" s="1918"/>
      <c r="S168" s="1918"/>
      <c r="T168" s="1918"/>
      <c r="U168" s="1918"/>
      <c r="V168" s="1918"/>
      <c r="W168" s="1918"/>
      <c r="X168" s="1918"/>
      <c r="Y168" s="1918"/>
      <c r="Z168" s="1918"/>
      <c r="AA168" s="1918"/>
      <c r="AB168" s="1918"/>
      <c r="AC168" s="1918"/>
      <c r="AD168" s="1918"/>
      <c r="AE168" s="1918"/>
      <c r="AF168" s="1918"/>
      <c r="AG168" s="1918"/>
      <c r="AH168" s="1918"/>
      <c r="AI168" s="1918"/>
      <c r="AJ168" s="1918"/>
      <c r="AK168" s="1918"/>
      <c r="AL168" s="1918" t="s">
        <v>8</v>
      </c>
      <c r="AM168" s="1918"/>
      <c r="AN168" s="1918"/>
      <c r="AO168" s="1918"/>
      <c r="AP168" s="1918"/>
      <c r="AQ168" s="1918"/>
      <c r="AR168" s="1918"/>
      <c r="AS168" s="1918"/>
      <c r="AT168" s="1918"/>
      <c r="AU168" s="1918"/>
      <c r="AV168" s="1918"/>
      <c r="AW168" s="1918" t="s">
        <v>45</v>
      </c>
      <c r="AX168" s="1918"/>
      <c r="AY168" s="1918"/>
      <c r="AZ168" s="1918"/>
      <c r="BA168" s="1918"/>
      <c r="BB168" s="1918"/>
      <c r="BC168" s="1918"/>
      <c r="BD168" s="1918"/>
      <c r="BE168" s="1918" t="s">
        <v>46</v>
      </c>
      <c r="BF168" s="1918"/>
      <c r="BG168" s="1918"/>
      <c r="BH168" s="1918"/>
      <c r="BI168" s="1918"/>
      <c r="BJ168" s="1918"/>
      <c r="BK168" s="1918"/>
      <c r="BL168" s="1918"/>
      <c r="BM168" s="1918" t="s">
        <v>47</v>
      </c>
      <c r="BN168" s="1918"/>
      <c r="BO168" s="1918"/>
      <c r="BP168" s="1918"/>
      <c r="BQ168" s="1918"/>
      <c r="BR168" s="1918"/>
      <c r="BS168" s="1918"/>
      <c r="BT168" s="1918"/>
      <c r="BU168" s="1918" t="s">
        <v>48</v>
      </c>
      <c r="BV168" s="1918"/>
      <c r="BW168" s="1918"/>
      <c r="BX168" s="1918"/>
      <c r="BY168" s="1918"/>
      <c r="BZ168" s="1918"/>
      <c r="CA168" s="1918"/>
      <c r="CB168" s="1918"/>
      <c r="CC168" s="2260"/>
    </row>
    <row r="169" spans="1:81" ht="20.100000000000001" customHeight="1">
      <c r="A169" s="2253" t="s">
        <v>143</v>
      </c>
      <c r="B169" s="2254"/>
      <c r="C169" s="2254"/>
      <c r="D169" s="2254"/>
      <c r="E169" s="2254"/>
      <c r="F169" s="2254"/>
      <c r="G169" s="2254"/>
      <c r="H169" s="2254"/>
      <c r="I169" s="2255"/>
      <c r="J169" s="2255"/>
      <c r="K169" s="2255"/>
      <c r="L169" s="2255"/>
      <c r="M169" s="2255"/>
      <c r="N169" s="2255"/>
      <c r="O169" s="2255"/>
      <c r="P169" s="2255"/>
      <c r="Q169" s="2256"/>
      <c r="R169" s="2256"/>
      <c r="S169" s="2256"/>
      <c r="T169" s="2256"/>
      <c r="U169" s="2256"/>
      <c r="V169" s="2256"/>
      <c r="W169" s="2256"/>
      <c r="X169" s="2256"/>
      <c r="Y169" s="2256"/>
      <c r="Z169" s="2256"/>
      <c r="AA169" s="2256"/>
      <c r="AB169" s="2256"/>
      <c r="AC169" s="2256"/>
      <c r="AD169" s="2256"/>
      <c r="AE169" s="2256"/>
      <c r="AF169" s="2256"/>
      <c r="AG169" s="2256"/>
      <c r="AH169" s="2256"/>
      <c r="AI169" s="2256"/>
      <c r="AJ169" s="2256"/>
      <c r="AK169" s="2256"/>
      <c r="AL169" s="2247"/>
      <c r="AM169" s="2247"/>
      <c r="AN169" s="2247"/>
      <c r="AO169" s="2247"/>
      <c r="AP169" s="2247"/>
      <c r="AQ169" s="2247"/>
      <c r="AR169" s="2247"/>
      <c r="AS169" s="2247"/>
      <c r="AT169" s="2247"/>
      <c r="AU169" s="2247"/>
      <c r="AV169" s="2247"/>
      <c r="AW169" s="2247"/>
      <c r="AX169" s="2247"/>
      <c r="AY169" s="2247"/>
      <c r="AZ169" s="2247"/>
      <c r="BA169" s="2247"/>
      <c r="BB169" s="2247"/>
      <c r="BC169" s="2247"/>
      <c r="BD169" s="2247"/>
      <c r="BE169" s="2247"/>
      <c r="BF169" s="2247"/>
      <c r="BG169" s="2247"/>
      <c r="BH169" s="2247"/>
      <c r="BI169" s="2247"/>
      <c r="BJ169" s="2247"/>
      <c r="BK169" s="2247"/>
      <c r="BL169" s="2247"/>
      <c r="BM169" s="2247"/>
      <c r="BN169" s="2247"/>
      <c r="BO169" s="2247"/>
      <c r="BP169" s="2247"/>
      <c r="BQ169" s="2247"/>
      <c r="BR169" s="2247"/>
      <c r="BS169" s="2247"/>
      <c r="BT169" s="2247"/>
      <c r="BU169" s="2247"/>
      <c r="BV169" s="2247"/>
      <c r="BW169" s="2247"/>
      <c r="BX169" s="2247"/>
      <c r="BY169" s="2247"/>
      <c r="BZ169" s="2247"/>
      <c r="CA169" s="2247"/>
      <c r="CB169" s="2247"/>
      <c r="CC169" s="2248"/>
    </row>
    <row r="170" spans="1:81" ht="20.100000000000001" customHeight="1">
      <c r="A170" s="2249" t="s">
        <v>144</v>
      </c>
      <c r="B170" s="2250"/>
      <c r="C170" s="2250"/>
      <c r="D170" s="2250"/>
      <c r="E170" s="2250"/>
      <c r="F170" s="2250"/>
      <c r="G170" s="2250"/>
      <c r="H170" s="2250"/>
      <c r="I170" s="2251"/>
      <c r="J170" s="2251"/>
      <c r="K170" s="2251"/>
      <c r="L170" s="2251"/>
      <c r="M170" s="2251"/>
      <c r="N170" s="2251"/>
      <c r="O170" s="2251"/>
      <c r="P170" s="2251"/>
      <c r="Q170" s="2252"/>
      <c r="R170" s="2252"/>
      <c r="S170" s="2252"/>
      <c r="T170" s="2252"/>
      <c r="U170" s="2252"/>
      <c r="V170" s="2252"/>
      <c r="W170" s="2252"/>
      <c r="X170" s="2252"/>
      <c r="Y170" s="2252"/>
      <c r="Z170" s="2252"/>
      <c r="AA170" s="2252"/>
      <c r="AB170" s="2252"/>
      <c r="AC170" s="2252"/>
      <c r="AD170" s="2252"/>
      <c r="AE170" s="2252"/>
      <c r="AF170" s="2252"/>
      <c r="AG170" s="2252"/>
      <c r="AH170" s="2252"/>
      <c r="AI170" s="2252"/>
      <c r="AJ170" s="2252"/>
      <c r="AK170" s="2252"/>
      <c r="AL170" s="2241"/>
      <c r="AM170" s="2241"/>
      <c r="AN170" s="2241"/>
      <c r="AO170" s="2241"/>
      <c r="AP170" s="2241"/>
      <c r="AQ170" s="2241"/>
      <c r="AR170" s="2241"/>
      <c r="AS170" s="2241"/>
      <c r="AT170" s="2241"/>
      <c r="AU170" s="2241"/>
      <c r="AV170" s="2241"/>
      <c r="AW170" s="2241"/>
      <c r="AX170" s="2241"/>
      <c r="AY170" s="2241"/>
      <c r="AZ170" s="2241"/>
      <c r="BA170" s="2241"/>
      <c r="BB170" s="2241"/>
      <c r="BC170" s="2241"/>
      <c r="BD170" s="2241"/>
      <c r="BE170" s="2241"/>
      <c r="BF170" s="2241"/>
      <c r="BG170" s="2241"/>
      <c r="BH170" s="2241"/>
      <c r="BI170" s="2241"/>
      <c r="BJ170" s="2241"/>
      <c r="BK170" s="2241"/>
      <c r="BL170" s="2241"/>
      <c r="BM170" s="2241"/>
      <c r="BN170" s="2241"/>
      <c r="BO170" s="2241"/>
      <c r="BP170" s="2241"/>
      <c r="BQ170" s="2241"/>
      <c r="BR170" s="2241"/>
      <c r="BS170" s="2241"/>
      <c r="BT170" s="2241"/>
      <c r="BU170" s="2241"/>
      <c r="BV170" s="2241"/>
      <c r="BW170" s="2241"/>
      <c r="BX170" s="2241"/>
      <c r="BY170" s="2241"/>
      <c r="BZ170" s="2241"/>
      <c r="CA170" s="2241"/>
      <c r="CB170" s="2241"/>
      <c r="CC170" s="2242"/>
    </row>
    <row r="171" spans="1:81" ht="20.100000000000001" customHeight="1" thickBot="1">
      <c r="A171" s="2243" t="s">
        <v>145</v>
      </c>
      <c r="B171" s="2244"/>
      <c r="C171" s="2244"/>
      <c r="D171" s="2244"/>
      <c r="E171" s="2244"/>
      <c r="F171" s="2244"/>
      <c r="G171" s="2244"/>
      <c r="H171" s="2244"/>
      <c r="I171" s="2245"/>
      <c r="J171" s="2245"/>
      <c r="K171" s="2245"/>
      <c r="L171" s="2245"/>
      <c r="M171" s="2245"/>
      <c r="N171" s="2245"/>
      <c r="O171" s="2245"/>
      <c r="P171" s="2245"/>
      <c r="Q171" s="2246"/>
      <c r="R171" s="2246"/>
      <c r="S171" s="2246"/>
      <c r="T171" s="2246"/>
      <c r="U171" s="2246"/>
      <c r="V171" s="2246"/>
      <c r="W171" s="2246"/>
      <c r="X171" s="2246"/>
      <c r="Y171" s="2246"/>
      <c r="Z171" s="2246"/>
      <c r="AA171" s="2246"/>
      <c r="AB171" s="2246"/>
      <c r="AC171" s="2246"/>
      <c r="AD171" s="2246"/>
      <c r="AE171" s="2246"/>
      <c r="AF171" s="2246"/>
      <c r="AG171" s="2246"/>
      <c r="AH171" s="2246"/>
      <c r="AI171" s="2246"/>
      <c r="AJ171" s="2246"/>
      <c r="AK171" s="2246"/>
      <c r="AL171" s="2236"/>
      <c r="AM171" s="2236"/>
      <c r="AN171" s="2236"/>
      <c r="AO171" s="2236"/>
      <c r="AP171" s="2236"/>
      <c r="AQ171" s="2236"/>
      <c r="AR171" s="2236"/>
      <c r="AS171" s="2236"/>
      <c r="AT171" s="2236"/>
      <c r="AU171" s="2236"/>
      <c r="AV171" s="2236"/>
      <c r="AW171" s="2236"/>
      <c r="AX171" s="2236"/>
      <c r="AY171" s="2236"/>
      <c r="AZ171" s="2236"/>
      <c r="BA171" s="2236"/>
      <c r="BB171" s="2236"/>
      <c r="BC171" s="2236"/>
      <c r="BD171" s="2236"/>
      <c r="BE171" s="2236"/>
      <c r="BF171" s="2236"/>
      <c r="BG171" s="2236"/>
      <c r="BH171" s="2236"/>
      <c r="BI171" s="2236"/>
      <c r="BJ171" s="2236"/>
      <c r="BK171" s="2236"/>
      <c r="BL171" s="2236"/>
      <c r="BM171" s="2236"/>
      <c r="BN171" s="2236"/>
      <c r="BO171" s="2236"/>
      <c r="BP171" s="2236"/>
      <c r="BQ171" s="2236"/>
      <c r="BR171" s="2236"/>
      <c r="BS171" s="2236"/>
      <c r="BT171" s="2236"/>
      <c r="BU171" s="2236"/>
      <c r="BV171" s="2236"/>
      <c r="BW171" s="2236"/>
      <c r="BX171" s="2236"/>
      <c r="BY171" s="2236"/>
      <c r="BZ171" s="2236"/>
      <c r="CA171" s="2236"/>
      <c r="CB171" s="2236"/>
      <c r="CC171" s="2237"/>
    </row>
    <row r="172" spans="1:81" ht="15" customHeight="1" thickTop="1">
      <c r="B172" s="3"/>
    </row>
    <row r="173" spans="1:81" ht="23.25">
      <c r="A173" s="37" t="s">
        <v>171</v>
      </c>
      <c r="B173" s="3"/>
    </row>
    <row r="174" spans="1:81" ht="15" customHeight="1">
      <c r="B174" s="3"/>
    </row>
    <row r="175" spans="1:81" s="8" customFormat="1" ht="23.25">
      <c r="A175" s="37" t="s">
        <v>49</v>
      </c>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row>
    <row r="176" spans="1:81" ht="15" customHeight="1">
      <c r="A176" s="23" t="s">
        <v>50</v>
      </c>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row>
    <row r="177" spans="1:81" ht="15" customHeight="1" thickBot="1"/>
    <row r="178" spans="1:81" ht="30" customHeight="1" thickTop="1">
      <c r="A178" s="2238" t="s">
        <v>54</v>
      </c>
      <c r="B178" s="2239"/>
      <c r="C178" s="2239"/>
      <c r="D178" s="2239" t="s">
        <v>147</v>
      </c>
      <c r="E178" s="2239"/>
      <c r="F178" s="2239"/>
      <c r="G178" s="2239"/>
      <c r="H178" s="2239"/>
      <c r="I178" s="2239"/>
      <c r="J178" s="2239"/>
      <c r="K178" s="2239"/>
      <c r="L178" s="2239"/>
      <c r="M178" s="2239"/>
      <c r="N178" s="2239"/>
      <c r="O178" s="2239"/>
      <c r="P178" s="2239"/>
      <c r="Q178" s="2239"/>
      <c r="R178" s="2239"/>
      <c r="S178" s="2239"/>
      <c r="T178" s="2239"/>
      <c r="U178" s="2239"/>
      <c r="V178" s="2239"/>
      <c r="W178" s="2239"/>
      <c r="X178" s="2239"/>
      <c r="Y178" s="2239"/>
      <c r="Z178" s="2239"/>
      <c r="AA178" s="2239"/>
      <c r="AB178" s="2239"/>
      <c r="AC178" s="2239"/>
      <c r="AD178" s="2239"/>
      <c r="AE178" s="2239"/>
      <c r="AF178" s="2239"/>
      <c r="AG178" s="2239"/>
      <c r="AH178" s="2239"/>
      <c r="AI178" s="2239"/>
      <c r="AJ178" s="2239"/>
      <c r="AK178" s="2239"/>
      <c r="AL178" s="2239"/>
      <c r="AM178" s="2239"/>
      <c r="AN178" s="2239"/>
      <c r="AO178" s="2239"/>
      <c r="AP178" s="2239"/>
      <c r="AQ178" s="2239"/>
      <c r="AR178" s="2239"/>
      <c r="AS178" s="2239"/>
      <c r="AT178" s="2239" t="s">
        <v>148</v>
      </c>
      <c r="AU178" s="2239"/>
      <c r="AV178" s="2239"/>
      <c r="AW178" s="2239"/>
      <c r="AX178" s="2239"/>
      <c r="AY178" s="2239"/>
      <c r="AZ178" s="2239"/>
      <c r="BA178" s="2239"/>
      <c r="BB178" s="2239"/>
      <c r="BC178" s="2239"/>
      <c r="BD178" s="2239"/>
      <c r="BE178" s="2239"/>
      <c r="BF178" s="2239"/>
      <c r="BG178" s="2239"/>
      <c r="BH178" s="2239"/>
      <c r="BI178" s="2239" t="s">
        <v>62</v>
      </c>
      <c r="BJ178" s="2239"/>
      <c r="BK178" s="2239"/>
      <c r="BL178" s="2239"/>
      <c r="BM178" s="2239"/>
      <c r="BN178" s="2239"/>
      <c r="BO178" s="2239"/>
      <c r="BP178" s="2239"/>
      <c r="BQ178" s="2239"/>
      <c r="BR178" s="2239"/>
      <c r="BS178" s="2239"/>
      <c r="BT178" s="2239"/>
      <c r="BU178" s="2239"/>
      <c r="BV178" s="2239"/>
      <c r="BW178" s="2239"/>
      <c r="BX178" s="2239"/>
      <c r="BY178" s="2239"/>
      <c r="BZ178" s="2239"/>
      <c r="CA178" s="2239"/>
      <c r="CB178" s="2239"/>
      <c r="CC178" s="2240"/>
    </row>
    <row r="179" spans="1:81" s="10" customFormat="1" ht="20.100000000000001" customHeight="1">
      <c r="A179" s="2209"/>
      <c r="B179" s="2207"/>
      <c r="C179" s="2207"/>
      <c r="D179" s="2234"/>
      <c r="E179" s="2234"/>
      <c r="F179" s="2234"/>
      <c r="G179" s="2234"/>
      <c r="H179" s="2234"/>
      <c r="I179" s="2234"/>
      <c r="J179" s="2234"/>
      <c r="K179" s="2234"/>
      <c r="L179" s="2234"/>
      <c r="M179" s="2234"/>
      <c r="N179" s="2234"/>
      <c r="O179" s="2234"/>
      <c r="P179" s="2234"/>
      <c r="Q179" s="2234"/>
      <c r="R179" s="2234"/>
      <c r="S179" s="2234"/>
      <c r="T179" s="2234"/>
      <c r="U179" s="2234"/>
      <c r="V179" s="2234"/>
      <c r="W179" s="2234"/>
      <c r="X179" s="2234"/>
      <c r="Y179" s="2234"/>
      <c r="Z179" s="2234"/>
      <c r="AA179" s="2234"/>
      <c r="AB179" s="2234"/>
      <c r="AC179" s="2234"/>
      <c r="AD179" s="2234"/>
      <c r="AE179" s="2234"/>
      <c r="AF179" s="2234"/>
      <c r="AG179" s="2234"/>
      <c r="AH179" s="2234"/>
      <c r="AI179" s="2234"/>
      <c r="AJ179" s="2234"/>
      <c r="AK179" s="2234"/>
      <c r="AL179" s="2234"/>
      <c r="AM179" s="2234"/>
      <c r="AN179" s="2234"/>
      <c r="AO179" s="2234"/>
      <c r="AP179" s="2234"/>
      <c r="AQ179" s="2234"/>
      <c r="AR179" s="2234"/>
      <c r="AS179" s="2234"/>
      <c r="AT179" s="2235"/>
      <c r="AU179" s="2235"/>
      <c r="AV179" s="2235"/>
      <c r="AW179" s="2235"/>
      <c r="AX179" s="2235"/>
      <c r="AY179" s="2235"/>
      <c r="AZ179" s="2235"/>
      <c r="BA179" s="2235"/>
      <c r="BB179" s="2235"/>
      <c r="BC179" s="2235"/>
      <c r="BD179" s="2235"/>
      <c r="BE179" s="2235"/>
      <c r="BF179" s="2235"/>
      <c r="BG179" s="2235"/>
      <c r="BH179" s="2235"/>
      <c r="BI179" s="2207"/>
      <c r="BJ179" s="2207"/>
      <c r="BK179" s="2207"/>
      <c r="BL179" s="2207"/>
      <c r="BM179" s="2207"/>
      <c r="BN179" s="2207"/>
      <c r="BO179" s="2207"/>
      <c r="BP179" s="2207"/>
      <c r="BQ179" s="2207"/>
      <c r="BR179" s="2207"/>
      <c r="BS179" s="2207"/>
      <c r="BT179" s="2207"/>
      <c r="BU179" s="2207"/>
      <c r="BV179" s="2207"/>
      <c r="BW179" s="2207"/>
      <c r="BX179" s="2207"/>
      <c r="BY179" s="2207"/>
      <c r="BZ179" s="2207"/>
      <c r="CA179" s="2207"/>
      <c r="CB179" s="2207"/>
      <c r="CC179" s="2208"/>
    </row>
    <row r="180" spans="1:81" s="10" customFormat="1" ht="20.100000000000001" customHeight="1">
      <c r="A180" s="2215"/>
      <c r="B180" s="2213"/>
      <c r="C180" s="2213"/>
      <c r="D180" s="2227"/>
      <c r="E180" s="2227"/>
      <c r="F180" s="2227"/>
      <c r="G180" s="2227"/>
      <c r="H180" s="2227"/>
      <c r="I180" s="2227"/>
      <c r="J180" s="2227"/>
      <c r="K180" s="2227"/>
      <c r="L180" s="2227"/>
      <c r="M180" s="2227"/>
      <c r="N180" s="2227"/>
      <c r="O180" s="2227"/>
      <c r="P180" s="2227"/>
      <c r="Q180" s="2227"/>
      <c r="R180" s="2227"/>
      <c r="S180" s="2227"/>
      <c r="T180" s="2227"/>
      <c r="U180" s="2227"/>
      <c r="V180" s="2227"/>
      <c r="W180" s="2227"/>
      <c r="X180" s="2227"/>
      <c r="Y180" s="2227"/>
      <c r="Z180" s="2227"/>
      <c r="AA180" s="2227"/>
      <c r="AB180" s="2227"/>
      <c r="AC180" s="2227"/>
      <c r="AD180" s="2227"/>
      <c r="AE180" s="2227"/>
      <c r="AF180" s="2227"/>
      <c r="AG180" s="2227"/>
      <c r="AH180" s="2227"/>
      <c r="AI180" s="2227"/>
      <c r="AJ180" s="2227"/>
      <c r="AK180" s="2227"/>
      <c r="AL180" s="2227"/>
      <c r="AM180" s="2227"/>
      <c r="AN180" s="2227"/>
      <c r="AO180" s="2227"/>
      <c r="AP180" s="2227"/>
      <c r="AQ180" s="2227"/>
      <c r="AR180" s="2227"/>
      <c r="AS180" s="2227"/>
      <c r="AT180" s="2228"/>
      <c r="AU180" s="2228"/>
      <c r="AV180" s="2228"/>
      <c r="AW180" s="2228"/>
      <c r="AX180" s="2228"/>
      <c r="AY180" s="2228"/>
      <c r="AZ180" s="2228"/>
      <c r="BA180" s="2228"/>
      <c r="BB180" s="2228"/>
      <c r="BC180" s="2228"/>
      <c r="BD180" s="2228"/>
      <c r="BE180" s="2228"/>
      <c r="BF180" s="2228"/>
      <c r="BG180" s="2228"/>
      <c r="BH180" s="2228"/>
      <c r="BI180" s="2213"/>
      <c r="BJ180" s="2213"/>
      <c r="BK180" s="2213"/>
      <c r="BL180" s="2213"/>
      <c r="BM180" s="2213"/>
      <c r="BN180" s="2213"/>
      <c r="BO180" s="2213"/>
      <c r="BP180" s="2213"/>
      <c r="BQ180" s="2213"/>
      <c r="BR180" s="2213"/>
      <c r="BS180" s="2213"/>
      <c r="BT180" s="2213"/>
      <c r="BU180" s="2213"/>
      <c r="BV180" s="2213"/>
      <c r="BW180" s="2213"/>
      <c r="BX180" s="2213"/>
      <c r="BY180" s="2213"/>
      <c r="BZ180" s="2213"/>
      <c r="CA180" s="2213"/>
      <c r="CB180" s="2213"/>
      <c r="CC180" s="2214"/>
    </row>
    <row r="181" spans="1:81" s="10" customFormat="1" ht="20.100000000000001" customHeight="1">
      <c r="A181" s="2209"/>
      <c r="B181" s="2207"/>
      <c r="C181" s="2207"/>
      <c r="D181" s="2234"/>
      <c r="E181" s="2234"/>
      <c r="F181" s="2234"/>
      <c r="G181" s="2234"/>
      <c r="H181" s="2234"/>
      <c r="I181" s="2234"/>
      <c r="J181" s="2234"/>
      <c r="K181" s="2234"/>
      <c r="L181" s="2234"/>
      <c r="M181" s="2234"/>
      <c r="N181" s="2234"/>
      <c r="O181" s="2234"/>
      <c r="P181" s="2234"/>
      <c r="Q181" s="2234"/>
      <c r="R181" s="2234"/>
      <c r="S181" s="2234"/>
      <c r="T181" s="2234"/>
      <c r="U181" s="2234"/>
      <c r="V181" s="2234"/>
      <c r="W181" s="2234"/>
      <c r="X181" s="2234"/>
      <c r="Y181" s="2234"/>
      <c r="Z181" s="2234"/>
      <c r="AA181" s="2234"/>
      <c r="AB181" s="2234"/>
      <c r="AC181" s="2234"/>
      <c r="AD181" s="2234"/>
      <c r="AE181" s="2234"/>
      <c r="AF181" s="2234"/>
      <c r="AG181" s="2234"/>
      <c r="AH181" s="2234"/>
      <c r="AI181" s="2234"/>
      <c r="AJ181" s="2234"/>
      <c r="AK181" s="2234"/>
      <c r="AL181" s="2234"/>
      <c r="AM181" s="2234"/>
      <c r="AN181" s="2234"/>
      <c r="AO181" s="2234"/>
      <c r="AP181" s="2234"/>
      <c r="AQ181" s="2234"/>
      <c r="AR181" s="2234"/>
      <c r="AS181" s="2234"/>
      <c r="AT181" s="2235"/>
      <c r="AU181" s="2235"/>
      <c r="AV181" s="2235"/>
      <c r="AW181" s="2235"/>
      <c r="AX181" s="2235"/>
      <c r="AY181" s="2235"/>
      <c r="AZ181" s="2235"/>
      <c r="BA181" s="2235"/>
      <c r="BB181" s="2235"/>
      <c r="BC181" s="2235"/>
      <c r="BD181" s="2235"/>
      <c r="BE181" s="2235"/>
      <c r="BF181" s="2235"/>
      <c r="BG181" s="2235"/>
      <c r="BH181" s="2235"/>
      <c r="BI181" s="2207"/>
      <c r="BJ181" s="2207"/>
      <c r="BK181" s="2207"/>
      <c r="BL181" s="2207"/>
      <c r="BM181" s="2207"/>
      <c r="BN181" s="2207"/>
      <c r="BO181" s="2207"/>
      <c r="BP181" s="2207"/>
      <c r="BQ181" s="2207"/>
      <c r="BR181" s="2207"/>
      <c r="BS181" s="2207"/>
      <c r="BT181" s="2207"/>
      <c r="BU181" s="2207"/>
      <c r="BV181" s="2207"/>
      <c r="BW181" s="2207"/>
      <c r="BX181" s="2207"/>
      <c r="BY181" s="2207"/>
      <c r="BZ181" s="2207"/>
      <c r="CA181" s="2207"/>
      <c r="CB181" s="2207"/>
      <c r="CC181" s="2208"/>
    </row>
    <row r="182" spans="1:81" s="10" customFormat="1" ht="20.100000000000001" customHeight="1">
      <c r="A182" s="2215"/>
      <c r="B182" s="2213"/>
      <c r="C182" s="2213"/>
      <c r="D182" s="2227"/>
      <c r="E182" s="2227"/>
      <c r="F182" s="2227"/>
      <c r="G182" s="2227"/>
      <c r="H182" s="2227"/>
      <c r="I182" s="2227"/>
      <c r="J182" s="2227"/>
      <c r="K182" s="2227"/>
      <c r="L182" s="2227"/>
      <c r="M182" s="2227"/>
      <c r="N182" s="2227"/>
      <c r="O182" s="2227"/>
      <c r="P182" s="2227"/>
      <c r="Q182" s="2227"/>
      <c r="R182" s="2227"/>
      <c r="S182" s="2227"/>
      <c r="T182" s="2227"/>
      <c r="U182" s="2227"/>
      <c r="V182" s="2227"/>
      <c r="W182" s="2227"/>
      <c r="X182" s="2227"/>
      <c r="Y182" s="2227"/>
      <c r="Z182" s="2227"/>
      <c r="AA182" s="2227"/>
      <c r="AB182" s="2227"/>
      <c r="AC182" s="2227"/>
      <c r="AD182" s="2227"/>
      <c r="AE182" s="2227"/>
      <c r="AF182" s="2227"/>
      <c r="AG182" s="2227"/>
      <c r="AH182" s="2227"/>
      <c r="AI182" s="2227"/>
      <c r="AJ182" s="2227"/>
      <c r="AK182" s="2227"/>
      <c r="AL182" s="2227"/>
      <c r="AM182" s="2227"/>
      <c r="AN182" s="2227"/>
      <c r="AO182" s="2227"/>
      <c r="AP182" s="2227"/>
      <c r="AQ182" s="2227"/>
      <c r="AR182" s="2227"/>
      <c r="AS182" s="2227"/>
      <c r="AT182" s="2228"/>
      <c r="AU182" s="2228"/>
      <c r="AV182" s="2228"/>
      <c r="AW182" s="2228"/>
      <c r="AX182" s="2228"/>
      <c r="AY182" s="2228"/>
      <c r="AZ182" s="2228"/>
      <c r="BA182" s="2228"/>
      <c r="BB182" s="2228"/>
      <c r="BC182" s="2228"/>
      <c r="BD182" s="2228"/>
      <c r="BE182" s="2228"/>
      <c r="BF182" s="2228"/>
      <c r="BG182" s="2228"/>
      <c r="BH182" s="2228"/>
      <c r="BI182" s="2213"/>
      <c r="BJ182" s="2213"/>
      <c r="BK182" s="2213"/>
      <c r="BL182" s="2213"/>
      <c r="BM182" s="2213"/>
      <c r="BN182" s="2213"/>
      <c r="BO182" s="2213"/>
      <c r="BP182" s="2213"/>
      <c r="BQ182" s="2213"/>
      <c r="BR182" s="2213"/>
      <c r="BS182" s="2213"/>
      <c r="BT182" s="2213"/>
      <c r="BU182" s="2213"/>
      <c r="BV182" s="2213"/>
      <c r="BW182" s="2213"/>
      <c r="BX182" s="2213"/>
      <c r="BY182" s="2213"/>
      <c r="BZ182" s="2213"/>
      <c r="CA182" s="2213"/>
      <c r="CB182" s="2213"/>
      <c r="CC182" s="2214"/>
    </row>
    <row r="183" spans="1:81" s="10" customFormat="1" ht="20.100000000000001" customHeight="1">
      <c r="A183" s="2209"/>
      <c r="B183" s="2207"/>
      <c r="C183" s="2207"/>
      <c r="D183" s="2234"/>
      <c r="E183" s="2234"/>
      <c r="F183" s="2234"/>
      <c r="G183" s="2234"/>
      <c r="H183" s="2234"/>
      <c r="I183" s="2234"/>
      <c r="J183" s="2234"/>
      <c r="K183" s="2234"/>
      <c r="L183" s="2234"/>
      <c r="M183" s="2234"/>
      <c r="N183" s="2234"/>
      <c r="O183" s="2234"/>
      <c r="P183" s="2234"/>
      <c r="Q183" s="2234"/>
      <c r="R183" s="2234"/>
      <c r="S183" s="2234"/>
      <c r="T183" s="2234"/>
      <c r="U183" s="2234"/>
      <c r="V183" s="2234"/>
      <c r="W183" s="2234"/>
      <c r="X183" s="2234"/>
      <c r="Y183" s="2234"/>
      <c r="Z183" s="2234"/>
      <c r="AA183" s="2234"/>
      <c r="AB183" s="2234"/>
      <c r="AC183" s="2234"/>
      <c r="AD183" s="2234"/>
      <c r="AE183" s="2234"/>
      <c r="AF183" s="2234"/>
      <c r="AG183" s="2234"/>
      <c r="AH183" s="2234"/>
      <c r="AI183" s="2234"/>
      <c r="AJ183" s="2234"/>
      <c r="AK183" s="2234"/>
      <c r="AL183" s="2234"/>
      <c r="AM183" s="2234"/>
      <c r="AN183" s="2234"/>
      <c r="AO183" s="2234"/>
      <c r="AP183" s="2234"/>
      <c r="AQ183" s="2234"/>
      <c r="AR183" s="2234"/>
      <c r="AS183" s="2234"/>
      <c r="AT183" s="2235"/>
      <c r="AU183" s="2235"/>
      <c r="AV183" s="2235"/>
      <c r="AW183" s="2235"/>
      <c r="AX183" s="2235"/>
      <c r="AY183" s="2235"/>
      <c r="AZ183" s="2235"/>
      <c r="BA183" s="2235"/>
      <c r="BB183" s="2235"/>
      <c r="BC183" s="2235"/>
      <c r="BD183" s="2235"/>
      <c r="BE183" s="2235"/>
      <c r="BF183" s="2235"/>
      <c r="BG183" s="2235"/>
      <c r="BH183" s="2235"/>
      <c r="BI183" s="2207"/>
      <c r="BJ183" s="2207"/>
      <c r="BK183" s="2207"/>
      <c r="BL183" s="2207"/>
      <c r="BM183" s="2207"/>
      <c r="BN183" s="2207"/>
      <c r="BO183" s="2207"/>
      <c r="BP183" s="2207"/>
      <c r="BQ183" s="2207"/>
      <c r="BR183" s="2207"/>
      <c r="BS183" s="2207"/>
      <c r="BT183" s="2207"/>
      <c r="BU183" s="2207"/>
      <c r="BV183" s="2207"/>
      <c r="BW183" s="2207"/>
      <c r="BX183" s="2207"/>
      <c r="BY183" s="2207"/>
      <c r="BZ183" s="2207"/>
      <c r="CA183" s="2207"/>
      <c r="CB183" s="2207"/>
      <c r="CC183" s="2208"/>
    </row>
    <row r="184" spans="1:81" s="10" customFormat="1" ht="20.100000000000001" customHeight="1">
      <c r="A184" s="2215"/>
      <c r="B184" s="2213"/>
      <c r="C184" s="2213"/>
      <c r="D184" s="2227"/>
      <c r="E184" s="2227"/>
      <c r="F184" s="2227"/>
      <c r="G184" s="2227"/>
      <c r="H184" s="2227"/>
      <c r="I184" s="2227"/>
      <c r="J184" s="2227"/>
      <c r="K184" s="2227"/>
      <c r="L184" s="2227"/>
      <c r="M184" s="2227"/>
      <c r="N184" s="2227"/>
      <c r="O184" s="2227"/>
      <c r="P184" s="2227"/>
      <c r="Q184" s="2227"/>
      <c r="R184" s="2227"/>
      <c r="S184" s="2227"/>
      <c r="T184" s="2227"/>
      <c r="U184" s="2227"/>
      <c r="V184" s="2227"/>
      <c r="W184" s="2227"/>
      <c r="X184" s="2227"/>
      <c r="Y184" s="2227"/>
      <c r="Z184" s="2227"/>
      <c r="AA184" s="2227"/>
      <c r="AB184" s="2227"/>
      <c r="AC184" s="2227"/>
      <c r="AD184" s="2227"/>
      <c r="AE184" s="2227"/>
      <c r="AF184" s="2227"/>
      <c r="AG184" s="2227"/>
      <c r="AH184" s="2227"/>
      <c r="AI184" s="2227"/>
      <c r="AJ184" s="2227"/>
      <c r="AK184" s="2227"/>
      <c r="AL184" s="2227"/>
      <c r="AM184" s="2227"/>
      <c r="AN184" s="2227"/>
      <c r="AO184" s="2227"/>
      <c r="AP184" s="2227"/>
      <c r="AQ184" s="2227"/>
      <c r="AR184" s="2227"/>
      <c r="AS184" s="2227"/>
      <c r="AT184" s="2228"/>
      <c r="AU184" s="2228"/>
      <c r="AV184" s="2228"/>
      <c r="AW184" s="2228"/>
      <c r="AX184" s="2228"/>
      <c r="AY184" s="2228"/>
      <c r="AZ184" s="2228"/>
      <c r="BA184" s="2228"/>
      <c r="BB184" s="2228"/>
      <c r="BC184" s="2228"/>
      <c r="BD184" s="2228"/>
      <c r="BE184" s="2228"/>
      <c r="BF184" s="2228"/>
      <c r="BG184" s="2228"/>
      <c r="BH184" s="2228"/>
      <c r="BI184" s="2213"/>
      <c r="BJ184" s="2213"/>
      <c r="BK184" s="2213"/>
      <c r="BL184" s="2213"/>
      <c r="BM184" s="2213"/>
      <c r="BN184" s="2213"/>
      <c r="BO184" s="2213"/>
      <c r="BP184" s="2213"/>
      <c r="BQ184" s="2213"/>
      <c r="BR184" s="2213"/>
      <c r="BS184" s="2213"/>
      <c r="BT184" s="2213"/>
      <c r="BU184" s="2213"/>
      <c r="BV184" s="2213"/>
      <c r="BW184" s="2213"/>
      <c r="BX184" s="2213"/>
      <c r="BY184" s="2213"/>
      <c r="BZ184" s="2213"/>
      <c r="CA184" s="2213"/>
      <c r="CB184" s="2213"/>
      <c r="CC184" s="2214"/>
    </row>
    <row r="185" spans="1:81" s="10" customFormat="1" ht="20.100000000000001" customHeight="1">
      <c r="A185" s="2209"/>
      <c r="B185" s="2207"/>
      <c r="C185" s="2207"/>
      <c r="D185" s="2234"/>
      <c r="E185" s="2234"/>
      <c r="F185" s="2234"/>
      <c r="G185" s="2234"/>
      <c r="H185" s="2234"/>
      <c r="I185" s="2234"/>
      <c r="J185" s="2234"/>
      <c r="K185" s="2234"/>
      <c r="L185" s="2234"/>
      <c r="M185" s="2234"/>
      <c r="N185" s="2234"/>
      <c r="O185" s="2234"/>
      <c r="P185" s="2234"/>
      <c r="Q185" s="2234"/>
      <c r="R185" s="2234"/>
      <c r="S185" s="2234"/>
      <c r="T185" s="2234"/>
      <c r="U185" s="2234"/>
      <c r="V185" s="2234"/>
      <c r="W185" s="2234"/>
      <c r="X185" s="2234"/>
      <c r="Y185" s="2234"/>
      <c r="Z185" s="2234"/>
      <c r="AA185" s="2234"/>
      <c r="AB185" s="2234"/>
      <c r="AC185" s="2234"/>
      <c r="AD185" s="2234"/>
      <c r="AE185" s="2234"/>
      <c r="AF185" s="2234"/>
      <c r="AG185" s="2234"/>
      <c r="AH185" s="2234"/>
      <c r="AI185" s="2234"/>
      <c r="AJ185" s="2234"/>
      <c r="AK185" s="2234"/>
      <c r="AL185" s="2234"/>
      <c r="AM185" s="2234"/>
      <c r="AN185" s="2234"/>
      <c r="AO185" s="2234"/>
      <c r="AP185" s="2234"/>
      <c r="AQ185" s="2234"/>
      <c r="AR185" s="2234"/>
      <c r="AS185" s="2234"/>
      <c r="AT185" s="2235"/>
      <c r="AU185" s="2235"/>
      <c r="AV185" s="2235"/>
      <c r="AW185" s="2235"/>
      <c r="AX185" s="2235"/>
      <c r="AY185" s="2235"/>
      <c r="AZ185" s="2235"/>
      <c r="BA185" s="2235"/>
      <c r="BB185" s="2235"/>
      <c r="BC185" s="2235"/>
      <c r="BD185" s="2235"/>
      <c r="BE185" s="2235"/>
      <c r="BF185" s="2235"/>
      <c r="BG185" s="2235"/>
      <c r="BH185" s="2235"/>
      <c r="BI185" s="2207"/>
      <c r="BJ185" s="2207"/>
      <c r="BK185" s="2207"/>
      <c r="BL185" s="2207"/>
      <c r="BM185" s="2207"/>
      <c r="BN185" s="2207"/>
      <c r="BO185" s="2207"/>
      <c r="BP185" s="2207"/>
      <c r="BQ185" s="2207"/>
      <c r="BR185" s="2207"/>
      <c r="BS185" s="2207"/>
      <c r="BT185" s="2207"/>
      <c r="BU185" s="2207"/>
      <c r="BV185" s="2207"/>
      <c r="BW185" s="2207"/>
      <c r="BX185" s="2207"/>
      <c r="BY185" s="2207"/>
      <c r="BZ185" s="2207"/>
      <c r="CA185" s="2207"/>
      <c r="CB185" s="2207"/>
      <c r="CC185" s="2208"/>
    </row>
    <row r="186" spans="1:81" s="10" customFormat="1" ht="20.100000000000001" customHeight="1">
      <c r="A186" s="2215"/>
      <c r="B186" s="2213"/>
      <c r="C186" s="2213"/>
      <c r="D186" s="2227"/>
      <c r="E186" s="2227"/>
      <c r="F186" s="2227"/>
      <c r="G186" s="2227"/>
      <c r="H186" s="2227"/>
      <c r="I186" s="2227"/>
      <c r="J186" s="2227"/>
      <c r="K186" s="2227"/>
      <c r="L186" s="2227"/>
      <c r="M186" s="2227"/>
      <c r="N186" s="2227"/>
      <c r="O186" s="2227"/>
      <c r="P186" s="2227"/>
      <c r="Q186" s="2227"/>
      <c r="R186" s="2227"/>
      <c r="S186" s="2227"/>
      <c r="T186" s="2227"/>
      <c r="U186" s="2227"/>
      <c r="V186" s="2227"/>
      <c r="W186" s="2227"/>
      <c r="X186" s="2227"/>
      <c r="Y186" s="2227"/>
      <c r="Z186" s="2227"/>
      <c r="AA186" s="2227"/>
      <c r="AB186" s="2227"/>
      <c r="AC186" s="2227"/>
      <c r="AD186" s="2227"/>
      <c r="AE186" s="2227"/>
      <c r="AF186" s="2227"/>
      <c r="AG186" s="2227"/>
      <c r="AH186" s="2227"/>
      <c r="AI186" s="2227"/>
      <c r="AJ186" s="2227"/>
      <c r="AK186" s="2227"/>
      <c r="AL186" s="2227"/>
      <c r="AM186" s="2227"/>
      <c r="AN186" s="2227"/>
      <c r="AO186" s="2227"/>
      <c r="AP186" s="2227"/>
      <c r="AQ186" s="2227"/>
      <c r="AR186" s="2227"/>
      <c r="AS186" s="2227"/>
      <c r="AT186" s="2228"/>
      <c r="AU186" s="2228"/>
      <c r="AV186" s="2228"/>
      <c r="AW186" s="2228"/>
      <c r="AX186" s="2228"/>
      <c r="AY186" s="2228"/>
      <c r="AZ186" s="2228"/>
      <c r="BA186" s="2228"/>
      <c r="BB186" s="2228"/>
      <c r="BC186" s="2228"/>
      <c r="BD186" s="2228"/>
      <c r="BE186" s="2228"/>
      <c r="BF186" s="2228"/>
      <c r="BG186" s="2228"/>
      <c r="BH186" s="2228"/>
      <c r="BI186" s="2213"/>
      <c r="BJ186" s="2213"/>
      <c r="BK186" s="2213"/>
      <c r="BL186" s="2213"/>
      <c r="BM186" s="2213"/>
      <c r="BN186" s="2213"/>
      <c r="BO186" s="2213"/>
      <c r="BP186" s="2213"/>
      <c r="BQ186" s="2213"/>
      <c r="BR186" s="2213"/>
      <c r="BS186" s="2213"/>
      <c r="BT186" s="2213"/>
      <c r="BU186" s="2213"/>
      <c r="BV186" s="2213"/>
      <c r="BW186" s="2213"/>
      <c r="BX186" s="2213"/>
      <c r="BY186" s="2213"/>
      <c r="BZ186" s="2213"/>
      <c r="CA186" s="2213"/>
      <c r="CB186" s="2213"/>
      <c r="CC186" s="2214"/>
    </row>
    <row r="187" spans="1:81" s="10" customFormat="1" ht="20.100000000000001" customHeight="1">
      <c r="A187" s="2209"/>
      <c r="B187" s="2207"/>
      <c r="C187" s="2207"/>
      <c r="D187" s="2234"/>
      <c r="E187" s="2234"/>
      <c r="F187" s="2234"/>
      <c r="G187" s="2234"/>
      <c r="H187" s="2234"/>
      <c r="I187" s="2234"/>
      <c r="J187" s="2234"/>
      <c r="K187" s="2234"/>
      <c r="L187" s="2234"/>
      <c r="M187" s="2234"/>
      <c r="N187" s="2234"/>
      <c r="O187" s="2234"/>
      <c r="P187" s="2234"/>
      <c r="Q187" s="2234"/>
      <c r="R187" s="2234"/>
      <c r="S187" s="2234"/>
      <c r="T187" s="2234"/>
      <c r="U187" s="2234"/>
      <c r="V187" s="2234"/>
      <c r="W187" s="2234"/>
      <c r="X187" s="2234"/>
      <c r="Y187" s="2234"/>
      <c r="Z187" s="2234"/>
      <c r="AA187" s="2234"/>
      <c r="AB187" s="2234"/>
      <c r="AC187" s="2234"/>
      <c r="AD187" s="2234"/>
      <c r="AE187" s="2234"/>
      <c r="AF187" s="2234"/>
      <c r="AG187" s="2234"/>
      <c r="AH187" s="2234"/>
      <c r="AI187" s="2234"/>
      <c r="AJ187" s="2234"/>
      <c r="AK187" s="2234"/>
      <c r="AL187" s="2234"/>
      <c r="AM187" s="2234"/>
      <c r="AN187" s="2234"/>
      <c r="AO187" s="2234"/>
      <c r="AP187" s="2234"/>
      <c r="AQ187" s="2234"/>
      <c r="AR187" s="2234"/>
      <c r="AS187" s="2234"/>
      <c r="AT187" s="2235"/>
      <c r="AU187" s="2235"/>
      <c r="AV187" s="2235"/>
      <c r="AW187" s="2235"/>
      <c r="AX187" s="2235"/>
      <c r="AY187" s="2235"/>
      <c r="AZ187" s="2235"/>
      <c r="BA187" s="2235"/>
      <c r="BB187" s="2235"/>
      <c r="BC187" s="2235"/>
      <c r="BD187" s="2235"/>
      <c r="BE187" s="2235"/>
      <c r="BF187" s="2235"/>
      <c r="BG187" s="2235"/>
      <c r="BH187" s="2235"/>
      <c r="BI187" s="2207"/>
      <c r="BJ187" s="2207"/>
      <c r="BK187" s="2207"/>
      <c r="BL187" s="2207"/>
      <c r="BM187" s="2207"/>
      <c r="BN187" s="2207"/>
      <c r="BO187" s="2207"/>
      <c r="BP187" s="2207"/>
      <c r="BQ187" s="2207"/>
      <c r="BR187" s="2207"/>
      <c r="BS187" s="2207"/>
      <c r="BT187" s="2207"/>
      <c r="BU187" s="2207"/>
      <c r="BV187" s="2207"/>
      <c r="BW187" s="2207"/>
      <c r="BX187" s="2207"/>
      <c r="BY187" s="2207"/>
      <c r="BZ187" s="2207"/>
      <c r="CA187" s="2207"/>
      <c r="CB187" s="2207"/>
      <c r="CC187" s="2208"/>
    </row>
    <row r="188" spans="1:81" s="10" customFormat="1" ht="20.100000000000001" customHeight="1">
      <c r="A188" s="2215"/>
      <c r="B188" s="2213"/>
      <c r="C188" s="2213"/>
      <c r="D188" s="2227"/>
      <c r="E188" s="2227"/>
      <c r="F188" s="2227"/>
      <c r="G188" s="2227"/>
      <c r="H188" s="2227"/>
      <c r="I188" s="2227"/>
      <c r="J188" s="2227"/>
      <c r="K188" s="2227"/>
      <c r="L188" s="2227"/>
      <c r="M188" s="2227"/>
      <c r="N188" s="2227"/>
      <c r="O188" s="2227"/>
      <c r="P188" s="2227"/>
      <c r="Q188" s="2227"/>
      <c r="R188" s="2227"/>
      <c r="S188" s="2227"/>
      <c r="T188" s="2227"/>
      <c r="U188" s="2227"/>
      <c r="V188" s="2227"/>
      <c r="W188" s="2227"/>
      <c r="X188" s="2227"/>
      <c r="Y188" s="2227"/>
      <c r="Z188" s="2227"/>
      <c r="AA188" s="2227"/>
      <c r="AB188" s="2227"/>
      <c r="AC188" s="2227"/>
      <c r="AD188" s="2227"/>
      <c r="AE188" s="2227"/>
      <c r="AF188" s="2227"/>
      <c r="AG188" s="2227"/>
      <c r="AH188" s="2227"/>
      <c r="AI188" s="2227"/>
      <c r="AJ188" s="2227"/>
      <c r="AK188" s="2227"/>
      <c r="AL188" s="2227"/>
      <c r="AM188" s="2227"/>
      <c r="AN188" s="2227"/>
      <c r="AO188" s="2227"/>
      <c r="AP188" s="2227"/>
      <c r="AQ188" s="2227"/>
      <c r="AR188" s="2227"/>
      <c r="AS188" s="2227"/>
      <c r="AT188" s="2228"/>
      <c r="AU188" s="2228"/>
      <c r="AV188" s="2228"/>
      <c r="AW188" s="2228"/>
      <c r="AX188" s="2228"/>
      <c r="AY188" s="2228"/>
      <c r="AZ188" s="2228"/>
      <c r="BA188" s="2228"/>
      <c r="BB188" s="2228"/>
      <c r="BC188" s="2228"/>
      <c r="BD188" s="2228"/>
      <c r="BE188" s="2228"/>
      <c r="BF188" s="2228"/>
      <c r="BG188" s="2228"/>
      <c r="BH188" s="2228"/>
      <c r="BI188" s="2213"/>
      <c r="BJ188" s="2213"/>
      <c r="BK188" s="2213"/>
      <c r="BL188" s="2213"/>
      <c r="BM188" s="2213"/>
      <c r="BN188" s="2213"/>
      <c r="BO188" s="2213"/>
      <c r="BP188" s="2213"/>
      <c r="BQ188" s="2213"/>
      <c r="BR188" s="2213"/>
      <c r="BS188" s="2213"/>
      <c r="BT188" s="2213"/>
      <c r="BU188" s="2213"/>
      <c r="BV188" s="2213"/>
      <c r="BW188" s="2213"/>
      <c r="BX188" s="2213"/>
      <c r="BY188" s="2213"/>
      <c r="BZ188" s="2213"/>
      <c r="CA188" s="2213"/>
      <c r="CB188" s="2213"/>
      <c r="CC188" s="2214"/>
    </row>
    <row r="189" spans="1:81" s="10" customFormat="1" ht="20.100000000000001" customHeight="1" thickBot="1">
      <c r="A189" s="2229"/>
      <c r="B189" s="2230"/>
      <c r="C189" s="2230"/>
      <c r="D189" s="2231"/>
      <c r="E189" s="2231"/>
      <c r="F189" s="2231"/>
      <c r="G189" s="2231"/>
      <c r="H189" s="2231"/>
      <c r="I189" s="2231"/>
      <c r="J189" s="2231"/>
      <c r="K189" s="2231"/>
      <c r="L189" s="2231"/>
      <c r="M189" s="2231"/>
      <c r="N189" s="2231"/>
      <c r="O189" s="2231"/>
      <c r="P189" s="2231"/>
      <c r="Q189" s="2231"/>
      <c r="R189" s="2231"/>
      <c r="S189" s="2231"/>
      <c r="T189" s="2231"/>
      <c r="U189" s="2231"/>
      <c r="V189" s="2231"/>
      <c r="W189" s="2231"/>
      <c r="X189" s="2231"/>
      <c r="Y189" s="2231"/>
      <c r="Z189" s="2231"/>
      <c r="AA189" s="2231"/>
      <c r="AB189" s="2231"/>
      <c r="AC189" s="2231"/>
      <c r="AD189" s="2231"/>
      <c r="AE189" s="2231"/>
      <c r="AF189" s="2231"/>
      <c r="AG189" s="2231"/>
      <c r="AH189" s="2231"/>
      <c r="AI189" s="2231"/>
      <c r="AJ189" s="2231"/>
      <c r="AK189" s="2231"/>
      <c r="AL189" s="2231"/>
      <c r="AM189" s="2231"/>
      <c r="AN189" s="2231"/>
      <c r="AO189" s="2231"/>
      <c r="AP189" s="2231"/>
      <c r="AQ189" s="2231"/>
      <c r="AR189" s="2231"/>
      <c r="AS189" s="2231"/>
      <c r="AT189" s="2232"/>
      <c r="AU189" s="2232"/>
      <c r="AV189" s="2232"/>
      <c r="AW189" s="2232"/>
      <c r="AX189" s="2232"/>
      <c r="AY189" s="2232"/>
      <c r="AZ189" s="2232"/>
      <c r="BA189" s="2232"/>
      <c r="BB189" s="2232"/>
      <c r="BC189" s="2232"/>
      <c r="BD189" s="2232"/>
      <c r="BE189" s="2232"/>
      <c r="BF189" s="2232"/>
      <c r="BG189" s="2232"/>
      <c r="BH189" s="2232"/>
      <c r="BI189" s="2230"/>
      <c r="BJ189" s="2230"/>
      <c r="BK189" s="2230"/>
      <c r="BL189" s="2230"/>
      <c r="BM189" s="2230"/>
      <c r="BN189" s="2230"/>
      <c r="BO189" s="2230"/>
      <c r="BP189" s="2230"/>
      <c r="BQ189" s="2230"/>
      <c r="BR189" s="2230"/>
      <c r="BS189" s="2230"/>
      <c r="BT189" s="2230"/>
      <c r="BU189" s="2230"/>
      <c r="BV189" s="2230"/>
      <c r="BW189" s="2230"/>
      <c r="BX189" s="2230"/>
      <c r="BY189" s="2230"/>
      <c r="BZ189" s="2230"/>
      <c r="CA189" s="2230"/>
      <c r="CB189" s="2230"/>
      <c r="CC189" s="2233"/>
    </row>
    <row r="190" spans="1:81" s="10" customFormat="1" ht="15" customHeight="1" thickTop="1">
      <c r="C190" s="26"/>
      <c r="D190" s="26"/>
      <c r="T190" s="26"/>
      <c r="AN190" s="26"/>
      <c r="BH190" s="26"/>
      <c r="CC190" s="26"/>
    </row>
    <row r="191" spans="1:81" s="10" customFormat="1" ht="15" customHeight="1">
      <c r="B191" s="3"/>
      <c r="C191" s="26"/>
      <c r="D191" s="26"/>
      <c r="T191" s="26"/>
      <c r="AN191" s="26"/>
      <c r="BH191" s="26"/>
      <c r="CC191" s="26"/>
    </row>
    <row r="192" spans="1:81" s="10" customFormat="1" ht="15" customHeight="1">
      <c r="B192" s="3"/>
      <c r="C192" s="26"/>
      <c r="D192" s="26"/>
      <c r="T192" s="26"/>
      <c r="AN192" s="26"/>
      <c r="BH192" s="26"/>
      <c r="CC192" s="26"/>
    </row>
    <row r="193" spans="1:81" s="10" customFormat="1" ht="15" customHeight="1">
      <c r="B193" s="3"/>
      <c r="C193" s="26"/>
      <c r="D193" s="26"/>
      <c r="T193" s="26"/>
      <c r="AN193" s="26"/>
      <c r="BH193" s="26"/>
      <c r="CC193" s="26"/>
    </row>
    <row r="194" spans="1:81" s="10" customFormat="1" ht="15" customHeight="1">
      <c r="B194" s="3"/>
      <c r="C194" s="26"/>
      <c r="D194" s="26"/>
      <c r="T194" s="26"/>
      <c r="AN194" s="26"/>
      <c r="BH194" s="26"/>
      <c r="CC194" s="26"/>
    </row>
    <row r="195" spans="1:81" s="10" customFormat="1" ht="15" customHeight="1">
      <c r="B195" s="3"/>
      <c r="C195" s="26"/>
      <c r="D195" s="26"/>
      <c r="T195" s="26"/>
      <c r="AN195" s="26"/>
      <c r="BH195" s="26"/>
      <c r="CC195" s="26"/>
    </row>
    <row r="196" spans="1:81" s="10" customFormat="1" ht="21">
      <c r="A196" s="3" t="s">
        <v>51</v>
      </c>
      <c r="C196" s="26"/>
      <c r="D196" s="26"/>
      <c r="T196" s="26"/>
      <c r="AN196" s="26"/>
      <c r="BH196" s="26"/>
      <c r="CC196" s="26"/>
    </row>
    <row r="197" spans="1:81" s="10" customFormat="1" ht="15" customHeight="1">
      <c r="C197" s="31"/>
      <c r="D197" s="31"/>
      <c r="T197" s="26"/>
      <c r="AN197" s="26"/>
      <c r="BH197" s="26"/>
      <c r="CC197" s="26"/>
    </row>
    <row r="198" spans="1:81" s="10" customFormat="1" ht="15" customHeight="1">
      <c r="C198" s="31"/>
      <c r="D198" s="31"/>
      <c r="T198" s="26"/>
      <c r="AN198" s="26"/>
      <c r="BH198" s="26"/>
      <c r="CC198" s="26"/>
    </row>
    <row r="199" spans="1:81" ht="23.25">
      <c r="A199" s="3" t="s">
        <v>52</v>
      </c>
    </row>
    <row r="200" spans="1:81" ht="21">
      <c r="A200" s="3"/>
    </row>
    <row r="201" spans="1:81" s="10" customFormat="1" ht="15" customHeight="1">
      <c r="C201" s="31"/>
      <c r="D201" s="31"/>
      <c r="T201" s="26"/>
      <c r="AN201" s="26"/>
      <c r="BH201" s="26"/>
      <c r="CC201" s="26"/>
    </row>
    <row r="202" spans="1:81" s="10" customFormat="1" ht="23.25">
      <c r="A202" s="3" t="s">
        <v>64</v>
      </c>
      <c r="C202" s="26"/>
      <c r="D202" s="26"/>
      <c r="T202" s="26"/>
      <c r="AN202" s="26"/>
      <c r="BH202" s="26"/>
      <c r="CC202" s="26"/>
    </row>
    <row r="203" spans="1:81" s="10" customFormat="1" ht="21">
      <c r="A203" s="3"/>
      <c r="C203" s="26"/>
      <c r="D203" s="26"/>
      <c r="T203" s="26"/>
      <c r="AN203" s="26"/>
      <c r="BH203" s="26"/>
      <c r="CC203" s="26"/>
    </row>
    <row r="204" spans="1:81" s="10" customFormat="1" ht="15" customHeight="1">
      <c r="C204" s="31"/>
      <c r="D204" s="31"/>
      <c r="T204" s="26"/>
      <c r="AN204" s="26"/>
      <c r="BH204" s="26"/>
      <c r="CC204" s="26"/>
    </row>
    <row r="205" spans="1:81" ht="21">
      <c r="A205" s="3" t="s">
        <v>53</v>
      </c>
    </row>
    <row r="206" spans="1:81" s="10" customFormat="1" ht="15" customHeight="1" thickBot="1">
      <c r="C206" s="26"/>
      <c r="D206" s="26"/>
      <c r="T206" s="26"/>
      <c r="AN206" s="26"/>
      <c r="BH206" s="26"/>
      <c r="CC206" s="26"/>
    </row>
    <row r="207" spans="1:81" s="20" customFormat="1" ht="17.25" customHeight="1" thickTop="1">
      <c r="A207" s="2224" t="s">
        <v>54</v>
      </c>
      <c r="B207" s="2217"/>
      <c r="C207" s="2217"/>
      <c r="D207" s="2217" t="s">
        <v>55</v>
      </c>
      <c r="E207" s="2217"/>
      <c r="F207" s="2217"/>
      <c r="G207" s="2217"/>
      <c r="H207" s="2217"/>
      <c r="I207" s="2217"/>
      <c r="J207" s="2217"/>
      <c r="K207" s="2217"/>
      <c r="L207" s="2217"/>
      <c r="M207" s="2217"/>
      <c r="N207" s="2217"/>
      <c r="O207" s="2217"/>
      <c r="P207" s="2217"/>
      <c r="Q207" s="2217"/>
      <c r="R207" s="2217"/>
      <c r="S207" s="2218" t="s">
        <v>56</v>
      </c>
      <c r="T207" s="2218"/>
      <c r="U207" s="2218"/>
      <c r="V207" s="2218"/>
      <c r="W207" s="2218"/>
      <c r="X207" s="2218"/>
      <c r="Y207" s="2218" t="s">
        <v>57</v>
      </c>
      <c r="Z207" s="2218"/>
      <c r="AA207" s="2218"/>
      <c r="AB207" s="2218"/>
      <c r="AC207" s="2218"/>
      <c r="AD207" s="2218"/>
      <c r="AE207" s="2218" t="s">
        <v>58</v>
      </c>
      <c r="AF207" s="2218"/>
      <c r="AG207" s="2218"/>
      <c r="AH207" s="2218"/>
      <c r="AI207" s="2218"/>
      <c r="AJ207" s="2218"/>
      <c r="AK207" s="2218" t="s">
        <v>59</v>
      </c>
      <c r="AL207" s="2218"/>
      <c r="AM207" s="2218"/>
      <c r="AN207" s="2218"/>
      <c r="AO207" s="2218"/>
      <c r="AP207" s="2218"/>
      <c r="AQ207" s="2217" t="s">
        <v>60</v>
      </c>
      <c r="AR207" s="2217"/>
      <c r="AS207" s="2217"/>
      <c r="AT207" s="2217"/>
      <c r="AU207" s="2217"/>
      <c r="AV207" s="2217"/>
      <c r="AW207" s="2217"/>
      <c r="AX207" s="2217"/>
      <c r="AY207" s="2217"/>
      <c r="AZ207" s="2217"/>
      <c r="BA207" s="2217"/>
      <c r="BB207" s="2217"/>
      <c r="BC207" s="2217"/>
      <c r="BD207" s="2217"/>
      <c r="BE207" s="2217"/>
      <c r="BF207" s="2217"/>
      <c r="BG207" s="2217"/>
      <c r="BH207" s="2217"/>
      <c r="BI207" s="2218" t="s">
        <v>13</v>
      </c>
      <c r="BJ207" s="2218"/>
      <c r="BK207" s="2218"/>
      <c r="BL207" s="2218"/>
      <c r="BM207" s="2218"/>
      <c r="BN207" s="2218"/>
      <c r="BO207" s="2218" t="s">
        <v>61</v>
      </c>
      <c r="BP207" s="2218"/>
      <c r="BQ207" s="2218"/>
      <c r="BR207" s="2218"/>
      <c r="BS207" s="2218"/>
      <c r="BT207" s="2218"/>
      <c r="BU207" s="2217" t="s">
        <v>62</v>
      </c>
      <c r="BV207" s="2217"/>
      <c r="BW207" s="2217"/>
      <c r="BX207" s="2217"/>
      <c r="BY207" s="2217"/>
      <c r="BZ207" s="2217"/>
      <c r="CA207" s="2217"/>
      <c r="CB207" s="2217"/>
      <c r="CC207" s="2220"/>
    </row>
    <row r="208" spans="1:81" s="21" customFormat="1" ht="17.25" customHeight="1">
      <c r="A208" s="2225"/>
      <c r="B208" s="2221"/>
      <c r="C208" s="2221"/>
      <c r="D208" s="2221"/>
      <c r="E208" s="2221"/>
      <c r="F208" s="2221"/>
      <c r="G208" s="2221"/>
      <c r="H208" s="2221"/>
      <c r="I208" s="2221"/>
      <c r="J208" s="2221"/>
      <c r="K208" s="2221"/>
      <c r="L208" s="2221"/>
      <c r="M208" s="2221"/>
      <c r="N208" s="2221"/>
      <c r="O208" s="2221"/>
      <c r="P208" s="2221"/>
      <c r="Q208" s="2221"/>
      <c r="R208" s="2221"/>
      <c r="S208" s="2226"/>
      <c r="T208" s="2226"/>
      <c r="U208" s="2226"/>
      <c r="V208" s="2226"/>
      <c r="W208" s="2226"/>
      <c r="X208" s="2226"/>
      <c r="Y208" s="2219"/>
      <c r="Z208" s="2219"/>
      <c r="AA208" s="2219"/>
      <c r="AB208" s="2219"/>
      <c r="AC208" s="2219"/>
      <c r="AD208" s="2219"/>
      <c r="AE208" s="2219"/>
      <c r="AF208" s="2219"/>
      <c r="AG208" s="2219"/>
      <c r="AH208" s="2219"/>
      <c r="AI208" s="2219"/>
      <c r="AJ208" s="2219"/>
      <c r="AK208" s="2219"/>
      <c r="AL208" s="2219"/>
      <c r="AM208" s="2219"/>
      <c r="AN208" s="2219"/>
      <c r="AO208" s="2219"/>
      <c r="AP208" s="2219"/>
      <c r="AQ208" s="2223" t="s">
        <v>63</v>
      </c>
      <c r="AR208" s="2223"/>
      <c r="AS208" s="2223"/>
      <c r="AT208" s="2223"/>
      <c r="AU208" s="2223"/>
      <c r="AV208" s="2223"/>
      <c r="AW208" s="2223" t="s">
        <v>146</v>
      </c>
      <c r="AX208" s="2223"/>
      <c r="AY208" s="2223"/>
      <c r="AZ208" s="2223"/>
      <c r="BA208" s="2223"/>
      <c r="BB208" s="2223"/>
      <c r="BC208" s="2223" t="s">
        <v>14</v>
      </c>
      <c r="BD208" s="2223"/>
      <c r="BE208" s="2223"/>
      <c r="BF208" s="2223"/>
      <c r="BG208" s="2223"/>
      <c r="BH208" s="2223"/>
      <c r="BI208" s="2219"/>
      <c r="BJ208" s="2219"/>
      <c r="BK208" s="2219"/>
      <c r="BL208" s="2219"/>
      <c r="BM208" s="2219"/>
      <c r="BN208" s="2219"/>
      <c r="BO208" s="2219"/>
      <c r="BP208" s="2219"/>
      <c r="BQ208" s="2219"/>
      <c r="BR208" s="2219"/>
      <c r="BS208" s="2219"/>
      <c r="BT208" s="2219"/>
      <c r="BU208" s="2221"/>
      <c r="BV208" s="2221"/>
      <c r="BW208" s="2221"/>
      <c r="BX208" s="2221"/>
      <c r="BY208" s="2221"/>
      <c r="BZ208" s="2221"/>
      <c r="CA208" s="2221"/>
      <c r="CB208" s="2221"/>
      <c r="CC208" s="2222"/>
    </row>
    <row r="209" spans="1:81" s="10" customFormat="1" ht="20.100000000000001" customHeight="1">
      <c r="A209" s="2209"/>
      <c r="B209" s="2207"/>
      <c r="C209" s="2207"/>
      <c r="D209" s="2207"/>
      <c r="E209" s="2207"/>
      <c r="F209" s="2207"/>
      <c r="G209" s="2207"/>
      <c r="H209" s="2207"/>
      <c r="I209" s="2207"/>
      <c r="J209" s="2207"/>
      <c r="K209" s="2207"/>
      <c r="L209" s="2207"/>
      <c r="M209" s="2207"/>
      <c r="N209" s="2207"/>
      <c r="O209" s="2207"/>
      <c r="P209" s="2207"/>
      <c r="Q209" s="2207"/>
      <c r="R209" s="2207"/>
      <c r="S209" s="2210"/>
      <c r="T209" s="2210"/>
      <c r="U209" s="2210"/>
      <c r="V209" s="2210"/>
      <c r="W209" s="2210"/>
      <c r="X209" s="2210"/>
      <c r="Y209" s="2206"/>
      <c r="Z209" s="2206"/>
      <c r="AA209" s="2206"/>
      <c r="AB209" s="2206"/>
      <c r="AC209" s="2206"/>
      <c r="AD209" s="2206"/>
      <c r="AE209" s="2206"/>
      <c r="AF209" s="2206"/>
      <c r="AG209" s="2206"/>
      <c r="AH209" s="2206"/>
      <c r="AI209" s="2206"/>
      <c r="AJ209" s="2206"/>
      <c r="AK209" s="2206"/>
      <c r="AL209" s="2206"/>
      <c r="AM209" s="2206"/>
      <c r="AN209" s="2206"/>
      <c r="AO209" s="2206"/>
      <c r="AP209" s="2206"/>
      <c r="AQ209" s="2205"/>
      <c r="AR209" s="2205"/>
      <c r="AS209" s="2205"/>
      <c r="AT209" s="2205"/>
      <c r="AU209" s="2205"/>
      <c r="AV209" s="2205"/>
      <c r="AW209" s="2205"/>
      <c r="AX209" s="2205"/>
      <c r="AY209" s="2205"/>
      <c r="AZ209" s="2205"/>
      <c r="BA209" s="2205"/>
      <c r="BB209" s="2205"/>
      <c r="BC209" s="2205"/>
      <c r="BD209" s="2205"/>
      <c r="BE209" s="2205"/>
      <c r="BF209" s="2205"/>
      <c r="BG209" s="2205"/>
      <c r="BH209" s="2205"/>
      <c r="BI209" s="2206"/>
      <c r="BJ209" s="2206"/>
      <c r="BK209" s="2206"/>
      <c r="BL209" s="2206"/>
      <c r="BM209" s="2206"/>
      <c r="BN209" s="2206"/>
      <c r="BO209" s="2206"/>
      <c r="BP209" s="2206"/>
      <c r="BQ209" s="2206"/>
      <c r="BR209" s="2206"/>
      <c r="BS209" s="2206"/>
      <c r="BT209" s="2206"/>
      <c r="BU209" s="2207"/>
      <c r="BV209" s="2207"/>
      <c r="BW209" s="2207"/>
      <c r="BX209" s="2207"/>
      <c r="BY209" s="2207"/>
      <c r="BZ209" s="2207"/>
      <c r="CA209" s="2207"/>
      <c r="CB209" s="2207"/>
      <c r="CC209" s="2208"/>
    </row>
    <row r="210" spans="1:81" s="10" customFormat="1" ht="20.100000000000001" customHeight="1">
      <c r="A210" s="2215"/>
      <c r="B210" s="2213"/>
      <c r="C210" s="2213"/>
      <c r="D210" s="2213"/>
      <c r="E210" s="2213"/>
      <c r="F210" s="2213"/>
      <c r="G210" s="2213"/>
      <c r="H210" s="2213"/>
      <c r="I210" s="2213"/>
      <c r="J210" s="2213"/>
      <c r="K210" s="2213"/>
      <c r="L210" s="2213"/>
      <c r="M210" s="2213"/>
      <c r="N210" s="2213"/>
      <c r="O210" s="2213"/>
      <c r="P210" s="2213"/>
      <c r="Q210" s="2213"/>
      <c r="R210" s="2213"/>
      <c r="S210" s="2216"/>
      <c r="T210" s="2216"/>
      <c r="U210" s="2216"/>
      <c r="V210" s="2216"/>
      <c r="W210" s="2216"/>
      <c r="X210" s="2216"/>
      <c r="Y210" s="2212"/>
      <c r="Z210" s="2212"/>
      <c r="AA210" s="2212"/>
      <c r="AB210" s="2212"/>
      <c r="AC210" s="2212"/>
      <c r="AD210" s="2212"/>
      <c r="AE210" s="2212"/>
      <c r="AF210" s="2212"/>
      <c r="AG210" s="2212"/>
      <c r="AH210" s="2212"/>
      <c r="AI210" s="2212"/>
      <c r="AJ210" s="2212"/>
      <c r="AK210" s="2212"/>
      <c r="AL210" s="2212"/>
      <c r="AM210" s="2212"/>
      <c r="AN210" s="2212"/>
      <c r="AO210" s="2212"/>
      <c r="AP210" s="2212"/>
      <c r="AQ210" s="2211"/>
      <c r="AR210" s="2211"/>
      <c r="AS210" s="2211"/>
      <c r="AT210" s="2211"/>
      <c r="AU210" s="2211"/>
      <c r="AV210" s="2211"/>
      <c r="AW210" s="2211"/>
      <c r="AX210" s="2211"/>
      <c r="AY210" s="2211"/>
      <c r="AZ210" s="2211"/>
      <c r="BA210" s="2211"/>
      <c r="BB210" s="2211"/>
      <c r="BC210" s="2211"/>
      <c r="BD210" s="2211"/>
      <c r="BE210" s="2211"/>
      <c r="BF210" s="2211"/>
      <c r="BG210" s="2211"/>
      <c r="BH210" s="2211"/>
      <c r="BI210" s="2212"/>
      <c r="BJ210" s="2212"/>
      <c r="BK210" s="2212"/>
      <c r="BL210" s="2212"/>
      <c r="BM210" s="2212"/>
      <c r="BN210" s="2212"/>
      <c r="BO210" s="2212"/>
      <c r="BP210" s="2212"/>
      <c r="BQ210" s="2212"/>
      <c r="BR210" s="2212"/>
      <c r="BS210" s="2212"/>
      <c r="BT210" s="2212"/>
      <c r="BU210" s="2213"/>
      <c r="BV210" s="2213"/>
      <c r="BW210" s="2213"/>
      <c r="BX210" s="2213"/>
      <c r="BY210" s="2213"/>
      <c r="BZ210" s="2213"/>
      <c r="CA210" s="2213"/>
      <c r="CB210" s="2213"/>
      <c r="CC210" s="2214"/>
    </row>
    <row r="211" spans="1:81" s="10" customFormat="1" ht="20.100000000000001" customHeight="1">
      <c r="A211" s="2209"/>
      <c r="B211" s="2207"/>
      <c r="C211" s="2207"/>
      <c r="D211" s="2207"/>
      <c r="E211" s="2207"/>
      <c r="F211" s="2207"/>
      <c r="G211" s="2207"/>
      <c r="H211" s="2207"/>
      <c r="I211" s="2207"/>
      <c r="J211" s="2207"/>
      <c r="K211" s="2207"/>
      <c r="L211" s="2207"/>
      <c r="M211" s="2207"/>
      <c r="N211" s="2207"/>
      <c r="O211" s="2207"/>
      <c r="P211" s="2207"/>
      <c r="Q211" s="2207"/>
      <c r="R211" s="2207"/>
      <c r="S211" s="2210"/>
      <c r="T211" s="2210"/>
      <c r="U211" s="2210"/>
      <c r="V211" s="2210"/>
      <c r="W211" s="2210"/>
      <c r="X211" s="2210"/>
      <c r="Y211" s="2206"/>
      <c r="Z211" s="2206"/>
      <c r="AA211" s="2206"/>
      <c r="AB211" s="2206"/>
      <c r="AC211" s="2206"/>
      <c r="AD211" s="2206"/>
      <c r="AE211" s="2206"/>
      <c r="AF211" s="2206"/>
      <c r="AG211" s="2206"/>
      <c r="AH211" s="2206"/>
      <c r="AI211" s="2206"/>
      <c r="AJ211" s="2206"/>
      <c r="AK211" s="2206"/>
      <c r="AL211" s="2206"/>
      <c r="AM211" s="2206"/>
      <c r="AN211" s="2206"/>
      <c r="AO211" s="2206"/>
      <c r="AP211" s="2206"/>
      <c r="AQ211" s="2205"/>
      <c r="AR211" s="2205"/>
      <c r="AS211" s="2205"/>
      <c r="AT211" s="2205"/>
      <c r="AU211" s="2205"/>
      <c r="AV211" s="2205"/>
      <c r="AW211" s="2205"/>
      <c r="AX211" s="2205"/>
      <c r="AY211" s="2205"/>
      <c r="AZ211" s="2205"/>
      <c r="BA211" s="2205"/>
      <c r="BB211" s="2205"/>
      <c r="BC211" s="2205"/>
      <c r="BD211" s="2205"/>
      <c r="BE211" s="2205"/>
      <c r="BF211" s="2205"/>
      <c r="BG211" s="2205"/>
      <c r="BH211" s="2205"/>
      <c r="BI211" s="2206"/>
      <c r="BJ211" s="2206"/>
      <c r="BK211" s="2206"/>
      <c r="BL211" s="2206"/>
      <c r="BM211" s="2206"/>
      <c r="BN211" s="2206"/>
      <c r="BO211" s="2206"/>
      <c r="BP211" s="2206"/>
      <c r="BQ211" s="2206"/>
      <c r="BR211" s="2206"/>
      <c r="BS211" s="2206"/>
      <c r="BT211" s="2206"/>
      <c r="BU211" s="2207"/>
      <c r="BV211" s="2207"/>
      <c r="BW211" s="2207"/>
      <c r="BX211" s="2207"/>
      <c r="BY211" s="2207"/>
      <c r="BZ211" s="2207"/>
      <c r="CA211" s="2207"/>
      <c r="CB211" s="2207"/>
      <c r="CC211" s="2208"/>
    </row>
    <row r="212" spans="1:81" s="10" customFormat="1" ht="20.100000000000001" customHeight="1">
      <c r="A212" s="2215"/>
      <c r="B212" s="2213"/>
      <c r="C212" s="2213"/>
      <c r="D212" s="2213"/>
      <c r="E212" s="2213"/>
      <c r="F212" s="2213"/>
      <c r="G212" s="2213"/>
      <c r="H212" s="2213"/>
      <c r="I212" s="2213"/>
      <c r="J212" s="2213"/>
      <c r="K212" s="2213"/>
      <c r="L212" s="2213"/>
      <c r="M212" s="2213"/>
      <c r="N212" s="2213"/>
      <c r="O212" s="2213"/>
      <c r="P212" s="2213"/>
      <c r="Q212" s="2213"/>
      <c r="R212" s="2213"/>
      <c r="S212" s="2216"/>
      <c r="T212" s="2216"/>
      <c r="U212" s="2216"/>
      <c r="V212" s="2216"/>
      <c r="W212" s="2216"/>
      <c r="X212" s="2216"/>
      <c r="Y212" s="2212"/>
      <c r="Z212" s="2212"/>
      <c r="AA212" s="2212"/>
      <c r="AB212" s="2212"/>
      <c r="AC212" s="2212"/>
      <c r="AD212" s="2212"/>
      <c r="AE212" s="2212"/>
      <c r="AF212" s="2212"/>
      <c r="AG212" s="2212"/>
      <c r="AH212" s="2212"/>
      <c r="AI212" s="2212"/>
      <c r="AJ212" s="2212"/>
      <c r="AK212" s="2212"/>
      <c r="AL212" s="2212"/>
      <c r="AM212" s="2212"/>
      <c r="AN212" s="2212"/>
      <c r="AO212" s="2212"/>
      <c r="AP212" s="2212"/>
      <c r="AQ212" s="2211"/>
      <c r="AR212" s="2211"/>
      <c r="AS212" s="2211"/>
      <c r="AT212" s="2211"/>
      <c r="AU212" s="2211"/>
      <c r="AV212" s="2211"/>
      <c r="AW212" s="2211"/>
      <c r="AX212" s="2211"/>
      <c r="AY212" s="2211"/>
      <c r="AZ212" s="2211"/>
      <c r="BA212" s="2211"/>
      <c r="BB212" s="2211"/>
      <c r="BC212" s="2211"/>
      <c r="BD212" s="2211"/>
      <c r="BE212" s="2211"/>
      <c r="BF212" s="2211"/>
      <c r="BG212" s="2211"/>
      <c r="BH212" s="2211"/>
      <c r="BI212" s="2212"/>
      <c r="BJ212" s="2212"/>
      <c r="BK212" s="2212"/>
      <c r="BL212" s="2212"/>
      <c r="BM212" s="2212"/>
      <c r="BN212" s="2212"/>
      <c r="BO212" s="2212"/>
      <c r="BP212" s="2212"/>
      <c r="BQ212" s="2212"/>
      <c r="BR212" s="2212"/>
      <c r="BS212" s="2212"/>
      <c r="BT212" s="2212"/>
      <c r="BU212" s="2213"/>
      <c r="BV212" s="2213"/>
      <c r="BW212" s="2213"/>
      <c r="BX212" s="2213"/>
      <c r="BY212" s="2213"/>
      <c r="BZ212" s="2213"/>
      <c r="CA212" s="2213"/>
      <c r="CB212" s="2213"/>
      <c r="CC212" s="2214"/>
    </row>
    <row r="213" spans="1:81" s="10" customFormat="1" ht="20.100000000000001" customHeight="1">
      <c r="A213" s="2209"/>
      <c r="B213" s="2207"/>
      <c r="C213" s="2207"/>
      <c r="D213" s="2207"/>
      <c r="E213" s="2207"/>
      <c r="F213" s="2207"/>
      <c r="G213" s="2207"/>
      <c r="H213" s="2207"/>
      <c r="I213" s="2207"/>
      <c r="J213" s="2207"/>
      <c r="K213" s="2207"/>
      <c r="L213" s="2207"/>
      <c r="M213" s="2207"/>
      <c r="N213" s="2207"/>
      <c r="O213" s="2207"/>
      <c r="P213" s="2207"/>
      <c r="Q213" s="2207"/>
      <c r="R213" s="2207"/>
      <c r="S213" s="2210"/>
      <c r="T213" s="2210"/>
      <c r="U213" s="2210"/>
      <c r="V213" s="2210"/>
      <c r="W213" s="2210"/>
      <c r="X213" s="2210"/>
      <c r="Y213" s="2206"/>
      <c r="Z213" s="2206"/>
      <c r="AA213" s="2206"/>
      <c r="AB213" s="2206"/>
      <c r="AC213" s="2206"/>
      <c r="AD213" s="2206"/>
      <c r="AE213" s="2206"/>
      <c r="AF213" s="2206"/>
      <c r="AG213" s="2206"/>
      <c r="AH213" s="2206"/>
      <c r="AI213" s="2206"/>
      <c r="AJ213" s="2206"/>
      <c r="AK213" s="2206"/>
      <c r="AL213" s="2206"/>
      <c r="AM213" s="2206"/>
      <c r="AN213" s="2206"/>
      <c r="AO213" s="2206"/>
      <c r="AP213" s="2206"/>
      <c r="AQ213" s="2205"/>
      <c r="AR213" s="2205"/>
      <c r="AS213" s="2205"/>
      <c r="AT213" s="2205"/>
      <c r="AU213" s="2205"/>
      <c r="AV213" s="2205"/>
      <c r="AW213" s="2205"/>
      <c r="AX213" s="2205"/>
      <c r="AY213" s="2205"/>
      <c r="AZ213" s="2205"/>
      <c r="BA213" s="2205"/>
      <c r="BB213" s="2205"/>
      <c r="BC213" s="2205"/>
      <c r="BD213" s="2205"/>
      <c r="BE213" s="2205"/>
      <c r="BF213" s="2205"/>
      <c r="BG213" s="2205"/>
      <c r="BH213" s="2205"/>
      <c r="BI213" s="2206"/>
      <c r="BJ213" s="2206"/>
      <c r="BK213" s="2206"/>
      <c r="BL213" s="2206"/>
      <c r="BM213" s="2206"/>
      <c r="BN213" s="2206"/>
      <c r="BO213" s="2206"/>
      <c r="BP213" s="2206"/>
      <c r="BQ213" s="2206"/>
      <c r="BR213" s="2206"/>
      <c r="BS213" s="2206"/>
      <c r="BT213" s="2206"/>
      <c r="BU213" s="2207"/>
      <c r="BV213" s="2207"/>
      <c r="BW213" s="2207"/>
      <c r="BX213" s="2207"/>
      <c r="BY213" s="2207"/>
      <c r="BZ213" s="2207"/>
      <c r="CA213" s="2207"/>
      <c r="CB213" s="2207"/>
      <c r="CC213" s="2208"/>
    </row>
    <row r="214" spans="1:81" s="10" customFormat="1" ht="20.100000000000001" customHeight="1">
      <c r="A214" s="2215"/>
      <c r="B214" s="2213"/>
      <c r="C214" s="2213"/>
      <c r="D214" s="2213"/>
      <c r="E214" s="2213"/>
      <c r="F214" s="2213"/>
      <c r="G214" s="2213"/>
      <c r="H214" s="2213"/>
      <c r="I214" s="2213"/>
      <c r="J214" s="2213"/>
      <c r="K214" s="2213"/>
      <c r="L214" s="2213"/>
      <c r="M214" s="2213"/>
      <c r="N214" s="2213"/>
      <c r="O214" s="2213"/>
      <c r="P214" s="2213"/>
      <c r="Q214" s="2213"/>
      <c r="R214" s="2213"/>
      <c r="S214" s="2216"/>
      <c r="T214" s="2216"/>
      <c r="U214" s="2216"/>
      <c r="V214" s="2216"/>
      <c r="W214" s="2216"/>
      <c r="X214" s="2216"/>
      <c r="Y214" s="2212"/>
      <c r="Z214" s="2212"/>
      <c r="AA214" s="2212"/>
      <c r="AB214" s="2212"/>
      <c r="AC214" s="2212"/>
      <c r="AD214" s="2212"/>
      <c r="AE214" s="2212"/>
      <c r="AF214" s="2212"/>
      <c r="AG214" s="2212"/>
      <c r="AH214" s="2212"/>
      <c r="AI214" s="2212"/>
      <c r="AJ214" s="2212"/>
      <c r="AK214" s="2212"/>
      <c r="AL214" s="2212"/>
      <c r="AM214" s="2212"/>
      <c r="AN214" s="2212"/>
      <c r="AO214" s="2212"/>
      <c r="AP214" s="2212"/>
      <c r="AQ214" s="2211"/>
      <c r="AR214" s="2211"/>
      <c r="AS214" s="2211"/>
      <c r="AT214" s="2211"/>
      <c r="AU214" s="2211"/>
      <c r="AV214" s="2211"/>
      <c r="AW214" s="2211"/>
      <c r="AX214" s="2211"/>
      <c r="AY214" s="2211"/>
      <c r="AZ214" s="2211"/>
      <c r="BA214" s="2211"/>
      <c r="BB214" s="2211"/>
      <c r="BC214" s="2211"/>
      <c r="BD214" s="2211"/>
      <c r="BE214" s="2211"/>
      <c r="BF214" s="2211"/>
      <c r="BG214" s="2211"/>
      <c r="BH214" s="2211"/>
      <c r="BI214" s="2212"/>
      <c r="BJ214" s="2212"/>
      <c r="BK214" s="2212"/>
      <c r="BL214" s="2212"/>
      <c r="BM214" s="2212"/>
      <c r="BN214" s="2212"/>
      <c r="BO214" s="2212"/>
      <c r="BP214" s="2212"/>
      <c r="BQ214" s="2212"/>
      <c r="BR214" s="2212"/>
      <c r="BS214" s="2212"/>
      <c r="BT214" s="2212"/>
      <c r="BU214" s="2213"/>
      <c r="BV214" s="2213"/>
      <c r="BW214" s="2213"/>
      <c r="BX214" s="2213"/>
      <c r="BY214" s="2213"/>
      <c r="BZ214" s="2213"/>
      <c r="CA214" s="2213"/>
      <c r="CB214" s="2213"/>
      <c r="CC214" s="2214"/>
    </row>
    <row r="215" spans="1:81" s="10" customFormat="1" ht="20.100000000000001" customHeight="1">
      <c r="A215" s="2209"/>
      <c r="B215" s="2207"/>
      <c r="C215" s="2207"/>
      <c r="D215" s="2207"/>
      <c r="E215" s="2207"/>
      <c r="F215" s="2207"/>
      <c r="G215" s="2207"/>
      <c r="H215" s="2207"/>
      <c r="I215" s="2207"/>
      <c r="J215" s="2207"/>
      <c r="K215" s="2207"/>
      <c r="L215" s="2207"/>
      <c r="M215" s="2207"/>
      <c r="N215" s="2207"/>
      <c r="O215" s="2207"/>
      <c r="P215" s="2207"/>
      <c r="Q215" s="2207"/>
      <c r="R215" s="2207"/>
      <c r="S215" s="2210"/>
      <c r="T215" s="2210"/>
      <c r="U215" s="2210"/>
      <c r="V215" s="2210"/>
      <c r="W215" s="2210"/>
      <c r="X215" s="2210"/>
      <c r="Y215" s="2206"/>
      <c r="Z215" s="2206"/>
      <c r="AA215" s="2206"/>
      <c r="AB215" s="2206"/>
      <c r="AC215" s="2206"/>
      <c r="AD215" s="2206"/>
      <c r="AE215" s="2206"/>
      <c r="AF215" s="2206"/>
      <c r="AG215" s="2206"/>
      <c r="AH215" s="2206"/>
      <c r="AI215" s="2206"/>
      <c r="AJ215" s="2206"/>
      <c r="AK215" s="2206"/>
      <c r="AL215" s="2206"/>
      <c r="AM215" s="2206"/>
      <c r="AN215" s="2206"/>
      <c r="AO215" s="2206"/>
      <c r="AP215" s="2206"/>
      <c r="AQ215" s="2205"/>
      <c r="AR215" s="2205"/>
      <c r="AS215" s="2205"/>
      <c r="AT215" s="2205"/>
      <c r="AU215" s="2205"/>
      <c r="AV215" s="2205"/>
      <c r="AW215" s="2205"/>
      <c r="AX215" s="2205"/>
      <c r="AY215" s="2205"/>
      <c r="AZ215" s="2205"/>
      <c r="BA215" s="2205"/>
      <c r="BB215" s="2205"/>
      <c r="BC215" s="2205"/>
      <c r="BD215" s="2205"/>
      <c r="BE215" s="2205"/>
      <c r="BF215" s="2205"/>
      <c r="BG215" s="2205"/>
      <c r="BH215" s="2205"/>
      <c r="BI215" s="2206"/>
      <c r="BJ215" s="2206"/>
      <c r="BK215" s="2206"/>
      <c r="BL215" s="2206"/>
      <c r="BM215" s="2206"/>
      <c r="BN215" s="2206"/>
      <c r="BO215" s="2206"/>
      <c r="BP215" s="2206"/>
      <c r="BQ215" s="2206"/>
      <c r="BR215" s="2206"/>
      <c r="BS215" s="2206"/>
      <c r="BT215" s="2206"/>
      <c r="BU215" s="2207"/>
      <c r="BV215" s="2207"/>
      <c r="BW215" s="2207"/>
      <c r="BX215" s="2207"/>
      <c r="BY215" s="2207"/>
      <c r="BZ215" s="2207"/>
      <c r="CA215" s="2207"/>
      <c r="CB215" s="2207"/>
      <c r="CC215" s="2208"/>
    </row>
    <row r="216" spans="1:81" s="10" customFormat="1" ht="20.100000000000001" customHeight="1">
      <c r="A216" s="2215"/>
      <c r="B216" s="2213"/>
      <c r="C216" s="2213"/>
      <c r="D216" s="2213"/>
      <c r="E216" s="2213"/>
      <c r="F216" s="2213"/>
      <c r="G216" s="2213"/>
      <c r="H216" s="2213"/>
      <c r="I216" s="2213"/>
      <c r="J216" s="2213"/>
      <c r="K216" s="2213"/>
      <c r="L216" s="2213"/>
      <c r="M216" s="2213"/>
      <c r="N216" s="2213"/>
      <c r="O216" s="2213"/>
      <c r="P216" s="2213"/>
      <c r="Q216" s="2213"/>
      <c r="R216" s="2213"/>
      <c r="S216" s="2216"/>
      <c r="T216" s="2216"/>
      <c r="U216" s="2216"/>
      <c r="V216" s="2216"/>
      <c r="W216" s="2216"/>
      <c r="X216" s="2216"/>
      <c r="Y216" s="2212"/>
      <c r="Z216" s="2212"/>
      <c r="AA216" s="2212"/>
      <c r="AB216" s="2212"/>
      <c r="AC216" s="2212"/>
      <c r="AD216" s="2212"/>
      <c r="AE216" s="2212"/>
      <c r="AF216" s="2212"/>
      <c r="AG216" s="2212"/>
      <c r="AH216" s="2212"/>
      <c r="AI216" s="2212"/>
      <c r="AJ216" s="2212"/>
      <c r="AK216" s="2212"/>
      <c r="AL216" s="2212"/>
      <c r="AM216" s="2212"/>
      <c r="AN216" s="2212"/>
      <c r="AO216" s="2212"/>
      <c r="AP216" s="2212"/>
      <c r="AQ216" s="2211"/>
      <c r="AR216" s="2211"/>
      <c r="AS216" s="2211"/>
      <c r="AT216" s="2211"/>
      <c r="AU216" s="2211"/>
      <c r="AV216" s="2211"/>
      <c r="AW216" s="2211"/>
      <c r="AX216" s="2211"/>
      <c r="AY216" s="2211"/>
      <c r="AZ216" s="2211"/>
      <c r="BA216" s="2211"/>
      <c r="BB216" s="2211"/>
      <c r="BC216" s="2211"/>
      <c r="BD216" s="2211"/>
      <c r="BE216" s="2211"/>
      <c r="BF216" s="2211"/>
      <c r="BG216" s="2211"/>
      <c r="BH216" s="2211"/>
      <c r="BI216" s="2212"/>
      <c r="BJ216" s="2212"/>
      <c r="BK216" s="2212"/>
      <c r="BL216" s="2212"/>
      <c r="BM216" s="2212"/>
      <c r="BN216" s="2212"/>
      <c r="BO216" s="2212"/>
      <c r="BP216" s="2212"/>
      <c r="BQ216" s="2212"/>
      <c r="BR216" s="2212"/>
      <c r="BS216" s="2212"/>
      <c r="BT216" s="2212"/>
      <c r="BU216" s="2213"/>
      <c r="BV216" s="2213"/>
      <c r="BW216" s="2213"/>
      <c r="BX216" s="2213"/>
      <c r="BY216" s="2213"/>
      <c r="BZ216" s="2213"/>
      <c r="CA216" s="2213"/>
      <c r="CB216" s="2213"/>
      <c r="CC216" s="2214"/>
    </row>
    <row r="217" spans="1:81" s="10" customFormat="1" ht="20.100000000000001" customHeight="1">
      <c r="A217" s="2209"/>
      <c r="B217" s="2207"/>
      <c r="C217" s="2207"/>
      <c r="D217" s="2207"/>
      <c r="E217" s="2207"/>
      <c r="F217" s="2207"/>
      <c r="G217" s="2207"/>
      <c r="H217" s="2207"/>
      <c r="I217" s="2207"/>
      <c r="J217" s="2207"/>
      <c r="K217" s="2207"/>
      <c r="L217" s="2207"/>
      <c r="M217" s="2207"/>
      <c r="N217" s="2207"/>
      <c r="O217" s="2207"/>
      <c r="P217" s="2207"/>
      <c r="Q217" s="2207"/>
      <c r="R217" s="2207"/>
      <c r="S217" s="2210"/>
      <c r="T217" s="2210"/>
      <c r="U217" s="2210"/>
      <c r="V217" s="2210"/>
      <c r="W217" s="2210"/>
      <c r="X217" s="2210"/>
      <c r="Y217" s="2206"/>
      <c r="Z217" s="2206"/>
      <c r="AA217" s="2206"/>
      <c r="AB217" s="2206"/>
      <c r="AC217" s="2206"/>
      <c r="AD217" s="2206"/>
      <c r="AE217" s="2206"/>
      <c r="AF217" s="2206"/>
      <c r="AG217" s="2206"/>
      <c r="AH217" s="2206"/>
      <c r="AI217" s="2206"/>
      <c r="AJ217" s="2206"/>
      <c r="AK217" s="2206"/>
      <c r="AL217" s="2206"/>
      <c r="AM217" s="2206"/>
      <c r="AN217" s="2206"/>
      <c r="AO217" s="2206"/>
      <c r="AP217" s="2206"/>
      <c r="AQ217" s="2205"/>
      <c r="AR217" s="2205"/>
      <c r="AS217" s="2205"/>
      <c r="AT217" s="2205"/>
      <c r="AU217" s="2205"/>
      <c r="AV217" s="2205"/>
      <c r="AW217" s="2205"/>
      <c r="AX217" s="2205"/>
      <c r="AY217" s="2205"/>
      <c r="AZ217" s="2205"/>
      <c r="BA217" s="2205"/>
      <c r="BB217" s="2205"/>
      <c r="BC217" s="2205"/>
      <c r="BD217" s="2205"/>
      <c r="BE217" s="2205"/>
      <c r="BF217" s="2205"/>
      <c r="BG217" s="2205"/>
      <c r="BH217" s="2205"/>
      <c r="BI217" s="2206"/>
      <c r="BJ217" s="2206"/>
      <c r="BK217" s="2206"/>
      <c r="BL217" s="2206"/>
      <c r="BM217" s="2206"/>
      <c r="BN217" s="2206"/>
      <c r="BO217" s="2206"/>
      <c r="BP217" s="2206"/>
      <c r="BQ217" s="2206"/>
      <c r="BR217" s="2206"/>
      <c r="BS217" s="2206"/>
      <c r="BT217" s="2206"/>
      <c r="BU217" s="2207"/>
      <c r="BV217" s="2207"/>
      <c r="BW217" s="2207"/>
      <c r="BX217" s="2207"/>
      <c r="BY217" s="2207"/>
      <c r="BZ217" s="2207"/>
      <c r="CA217" s="2207"/>
      <c r="CB217" s="2207"/>
      <c r="CC217" s="2208"/>
    </row>
    <row r="218" spans="1:81" s="10" customFormat="1" ht="20.100000000000001" customHeight="1">
      <c r="A218" s="2215"/>
      <c r="B218" s="2213"/>
      <c r="C218" s="2213"/>
      <c r="D218" s="2213"/>
      <c r="E218" s="2213"/>
      <c r="F218" s="2213"/>
      <c r="G218" s="2213"/>
      <c r="H218" s="2213"/>
      <c r="I218" s="2213"/>
      <c r="J218" s="2213"/>
      <c r="K218" s="2213"/>
      <c r="L218" s="2213"/>
      <c r="M218" s="2213"/>
      <c r="N218" s="2213"/>
      <c r="O218" s="2213"/>
      <c r="P218" s="2213"/>
      <c r="Q218" s="2213"/>
      <c r="R218" s="2213"/>
      <c r="S218" s="2216"/>
      <c r="T218" s="2216"/>
      <c r="U218" s="2216"/>
      <c r="V218" s="2216"/>
      <c r="W218" s="2216"/>
      <c r="X218" s="2216"/>
      <c r="Y218" s="2212"/>
      <c r="Z218" s="2212"/>
      <c r="AA218" s="2212"/>
      <c r="AB218" s="2212"/>
      <c r="AC218" s="2212"/>
      <c r="AD218" s="2212"/>
      <c r="AE218" s="2212"/>
      <c r="AF218" s="2212"/>
      <c r="AG218" s="2212"/>
      <c r="AH218" s="2212"/>
      <c r="AI218" s="2212"/>
      <c r="AJ218" s="2212"/>
      <c r="AK218" s="2212"/>
      <c r="AL218" s="2212"/>
      <c r="AM218" s="2212"/>
      <c r="AN218" s="2212"/>
      <c r="AO218" s="2212"/>
      <c r="AP218" s="2212"/>
      <c r="AQ218" s="2211"/>
      <c r="AR218" s="2211"/>
      <c r="AS218" s="2211"/>
      <c r="AT218" s="2211"/>
      <c r="AU218" s="2211"/>
      <c r="AV218" s="2211"/>
      <c r="AW218" s="2211"/>
      <c r="AX218" s="2211"/>
      <c r="AY218" s="2211"/>
      <c r="AZ218" s="2211"/>
      <c r="BA218" s="2211"/>
      <c r="BB218" s="2211"/>
      <c r="BC218" s="2211"/>
      <c r="BD218" s="2211"/>
      <c r="BE218" s="2211"/>
      <c r="BF218" s="2211"/>
      <c r="BG218" s="2211"/>
      <c r="BH218" s="2211"/>
      <c r="BI218" s="2212"/>
      <c r="BJ218" s="2212"/>
      <c r="BK218" s="2212"/>
      <c r="BL218" s="2212"/>
      <c r="BM218" s="2212"/>
      <c r="BN218" s="2212"/>
      <c r="BO218" s="2212"/>
      <c r="BP218" s="2212"/>
      <c r="BQ218" s="2212"/>
      <c r="BR218" s="2212"/>
      <c r="BS218" s="2212"/>
      <c r="BT218" s="2212"/>
      <c r="BU218" s="2213"/>
      <c r="BV218" s="2213"/>
      <c r="BW218" s="2213"/>
      <c r="BX218" s="2213"/>
      <c r="BY218" s="2213"/>
      <c r="BZ218" s="2213"/>
      <c r="CA218" s="2213"/>
      <c r="CB218" s="2213"/>
      <c r="CC218" s="2214"/>
    </row>
    <row r="219" spans="1:81" s="10" customFormat="1" ht="20.100000000000001" customHeight="1">
      <c r="A219" s="2209"/>
      <c r="B219" s="2207"/>
      <c r="C219" s="2207"/>
      <c r="D219" s="2207"/>
      <c r="E219" s="2207"/>
      <c r="F219" s="2207"/>
      <c r="G219" s="2207"/>
      <c r="H219" s="2207"/>
      <c r="I219" s="2207"/>
      <c r="J219" s="2207"/>
      <c r="K219" s="2207"/>
      <c r="L219" s="2207"/>
      <c r="M219" s="2207"/>
      <c r="N219" s="2207"/>
      <c r="O219" s="2207"/>
      <c r="P219" s="2207"/>
      <c r="Q219" s="2207"/>
      <c r="R219" s="2207"/>
      <c r="S219" s="2210"/>
      <c r="T219" s="2210"/>
      <c r="U219" s="2210"/>
      <c r="V219" s="2210"/>
      <c r="W219" s="2210"/>
      <c r="X219" s="2210"/>
      <c r="Y219" s="2206"/>
      <c r="Z219" s="2206"/>
      <c r="AA219" s="2206"/>
      <c r="AB219" s="2206"/>
      <c r="AC219" s="2206"/>
      <c r="AD219" s="2206"/>
      <c r="AE219" s="2206"/>
      <c r="AF219" s="2206"/>
      <c r="AG219" s="2206"/>
      <c r="AH219" s="2206"/>
      <c r="AI219" s="2206"/>
      <c r="AJ219" s="2206"/>
      <c r="AK219" s="2206"/>
      <c r="AL219" s="2206"/>
      <c r="AM219" s="2206"/>
      <c r="AN219" s="2206"/>
      <c r="AO219" s="2206"/>
      <c r="AP219" s="2206"/>
      <c r="AQ219" s="2205"/>
      <c r="AR219" s="2205"/>
      <c r="AS219" s="2205"/>
      <c r="AT219" s="2205"/>
      <c r="AU219" s="2205"/>
      <c r="AV219" s="2205"/>
      <c r="AW219" s="2205"/>
      <c r="AX219" s="2205"/>
      <c r="AY219" s="2205"/>
      <c r="AZ219" s="2205"/>
      <c r="BA219" s="2205"/>
      <c r="BB219" s="2205"/>
      <c r="BC219" s="2205"/>
      <c r="BD219" s="2205"/>
      <c r="BE219" s="2205"/>
      <c r="BF219" s="2205"/>
      <c r="BG219" s="2205"/>
      <c r="BH219" s="2205"/>
      <c r="BI219" s="2206"/>
      <c r="BJ219" s="2206"/>
      <c r="BK219" s="2206"/>
      <c r="BL219" s="2206"/>
      <c r="BM219" s="2206"/>
      <c r="BN219" s="2206"/>
      <c r="BO219" s="2206"/>
      <c r="BP219" s="2206"/>
      <c r="BQ219" s="2206"/>
      <c r="BR219" s="2206"/>
      <c r="BS219" s="2206"/>
      <c r="BT219" s="2206"/>
      <c r="BU219" s="2207"/>
      <c r="BV219" s="2207"/>
      <c r="BW219" s="2207"/>
      <c r="BX219" s="2207"/>
      <c r="BY219" s="2207"/>
      <c r="BZ219" s="2207"/>
      <c r="CA219" s="2207"/>
      <c r="CB219" s="2207"/>
      <c r="CC219" s="2208"/>
    </row>
    <row r="220" spans="1:81" s="10" customFormat="1" ht="20.100000000000001" customHeight="1">
      <c r="A220" s="2215"/>
      <c r="B220" s="2213"/>
      <c r="C220" s="2213"/>
      <c r="D220" s="2213"/>
      <c r="E220" s="2213"/>
      <c r="F220" s="2213"/>
      <c r="G220" s="2213"/>
      <c r="H220" s="2213"/>
      <c r="I220" s="2213"/>
      <c r="J220" s="2213"/>
      <c r="K220" s="2213"/>
      <c r="L220" s="2213"/>
      <c r="M220" s="2213"/>
      <c r="N220" s="2213"/>
      <c r="O220" s="2213"/>
      <c r="P220" s="2213"/>
      <c r="Q220" s="2213"/>
      <c r="R220" s="2213"/>
      <c r="S220" s="2216"/>
      <c r="T220" s="2216"/>
      <c r="U220" s="2216"/>
      <c r="V220" s="2216"/>
      <c r="W220" s="2216"/>
      <c r="X220" s="2216"/>
      <c r="Y220" s="2212"/>
      <c r="Z220" s="2212"/>
      <c r="AA220" s="2212"/>
      <c r="AB220" s="2212"/>
      <c r="AC220" s="2212"/>
      <c r="AD220" s="2212"/>
      <c r="AE220" s="2212"/>
      <c r="AF220" s="2212"/>
      <c r="AG220" s="2212"/>
      <c r="AH220" s="2212"/>
      <c r="AI220" s="2212"/>
      <c r="AJ220" s="2212"/>
      <c r="AK220" s="2212"/>
      <c r="AL220" s="2212"/>
      <c r="AM220" s="2212"/>
      <c r="AN220" s="2212"/>
      <c r="AO220" s="2212"/>
      <c r="AP220" s="2212"/>
      <c r="AQ220" s="2211"/>
      <c r="AR220" s="2211"/>
      <c r="AS220" s="2211"/>
      <c r="AT220" s="2211"/>
      <c r="AU220" s="2211"/>
      <c r="AV220" s="2211"/>
      <c r="AW220" s="2211"/>
      <c r="AX220" s="2211"/>
      <c r="AY220" s="2211"/>
      <c r="AZ220" s="2211"/>
      <c r="BA220" s="2211"/>
      <c r="BB220" s="2211"/>
      <c r="BC220" s="2211"/>
      <c r="BD220" s="2211"/>
      <c r="BE220" s="2211"/>
      <c r="BF220" s="2211"/>
      <c r="BG220" s="2211"/>
      <c r="BH220" s="2211"/>
      <c r="BI220" s="2212"/>
      <c r="BJ220" s="2212"/>
      <c r="BK220" s="2212"/>
      <c r="BL220" s="2212"/>
      <c r="BM220" s="2212"/>
      <c r="BN220" s="2212"/>
      <c r="BO220" s="2212"/>
      <c r="BP220" s="2212"/>
      <c r="BQ220" s="2212"/>
      <c r="BR220" s="2212"/>
      <c r="BS220" s="2212"/>
      <c r="BT220" s="2212"/>
      <c r="BU220" s="2213"/>
      <c r="BV220" s="2213"/>
      <c r="BW220" s="2213"/>
      <c r="BX220" s="2213"/>
      <c r="BY220" s="2213"/>
      <c r="BZ220" s="2213"/>
      <c r="CA220" s="2213"/>
      <c r="CB220" s="2213"/>
      <c r="CC220" s="2214"/>
    </row>
    <row r="221" spans="1:81" s="10" customFormat="1" ht="20.100000000000001" customHeight="1">
      <c r="A221" s="2209"/>
      <c r="B221" s="2207"/>
      <c r="C221" s="2207"/>
      <c r="D221" s="2207"/>
      <c r="E221" s="2207"/>
      <c r="F221" s="2207"/>
      <c r="G221" s="2207"/>
      <c r="H221" s="2207"/>
      <c r="I221" s="2207"/>
      <c r="J221" s="2207"/>
      <c r="K221" s="2207"/>
      <c r="L221" s="2207"/>
      <c r="M221" s="2207"/>
      <c r="N221" s="2207"/>
      <c r="O221" s="2207"/>
      <c r="P221" s="2207"/>
      <c r="Q221" s="2207"/>
      <c r="R221" s="2207"/>
      <c r="S221" s="2210"/>
      <c r="T221" s="2210"/>
      <c r="U221" s="2210"/>
      <c r="V221" s="2210"/>
      <c r="W221" s="2210"/>
      <c r="X221" s="2210"/>
      <c r="Y221" s="2206"/>
      <c r="Z221" s="2206"/>
      <c r="AA221" s="2206"/>
      <c r="AB221" s="2206"/>
      <c r="AC221" s="2206"/>
      <c r="AD221" s="2206"/>
      <c r="AE221" s="2206"/>
      <c r="AF221" s="2206"/>
      <c r="AG221" s="2206"/>
      <c r="AH221" s="2206"/>
      <c r="AI221" s="2206"/>
      <c r="AJ221" s="2206"/>
      <c r="AK221" s="2206"/>
      <c r="AL221" s="2206"/>
      <c r="AM221" s="2206"/>
      <c r="AN221" s="2206"/>
      <c r="AO221" s="2206"/>
      <c r="AP221" s="2206"/>
      <c r="AQ221" s="2205"/>
      <c r="AR221" s="2205"/>
      <c r="AS221" s="2205"/>
      <c r="AT221" s="2205"/>
      <c r="AU221" s="2205"/>
      <c r="AV221" s="2205"/>
      <c r="AW221" s="2205"/>
      <c r="AX221" s="2205"/>
      <c r="AY221" s="2205"/>
      <c r="AZ221" s="2205"/>
      <c r="BA221" s="2205"/>
      <c r="BB221" s="2205"/>
      <c r="BC221" s="2205"/>
      <c r="BD221" s="2205"/>
      <c r="BE221" s="2205"/>
      <c r="BF221" s="2205"/>
      <c r="BG221" s="2205"/>
      <c r="BH221" s="2205"/>
      <c r="BI221" s="2206"/>
      <c r="BJ221" s="2206"/>
      <c r="BK221" s="2206"/>
      <c r="BL221" s="2206"/>
      <c r="BM221" s="2206"/>
      <c r="BN221" s="2206"/>
      <c r="BO221" s="2206"/>
      <c r="BP221" s="2206"/>
      <c r="BQ221" s="2206"/>
      <c r="BR221" s="2206"/>
      <c r="BS221" s="2206"/>
      <c r="BT221" s="2206"/>
      <c r="BU221" s="2207"/>
      <c r="BV221" s="2207"/>
      <c r="BW221" s="2207"/>
      <c r="BX221" s="2207"/>
      <c r="BY221" s="2207"/>
      <c r="BZ221" s="2207"/>
      <c r="CA221" s="2207"/>
      <c r="CB221" s="2207"/>
      <c r="CC221" s="2208"/>
    </row>
    <row r="222" spans="1:81" s="10" customFormat="1" ht="20.100000000000001" customHeight="1">
      <c r="A222" s="2215"/>
      <c r="B222" s="2213"/>
      <c r="C222" s="2213"/>
      <c r="D222" s="2213"/>
      <c r="E222" s="2213"/>
      <c r="F222" s="2213"/>
      <c r="G222" s="2213"/>
      <c r="H222" s="2213"/>
      <c r="I222" s="2213"/>
      <c r="J222" s="2213"/>
      <c r="K222" s="2213"/>
      <c r="L222" s="2213"/>
      <c r="M222" s="2213"/>
      <c r="N222" s="2213"/>
      <c r="O222" s="2213"/>
      <c r="P222" s="2213"/>
      <c r="Q222" s="2213"/>
      <c r="R222" s="2213"/>
      <c r="S222" s="2216"/>
      <c r="T222" s="2216"/>
      <c r="U222" s="2216"/>
      <c r="V222" s="2216"/>
      <c r="W222" s="2216"/>
      <c r="X222" s="2216"/>
      <c r="Y222" s="2212"/>
      <c r="Z222" s="2212"/>
      <c r="AA222" s="2212"/>
      <c r="AB222" s="2212"/>
      <c r="AC222" s="2212"/>
      <c r="AD222" s="2212"/>
      <c r="AE222" s="2212"/>
      <c r="AF222" s="2212"/>
      <c r="AG222" s="2212"/>
      <c r="AH222" s="2212"/>
      <c r="AI222" s="2212"/>
      <c r="AJ222" s="2212"/>
      <c r="AK222" s="2212"/>
      <c r="AL222" s="2212"/>
      <c r="AM222" s="2212"/>
      <c r="AN222" s="2212"/>
      <c r="AO222" s="2212"/>
      <c r="AP222" s="2212"/>
      <c r="AQ222" s="2211"/>
      <c r="AR222" s="2211"/>
      <c r="AS222" s="2211"/>
      <c r="AT222" s="2211"/>
      <c r="AU222" s="2211"/>
      <c r="AV222" s="2211"/>
      <c r="AW222" s="2211"/>
      <c r="AX222" s="2211"/>
      <c r="AY222" s="2211"/>
      <c r="AZ222" s="2211"/>
      <c r="BA222" s="2211"/>
      <c r="BB222" s="2211"/>
      <c r="BC222" s="2211"/>
      <c r="BD222" s="2211"/>
      <c r="BE222" s="2211"/>
      <c r="BF222" s="2211"/>
      <c r="BG222" s="2211"/>
      <c r="BH222" s="2211"/>
      <c r="BI222" s="2212"/>
      <c r="BJ222" s="2212"/>
      <c r="BK222" s="2212"/>
      <c r="BL222" s="2212"/>
      <c r="BM222" s="2212"/>
      <c r="BN222" s="2212"/>
      <c r="BO222" s="2212"/>
      <c r="BP222" s="2212"/>
      <c r="BQ222" s="2212"/>
      <c r="BR222" s="2212"/>
      <c r="BS222" s="2212"/>
      <c r="BT222" s="2212"/>
      <c r="BU222" s="2213"/>
      <c r="BV222" s="2213"/>
      <c r="BW222" s="2213"/>
      <c r="BX222" s="2213"/>
      <c r="BY222" s="2213"/>
      <c r="BZ222" s="2213"/>
      <c r="CA222" s="2213"/>
      <c r="CB222" s="2213"/>
      <c r="CC222" s="2214"/>
    </row>
    <row r="223" spans="1:81" s="10" customFormat="1" ht="20.100000000000001" customHeight="1">
      <c r="A223" s="2209"/>
      <c r="B223" s="2207"/>
      <c r="C223" s="2207"/>
      <c r="D223" s="2207"/>
      <c r="E223" s="2207"/>
      <c r="F223" s="2207"/>
      <c r="G223" s="2207"/>
      <c r="H223" s="2207"/>
      <c r="I223" s="2207"/>
      <c r="J223" s="2207"/>
      <c r="K223" s="2207"/>
      <c r="L223" s="2207"/>
      <c r="M223" s="2207"/>
      <c r="N223" s="2207"/>
      <c r="O223" s="2207"/>
      <c r="P223" s="2207"/>
      <c r="Q223" s="2207"/>
      <c r="R223" s="2207"/>
      <c r="S223" s="2210"/>
      <c r="T223" s="2210"/>
      <c r="U223" s="2210"/>
      <c r="V223" s="2210"/>
      <c r="W223" s="2210"/>
      <c r="X223" s="2210"/>
      <c r="Y223" s="2206"/>
      <c r="Z223" s="2206"/>
      <c r="AA223" s="2206"/>
      <c r="AB223" s="2206"/>
      <c r="AC223" s="2206"/>
      <c r="AD223" s="2206"/>
      <c r="AE223" s="2206"/>
      <c r="AF223" s="2206"/>
      <c r="AG223" s="2206"/>
      <c r="AH223" s="2206"/>
      <c r="AI223" s="2206"/>
      <c r="AJ223" s="2206"/>
      <c r="AK223" s="2206"/>
      <c r="AL223" s="2206"/>
      <c r="AM223" s="2206"/>
      <c r="AN223" s="2206"/>
      <c r="AO223" s="2206"/>
      <c r="AP223" s="2206"/>
      <c r="AQ223" s="2205"/>
      <c r="AR223" s="2205"/>
      <c r="AS223" s="2205"/>
      <c r="AT223" s="2205"/>
      <c r="AU223" s="2205"/>
      <c r="AV223" s="2205"/>
      <c r="AW223" s="2205"/>
      <c r="AX223" s="2205"/>
      <c r="AY223" s="2205"/>
      <c r="AZ223" s="2205"/>
      <c r="BA223" s="2205"/>
      <c r="BB223" s="2205"/>
      <c r="BC223" s="2205"/>
      <c r="BD223" s="2205"/>
      <c r="BE223" s="2205"/>
      <c r="BF223" s="2205"/>
      <c r="BG223" s="2205"/>
      <c r="BH223" s="2205"/>
      <c r="BI223" s="2206"/>
      <c r="BJ223" s="2206"/>
      <c r="BK223" s="2206"/>
      <c r="BL223" s="2206"/>
      <c r="BM223" s="2206"/>
      <c r="BN223" s="2206"/>
      <c r="BO223" s="2206"/>
      <c r="BP223" s="2206"/>
      <c r="BQ223" s="2206"/>
      <c r="BR223" s="2206"/>
      <c r="BS223" s="2206"/>
      <c r="BT223" s="2206"/>
      <c r="BU223" s="2207"/>
      <c r="BV223" s="2207"/>
      <c r="BW223" s="2207"/>
      <c r="BX223" s="2207"/>
      <c r="BY223" s="2207"/>
      <c r="BZ223" s="2207"/>
      <c r="CA223" s="2207"/>
      <c r="CB223" s="2207"/>
      <c r="CC223" s="2208"/>
    </row>
    <row r="224" spans="1:81" s="10" customFormat="1" ht="20.100000000000001" customHeight="1">
      <c r="A224" s="2215"/>
      <c r="B224" s="2213"/>
      <c r="C224" s="2213"/>
      <c r="D224" s="2213"/>
      <c r="E224" s="2213"/>
      <c r="F224" s="2213"/>
      <c r="G224" s="2213"/>
      <c r="H224" s="2213"/>
      <c r="I224" s="2213"/>
      <c r="J224" s="2213"/>
      <c r="K224" s="2213"/>
      <c r="L224" s="2213"/>
      <c r="M224" s="2213"/>
      <c r="N224" s="2213"/>
      <c r="O224" s="2213"/>
      <c r="P224" s="2213"/>
      <c r="Q224" s="2213"/>
      <c r="R224" s="2213"/>
      <c r="S224" s="2216"/>
      <c r="T224" s="2216"/>
      <c r="U224" s="2216"/>
      <c r="V224" s="2216"/>
      <c r="W224" s="2216"/>
      <c r="X224" s="2216"/>
      <c r="Y224" s="2212"/>
      <c r="Z224" s="2212"/>
      <c r="AA224" s="2212"/>
      <c r="AB224" s="2212"/>
      <c r="AC224" s="2212"/>
      <c r="AD224" s="2212"/>
      <c r="AE224" s="2212"/>
      <c r="AF224" s="2212"/>
      <c r="AG224" s="2212"/>
      <c r="AH224" s="2212"/>
      <c r="AI224" s="2212"/>
      <c r="AJ224" s="2212"/>
      <c r="AK224" s="2212"/>
      <c r="AL224" s="2212"/>
      <c r="AM224" s="2212"/>
      <c r="AN224" s="2212"/>
      <c r="AO224" s="2212"/>
      <c r="AP224" s="2212"/>
      <c r="AQ224" s="2211"/>
      <c r="AR224" s="2211"/>
      <c r="AS224" s="2211"/>
      <c r="AT224" s="2211"/>
      <c r="AU224" s="2211"/>
      <c r="AV224" s="2211"/>
      <c r="AW224" s="2211"/>
      <c r="AX224" s="2211"/>
      <c r="AY224" s="2211"/>
      <c r="AZ224" s="2211"/>
      <c r="BA224" s="2211"/>
      <c r="BB224" s="2211"/>
      <c r="BC224" s="2211"/>
      <c r="BD224" s="2211"/>
      <c r="BE224" s="2211"/>
      <c r="BF224" s="2211"/>
      <c r="BG224" s="2211"/>
      <c r="BH224" s="2211"/>
      <c r="BI224" s="2212"/>
      <c r="BJ224" s="2212"/>
      <c r="BK224" s="2212"/>
      <c r="BL224" s="2212"/>
      <c r="BM224" s="2212"/>
      <c r="BN224" s="2212"/>
      <c r="BO224" s="2212"/>
      <c r="BP224" s="2212"/>
      <c r="BQ224" s="2212"/>
      <c r="BR224" s="2212"/>
      <c r="BS224" s="2212"/>
      <c r="BT224" s="2212"/>
      <c r="BU224" s="2213"/>
      <c r="BV224" s="2213"/>
      <c r="BW224" s="2213"/>
      <c r="BX224" s="2213"/>
      <c r="BY224" s="2213"/>
      <c r="BZ224" s="2213"/>
      <c r="CA224" s="2213"/>
      <c r="CB224" s="2213"/>
      <c r="CC224" s="2214"/>
    </row>
    <row r="225" spans="1:81" s="10" customFormat="1" ht="20.100000000000001" customHeight="1">
      <c r="A225" s="2209"/>
      <c r="B225" s="2207"/>
      <c r="C225" s="2207"/>
      <c r="D225" s="2207"/>
      <c r="E225" s="2207"/>
      <c r="F225" s="2207"/>
      <c r="G225" s="2207"/>
      <c r="H225" s="2207"/>
      <c r="I225" s="2207"/>
      <c r="J225" s="2207"/>
      <c r="K225" s="2207"/>
      <c r="L225" s="2207"/>
      <c r="M225" s="2207"/>
      <c r="N225" s="2207"/>
      <c r="O225" s="2207"/>
      <c r="P225" s="2207"/>
      <c r="Q225" s="2207"/>
      <c r="R225" s="2207"/>
      <c r="S225" s="2210"/>
      <c r="T225" s="2210"/>
      <c r="U225" s="2210"/>
      <c r="V225" s="2210"/>
      <c r="W225" s="2210"/>
      <c r="X225" s="2210"/>
      <c r="Y225" s="2206"/>
      <c r="Z225" s="2206"/>
      <c r="AA225" s="2206"/>
      <c r="AB225" s="2206"/>
      <c r="AC225" s="2206"/>
      <c r="AD225" s="2206"/>
      <c r="AE225" s="2206"/>
      <c r="AF225" s="2206"/>
      <c r="AG225" s="2206"/>
      <c r="AH225" s="2206"/>
      <c r="AI225" s="2206"/>
      <c r="AJ225" s="2206"/>
      <c r="AK225" s="2206"/>
      <c r="AL225" s="2206"/>
      <c r="AM225" s="2206"/>
      <c r="AN225" s="2206"/>
      <c r="AO225" s="2206"/>
      <c r="AP225" s="2206"/>
      <c r="AQ225" s="2205"/>
      <c r="AR225" s="2205"/>
      <c r="AS225" s="2205"/>
      <c r="AT225" s="2205"/>
      <c r="AU225" s="2205"/>
      <c r="AV225" s="2205"/>
      <c r="AW225" s="2205"/>
      <c r="AX225" s="2205"/>
      <c r="AY225" s="2205"/>
      <c r="AZ225" s="2205"/>
      <c r="BA225" s="2205"/>
      <c r="BB225" s="2205"/>
      <c r="BC225" s="2205"/>
      <c r="BD225" s="2205"/>
      <c r="BE225" s="2205"/>
      <c r="BF225" s="2205"/>
      <c r="BG225" s="2205"/>
      <c r="BH225" s="2205"/>
      <c r="BI225" s="2206"/>
      <c r="BJ225" s="2206"/>
      <c r="BK225" s="2206"/>
      <c r="BL225" s="2206"/>
      <c r="BM225" s="2206"/>
      <c r="BN225" s="2206"/>
      <c r="BO225" s="2206"/>
      <c r="BP225" s="2206"/>
      <c r="BQ225" s="2206"/>
      <c r="BR225" s="2206"/>
      <c r="BS225" s="2206"/>
      <c r="BT225" s="2206"/>
      <c r="BU225" s="2207"/>
      <c r="BV225" s="2207"/>
      <c r="BW225" s="2207"/>
      <c r="BX225" s="2207"/>
      <c r="BY225" s="2207"/>
      <c r="BZ225" s="2207"/>
      <c r="CA225" s="2207"/>
      <c r="CB225" s="2207"/>
      <c r="CC225" s="2208"/>
    </row>
    <row r="226" spans="1:81" s="10" customFormat="1" ht="20.100000000000001" customHeight="1" thickBot="1">
      <c r="A226" s="2203"/>
      <c r="B226" s="2201"/>
      <c r="C226" s="2201"/>
      <c r="D226" s="2201"/>
      <c r="E226" s="2201"/>
      <c r="F226" s="2201"/>
      <c r="G226" s="2201"/>
      <c r="H226" s="2201"/>
      <c r="I226" s="2201"/>
      <c r="J226" s="2201"/>
      <c r="K226" s="2201"/>
      <c r="L226" s="2201"/>
      <c r="M226" s="2201"/>
      <c r="N226" s="2201"/>
      <c r="O226" s="2201"/>
      <c r="P226" s="2201"/>
      <c r="Q226" s="2201"/>
      <c r="R226" s="2201"/>
      <c r="S226" s="2204"/>
      <c r="T226" s="2204"/>
      <c r="U226" s="2204"/>
      <c r="V226" s="2204"/>
      <c r="W226" s="2204"/>
      <c r="X226" s="2204"/>
      <c r="Y226" s="2200"/>
      <c r="Z226" s="2200"/>
      <c r="AA226" s="2200"/>
      <c r="AB226" s="2200"/>
      <c r="AC226" s="2200"/>
      <c r="AD226" s="2200"/>
      <c r="AE226" s="2200"/>
      <c r="AF226" s="2200"/>
      <c r="AG226" s="2200"/>
      <c r="AH226" s="2200"/>
      <c r="AI226" s="2200"/>
      <c r="AJ226" s="2200"/>
      <c r="AK226" s="2200"/>
      <c r="AL226" s="2200"/>
      <c r="AM226" s="2200"/>
      <c r="AN226" s="2200"/>
      <c r="AO226" s="2200"/>
      <c r="AP226" s="2200"/>
      <c r="AQ226" s="2199"/>
      <c r="AR226" s="2199"/>
      <c r="AS226" s="2199"/>
      <c r="AT226" s="2199"/>
      <c r="AU226" s="2199"/>
      <c r="AV226" s="2199"/>
      <c r="AW226" s="2199"/>
      <c r="AX226" s="2199"/>
      <c r="AY226" s="2199"/>
      <c r="AZ226" s="2199"/>
      <c r="BA226" s="2199"/>
      <c r="BB226" s="2199"/>
      <c r="BC226" s="2199"/>
      <c r="BD226" s="2199"/>
      <c r="BE226" s="2199"/>
      <c r="BF226" s="2199"/>
      <c r="BG226" s="2199"/>
      <c r="BH226" s="2199"/>
      <c r="BI226" s="2200"/>
      <c r="BJ226" s="2200"/>
      <c r="BK226" s="2200"/>
      <c r="BL226" s="2200"/>
      <c r="BM226" s="2200"/>
      <c r="BN226" s="2200"/>
      <c r="BO226" s="2200"/>
      <c r="BP226" s="2200"/>
      <c r="BQ226" s="2200"/>
      <c r="BR226" s="2200"/>
      <c r="BS226" s="2200"/>
      <c r="BT226" s="2200"/>
      <c r="BU226" s="2201"/>
      <c r="BV226" s="2201"/>
      <c r="BW226" s="2201"/>
      <c r="BX226" s="2201"/>
      <c r="BY226" s="2201"/>
      <c r="BZ226" s="2201"/>
      <c r="CA226" s="2201"/>
      <c r="CB226" s="2201"/>
      <c r="CC226" s="2202"/>
    </row>
    <row r="227" spans="1:81" s="10" customFormat="1" ht="15" customHeight="1" thickTop="1">
      <c r="B227" s="6"/>
      <c r="C227" s="26"/>
      <c r="D227" s="26"/>
      <c r="T227" s="26"/>
      <c r="AN227" s="26"/>
      <c r="BH227" s="26"/>
      <c r="CC227" s="26"/>
    </row>
    <row r="228" spans="1:81" s="10" customFormat="1" ht="15" customHeight="1">
      <c r="B228" s="6"/>
      <c r="C228" s="26"/>
      <c r="D228" s="26"/>
      <c r="T228" s="26"/>
      <c r="AN228" s="26"/>
      <c r="BH228" s="26"/>
      <c r="CC228" s="26"/>
    </row>
    <row r="229" spans="1:81" s="10" customFormat="1" ht="23.25">
      <c r="A229" s="37" t="s">
        <v>65</v>
      </c>
      <c r="C229" s="26"/>
      <c r="D229" s="26"/>
      <c r="T229" s="26"/>
      <c r="AN229" s="26"/>
      <c r="BH229" s="26"/>
      <c r="CC229" s="26"/>
    </row>
    <row r="230" spans="1:81" ht="15" customHeight="1"/>
    <row r="231" spans="1:81" s="10" customFormat="1" ht="24" thickBot="1">
      <c r="A231" s="38" t="s">
        <v>66</v>
      </c>
      <c r="C231" s="26"/>
      <c r="D231" s="26"/>
      <c r="T231" s="26"/>
      <c r="AN231" s="26"/>
      <c r="BH231" s="26"/>
      <c r="CC231" s="26"/>
    </row>
    <row r="232" spans="1:81" s="10" customFormat="1" ht="20.100000000000001" customHeight="1" thickTop="1">
      <c r="A232" s="2193" t="s">
        <v>67</v>
      </c>
      <c r="B232" s="2194"/>
      <c r="C232" s="2194"/>
      <c r="D232" s="2194"/>
      <c r="E232" s="2194"/>
      <c r="F232" s="2194"/>
      <c r="G232" s="2194"/>
      <c r="H232" s="2194"/>
      <c r="I232" s="2194"/>
      <c r="J232" s="2194"/>
      <c r="K232" s="2194"/>
      <c r="L232" s="2194"/>
      <c r="M232" s="2194"/>
      <c r="N232" s="2194"/>
      <c r="O232" s="2194"/>
      <c r="P232" s="2194"/>
      <c r="Q232" s="2194"/>
      <c r="R232" s="2194"/>
      <c r="S232" s="2194"/>
      <c r="T232" s="2194"/>
      <c r="U232" s="2194"/>
      <c r="V232" s="2194"/>
      <c r="W232" s="2194"/>
      <c r="X232" s="2194"/>
      <c r="Y232" s="2194"/>
      <c r="Z232" s="2194"/>
      <c r="AA232" s="2194"/>
      <c r="AB232" s="2194"/>
      <c r="AC232" s="2194"/>
      <c r="AD232" s="2194"/>
      <c r="AE232" s="2194"/>
      <c r="AF232" s="2194"/>
      <c r="AG232" s="2194"/>
      <c r="AH232" s="2194"/>
      <c r="AI232" s="2194"/>
      <c r="AJ232" s="2194"/>
      <c r="AK232" s="2194"/>
      <c r="AL232" s="2194"/>
      <c r="AM232" s="2194"/>
      <c r="AN232" s="2194"/>
      <c r="AO232" s="2194" t="s">
        <v>68</v>
      </c>
      <c r="AP232" s="2194"/>
      <c r="AQ232" s="2194"/>
      <c r="AR232" s="2194"/>
      <c r="AS232" s="2194"/>
      <c r="AT232" s="2194"/>
      <c r="AU232" s="2194"/>
      <c r="AV232" s="2194"/>
      <c r="AW232" s="2194"/>
      <c r="AX232" s="2194"/>
      <c r="AY232" s="2194"/>
      <c r="AZ232" s="2194"/>
      <c r="BA232" s="2194"/>
      <c r="BB232" s="2194"/>
      <c r="BC232" s="2194"/>
      <c r="BD232" s="2194"/>
      <c r="BE232" s="2194"/>
      <c r="BF232" s="2194"/>
      <c r="BG232" s="2194"/>
      <c r="BH232" s="2194"/>
      <c r="BI232" s="2194"/>
      <c r="BJ232" s="2194"/>
      <c r="BK232" s="2194"/>
      <c r="BL232" s="2194"/>
      <c r="BM232" s="2194"/>
      <c r="BN232" s="2194"/>
      <c r="BO232" s="2194"/>
      <c r="BP232" s="2194"/>
      <c r="BQ232" s="2194"/>
      <c r="BR232" s="2194"/>
      <c r="BS232" s="2194"/>
      <c r="BT232" s="2194"/>
      <c r="BU232" s="2194"/>
      <c r="BV232" s="2194"/>
      <c r="BW232" s="2194"/>
      <c r="BX232" s="2194"/>
      <c r="BY232" s="2194"/>
      <c r="BZ232" s="2194"/>
      <c r="CA232" s="2194"/>
      <c r="CB232" s="2194"/>
      <c r="CC232" s="2195"/>
    </row>
    <row r="233" spans="1:81" s="10" customFormat="1" ht="20.100000000000001" customHeight="1">
      <c r="A233" s="2196" t="s">
        <v>69</v>
      </c>
      <c r="B233" s="2197"/>
      <c r="C233" s="2197"/>
      <c r="D233" s="2197" t="s">
        <v>72</v>
      </c>
      <c r="E233" s="2197"/>
      <c r="F233" s="2197"/>
      <c r="G233" s="2197"/>
      <c r="H233" s="2197"/>
      <c r="I233" s="2197"/>
      <c r="J233" s="2197"/>
      <c r="K233" s="2197"/>
      <c r="L233" s="2197"/>
      <c r="M233" s="2197"/>
      <c r="N233" s="2197"/>
      <c r="O233" s="2197"/>
      <c r="P233" s="2197"/>
      <c r="Q233" s="2197"/>
      <c r="R233" s="2197"/>
      <c r="S233" s="2197"/>
      <c r="T233" s="2197"/>
      <c r="U233" s="2197"/>
      <c r="V233" s="2197"/>
      <c r="W233" s="2197"/>
      <c r="X233" s="2197"/>
      <c r="Y233" s="2197" t="s">
        <v>70</v>
      </c>
      <c r="Z233" s="2197"/>
      <c r="AA233" s="2197"/>
      <c r="AB233" s="2197"/>
      <c r="AC233" s="2197"/>
      <c r="AD233" s="2197"/>
      <c r="AE233" s="2197"/>
      <c r="AF233" s="2197"/>
      <c r="AG233" s="2197"/>
      <c r="AH233" s="2197"/>
      <c r="AI233" s="2197"/>
      <c r="AJ233" s="2197"/>
      <c r="AK233" s="2197" t="s">
        <v>71</v>
      </c>
      <c r="AL233" s="2197"/>
      <c r="AM233" s="2197"/>
      <c r="AN233" s="2197"/>
      <c r="AO233" s="2197" t="s">
        <v>69</v>
      </c>
      <c r="AP233" s="2197"/>
      <c r="AQ233" s="2197"/>
      <c r="AR233" s="2197" t="s">
        <v>72</v>
      </c>
      <c r="AS233" s="2197"/>
      <c r="AT233" s="2197"/>
      <c r="AU233" s="2197"/>
      <c r="AV233" s="2197"/>
      <c r="AW233" s="2197"/>
      <c r="AX233" s="2197"/>
      <c r="AY233" s="2197"/>
      <c r="AZ233" s="2197"/>
      <c r="BA233" s="2197"/>
      <c r="BB233" s="2197"/>
      <c r="BC233" s="2197"/>
      <c r="BD233" s="2197"/>
      <c r="BE233" s="2197"/>
      <c r="BF233" s="2197"/>
      <c r="BG233" s="2197"/>
      <c r="BH233" s="2197"/>
      <c r="BI233" s="2197"/>
      <c r="BJ233" s="2197"/>
      <c r="BK233" s="2197"/>
      <c r="BL233" s="2197"/>
      <c r="BM233" s="2197" t="s">
        <v>70</v>
      </c>
      <c r="BN233" s="2197"/>
      <c r="BO233" s="2197"/>
      <c r="BP233" s="2197"/>
      <c r="BQ233" s="2197"/>
      <c r="BR233" s="2197"/>
      <c r="BS233" s="2197"/>
      <c r="BT233" s="2197"/>
      <c r="BU233" s="2197"/>
      <c r="BV233" s="2197"/>
      <c r="BW233" s="2197"/>
      <c r="BX233" s="2197"/>
      <c r="BY233" s="2197"/>
      <c r="BZ233" s="2197" t="s">
        <v>71</v>
      </c>
      <c r="CA233" s="2197"/>
      <c r="CB233" s="2197"/>
      <c r="CC233" s="2198"/>
    </row>
    <row r="234" spans="1:81" s="10" customFormat="1" ht="20.100000000000001" customHeight="1">
      <c r="A234" s="2192"/>
      <c r="B234" s="2190"/>
      <c r="C234" s="2190"/>
      <c r="D234" s="2190"/>
      <c r="E234" s="2190"/>
      <c r="F234" s="2190"/>
      <c r="G234" s="2190"/>
      <c r="H234" s="2190"/>
      <c r="I234" s="2190"/>
      <c r="J234" s="2190"/>
      <c r="K234" s="2190"/>
      <c r="L234" s="2190"/>
      <c r="M234" s="2190"/>
      <c r="N234" s="2190"/>
      <c r="O234" s="2190"/>
      <c r="P234" s="2190"/>
      <c r="Q234" s="2190"/>
      <c r="R234" s="2190"/>
      <c r="S234" s="2190"/>
      <c r="T234" s="2190"/>
      <c r="U234" s="2190"/>
      <c r="V234" s="2190"/>
      <c r="W234" s="2190"/>
      <c r="X234" s="2190"/>
      <c r="Y234" s="2190"/>
      <c r="Z234" s="2190"/>
      <c r="AA234" s="2190"/>
      <c r="AB234" s="2190"/>
      <c r="AC234" s="2190"/>
      <c r="AD234" s="2190"/>
      <c r="AE234" s="2190"/>
      <c r="AF234" s="2190"/>
      <c r="AG234" s="2190"/>
      <c r="AH234" s="2190"/>
      <c r="AI234" s="2190"/>
      <c r="AJ234" s="2190"/>
      <c r="AK234" s="2190"/>
      <c r="AL234" s="2190"/>
      <c r="AM234" s="2190"/>
      <c r="AN234" s="2190"/>
      <c r="AO234" s="2190"/>
      <c r="AP234" s="2190"/>
      <c r="AQ234" s="2190"/>
      <c r="AR234" s="2190"/>
      <c r="AS234" s="2190"/>
      <c r="AT234" s="2190"/>
      <c r="AU234" s="2190"/>
      <c r="AV234" s="2190"/>
      <c r="AW234" s="2190"/>
      <c r="AX234" s="2190"/>
      <c r="AY234" s="2190"/>
      <c r="AZ234" s="2190"/>
      <c r="BA234" s="2190"/>
      <c r="BB234" s="2190"/>
      <c r="BC234" s="2190"/>
      <c r="BD234" s="2190"/>
      <c r="BE234" s="2190"/>
      <c r="BF234" s="2190"/>
      <c r="BG234" s="2190"/>
      <c r="BH234" s="2190"/>
      <c r="BI234" s="2190"/>
      <c r="BJ234" s="2190"/>
      <c r="BK234" s="2190"/>
      <c r="BL234" s="2190"/>
      <c r="BM234" s="2190"/>
      <c r="BN234" s="2190"/>
      <c r="BO234" s="2190"/>
      <c r="BP234" s="2190"/>
      <c r="BQ234" s="2190"/>
      <c r="BR234" s="2190"/>
      <c r="BS234" s="2190"/>
      <c r="BT234" s="2190"/>
      <c r="BU234" s="2190"/>
      <c r="BV234" s="2190"/>
      <c r="BW234" s="2190"/>
      <c r="BX234" s="2190"/>
      <c r="BY234" s="2190"/>
      <c r="BZ234" s="2190"/>
      <c r="CA234" s="2190"/>
      <c r="CB234" s="2190"/>
      <c r="CC234" s="2191"/>
    </row>
    <row r="235" spans="1:81" s="10" customFormat="1" ht="20.100000000000001" customHeight="1">
      <c r="A235" s="2187"/>
      <c r="B235" s="2188"/>
      <c r="C235" s="2188"/>
      <c r="D235" s="2188"/>
      <c r="E235" s="2188"/>
      <c r="F235" s="2188"/>
      <c r="G235" s="2188"/>
      <c r="H235" s="2188"/>
      <c r="I235" s="2188"/>
      <c r="J235" s="2188"/>
      <c r="K235" s="2188"/>
      <c r="L235" s="2188"/>
      <c r="M235" s="2188"/>
      <c r="N235" s="2188"/>
      <c r="O235" s="2188"/>
      <c r="P235" s="2188"/>
      <c r="Q235" s="2188"/>
      <c r="R235" s="2188"/>
      <c r="S235" s="2188"/>
      <c r="T235" s="2188"/>
      <c r="U235" s="2188"/>
      <c r="V235" s="2188"/>
      <c r="W235" s="2188"/>
      <c r="X235" s="2188"/>
      <c r="Y235" s="2188"/>
      <c r="Z235" s="2188"/>
      <c r="AA235" s="2188"/>
      <c r="AB235" s="2188"/>
      <c r="AC235" s="2188"/>
      <c r="AD235" s="2188"/>
      <c r="AE235" s="2188"/>
      <c r="AF235" s="2188"/>
      <c r="AG235" s="2188"/>
      <c r="AH235" s="2188"/>
      <c r="AI235" s="2188"/>
      <c r="AJ235" s="2188"/>
      <c r="AK235" s="2188"/>
      <c r="AL235" s="2188"/>
      <c r="AM235" s="2188"/>
      <c r="AN235" s="2188"/>
      <c r="AO235" s="2188"/>
      <c r="AP235" s="2188"/>
      <c r="AQ235" s="2188"/>
      <c r="AR235" s="2188"/>
      <c r="AS235" s="2188"/>
      <c r="AT235" s="2188"/>
      <c r="AU235" s="2188"/>
      <c r="AV235" s="2188"/>
      <c r="AW235" s="2188"/>
      <c r="AX235" s="2188"/>
      <c r="AY235" s="2188"/>
      <c r="AZ235" s="2188"/>
      <c r="BA235" s="2188"/>
      <c r="BB235" s="2188"/>
      <c r="BC235" s="2188"/>
      <c r="BD235" s="2188"/>
      <c r="BE235" s="2188"/>
      <c r="BF235" s="2188"/>
      <c r="BG235" s="2188"/>
      <c r="BH235" s="2188"/>
      <c r="BI235" s="2188"/>
      <c r="BJ235" s="2188"/>
      <c r="BK235" s="2188"/>
      <c r="BL235" s="2188"/>
      <c r="BM235" s="2188"/>
      <c r="BN235" s="2188"/>
      <c r="BO235" s="2188"/>
      <c r="BP235" s="2188"/>
      <c r="BQ235" s="2188"/>
      <c r="BR235" s="2188"/>
      <c r="BS235" s="2188"/>
      <c r="BT235" s="2188"/>
      <c r="BU235" s="2188"/>
      <c r="BV235" s="2188"/>
      <c r="BW235" s="2188"/>
      <c r="BX235" s="2188"/>
      <c r="BY235" s="2188"/>
      <c r="BZ235" s="2188"/>
      <c r="CA235" s="2188"/>
      <c r="CB235" s="2188"/>
      <c r="CC235" s="2189"/>
    </row>
    <row r="236" spans="1:81" s="10" customFormat="1" ht="20.100000000000001" customHeight="1">
      <c r="A236" s="2186"/>
      <c r="B236" s="2181"/>
      <c r="C236" s="2181"/>
      <c r="D236" s="2181"/>
      <c r="E236" s="2181"/>
      <c r="F236" s="2181"/>
      <c r="G236" s="2181"/>
      <c r="H236" s="2181"/>
      <c r="I236" s="2181"/>
      <c r="J236" s="2181"/>
      <c r="K236" s="2181"/>
      <c r="L236" s="2181"/>
      <c r="M236" s="2181"/>
      <c r="N236" s="2181"/>
      <c r="O236" s="2181"/>
      <c r="P236" s="2181"/>
      <c r="Q236" s="2181"/>
      <c r="R236" s="2181"/>
      <c r="S236" s="2181"/>
      <c r="T236" s="2181"/>
      <c r="U236" s="2181"/>
      <c r="V236" s="2181"/>
      <c r="W236" s="2181"/>
      <c r="X236" s="2181"/>
      <c r="Y236" s="2181"/>
      <c r="Z236" s="2181"/>
      <c r="AA236" s="2181"/>
      <c r="AB236" s="2181"/>
      <c r="AC236" s="2181"/>
      <c r="AD236" s="2181"/>
      <c r="AE236" s="2181"/>
      <c r="AF236" s="2181"/>
      <c r="AG236" s="2181"/>
      <c r="AH236" s="2181"/>
      <c r="AI236" s="2181"/>
      <c r="AJ236" s="2181"/>
      <c r="AK236" s="2181"/>
      <c r="AL236" s="2181"/>
      <c r="AM236" s="2181"/>
      <c r="AN236" s="2181"/>
      <c r="AO236" s="2181"/>
      <c r="AP236" s="2181"/>
      <c r="AQ236" s="2181"/>
      <c r="AR236" s="2181"/>
      <c r="AS236" s="2181"/>
      <c r="AT236" s="2181"/>
      <c r="AU236" s="2181"/>
      <c r="AV236" s="2181"/>
      <c r="AW236" s="2181"/>
      <c r="AX236" s="2181"/>
      <c r="AY236" s="2181"/>
      <c r="AZ236" s="2181"/>
      <c r="BA236" s="2181"/>
      <c r="BB236" s="2181"/>
      <c r="BC236" s="2181"/>
      <c r="BD236" s="2181"/>
      <c r="BE236" s="2181"/>
      <c r="BF236" s="2181"/>
      <c r="BG236" s="2181"/>
      <c r="BH236" s="2181"/>
      <c r="BI236" s="2181"/>
      <c r="BJ236" s="2181"/>
      <c r="BK236" s="2181"/>
      <c r="BL236" s="2181"/>
      <c r="BM236" s="2181"/>
      <c r="BN236" s="2181"/>
      <c r="BO236" s="2181"/>
      <c r="BP236" s="2181"/>
      <c r="BQ236" s="2181"/>
      <c r="BR236" s="2181"/>
      <c r="BS236" s="2181"/>
      <c r="BT236" s="2181"/>
      <c r="BU236" s="2181"/>
      <c r="BV236" s="2181"/>
      <c r="BW236" s="2181"/>
      <c r="BX236" s="2181"/>
      <c r="BY236" s="2181"/>
      <c r="BZ236" s="2181"/>
      <c r="CA236" s="2181"/>
      <c r="CB236" s="2181"/>
      <c r="CC236" s="2182"/>
    </row>
    <row r="237" spans="1:81" s="10" customFormat="1" ht="20.100000000000001" customHeight="1">
      <c r="A237" s="2187"/>
      <c r="B237" s="2188"/>
      <c r="C237" s="2188"/>
      <c r="D237" s="2188"/>
      <c r="E237" s="2188"/>
      <c r="F237" s="2188"/>
      <c r="G237" s="2188"/>
      <c r="H237" s="2188"/>
      <c r="I237" s="2188"/>
      <c r="J237" s="2188"/>
      <c r="K237" s="2188"/>
      <c r="L237" s="2188"/>
      <c r="M237" s="2188"/>
      <c r="N237" s="2188"/>
      <c r="O237" s="2188"/>
      <c r="P237" s="2188"/>
      <c r="Q237" s="2188"/>
      <c r="R237" s="2188"/>
      <c r="S237" s="2188"/>
      <c r="T237" s="2188"/>
      <c r="U237" s="2188"/>
      <c r="V237" s="2188"/>
      <c r="W237" s="2188"/>
      <c r="X237" s="2188"/>
      <c r="Y237" s="2188"/>
      <c r="Z237" s="2188"/>
      <c r="AA237" s="2188"/>
      <c r="AB237" s="2188"/>
      <c r="AC237" s="2188"/>
      <c r="AD237" s="2188"/>
      <c r="AE237" s="2188"/>
      <c r="AF237" s="2188"/>
      <c r="AG237" s="2188"/>
      <c r="AH237" s="2188"/>
      <c r="AI237" s="2188"/>
      <c r="AJ237" s="2188"/>
      <c r="AK237" s="2188"/>
      <c r="AL237" s="2188"/>
      <c r="AM237" s="2188"/>
      <c r="AN237" s="2188"/>
      <c r="AO237" s="2188"/>
      <c r="AP237" s="2188"/>
      <c r="AQ237" s="2188"/>
      <c r="AR237" s="2188"/>
      <c r="AS237" s="2188"/>
      <c r="AT237" s="2188"/>
      <c r="AU237" s="2188"/>
      <c r="AV237" s="2188"/>
      <c r="AW237" s="2188"/>
      <c r="AX237" s="2188"/>
      <c r="AY237" s="2188"/>
      <c r="AZ237" s="2188"/>
      <c r="BA237" s="2188"/>
      <c r="BB237" s="2188"/>
      <c r="BC237" s="2188"/>
      <c r="BD237" s="2188"/>
      <c r="BE237" s="2188"/>
      <c r="BF237" s="2188"/>
      <c r="BG237" s="2188"/>
      <c r="BH237" s="2188"/>
      <c r="BI237" s="2188"/>
      <c r="BJ237" s="2188"/>
      <c r="BK237" s="2188"/>
      <c r="BL237" s="2188"/>
      <c r="BM237" s="2188"/>
      <c r="BN237" s="2188"/>
      <c r="BO237" s="2188"/>
      <c r="BP237" s="2188"/>
      <c r="BQ237" s="2188"/>
      <c r="BR237" s="2188"/>
      <c r="BS237" s="2188"/>
      <c r="BT237" s="2188"/>
      <c r="BU237" s="2188"/>
      <c r="BV237" s="2188"/>
      <c r="BW237" s="2188"/>
      <c r="BX237" s="2188"/>
      <c r="BY237" s="2188"/>
      <c r="BZ237" s="2188"/>
      <c r="CA237" s="2188"/>
      <c r="CB237" s="2188"/>
      <c r="CC237" s="2189"/>
    </row>
    <row r="238" spans="1:81" s="10" customFormat="1" ht="20.100000000000001" customHeight="1">
      <c r="A238" s="2186"/>
      <c r="B238" s="2181"/>
      <c r="C238" s="2181"/>
      <c r="D238" s="2181"/>
      <c r="E238" s="2181"/>
      <c r="F238" s="2181"/>
      <c r="G238" s="2181"/>
      <c r="H238" s="2181"/>
      <c r="I238" s="2181"/>
      <c r="J238" s="2181"/>
      <c r="K238" s="2181"/>
      <c r="L238" s="2181"/>
      <c r="M238" s="2181"/>
      <c r="N238" s="2181"/>
      <c r="O238" s="2181"/>
      <c r="P238" s="2181"/>
      <c r="Q238" s="2181"/>
      <c r="R238" s="2181"/>
      <c r="S238" s="2181"/>
      <c r="T238" s="2181"/>
      <c r="U238" s="2181"/>
      <c r="V238" s="2181"/>
      <c r="W238" s="2181"/>
      <c r="X238" s="2181"/>
      <c r="Y238" s="2181"/>
      <c r="Z238" s="2181"/>
      <c r="AA238" s="2181"/>
      <c r="AB238" s="2181"/>
      <c r="AC238" s="2181"/>
      <c r="AD238" s="2181"/>
      <c r="AE238" s="2181"/>
      <c r="AF238" s="2181"/>
      <c r="AG238" s="2181"/>
      <c r="AH238" s="2181"/>
      <c r="AI238" s="2181"/>
      <c r="AJ238" s="2181"/>
      <c r="AK238" s="2181"/>
      <c r="AL238" s="2181"/>
      <c r="AM238" s="2181"/>
      <c r="AN238" s="2181"/>
      <c r="AO238" s="2181"/>
      <c r="AP238" s="2181"/>
      <c r="AQ238" s="2181"/>
      <c r="AR238" s="2181"/>
      <c r="AS238" s="2181"/>
      <c r="AT238" s="2181"/>
      <c r="AU238" s="2181"/>
      <c r="AV238" s="2181"/>
      <c r="AW238" s="2181"/>
      <c r="AX238" s="2181"/>
      <c r="AY238" s="2181"/>
      <c r="AZ238" s="2181"/>
      <c r="BA238" s="2181"/>
      <c r="BB238" s="2181"/>
      <c r="BC238" s="2181"/>
      <c r="BD238" s="2181"/>
      <c r="BE238" s="2181"/>
      <c r="BF238" s="2181"/>
      <c r="BG238" s="2181"/>
      <c r="BH238" s="2181"/>
      <c r="BI238" s="2181"/>
      <c r="BJ238" s="2181"/>
      <c r="BK238" s="2181"/>
      <c r="BL238" s="2181"/>
      <c r="BM238" s="2181"/>
      <c r="BN238" s="2181"/>
      <c r="BO238" s="2181"/>
      <c r="BP238" s="2181"/>
      <c r="BQ238" s="2181"/>
      <c r="BR238" s="2181"/>
      <c r="BS238" s="2181"/>
      <c r="BT238" s="2181"/>
      <c r="BU238" s="2181"/>
      <c r="BV238" s="2181"/>
      <c r="BW238" s="2181"/>
      <c r="BX238" s="2181"/>
      <c r="BY238" s="2181"/>
      <c r="BZ238" s="2181"/>
      <c r="CA238" s="2181"/>
      <c r="CB238" s="2181"/>
      <c r="CC238" s="2182"/>
    </row>
    <row r="239" spans="1:81" s="10" customFormat="1" ht="20.100000000000001" customHeight="1">
      <c r="A239" s="2187"/>
      <c r="B239" s="2188"/>
      <c r="C239" s="2188"/>
      <c r="D239" s="2188"/>
      <c r="E239" s="2188"/>
      <c r="F239" s="2188"/>
      <c r="G239" s="2188"/>
      <c r="H239" s="2188"/>
      <c r="I239" s="2188"/>
      <c r="J239" s="2188"/>
      <c r="K239" s="2188"/>
      <c r="L239" s="2188"/>
      <c r="M239" s="2188"/>
      <c r="N239" s="2188"/>
      <c r="O239" s="2188"/>
      <c r="P239" s="2188"/>
      <c r="Q239" s="2188"/>
      <c r="R239" s="2188"/>
      <c r="S239" s="2188"/>
      <c r="T239" s="2188"/>
      <c r="U239" s="2188"/>
      <c r="V239" s="2188"/>
      <c r="W239" s="2188"/>
      <c r="X239" s="2188"/>
      <c r="Y239" s="2188"/>
      <c r="Z239" s="2188"/>
      <c r="AA239" s="2188"/>
      <c r="AB239" s="2188"/>
      <c r="AC239" s="2188"/>
      <c r="AD239" s="2188"/>
      <c r="AE239" s="2188"/>
      <c r="AF239" s="2188"/>
      <c r="AG239" s="2188"/>
      <c r="AH239" s="2188"/>
      <c r="AI239" s="2188"/>
      <c r="AJ239" s="2188"/>
      <c r="AK239" s="2188"/>
      <c r="AL239" s="2188"/>
      <c r="AM239" s="2188"/>
      <c r="AN239" s="2188"/>
      <c r="AO239" s="2188"/>
      <c r="AP239" s="2188"/>
      <c r="AQ239" s="2188"/>
      <c r="AR239" s="2188"/>
      <c r="AS239" s="2188"/>
      <c r="AT239" s="2188"/>
      <c r="AU239" s="2188"/>
      <c r="AV239" s="2188"/>
      <c r="AW239" s="2188"/>
      <c r="AX239" s="2188"/>
      <c r="AY239" s="2188"/>
      <c r="AZ239" s="2188"/>
      <c r="BA239" s="2188"/>
      <c r="BB239" s="2188"/>
      <c r="BC239" s="2188"/>
      <c r="BD239" s="2188"/>
      <c r="BE239" s="2188"/>
      <c r="BF239" s="2188"/>
      <c r="BG239" s="2188"/>
      <c r="BH239" s="2188"/>
      <c r="BI239" s="2188"/>
      <c r="BJ239" s="2188"/>
      <c r="BK239" s="2188"/>
      <c r="BL239" s="2188"/>
      <c r="BM239" s="2188"/>
      <c r="BN239" s="2188"/>
      <c r="BO239" s="2188"/>
      <c r="BP239" s="2188"/>
      <c r="BQ239" s="2188"/>
      <c r="BR239" s="2188"/>
      <c r="BS239" s="2188"/>
      <c r="BT239" s="2188"/>
      <c r="BU239" s="2188"/>
      <c r="BV239" s="2188"/>
      <c r="BW239" s="2188"/>
      <c r="BX239" s="2188"/>
      <c r="BY239" s="2188"/>
      <c r="BZ239" s="2188"/>
      <c r="CA239" s="2188"/>
      <c r="CB239" s="2188"/>
      <c r="CC239" s="2189"/>
    </row>
    <row r="240" spans="1:81" s="10" customFormat="1" ht="20.100000000000001" customHeight="1">
      <c r="A240" s="2186"/>
      <c r="B240" s="2181"/>
      <c r="C240" s="2181"/>
      <c r="D240" s="2181"/>
      <c r="E240" s="2181"/>
      <c r="F240" s="2181"/>
      <c r="G240" s="2181"/>
      <c r="H240" s="2181"/>
      <c r="I240" s="2181"/>
      <c r="J240" s="2181"/>
      <c r="K240" s="2181"/>
      <c r="L240" s="2181"/>
      <c r="M240" s="2181"/>
      <c r="N240" s="2181"/>
      <c r="O240" s="2181"/>
      <c r="P240" s="2181"/>
      <c r="Q240" s="2181"/>
      <c r="R240" s="2181"/>
      <c r="S240" s="2181"/>
      <c r="T240" s="2181"/>
      <c r="U240" s="2181"/>
      <c r="V240" s="2181"/>
      <c r="W240" s="2181"/>
      <c r="X240" s="2181"/>
      <c r="Y240" s="2181"/>
      <c r="Z240" s="2181"/>
      <c r="AA240" s="2181"/>
      <c r="AB240" s="2181"/>
      <c r="AC240" s="2181"/>
      <c r="AD240" s="2181"/>
      <c r="AE240" s="2181"/>
      <c r="AF240" s="2181"/>
      <c r="AG240" s="2181"/>
      <c r="AH240" s="2181"/>
      <c r="AI240" s="2181"/>
      <c r="AJ240" s="2181"/>
      <c r="AK240" s="2181"/>
      <c r="AL240" s="2181"/>
      <c r="AM240" s="2181"/>
      <c r="AN240" s="2181"/>
      <c r="AO240" s="2181"/>
      <c r="AP240" s="2181"/>
      <c r="AQ240" s="2181"/>
      <c r="AR240" s="2181"/>
      <c r="AS240" s="2181"/>
      <c r="AT240" s="2181"/>
      <c r="AU240" s="2181"/>
      <c r="AV240" s="2181"/>
      <c r="AW240" s="2181"/>
      <c r="AX240" s="2181"/>
      <c r="AY240" s="2181"/>
      <c r="AZ240" s="2181"/>
      <c r="BA240" s="2181"/>
      <c r="BB240" s="2181"/>
      <c r="BC240" s="2181"/>
      <c r="BD240" s="2181"/>
      <c r="BE240" s="2181"/>
      <c r="BF240" s="2181"/>
      <c r="BG240" s="2181"/>
      <c r="BH240" s="2181"/>
      <c r="BI240" s="2181"/>
      <c r="BJ240" s="2181"/>
      <c r="BK240" s="2181"/>
      <c r="BL240" s="2181"/>
      <c r="BM240" s="2181"/>
      <c r="BN240" s="2181"/>
      <c r="BO240" s="2181"/>
      <c r="BP240" s="2181"/>
      <c r="BQ240" s="2181"/>
      <c r="BR240" s="2181"/>
      <c r="BS240" s="2181"/>
      <c r="BT240" s="2181"/>
      <c r="BU240" s="2181"/>
      <c r="BV240" s="2181"/>
      <c r="BW240" s="2181"/>
      <c r="BX240" s="2181"/>
      <c r="BY240" s="2181"/>
      <c r="BZ240" s="2181"/>
      <c r="CA240" s="2181"/>
      <c r="CB240" s="2181"/>
      <c r="CC240" s="2182"/>
    </row>
    <row r="241" spans="1:81" s="10" customFormat="1" ht="20.100000000000001" customHeight="1">
      <c r="A241" s="2187"/>
      <c r="B241" s="2188"/>
      <c r="C241" s="2188"/>
      <c r="D241" s="2188"/>
      <c r="E241" s="2188"/>
      <c r="F241" s="2188"/>
      <c r="G241" s="2188"/>
      <c r="H241" s="2188"/>
      <c r="I241" s="2188"/>
      <c r="J241" s="2188"/>
      <c r="K241" s="2188"/>
      <c r="L241" s="2188"/>
      <c r="M241" s="2188"/>
      <c r="N241" s="2188"/>
      <c r="O241" s="2188"/>
      <c r="P241" s="2188"/>
      <c r="Q241" s="2188"/>
      <c r="R241" s="2188"/>
      <c r="S241" s="2188"/>
      <c r="T241" s="2188"/>
      <c r="U241" s="2188"/>
      <c r="V241" s="2188"/>
      <c r="W241" s="2188"/>
      <c r="X241" s="2188"/>
      <c r="Y241" s="2188"/>
      <c r="Z241" s="2188"/>
      <c r="AA241" s="2188"/>
      <c r="AB241" s="2188"/>
      <c r="AC241" s="2188"/>
      <c r="AD241" s="2188"/>
      <c r="AE241" s="2188"/>
      <c r="AF241" s="2188"/>
      <c r="AG241" s="2188"/>
      <c r="AH241" s="2188"/>
      <c r="AI241" s="2188"/>
      <c r="AJ241" s="2188"/>
      <c r="AK241" s="2188"/>
      <c r="AL241" s="2188"/>
      <c r="AM241" s="2188"/>
      <c r="AN241" s="2188"/>
      <c r="AO241" s="2188"/>
      <c r="AP241" s="2188"/>
      <c r="AQ241" s="2188"/>
      <c r="AR241" s="2188"/>
      <c r="AS241" s="2188"/>
      <c r="AT241" s="2188"/>
      <c r="AU241" s="2188"/>
      <c r="AV241" s="2188"/>
      <c r="AW241" s="2188"/>
      <c r="AX241" s="2188"/>
      <c r="AY241" s="2188"/>
      <c r="AZ241" s="2188"/>
      <c r="BA241" s="2188"/>
      <c r="BB241" s="2188"/>
      <c r="BC241" s="2188"/>
      <c r="BD241" s="2188"/>
      <c r="BE241" s="2188"/>
      <c r="BF241" s="2188"/>
      <c r="BG241" s="2188"/>
      <c r="BH241" s="2188"/>
      <c r="BI241" s="2188"/>
      <c r="BJ241" s="2188"/>
      <c r="BK241" s="2188"/>
      <c r="BL241" s="2188"/>
      <c r="BM241" s="2188"/>
      <c r="BN241" s="2188"/>
      <c r="BO241" s="2188"/>
      <c r="BP241" s="2188"/>
      <c r="BQ241" s="2188"/>
      <c r="BR241" s="2188"/>
      <c r="BS241" s="2188"/>
      <c r="BT241" s="2188"/>
      <c r="BU241" s="2188"/>
      <c r="BV241" s="2188"/>
      <c r="BW241" s="2188"/>
      <c r="BX241" s="2188"/>
      <c r="BY241" s="2188"/>
      <c r="BZ241" s="2188"/>
      <c r="CA241" s="2188"/>
      <c r="CB241" s="2188"/>
      <c r="CC241" s="2189"/>
    </row>
    <row r="242" spans="1:81" s="10" customFormat="1" ht="20.100000000000001" customHeight="1">
      <c r="A242" s="2186"/>
      <c r="B242" s="2181"/>
      <c r="C242" s="2181"/>
      <c r="D242" s="2181"/>
      <c r="E242" s="2181"/>
      <c r="F242" s="2181"/>
      <c r="G242" s="2181"/>
      <c r="H242" s="2181"/>
      <c r="I242" s="2181"/>
      <c r="J242" s="2181"/>
      <c r="K242" s="2181"/>
      <c r="L242" s="2181"/>
      <c r="M242" s="2181"/>
      <c r="N242" s="2181"/>
      <c r="O242" s="2181"/>
      <c r="P242" s="2181"/>
      <c r="Q242" s="2181"/>
      <c r="R242" s="2181"/>
      <c r="S242" s="2181"/>
      <c r="T242" s="2181"/>
      <c r="U242" s="2181"/>
      <c r="V242" s="2181"/>
      <c r="W242" s="2181"/>
      <c r="X242" s="2181"/>
      <c r="Y242" s="2181"/>
      <c r="Z242" s="2181"/>
      <c r="AA242" s="2181"/>
      <c r="AB242" s="2181"/>
      <c r="AC242" s="2181"/>
      <c r="AD242" s="2181"/>
      <c r="AE242" s="2181"/>
      <c r="AF242" s="2181"/>
      <c r="AG242" s="2181"/>
      <c r="AH242" s="2181"/>
      <c r="AI242" s="2181"/>
      <c r="AJ242" s="2181"/>
      <c r="AK242" s="2181"/>
      <c r="AL242" s="2181"/>
      <c r="AM242" s="2181"/>
      <c r="AN242" s="2181"/>
      <c r="AO242" s="2181"/>
      <c r="AP242" s="2181"/>
      <c r="AQ242" s="2181"/>
      <c r="AR242" s="2181"/>
      <c r="AS242" s="2181"/>
      <c r="AT242" s="2181"/>
      <c r="AU242" s="2181"/>
      <c r="AV242" s="2181"/>
      <c r="AW242" s="2181"/>
      <c r="AX242" s="2181"/>
      <c r="AY242" s="2181"/>
      <c r="AZ242" s="2181"/>
      <c r="BA242" s="2181"/>
      <c r="BB242" s="2181"/>
      <c r="BC242" s="2181"/>
      <c r="BD242" s="2181"/>
      <c r="BE242" s="2181"/>
      <c r="BF242" s="2181"/>
      <c r="BG242" s="2181"/>
      <c r="BH242" s="2181"/>
      <c r="BI242" s="2181"/>
      <c r="BJ242" s="2181"/>
      <c r="BK242" s="2181"/>
      <c r="BL242" s="2181"/>
      <c r="BM242" s="2181"/>
      <c r="BN242" s="2181"/>
      <c r="BO242" s="2181"/>
      <c r="BP242" s="2181"/>
      <c r="BQ242" s="2181"/>
      <c r="BR242" s="2181"/>
      <c r="BS242" s="2181"/>
      <c r="BT242" s="2181"/>
      <c r="BU242" s="2181"/>
      <c r="BV242" s="2181"/>
      <c r="BW242" s="2181"/>
      <c r="BX242" s="2181"/>
      <c r="BY242" s="2181"/>
      <c r="BZ242" s="2181"/>
      <c r="CA242" s="2181"/>
      <c r="CB242" s="2181"/>
      <c r="CC242" s="2182"/>
    </row>
    <row r="243" spans="1:81" s="10" customFormat="1" ht="20.100000000000001" customHeight="1">
      <c r="A243" s="2187"/>
      <c r="B243" s="2188"/>
      <c r="C243" s="2188"/>
      <c r="D243" s="2188"/>
      <c r="E243" s="2188"/>
      <c r="F243" s="2188"/>
      <c r="G243" s="2188"/>
      <c r="H243" s="2188"/>
      <c r="I243" s="2188"/>
      <c r="J243" s="2188"/>
      <c r="K243" s="2188"/>
      <c r="L243" s="2188"/>
      <c r="M243" s="2188"/>
      <c r="N243" s="2188"/>
      <c r="O243" s="2188"/>
      <c r="P243" s="2188"/>
      <c r="Q243" s="2188"/>
      <c r="R243" s="2188"/>
      <c r="S243" s="2188"/>
      <c r="T243" s="2188"/>
      <c r="U243" s="2188"/>
      <c r="V243" s="2188"/>
      <c r="W243" s="2188"/>
      <c r="X243" s="2188"/>
      <c r="Y243" s="2188"/>
      <c r="Z243" s="2188"/>
      <c r="AA243" s="2188"/>
      <c r="AB243" s="2188"/>
      <c r="AC243" s="2188"/>
      <c r="AD243" s="2188"/>
      <c r="AE243" s="2188"/>
      <c r="AF243" s="2188"/>
      <c r="AG243" s="2188"/>
      <c r="AH243" s="2188"/>
      <c r="AI243" s="2188"/>
      <c r="AJ243" s="2188"/>
      <c r="AK243" s="2188"/>
      <c r="AL243" s="2188"/>
      <c r="AM243" s="2188"/>
      <c r="AN243" s="2188"/>
      <c r="AO243" s="2188"/>
      <c r="AP243" s="2188"/>
      <c r="AQ243" s="2188"/>
      <c r="AR243" s="2188"/>
      <c r="AS243" s="2188"/>
      <c r="AT243" s="2188"/>
      <c r="AU243" s="2188"/>
      <c r="AV243" s="2188"/>
      <c r="AW243" s="2188"/>
      <c r="AX243" s="2188"/>
      <c r="AY243" s="2188"/>
      <c r="AZ243" s="2188"/>
      <c r="BA243" s="2188"/>
      <c r="BB243" s="2188"/>
      <c r="BC243" s="2188"/>
      <c r="BD243" s="2188"/>
      <c r="BE243" s="2188"/>
      <c r="BF243" s="2188"/>
      <c r="BG243" s="2188"/>
      <c r="BH243" s="2188"/>
      <c r="BI243" s="2188"/>
      <c r="BJ243" s="2188"/>
      <c r="BK243" s="2188"/>
      <c r="BL243" s="2188"/>
      <c r="BM243" s="2188"/>
      <c r="BN243" s="2188"/>
      <c r="BO243" s="2188"/>
      <c r="BP243" s="2188"/>
      <c r="BQ243" s="2188"/>
      <c r="BR243" s="2188"/>
      <c r="BS243" s="2188"/>
      <c r="BT243" s="2188"/>
      <c r="BU243" s="2188"/>
      <c r="BV243" s="2188"/>
      <c r="BW243" s="2188"/>
      <c r="BX243" s="2188"/>
      <c r="BY243" s="2188"/>
      <c r="BZ243" s="2188"/>
      <c r="CA243" s="2188"/>
      <c r="CB243" s="2188"/>
      <c r="CC243" s="2189"/>
    </row>
    <row r="244" spans="1:81" s="10" customFormat="1" ht="20.100000000000001" customHeight="1">
      <c r="A244" s="2186"/>
      <c r="B244" s="2181"/>
      <c r="C244" s="2181"/>
      <c r="D244" s="2181"/>
      <c r="E244" s="2181"/>
      <c r="F244" s="2181"/>
      <c r="G244" s="2181"/>
      <c r="H244" s="2181"/>
      <c r="I244" s="2181"/>
      <c r="J244" s="2181"/>
      <c r="K244" s="2181"/>
      <c r="L244" s="2181"/>
      <c r="M244" s="2181"/>
      <c r="N244" s="2181"/>
      <c r="O244" s="2181"/>
      <c r="P244" s="2181"/>
      <c r="Q244" s="2181"/>
      <c r="R244" s="2181"/>
      <c r="S244" s="2181"/>
      <c r="T244" s="2181"/>
      <c r="U244" s="2181"/>
      <c r="V244" s="2181"/>
      <c r="W244" s="2181"/>
      <c r="X244" s="2181"/>
      <c r="Y244" s="2181"/>
      <c r="Z244" s="2181"/>
      <c r="AA244" s="2181"/>
      <c r="AB244" s="2181"/>
      <c r="AC244" s="2181"/>
      <c r="AD244" s="2181"/>
      <c r="AE244" s="2181"/>
      <c r="AF244" s="2181"/>
      <c r="AG244" s="2181"/>
      <c r="AH244" s="2181"/>
      <c r="AI244" s="2181"/>
      <c r="AJ244" s="2181"/>
      <c r="AK244" s="2181"/>
      <c r="AL244" s="2181"/>
      <c r="AM244" s="2181"/>
      <c r="AN244" s="2181"/>
      <c r="AO244" s="2181"/>
      <c r="AP244" s="2181"/>
      <c r="AQ244" s="2181"/>
      <c r="AR244" s="2181"/>
      <c r="AS244" s="2181"/>
      <c r="AT244" s="2181"/>
      <c r="AU244" s="2181"/>
      <c r="AV244" s="2181"/>
      <c r="AW244" s="2181"/>
      <c r="AX244" s="2181"/>
      <c r="AY244" s="2181"/>
      <c r="AZ244" s="2181"/>
      <c r="BA244" s="2181"/>
      <c r="BB244" s="2181"/>
      <c r="BC244" s="2181"/>
      <c r="BD244" s="2181"/>
      <c r="BE244" s="2181"/>
      <c r="BF244" s="2181"/>
      <c r="BG244" s="2181"/>
      <c r="BH244" s="2181"/>
      <c r="BI244" s="2181"/>
      <c r="BJ244" s="2181"/>
      <c r="BK244" s="2181"/>
      <c r="BL244" s="2181"/>
      <c r="BM244" s="2181"/>
      <c r="BN244" s="2181"/>
      <c r="BO244" s="2181"/>
      <c r="BP244" s="2181"/>
      <c r="BQ244" s="2181"/>
      <c r="BR244" s="2181"/>
      <c r="BS244" s="2181"/>
      <c r="BT244" s="2181"/>
      <c r="BU244" s="2181"/>
      <c r="BV244" s="2181"/>
      <c r="BW244" s="2181"/>
      <c r="BX244" s="2181"/>
      <c r="BY244" s="2181"/>
      <c r="BZ244" s="2181"/>
      <c r="CA244" s="2181"/>
      <c r="CB244" s="2181"/>
      <c r="CC244" s="2182"/>
    </row>
    <row r="245" spans="1:81" s="10" customFormat="1" ht="20.100000000000001" customHeight="1">
      <c r="A245" s="2187"/>
      <c r="B245" s="2188"/>
      <c r="C245" s="2188"/>
      <c r="D245" s="2188"/>
      <c r="E245" s="2188"/>
      <c r="F245" s="2188"/>
      <c r="G245" s="2188"/>
      <c r="H245" s="2188"/>
      <c r="I245" s="2188"/>
      <c r="J245" s="2188"/>
      <c r="K245" s="2188"/>
      <c r="L245" s="2188"/>
      <c r="M245" s="2188"/>
      <c r="N245" s="2188"/>
      <c r="O245" s="2188"/>
      <c r="P245" s="2188"/>
      <c r="Q245" s="2188"/>
      <c r="R245" s="2188"/>
      <c r="S245" s="2188"/>
      <c r="T245" s="2188"/>
      <c r="U245" s="2188"/>
      <c r="V245" s="2188"/>
      <c r="W245" s="2188"/>
      <c r="X245" s="2188"/>
      <c r="Y245" s="2188"/>
      <c r="Z245" s="2188"/>
      <c r="AA245" s="2188"/>
      <c r="AB245" s="2188"/>
      <c r="AC245" s="2188"/>
      <c r="AD245" s="2188"/>
      <c r="AE245" s="2188"/>
      <c r="AF245" s="2188"/>
      <c r="AG245" s="2188"/>
      <c r="AH245" s="2188"/>
      <c r="AI245" s="2188"/>
      <c r="AJ245" s="2188"/>
      <c r="AK245" s="2188"/>
      <c r="AL245" s="2188"/>
      <c r="AM245" s="2188"/>
      <c r="AN245" s="2188"/>
      <c r="AO245" s="2188"/>
      <c r="AP245" s="2188"/>
      <c r="AQ245" s="2188"/>
      <c r="AR245" s="2188"/>
      <c r="AS245" s="2188"/>
      <c r="AT245" s="2188"/>
      <c r="AU245" s="2188"/>
      <c r="AV245" s="2188"/>
      <c r="AW245" s="2188"/>
      <c r="AX245" s="2188"/>
      <c r="AY245" s="2188"/>
      <c r="AZ245" s="2188"/>
      <c r="BA245" s="2188"/>
      <c r="BB245" s="2188"/>
      <c r="BC245" s="2188"/>
      <c r="BD245" s="2188"/>
      <c r="BE245" s="2188"/>
      <c r="BF245" s="2188"/>
      <c r="BG245" s="2188"/>
      <c r="BH245" s="2188"/>
      <c r="BI245" s="2188"/>
      <c r="BJ245" s="2188"/>
      <c r="BK245" s="2188"/>
      <c r="BL245" s="2188"/>
      <c r="BM245" s="2188"/>
      <c r="BN245" s="2188"/>
      <c r="BO245" s="2188"/>
      <c r="BP245" s="2188"/>
      <c r="BQ245" s="2188"/>
      <c r="BR245" s="2188"/>
      <c r="BS245" s="2188"/>
      <c r="BT245" s="2188"/>
      <c r="BU245" s="2188"/>
      <c r="BV245" s="2188"/>
      <c r="BW245" s="2188"/>
      <c r="BX245" s="2188"/>
      <c r="BY245" s="2188"/>
      <c r="BZ245" s="2188"/>
      <c r="CA245" s="2188"/>
      <c r="CB245" s="2188"/>
      <c r="CC245" s="2189"/>
    </row>
    <row r="246" spans="1:81" s="10" customFormat="1" ht="20.100000000000001" customHeight="1">
      <c r="A246" s="2186"/>
      <c r="B246" s="2181"/>
      <c r="C246" s="2181"/>
      <c r="D246" s="2181"/>
      <c r="E246" s="2181"/>
      <c r="F246" s="2181"/>
      <c r="G246" s="2181"/>
      <c r="H246" s="2181"/>
      <c r="I246" s="2181"/>
      <c r="J246" s="2181"/>
      <c r="K246" s="2181"/>
      <c r="L246" s="2181"/>
      <c r="M246" s="2181"/>
      <c r="N246" s="2181"/>
      <c r="O246" s="2181"/>
      <c r="P246" s="2181"/>
      <c r="Q246" s="2181"/>
      <c r="R246" s="2181"/>
      <c r="S246" s="2181"/>
      <c r="T246" s="2181"/>
      <c r="U246" s="2181"/>
      <c r="V246" s="2181"/>
      <c r="W246" s="2181"/>
      <c r="X246" s="2181"/>
      <c r="Y246" s="2181"/>
      <c r="Z246" s="2181"/>
      <c r="AA246" s="2181"/>
      <c r="AB246" s="2181"/>
      <c r="AC246" s="2181"/>
      <c r="AD246" s="2181"/>
      <c r="AE246" s="2181"/>
      <c r="AF246" s="2181"/>
      <c r="AG246" s="2181"/>
      <c r="AH246" s="2181"/>
      <c r="AI246" s="2181"/>
      <c r="AJ246" s="2181"/>
      <c r="AK246" s="2181"/>
      <c r="AL246" s="2181"/>
      <c r="AM246" s="2181"/>
      <c r="AN246" s="2181"/>
      <c r="AO246" s="2181"/>
      <c r="AP246" s="2181"/>
      <c r="AQ246" s="2181"/>
      <c r="AR246" s="2181"/>
      <c r="AS246" s="2181"/>
      <c r="AT246" s="2181"/>
      <c r="AU246" s="2181"/>
      <c r="AV246" s="2181"/>
      <c r="AW246" s="2181"/>
      <c r="AX246" s="2181"/>
      <c r="AY246" s="2181"/>
      <c r="AZ246" s="2181"/>
      <c r="BA246" s="2181"/>
      <c r="BB246" s="2181"/>
      <c r="BC246" s="2181"/>
      <c r="BD246" s="2181"/>
      <c r="BE246" s="2181"/>
      <c r="BF246" s="2181"/>
      <c r="BG246" s="2181"/>
      <c r="BH246" s="2181"/>
      <c r="BI246" s="2181"/>
      <c r="BJ246" s="2181"/>
      <c r="BK246" s="2181"/>
      <c r="BL246" s="2181"/>
      <c r="BM246" s="2181"/>
      <c r="BN246" s="2181"/>
      <c r="BO246" s="2181"/>
      <c r="BP246" s="2181"/>
      <c r="BQ246" s="2181"/>
      <c r="BR246" s="2181"/>
      <c r="BS246" s="2181"/>
      <c r="BT246" s="2181"/>
      <c r="BU246" s="2181"/>
      <c r="BV246" s="2181"/>
      <c r="BW246" s="2181"/>
      <c r="BX246" s="2181"/>
      <c r="BY246" s="2181"/>
      <c r="BZ246" s="2181"/>
      <c r="CA246" s="2181"/>
      <c r="CB246" s="2181"/>
      <c r="CC246" s="2182"/>
    </row>
    <row r="247" spans="1:81" s="10" customFormat="1" ht="20.100000000000001" customHeight="1" thickBot="1">
      <c r="A247" s="2183"/>
      <c r="B247" s="2184"/>
      <c r="C247" s="2184"/>
      <c r="D247" s="2184"/>
      <c r="E247" s="2184"/>
      <c r="F247" s="2184"/>
      <c r="G247" s="2184"/>
      <c r="H247" s="2184"/>
      <c r="I247" s="2184"/>
      <c r="J247" s="2184"/>
      <c r="K247" s="2184"/>
      <c r="L247" s="2184"/>
      <c r="M247" s="2184"/>
      <c r="N247" s="2184"/>
      <c r="O247" s="2184"/>
      <c r="P247" s="2184"/>
      <c r="Q247" s="2184"/>
      <c r="R247" s="2184"/>
      <c r="S247" s="2184"/>
      <c r="T247" s="2184"/>
      <c r="U247" s="2184"/>
      <c r="V247" s="2184"/>
      <c r="W247" s="2184"/>
      <c r="X247" s="2184"/>
      <c r="Y247" s="2184"/>
      <c r="Z247" s="2184"/>
      <c r="AA247" s="2184"/>
      <c r="AB247" s="2184"/>
      <c r="AC247" s="2184"/>
      <c r="AD247" s="2184"/>
      <c r="AE247" s="2184"/>
      <c r="AF247" s="2184"/>
      <c r="AG247" s="2184"/>
      <c r="AH247" s="2184"/>
      <c r="AI247" s="2184"/>
      <c r="AJ247" s="2184"/>
      <c r="AK247" s="2184"/>
      <c r="AL247" s="2184"/>
      <c r="AM247" s="2184"/>
      <c r="AN247" s="2184"/>
      <c r="AO247" s="2184"/>
      <c r="AP247" s="2184"/>
      <c r="AQ247" s="2184"/>
      <c r="AR247" s="2184"/>
      <c r="AS247" s="2184"/>
      <c r="AT247" s="2184"/>
      <c r="AU247" s="2184"/>
      <c r="AV247" s="2184"/>
      <c r="AW247" s="2184"/>
      <c r="AX247" s="2184"/>
      <c r="AY247" s="2184"/>
      <c r="AZ247" s="2184"/>
      <c r="BA247" s="2184"/>
      <c r="BB247" s="2184"/>
      <c r="BC247" s="2184"/>
      <c r="BD247" s="2184"/>
      <c r="BE247" s="2184"/>
      <c r="BF247" s="2184"/>
      <c r="BG247" s="2184"/>
      <c r="BH247" s="2184"/>
      <c r="BI247" s="2184"/>
      <c r="BJ247" s="2184"/>
      <c r="BK247" s="2184"/>
      <c r="BL247" s="2184"/>
      <c r="BM247" s="2184"/>
      <c r="BN247" s="2184"/>
      <c r="BO247" s="2184"/>
      <c r="BP247" s="2184"/>
      <c r="BQ247" s="2184"/>
      <c r="BR247" s="2184"/>
      <c r="BS247" s="2184"/>
      <c r="BT247" s="2184"/>
      <c r="BU247" s="2184"/>
      <c r="BV247" s="2184"/>
      <c r="BW247" s="2184"/>
      <c r="BX247" s="2184"/>
      <c r="BY247" s="2184"/>
      <c r="BZ247" s="2184"/>
      <c r="CA247" s="2184"/>
      <c r="CB247" s="2184"/>
      <c r="CC247" s="2185"/>
    </row>
    <row r="248" spans="1:81" s="10" customFormat="1" ht="15" customHeight="1" thickTop="1">
      <c r="B248" s="6"/>
      <c r="C248" s="26"/>
      <c r="D248" s="26"/>
      <c r="T248" s="26"/>
      <c r="AN248" s="26"/>
      <c r="BH248" s="26"/>
      <c r="CC248" s="26"/>
    </row>
    <row r="249" spans="1:81" s="10" customFormat="1" ht="15" customHeight="1">
      <c r="B249" s="6"/>
      <c r="C249" s="26"/>
      <c r="D249" s="26"/>
      <c r="T249" s="26"/>
      <c r="AN249" s="26"/>
      <c r="BH249" s="26"/>
      <c r="CC249" s="26"/>
    </row>
    <row r="250" spans="1:81" s="10" customFormat="1" ht="15" customHeight="1">
      <c r="B250" s="6"/>
      <c r="C250" s="26"/>
      <c r="D250" s="26"/>
      <c r="T250" s="26"/>
      <c r="AN250" s="26"/>
      <c r="BH250" s="26"/>
      <c r="CC250" s="26"/>
    </row>
    <row r="251" spans="1:81" s="10" customFormat="1" ht="15" customHeight="1">
      <c r="B251" s="6"/>
      <c r="C251" s="26"/>
      <c r="D251" s="26"/>
      <c r="T251" s="26"/>
      <c r="AN251" s="26"/>
      <c r="BH251" s="26"/>
      <c r="CC251" s="26"/>
    </row>
    <row r="252" spans="1:81" s="10" customFormat="1" ht="15" customHeight="1">
      <c r="B252" s="6"/>
      <c r="C252" s="26"/>
      <c r="D252" s="26"/>
      <c r="T252" s="26"/>
      <c r="AN252" s="26"/>
      <c r="BH252" s="26"/>
      <c r="CC252" s="26"/>
    </row>
    <row r="253" spans="1:81" s="10" customFormat="1" ht="21">
      <c r="A253" s="3" t="s">
        <v>73</v>
      </c>
      <c r="C253" s="27"/>
      <c r="D253" s="27"/>
      <c r="E253" s="24"/>
      <c r="F253" s="24"/>
      <c r="G253" s="24"/>
      <c r="H253" s="24"/>
      <c r="I253" s="24"/>
      <c r="J253" s="24"/>
      <c r="K253" s="24"/>
      <c r="L253" s="24"/>
      <c r="M253" s="24"/>
      <c r="N253" s="24"/>
      <c r="O253" s="24"/>
      <c r="P253" s="24"/>
      <c r="Q253" s="24"/>
      <c r="R253" s="24"/>
      <c r="S253" s="24"/>
      <c r="T253" s="27"/>
      <c r="U253" s="24"/>
      <c r="V253" s="24"/>
      <c r="W253" s="24"/>
      <c r="X253" s="24"/>
      <c r="Y253" s="24"/>
      <c r="Z253" s="24"/>
      <c r="AA253" s="24"/>
      <c r="AB253" s="24"/>
      <c r="AC253" s="24"/>
      <c r="AD253" s="24"/>
      <c r="AE253" s="24"/>
      <c r="AF253" s="24"/>
      <c r="AG253" s="24"/>
      <c r="AH253" s="24"/>
      <c r="AI253" s="24"/>
      <c r="AJ253" s="24"/>
      <c r="AK253" s="24"/>
      <c r="AL253" s="24"/>
      <c r="AM253" s="24"/>
      <c r="AN253" s="27"/>
      <c r="AO253" s="24"/>
      <c r="AP253" s="24"/>
      <c r="AQ253" s="24"/>
      <c r="AR253" s="24"/>
      <c r="AS253" s="24"/>
      <c r="AT253" s="24"/>
      <c r="AU253" s="24"/>
      <c r="AV253" s="24"/>
      <c r="AW253" s="24"/>
      <c r="AX253" s="24"/>
      <c r="AY253" s="24"/>
      <c r="AZ253" s="24"/>
      <c r="BA253" s="24"/>
      <c r="BB253" s="24"/>
      <c r="BC253" s="24"/>
      <c r="BD253" s="24"/>
      <c r="BE253" s="24"/>
      <c r="BF253" s="24"/>
      <c r="BG253" s="24"/>
      <c r="BH253" s="27"/>
      <c r="BI253" s="24"/>
      <c r="BJ253" s="24"/>
      <c r="BK253" s="24"/>
      <c r="BL253" s="24"/>
      <c r="BM253" s="24"/>
      <c r="BN253" s="24"/>
      <c r="BO253" s="24"/>
      <c r="BP253" s="24"/>
      <c r="BQ253" s="24"/>
      <c r="BR253" s="24"/>
      <c r="BS253" s="24"/>
      <c r="BT253" s="24"/>
      <c r="BU253" s="24"/>
      <c r="BV253" s="24"/>
      <c r="BW253" s="24"/>
      <c r="BX253" s="24"/>
      <c r="BY253" s="24"/>
      <c r="BZ253" s="24"/>
      <c r="CA253" s="24"/>
      <c r="CB253" s="24"/>
      <c r="CC253" s="27"/>
    </row>
    <row r="254" spans="1:81" s="10" customFormat="1" ht="9.9499999999999993" customHeight="1" thickBot="1">
      <c r="C254" s="26"/>
      <c r="D254" s="26"/>
      <c r="T254" s="26"/>
      <c r="AN254" s="26"/>
      <c r="BH254" s="26"/>
      <c r="CC254" s="26"/>
    </row>
    <row r="255" spans="1:81" s="10" customFormat="1" ht="20.100000000000001" customHeight="1" thickTop="1">
      <c r="A255" s="2178" t="s">
        <v>74</v>
      </c>
      <c r="B255" s="2179"/>
      <c r="C255" s="2179"/>
      <c r="D255" s="2179"/>
      <c r="E255" s="2179"/>
      <c r="F255" s="2179"/>
      <c r="G255" s="2179"/>
      <c r="H255" s="2179"/>
      <c r="I255" s="2180"/>
      <c r="J255" s="1920" t="s">
        <v>201</v>
      </c>
      <c r="K255" s="1920"/>
      <c r="L255" s="1920"/>
      <c r="M255" s="1920"/>
      <c r="N255" s="1920"/>
      <c r="O255" s="1920"/>
      <c r="P255" s="1920"/>
      <c r="Q255" s="1920"/>
      <c r="R255" s="1920"/>
      <c r="S255" s="1920"/>
      <c r="T255" s="1920"/>
      <c r="U255" s="1920"/>
      <c r="V255" s="1920"/>
      <c r="W255" s="1920"/>
      <c r="X255" s="1920"/>
      <c r="Y255" s="1920"/>
      <c r="Z255" s="1920"/>
      <c r="AA255" s="1920"/>
      <c r="AB255" s="1920"/>
      <c r="AC255" s="1920"/>
      <c r="AD255" s="1920"/>
      <c r="AE255" s="1920"/>
      <c r="AF255" s="1920"/>
      <c r="AG255" s="1920"/>
      <c r="AH255" s="1920"/>
      <c r="AI255" s="1920"/>
      <c r="AJ255" s="1920"/>
      <c r="AK255" s="1920"/>
      <c r="AL255" s="1920"/>
      <c r="AM255" s="1920"/>
      <c r="AN255" s="1920"/>
      <c r="AO255" s="1920"/>
      <c r="AP255" s="1920"/>
      <c r="AQ255" s="1920"/>
      <c r="AR255" s="1920"/>
      <c r="AS255" s="1920"/>
      <c r="AT255" s="1920"/>
      <c r="AU255" s="1920"/>
      <c r="AV255" s="1920"/>
      <c r="AW255" s="1920"/>
      <c r="AX255" s="1920"/>
      <c r="AY255" s="1920"/>
      <c r="AZ255" s="1920"/>
      <c r="BA255" s="1920"/>
      <c r="BB255" s="1920"/>
      <c r="BC255" s="1920"/>
      <c r="BD255" s="1920"/>
      <c r="BE255" s="1920"/>
      <c r="BF255" s="1920"/>
      <c r="BG255" s="1920"/>
      <c r="BH255" s="1920"/>
      <c r="BI255" s="1920"/>
      <c r="BJ255" s="1920"/>
      <c r="BK255" s="1920"/>
      <c r="BL255" s="1920"/>
      <c r="BM255" s="1920"/>
      <c r="BN255" s="1920"/>
      <c r="BO255" s="1920"/>
      <c r="BP255" s="1920"/>
      <c r="BQ255" s="1920"/>
      <c r="BR255" s="1920"/>
      <c r="BS255" s="1920"/>
      <c r="BT255" s="1920"/>
      <c r="BU255" s="1920"/>
      <c r="BV255" s="1920"/>
      <c r="BW255" s="1920"/>
      <c r="BX255" s="1920"/>
      <c r="BY255" s="1920"/>
      <c r="BZ255" s="1920"/>
      <c r="CA255" s="1920"/>
      <c r="CB255" s="1920"/>
      <c r="CC255" s="2039"/>
    </row>
    <row r="256" spans="1:81" s="10" customFormat="1" ht="20.100000000000001" customHeight="1">
      <c r="A256" s="2175" t="s">
        <v>75</v>
      </c>
      <c r="B256" s="2176"/>
      <c r="C256" s="2176"/>
      <c r="D256" s="2176"/>
      <c r="E256" s="2176"/>
      <c r="F256" s="2176"/>
      <c r="G256" s="2176"/>
      <c r="H256" s="2176"/>
      <c r="I256" s="2176"/>
      <c r="J256" s="2176"/>
      <c r="K256" s="2176"/>
      <c r="L256" s="2176"/>
      <c r="M256" s="2176"/>
      <c r="N256" s="2176"/>
      <c r="O256" s="2176"/>
      <c r="P256" s="2176"/>
      <c r="Q256" s="2176"/>
      <c r="R256" s="2176"/>
      <c r="S256" s="2176"/>
      <c r="T256" s="2176" t="s">
        <v>76</v>
      </c>
      <c r="U256" s="2176"/>
      <c r="V256" s="2176"/>
      <c r="W256" s="2176"/>
      <c r="X256" s="2176"/>
      <c r="Y256" s="2176"/>
      <c r="Z256" s="2176"/>
      <c r="AA256" s="2176"/>
      <c r="AB256" s="2176"/>
      <c r="AC256" s="2176"/>
      <c r="AD256" s="2176"/>
      <c r="AE256" s="2176"/>
      <c r="AF256" s="2176"/>
      <c r="AG256" s="2176"/>
      <c r="AH256" s="2176"/>
      <c r="AI256" s="2176"/>
      <c r="AJ256" s="2176"/>
      <c r="AK256" s="2176"/>
      <c r="AL256" s="2176"/>
      <c r="AM256" s="2176"/>
      <c r="AN256" s="2176" t="s">
        <v>77</v>
      </c>
      <c r="AO256" s="2176"/>
      <c r="AP256" s="2176"/>
      <c r="AQ256" s="2176"/>
      <c r="AR256" s="2176"/>
      <c r="AS256" s="2176"/>
      <c r="AT256" s="2176"/>
      <c r="AU256" s="2176"/>
      <c r="AV256" s="2176"/>
      <c r="AW256" s="2176"/>
      <c r="AX256" s="2176"/>
      <c r="AY256" s="2176"/>
      <c r="AZ256" s="2176"/>
      <c r="BA256" s="2176"/>
      <c r="BB256" s="2176"/>
      <c r="BC256" s="2176"/>
      <c r="BD256" s="2176"/>
      <c r="BE256" s="2176"/>
      <c r="BF256" s="2176"/>
      <c r="BG256" s="2176"/>
      <c r="BH256" s="2176" t="s">
        <v>78</v>
      </c>
      <c r="BI256" s="2176"/>
      <c r="BJ256" s="2176"/>
      <c r="BK256" s="2176"/>
      <c r="BL256" s="2176"/>
      <c r="BM256" s="2176"/>
      <c r="BN256" s="2176"/>
      <c r="BO256" s="2176"/>
      <c r="BP256" s="2176"/>
      <c r="BQ256" s="2176" t="s">
        <v>79</v>
      </c>
      <c r="BR256" s="2176"/>
      <c r="BS256" s="2176"/>
      <c r="BT256" s="2176"/>
      <c r="BU256" s="2176"/>
      <c r="BV256" s="2176"/>
      <c r="BW256" s="2176"/>
      <c r="BX256" s="2176"/>
      <c r="BY256" s="2176"/>
      <c r="BZ256" s="2176"/>
      <c r="CA256" s="2176"/>
      <c r="CB256" s="2176"/>
      <c r="CC256" s="2177"/>
    </row>
    <row r="257" spans="1:81" s="10" customFormat="1" ht="20.100000000000001" customHeight="1">
      <c r="A257" s="2167"/>
      <c r="B257" s="1907"/>
      <c r="C257" s="1907"/>
      <c r="D257" s="1907"/>
      <c r="E257" s="1907"/>
      <c r="F257" s="1907"/>
      <c r="G257" s="1907"/>
      <c r="H257" s="1907"/>
      <c r="I257" s="1907"/>
      <c r="J257" s="1907"/>
      <c r="K257" s="1907"/>
      <c r="L257" s="1907"/>
      <c r="M257" s="1907"/>
      <c r="N257" s="1907"/>
      <c r="O257" s="1907"/>
      <c r="P257" s="1907"/>
      <c r="Q257" s="1907"/>
      <c r="R257" s="1907"/>
      <c r="S257" s="1907"/>
      <c r="T257" s="1907"/>
      <c r="U257" s="1907"/>
      <c r="V257" s="1907"/>
      <c r="W257" s="1907"/>
      <c r="X257" s="1907"/>
      <c r="Y257" s="1907"/>
      <c r="Z257" s="1907"/>
      <c r="AA257" s="1907"/>
      <c r="AB257" s="1907"/>
      <c r="AC257" s="1907"/>
      <c r="AD257" s="1907"/>
      <c r="AE257" s="1907"/>
      <c r="AF257" s="1907"/>
      <c r="AG257" s="1907"/>
      <c r="AH257" s="1907"/>
      <c r="AI257" s="1907"/>
      <c r="AJ257" s="1907"/>
      <c r="AK257" s="1907"/>
      <c r="AL257" s="1907"/>
      <c r="AM257" s="1907"/>
      <c r="AN257" s="1907"/>
      <c r="AO257" s="1907"/>
      <c r="AP257" s="1907"/>
      <c r="AQ257" s="1907"/>
      <c r="AR257" s="1907"/>
      <c r="AS257" s="1907"/>
      <c r="AT257" s="1907"/>
      <c r="AU257" s="1907"/>
      <c r="AV257" s="1907"/>
      <c r="AW257" s="1907"/>
      <c r="AX257" s="1907"/>
      <c r="AY257" s="1907"/>
      <c r="AZ257" s="1907"/>
      <c r="BA257" s="1907"/>
      <c r="BB257" s="1907"/>
      <c r="BC257" s="1907"/>
      <c r="BD257" s="1907"/>
      <c r="BE257" s="1907"/>
      <c r="BF257" s="1907"/>
      <c r="BG257" s="1907"/>
      <c r="BH257" s="1907"/>
      <c r="BI257" s="1907"/>
      <c r="BJ257" s="1907"/>
      <c r="BK257" s="1907"/>
      <c r="BL257" s="1907"/>
      <c r="BM257" s="1907"/>
      <c r="BN257" s="1907"/>
      <c r="BO257" s="1907"/>
      <c r="BP257" s="1907"/>
      <c r="BQ257" s="1907"/>
      <c r="BR257" s="1907"/>
      <c r="BS257" s="1907"/>
      <c r="BT257" s="1907"/>
      <c r="BU257" s="1907"/>
      <c r="BV257" s="1907"/>
      <c r="BW257" s="1907"/>
      <c r="BX257" s="1907"/>
      <c r="BY257" s="1907"/>
      <c r="BZ257" s="1907"/>
      <c r="CA257" s="1907"/>
      <c r="CB257" s="1907"/>
      <c r="CC257" s="1908"/>
    </row>
    <row r="258" spans="1:81" s="10" customFormat="1" ht="20.100000000000001" customHeight="1">
      <c r="A258" s="2168"/>
      <c r="B258" s="2169"/>
      <c r="C258" s="2169"/>
      <c r="D258" s="2169"/>
      <c r="E258" s="2169"/>
      <c r="F258" s="2169"/>
      <c r="G258" s="2169"/>
      <c r="H258" s="2169"/>
      <c r="I258" s="2169"/>
      <c r="J258" s="2163" t="s">
        <v>80</v>
      </c>
      <c r="K258" s="2163"/>
      <c r="L258" s="2163"/>
      <c r="M258" s="2163"/>
      <c r="N258" s="2163"/>
      <c r="O258" s="2163"/>
      <c r="P258" s="2163"/>
      <c r="Q258" s="2163"/>
      <c r="R258" s="2163"/>
      <c r="S258" s="2163"/>
      <c r="T258" s="2163" t="s">
        <v>81</v>
      </c>
      <c r="U258" s="2163"/>
      <c r="V258" s="2163"/>
      <c r="W258" s="2163"/>
      <c r="X258" s="2163"/>
      <c r="Y258" s="2163"/>
      <c r="Z258" s="2163"/>
      <c r="AA258" s="2163"/>
      <c r="AB258" s="2163"/>
      <c r="AC258" s="2163"/>
      <c r="AD258" s="2163" t="s">
        <v>10</v>
      </c>
      <c r="AE258" s="2163"/>
      <c r="AF258" s="2163"/>
      <c r="AG258" s="2163"/>
      <c r="AH258" s="2163"/>
      <c r="AI258" s="2163"/>
      <c r="AJ258" s="2163"/>
      <c r="AK258" s="2163"/>
      <c r="AL258" s="2163"/>
      <c r="AM258" s="2163"/>
      <c r="AN258" s="2163" t="s">
        <v>82</v>
      </c>
      <c r="AO258" s="2163"/>
      <c r="AP258" s="2163"/>
      <c r="AQ258" s="2163"/>
      <c r="AR258" s="2163"/>
      <c r="AS258" s="2163"/>
      <c r="AT258" s="2163"/>
      <c r="AU258" s="2163"/>
      <c r="AV258" s="2163"/>
      <c r="AW258" s="2163"/>
      <c r="AX258" s="2163" t="s">
        <v>83</v>
      </c>
      <c r="AY258" s="2163"/>
      <c r="AZ258" s="2163"/>
      <c r="BA258" s="2163"/>
      <c r="BB258" s="2163"/>
      <c r="BC258" s="2163"/>
      <c r="BD258" s="2163"/>
      <c r="BE258" s="2163"/>
      <c r="BF258" s="2163"/>
      <c r="BG258" s="2163"/>
      <c r="BH258" s="2163" t="s">
        <v>84</v>
      </c>
      <c r="BI258" s="2163"/>
      <c r="BJ258" s="2163"/>
      <c r="BK258" s="2163"/>
      <c r="BL258" s="2163"/>
      <c r="BM258" s="2163"/>
      <c r="BN258" s="2163"/>
      <c r="BO258" s="2163"/>
      <c r="BP258" s="2163"/>
      <c r="BQ258" s="2163" t="s">
        <v>85</v>
      </c>
      <c r="BR258" s="2163"/>
      <c r="BS258" s="2163"/>
      <c r="BT258" s="2163"/>
      <c r="BU258" s="2163"/>
      <c r="BV258" s="2163"/>
      <c r="BW258" s="2163"/>
      <c r="BX258" s="2163"/>
      <c r="BY258" s="2163"/>
      <c r="BZ258" s="2163"/>
      <c r="CA258" s="2163"/>
      <c r="CB258" s="2163"/>
      <c r="CC258" s="2164"/>
    </row>
    <row r="259" spans="1:81" s="10" customFormat="1" ht="20.100000000000001" customHeight="1">
      <c r="A259" s="2165" t="s">
        <v>86</v>
      </c>
      <c r="B259" s="2166"/>
      <c r="C259" s="2166"/>
      <c r="D259" s="2166"/>
      <c r="E259" s="2166"/>
      <c r="F259" s="2166"/>
      <c r="G259" s="2166"/>
      <c r="H259" s="2166"/>
      <c r="I259" s="2166"/>
      <c r="J259" s="2157"/>
      <c r="K259" s="2157"/>
      <c r="L259" s="2157"/>
      <c r="M259" s="2157"/>
      <c r="N259" s="2157"/>
      <c r="O259" s="2157"/>
      <c r="P259" s="2157"/>
      <c r="Q259" s="2157"/>
      <c r="R259" s="2157"/>
      <c r="S259" s="2157"/>
      <c r="T259" s="2157"/>
      <c r="U259" s="2157"/>
      <c r="V259" s="2157"/>
      <c r="W259" s="2157"/>
      <c r="X259" s="2157"/>
      <c r="Y259" s="2157"/>
      <c r="Z259" s="2157"/>
      <c r="AA259" s="2157"/>
      <c r="AB259" s="2157"/>
      <c r="AC259" s="2157"/>
      <c r="AD259" s="2157"/>
      <c r="AE259" s="2157"/>
      <c r="AF259" s="2157"/>
      <c r="AG259" s="2157"/>
      <c r="AH259" s="2157"/>
      <c r="AI259" s="2157"/>
      <c r="AJ259" s="2157"/>
      <c r="AK259" s="2157"/>
      <c r="AL259" s="2157"/>
      <c r="AM259" s="2157"/>
      <c r="AN259" s="2157"/>
      <c r="AO259" s="2157"/>
      <c r="AP259" s="2157"/>
      <c r="AQ259" s="2157"/>
      <c r="AR259" s="2157"/>
      <c r="AS259" s="2157"/>
      <c r="AT259" s="2157"/>
      <c r="AU259" s="2157"/>
      <c r="AV259" s="2157"/>
      <c r="AW259" s="2157"/>
      <c r="AX259" s="2157"/>
      <c r="AY259" s="2157"/>
      <c r="AZ259" s="2157"/>
      <c r="BA259" s="2157"/>
      <c r="BB259" s="2157"/>
      <c r="BC259" s="2157"/>
      <c r="BD259" s="2157"/>
      <c r="BE259" s="2157"/>
      <c r="BF259" s="2157"/>
      <c r="BG259" s="2157"/>
      <c r="BH259" s="2157"/>
      <c r="BI259" s="2157"/>
      <c r="BJ259" s="2157"/>
      <c r="BK259" s="2157"/>
      <c r="BL259" s="2157"/>
      <c r="BM259" s="2157"/>
      <c r="BN259" s="2157"/>
      <c r="BO259" s="2157"/>
      <c r="BP259" s="2157"/>
      <c r="BQ259" s="2157"/>
      <c r="BR259" s="2157"/>
      <c r="BS259" s="2157"/>
      <c r="BT259" s="2157"/>
      <c r="BU259" s="2157"/>
      <c r="BV259" s="2157"/>
      <c r="BW259" s="2157"/>
      <c r="BX259" s="2157"/>
      <c r="BY259" s="2157"/>
      <c r="BZ259" s="2157"/>
      <c r="CA259" s="2157"/>
      <c r="CB259" s="2157"/>
      <c r="CC259" s="2158"/>
    </row>
    <row r="260" spans="1:81" s="10" customFormat="1" ht="20.100000000000001" customHeight="1" thickBot="1">
      <c r="A260" s="2159" t="s">
        <v>14</v>
      </c>
      <c r="B260" s="2160"/>
      <c r="C260" s="2160"/>
      <c r="D260" s="2160"/>
      <c r="E260" s="2160"/>
      <c r="F260" s="2160"/>
      <c r="G260" s="2160"/>
      <c r="H260" s="2160"/>
      <c r="I260" s="2160"/>
      <c r="J260" s="2161"/>
      <c r="K260" s="2161"/>
      <c r="L260" s="2161"/>
      <c r="M260" s="2161"/>
      <c r="N260" s="2161"/>
      <c r="O260" s="2161"/>
      <c r="P260" s="2161"/>
      <c r="Q260" s="2161"/>
      <c r="R260" s="2161"/>
      <c r="S260" s="2161"/>
      <c r="T260" s="2161"/>
      <c r="U260" s="2161"/>
      <c r="V260" s="2161"/>
      <c r="W260" s="2161"/>
      <c r="X260" s="2161"/>
      <c r="Y260" s="2161"/>
      <c r="Z260" s="2161"/>
      <c r="AA260" s="2161"/>
      <c r="AB260" s="2161"/>
      <c r="AC260" s="2161"/>
      <c r="AD260" s="2161"/>
      <c r="AE260" s="2161"/>
      <c r="AF260" s="2161"/>
      <c r="AG260" s="2161"/>
      <c r="AH260" s="2161"/>
      <c r="AI260" s="2161"/>
      <c r="AJ260" s="2161"/>
      <c r="AK260" s="2161"/>
      <c r="AL260" s="2161"/>
      <c r="AM260" s="2161"/>
      <c r="AN260" s="2161"/>
      <c r="AO260" s="2161"/>
      <c r="AP260" s="2161"/>
      <c r="AQ260" s="2161"/>
      <c r="AR260" s="2161"/>
      <c r="AS260" s="2161"/>
      <c r="AT260" s="2161"/>
      <c r="AU260" s="2161"/>
      <c r="AV260" s="2161"/>
      <c r="AW260" s="2161"/>
      <c r="AX260" s="2161"/>
      <c r="AY260" s="2161"/>
      <c r="AZ260" s="2161"/>
      <c r="BA260" s="2161"/>
      <c r="BB260" s="2161"/>
      <c r="BC260" s="2161"/>
      <c r="BD260" s="2161"/>
      <c r="BE260" s="2161"/>
      <c r="BF260" s="2161"/>
      <c r="BG260" s="2161"/>
      <c r="BH260" s="2161"/>
      <c r="BI260" s="2161"/>
      <c r="BJ260" s="2161"/>
      <c r="BK260" s="2161"/>
      <c r="BL260" s="2161"/>
      <c r="BM260" s="2161"/>
      <c r="BN260" s="2161"/>
      <c r="BO260" s="2161"/>
      <c r="BP260" s="2161"/>
      <c r="BQ260" s="2161"/>
      <c r="BR260" s="2161"/>
      <c r="BS260" s="2161"/>
      <c r="BT260" s="2161"/>
      <c r="BU260" s="2161"/>
      <c r="BV260" s="2161"/>
      <c r="BW260" s="2161"/>
      <c r="BX260" s="2161"/>
      <c r="BY260" s="2161"/>
      <c r="BZ260" s="2161"/>
      <c r="CA260" s="2161"/>
      <c r="CB260" s="2161"/>
      <c r="CC260" s="2162"/>
    </row>
    <row r="261" spans="1:81" s="10" customFormat="1" ht="15" customHeight="1" thickTop="1">
      <c r="B261" s="1"/>
      <c r="C261" s="29"/>
      <c r="D261" s="29"/>
      <c r="E261" s="1"/>
      <c r="F261" s="1"/>
      <c r="G261" s="1"/>
      <c r="H261" s="1"/>
      <c r="I261" s="1"/>
      <c r="J261" s="1"/>
      <c r="K261" s="1"/>
      <c r="L261" s="1"/>
      <c r="M261" s="1"/>
      <c r="T261" s="26"/>
      <c r="AN261" s="26"/>
      <c r="BH261" s="26"/>
      <c r="CC261" s="26"/>
    </row>
    <row r="262" spans="1:81" s="10" customFormat="1" ht="15" customHeight="1" thickBot="1">
      <c r="B262" s="1"/>
      <c r="C262" s="29"/>
      <c r="D262" s="29"/>
      <c r="E262" s="1"/>
      <c r="F262" s="1"/>
      <c r="G262" s="1"/>
      <c r="H262" s="1"/>
      <c r="I262" s="1"/>
      <c r="J262" s="1"/>
      <c r="K262" s="1"/>
      <c r="L262" s="1"/>
      <c r="M262" s="1"/>
      <c r="T262" s="26"/>
      <c r="AN262" s="26"/>
      <c r="BH262" s="26"/>
      <c r="CC262" s="26"/>
    </row>
    <row r="263" spans="1:81" s="10" customFormat="1" ht="20.100000000000001" customHeight="1" thickTop="1">
      <c r="A263" s="2170" t="s">
        <v>74</v>
      </c>
      <c r="B263" s="2171"/>
      <c r="C263" s="2171"/>
      <c r="D263" s="2171"/>
      <c r="E263" s="2171"/>
      <c r="F263" s="2171"/>
      <c r="G263" s="2171"/>
      <c r="H263" s="2171"/>
      <c r="I263" s="2172"/>
      <c r="J263" s="2173" t="s">
        <v>201</v>
      </c>
      <c r="K263" s="2173"/>
      <c r="L263" s="2173"/>
      <c r="M263" s="2173"/>
      <c r="N263" s="2173"/>
      <c r="O263" s="2173"/>
      <c r="P263" s="2173"/>
      <c r="Q263" s="2173"/>
      <c r="R263" s="2173"/>
      <c r="S263" s="2173"/>
      <c r="T263" s="2173"/>
      <c r="U263" s="2173"/>
      <c r="V263" s="2173"/>
      <c r="W263" s="2173"/>
      <c r="X263" s="2173"/>
      <c r="Y263" s="2173"/>
      <c r="Z263" s="2173"/>
      <c r="AA263" s="2173"/>
      <c r="AB263" s="2173"/>
      <c r="AC263" s="2173"/>
      <c r="AD263" s="2173"/>
      <c r="AE263" s="2173"/>
      <c r="AF263" s="2173"/>
      <c r="AG263" s="2173"/>
      <c r="AH263" s="2173"/>
      <c r="AI263" s="2173"/>
      <c r="AJ263" s="2173"/>
      <c r="AK263" s="2173"/>
      <c r="AL263" s="2173"/>
      <c r="AM263" s="2173"/>
      <c r="AN263" s="2173"/>
      <c r="AO263" s="2173"/>
      <c r="AP263" s="2173"/>
      <c r="AQ263" s="2173"/>
      <c r="AR263" s="2173"/>
      <c r="AS263" s="2173"/>
      <c r="AT263" s="2173"/>
      <c r="AU263" s="2173"/>
      <c r="AV263" s="2173"/>
      <c r="AW263" s="2173"/>
      <c r="AX263" s="2173"/>
      <c r="AY263" s="2173"/>
      <c r="AZ263" s="2173"/>
      <c r="BA263" s="2173"/>
      <c r="BB263" s="2173"/>
      <c r="BC263" s="2173"/>
      <c r="BD263" s="2173"/>
      <c r="BE263" s="2173"/>
      <c r="BF263" s="2173"/>
      <c r="BG263" s="2173"/>
      <c r="BH263" s="2173"/>
      <c r="BI263" s="2173"/>
      <c r="BJ263" s="2173"/>
      <c r="BK263" s="2173"/>
      <c r="BL263" s="2173"/>
      <c r="BM263" s="2173"/>
      <c r="BN263" s="2173"/>
      <c r="BO263" s="2173"/>
      <c r="BP263" s="2173"/>
      <c r="BQ263" s="2173"/>
      <c r="BR263" s="2173"/>
      <c r="BS263" s="2173"/>
      <c r="BT263" s="2173"/>
      <c r="BU263" s="2173"/>
      <c r="BV263" s="2173"/>
      <c r="BW263" s="2173"/>
      <c r="BX263" s="2173"/>
      <c r="BY263" s="2173"/>
      <c r="BZ263" s="2173"/>
      <c r="CA263" s="2173"/>
      <c r="CB263" s="2173"/>
      <c r="CC263" s="2174"/>
    </row>
    <row r="264" spans="1:81" s="10" customFormat="1" ht="20.100000000000001" customHeight="1">
      <c r="A264" s="2175" t="s">
        <v>75</v>
      </c>
      <c r="B264" s="2176"/>
      <c r="C264" s="2176"/>
      <c r="D264" s="2176"/>
      <c r="E264" s="2176"/>
      <c r="F264" s="2176"/>
      <c r="G264" s="2176"/>
      <c r="H264" s="2176"/>
      <c r="I264" s="2176"/>
      <c r="J264" s="2176"/>
      <c r="K264" s="2176"/>
      <c r="L264" s="2176"/>
      <c r="M264" s="2176"/>
      <c r="N264" s="2176"/>
      <c r="O264" s="2176"/>
      <c r="P264" s="2176"/>
      <c r="Q264" s="2176"/>
      <c r="R264" s="2176"/>
      <c r="S264" s="2176"/>
      <c r="T264" s="2176" t="s">
        <v>76</v>
      </c>
      <c r="U264" s="2176"/>
      <c r="V264" s="2176"/>
      <c r="W264" s="2176"/>
      <c r="X264" s="2176"/>
      <c r="Y264" s="2176"/>
      <c r="Z264" s="2176"/>
      <c r="AA264" s="2176"/>
      <c r="AB264" s="2176"/>
      <c r="AC264" s="2176"/>
      <c r="AD264" s="2176"/>
      <c r="AE264" s="2176"/>
      <c r="AF264" s="2176"/>
      <c r="AG264" s="2176"/>
      <c r="AH264" s="2176"/>
      <c r="AI264" s="2176"/>
      <c r="AJ264" s="2176"/>
      <c r="AK264" s="2176"/>
      <c r="AL264" s="2176"/>
      <c r="AM264" s="2176"/>
      <c r="AN264" s="2176" t="s">
        <v>77</v>
      </c>
      <c r="AO264" s="2176"/>
      <c r="AP264" s="2176"/>
      <c r="AQ264" s="2176"/>
      <c r="AR264" s="2176"/>
      <c r="AS264" s="2176"/>
      <c r="AT264" s="2176"/>
      <c r="AU264" s="2176"/>
      <c r="AV264" s="2176"/>
      <c r="AW264" s="2176"/>
      <c r="AX264" s="2176"/>
      <c r="AY264" s="2176"/>
      <c r="AZ264" s="2176"/>
      <c r="BA264" s="2176"/>
      <c r="BB264" s="2176"/>
      <c r="BC264" s="2176"/>
      <c r="BD264" s="2176"/>
      <c r="BE264" s="2176"/>
      <c r="BF264" s="2176"/>
      <c r="BG264" s="2176"/>
      <c r="BH264" s="2176" t="s">
        <v>78</v>
      </c>
      <c r="BI264" s="2176"/>
      <c r="BJ264" s="2176"/>
      <c r="BK264" s="2176"/>
      <c r="BL264" s="2176"/>
      <c r="BM264" s="2176"/>
      <c r="BN264" s="2176"/>
      <c r="BO264" s="2176"/>
      <c r="BP264" s="2176"/>
      <c r="BQ264" s="2176" t="s">
        <v>79</v>
      </c>
      <c r="BR264" s="2176"/>
      <c r="BS264" s="2176"/>
      <c r="BT264" s="2176"/>
      <c r="BU264" s="2176"/>
      <c r="BV264" s="2176"/>
      <c r="BW264" s="2176"/>
      <c r="BX264" s="2176"/>
      <c r="BY264" s="2176"/>
      <c r="BZ264" s="2176"/>
      <c r="CA264" s="2176"/>
      <c r="CB264" s="2176"/>
      <c r="CC264" s="2177"/>
    </row>
    <row r="265" spans="1:81" s="10" customFormat="1" ht="20.100000000000001" customHeight="1">
      <c r="A265" s="2167"/>
      <c r="B265" s="1907"/>
      <c r="C265" s="1907"/>
      <c r="D265" s="1907"/>
      <c r="E265" s="1907"/>
      <c r="F265" s="1907"/>
      <c r="G265" s="1907"/>
      <c r="H265" s="1907"/>
      <c r="I265" s="1907"/>
      <c r="J265" s="1907"/>
      <c r="K265" s="1907"/>
      <c r="L265" s="1907"/>
      <c r="M265" s="1907"/>
      <c r="N265" s="1907"/>
      <c r="O265" s="1907"/>
      <c r="P265" s="1907"/>
      <c r="Q265" s="1907"/>
      <c r="R265" s="1907"/>
      <c r="S265" s="1907"/>
      <c r="T265" s="1907"/>
      <c r="U265" s="1907"/>
      <c r="V265" s="1907"/>
      <c r="W265" s="1907"/>
      <c r="X265" s="1907"/>
      <c r="Y265" s="1907"/>
      <c r="Z265" s="1907"/>
      <c r="AA265" s="1907"/>
      <c r="AB265" s="1907"/>
      <c r="AC265" s="1907"/>
      <c r="AD265" s="1907"/>
      <c r="AE265" s="1907"/>
      <c r="AF265" s="1907"/>
      <c r="AG265" s="1907"/>
      <c r="AH265" s="1907"/>
      <c r="AI265" s="1907"/>
      <c r="AJ265" s="1907"/>
      <c r="AK265" s="1907"/>
      <c r="AL265" s="1907"/>
      <c r="AM265" s="1907"/>
      <c r="AN265" s="1907"/>
      <c r="AO265" s="1907"/>
      <c r="AP265" s="1907"/>
      <c r="AQ265" s="1907"/>
      <c r="AR265" s="1907"/>
      <c r="AS265" s="1907"/>
      <c r="AT265" s="1907"/>
      <c r="AU265" s="1907"/>
      <c r="AV265" s="1907"/>
      <c r="AW265" s="1907"/>
      <c r="AX265" s="1907"/>
      <c r="AY265" s="1907"/>
      <c r="AZ265" s="1907"/>
      <c r="BA265" s="1907"/>
      <c r="BB265" s="1907"/>
      <c r="BC265" s="1907"/>
      <c r="BD265" s="1907"/>
      <c r="BE265" s="1907"/>
      <c r="BF265" s="1907"/>
      <c r="BG265" s="1907"/>
      <c r="BH265" s="1907"/>
      <c r="BI265" s="1907"/>
      <c r="BJ265" s="1907"/>
      <c r="BK265" s="1907"/>
      <c r="BL265" s="1907"/>
      <c r="BM265" s="1907"/>
      <c r="BN265" s="1907"/>
      <c r="BO265" s="1907"/>
      <c r="BP265" s="1907"/>
      <c r="BQ265" s="1907"/>
      <c r="BR265" s="1907"/>
      <c r="BS265" s="1907"/>
      <c r="BT265" s="1907"/>
      <c r="BU265" s="1907"/>
      <c r="BV265" s="1907"/>
      <c r="BW265" s="1907"/>
      <c r="BX265" s="1907"/>
      <c r="BY265" s="1907"/>
      <c r="BZ265" s="1907"/>
      <c r="CA265" s="1907"/>
      <c r="CB265" s="1907"/>
      <c r="CC265" s="1908"/>
    </row>
    <row r="266" spans="1:81" s="10" customFormat="1" ht="20.100000000000001" customHeight="1">
      <c r="A266" s="2168"/>
      <c r="B266" s="2169"/>
      <c r="C266" s="2169"/>
      <c r="D266" s="2169"/>
      <c r="E266" s="2169"/>
      <c r="F266" s="2169"/>
      <c r="G266" s="2169"/>
      <c r="H266" s="2169"/>
      <c r="I266" s="2169"/>
      <c r="J266" s="2163" t="s">
        <v>80</v>
      </c>
      <c r="K266" s="2163"/>
      <c r="L266" s="2163"/>
      <c r="M266" s="2163"/>
      <c r="N266" s="2163"/>
      <c r="O266" s="2163"/>
      <c r="P266" s="2163"/>
      <c r="Q266" s="2163"/>
      <c r="R266" s="2163"/>
      <c r="S266" s="2163"/>
      <c r="T266" s="2163" t="s">
        <v>81</v>
      </c>
      <c r="U266" s="2163"/>
      <c r="V266" s="2163"/>
      <c r="W266" s="2163"/>
      <c r="X266" s="2163"/>
      <c r="Y266" s="2163"/>
      <c r="Z266" s="2163"/>
      <c r="AA266" s="2163"/>
      <c r="AB266" s="2163"/>
      <c r="AC266" s="2163"/>
      <c r="AD266" s="2163" t="s">
        <v>10</v>
      </c>
      <c r="AE266" s="2163"/>
      <c r="AF266" s="2163"/>
      <c r="AG266" s="2163"/>
      <c r="AH266" s="2163"/>
      <c r="AI266" s="2163"/>
      <c r="AJ266" s="2163"/>
      <c r="AK266" s="2163"/>
      <c r="AL266" s="2163"/>
      <c r="AM266" s="2163"/>
      <c r="AN266" s="2163" t="s">
        <v>82</v>
      </c>
      <c r="AO266" s="2163"/>
      <c r="AP266" s="2163"/>
      <c r="AQ266" s="2163"/>
      <c r="AR266" s="2163"/>
      <c r="AS266" s="2163"/>
      <c r="AT266" s="2163"/>
      <c r="AU266" s="2163"/>
      <c r="AV266" s="2163"/>
      <c r="AW266" s="2163"/>
      <c r="AX266" s="2163" t="s">
        <v>83</v>
      </c>
      <c r="AY266" s="2163"/>
      <c r="AZ266" s="2163"/>
      <c r="BA266" s="2163"/>
      <c r="BB266" s="2163"/>
      <c r="BC266" s="2163"/>
      <c r="BD266" s="2163"/>
      <c r="BE266" s="2163"/>
      <c r="BF266" s="2163"/>
      <c r="BG266" s="2163"/>
      <c r="BH266" s="2163" t="s">
        <v>84</v>
      </c>
      <c r="BI266" s="2163"/>
      <c r="BJ266" s="2163"/>
      <c r="BK266" s="2163"/>
      <c r="BL266" s="2163"/>
      <c r="BM266" s="2163"/>
      <c r="BN266" s="2163"/>
      <c r="BO266" s="2163"/>
      <c r="BP266" s="2163"/>
      <c r="BQ266" s="2163" t="s">
        <v>85</v>
      </c>
      <c r="BR266" s="2163"/>
      <c r="BS266" s="2163"/>
      <c r="BT266" s="2163"/>
      <c r="BU266" s="2163"/>
      <c r="BV266" s="2163"/>
      <c r="BW266" s="2163"/>
      <c r="BX266" s="2163"/>
      <c r="BY266" s="2163"/>
      <c r="BZ266" s="2163"/>
      <c r="CA266" s="2163"/>
      <c r="CB266" s="2163"/>
      <c r="CC266" s="2164"/>
    </row>
    <row r="267" spans="1:81" s="10" customFormat="1" ht="20.100000000000001" customHeight="1">
      <c r="A267" s="2165" t="s">
        <v>86</v>
      </c>
      <c r="B267" s="2166"/>
      <c r="C267" s="2166"/>
      <c r="D267" s="2166"/>
      <c r="E267" s="2166"/>
      <c r="F267" s="2166"/>
      <c r="G267" s="2166"/>
      <c r="H267" s="2166"/>
      <c r="I267" s="2166"/>
      <c r="J267" s="2157"/>
      <c r="K267" s="2157"/>
      <c r="L267" s="2157"/>
      <c r="M267" s="2157"/>
      <c r="N267" s="2157"/>
      <c r="O267" s="2157"/>
      <c r="P267" s="2157"/>
      <c r="Q267" s="2157"/>
      <c r="R267" s="2157"/>
      <c r="S267" s="2157"/>
      <c r="T267" s="2157"/>
      <c r="U267" s="2157"/>
      <c r="V267" s="2157"/>
      <c r="W267" s="2157"/>
      <c r="X267" s="2157"/>
      <c r="Y267" s="2157"/>
      <c r="Z267" s="2157"/>
      <c r="AA267" s="2157"/>
      <c r="AB267" s="2157"/>
      <c r="AC267" s="2157"/>
      <c r="AD267" s="2157"/>
      <c r="AE267" s="2157"/>
      <c r="AF267" s="2157"/>
      <c r="AG267" s="2157"/>
      <c r="AH267" s="2157"/>
      <c r="AI267" s="2157"/>
      <c r="AJ267" s="2157"/>
      <c r="AK267" s="2157"/>
      <c r="AL267" s="2157"/>
      <c r="AM267" s="2157"/>
      <c r="AN267" s="2157"/>
      <c r="AO267" s="2157"/>
      <c r="AP267" s="2157"/>
      <c r="AQ267" s="2157"/>
      <c r="AR267" s="2157"/>
      <c r="AS267" s="2157"/>
      <c r="AT267" s="2157"/>
      <c r="AU267" s="2157"/>
      <c r="AV267" s="2157"/>
      <c r="AW267" s="2157"/>
      <c r="AX267" s="2157"/>
      <c r="AY267" s="2157"/>
      <c r="AZ267" s="2157"/>
      <c r="BA267" s="2157"/>
      <c r="BB267" s="2157"/>
      <c r="BC267" s="2157"/>
      <c r="BD267" s="2157"/>
      <c r="BE267" s="2157"/>
      <c r="BF267" s="2157"/>
      <c r="BG267" s="2157"/>
      <c r="BH267" s="2157"/>
      <c r="BI267" s="2157"/>
      <c r="BJ267" s="2157"/>
      <c r="BK267" s="2157"/>
      <c r="BL267" s="2157"/>
      <c r="BM267" s="2157"/>
      <c r="BN267" s="2157"/>
      <c r="BO267" s="2157"/>
      <c r="BP267" s="2157"/>
      <c r="BQ267" s="2157"/>
      <c r="BR267" s="2157"/>
      <c r="BS267" s="2157"/>
      <c r="BT267" s="2157"/>
      <c r="BU267" s="2157"/>
      <c r="BV267" s="2157"/>
      <c r="BW267" s="2157"/>
      <c r="BX267" s="2157"/>
      <c r="BY267" s="2157"/>
      <c r="BZ267" s="2157"/>
      <c r="CA267" s="2157"/>
      <c r="CB267" s="2157"/>
      <c r="CC267" s="2158"/>
    </row>
    <row r="268" spans="1:81" s="10" customFormat="1" ht="20.100000000000001" customHeight="1" thickBot="1">
      <c r="A268" s="2159" t="s">
        <v>14</v>
      </c>
      <c r="B268" s="2160"/>
      <c r="C268" s="2160"/>
      <c r="D268" s="2160"/>
      <c r="E268" s="2160"/>
      <c r="F268" s="2160"/>
      <c r="G268" s="2160"/>
      <c r="H268" s="2160"/>
      <c r="I268" s="2160"/>
      <c r="J268" s="2161"/>
      <c r="K268" s="2161"/>
      <c r="L268" s="2161"/>
      <c r="M268" s="2161"/>
      <c r="N268" s="2161"/>
      <c r="O268" s="2161"/>
      <c r="P268" s="2161"/>
      <c r="Q268" s="2161"/>
      <c r="R268" s="2161"/>
      <c r="S268" s="2161"/>
      <c r="T268" s="2161"/>
      <c r="U268" s="2161"/>
      <c r="V268" s="2161"/>
      <c r="W268" s="2161"/>
      <c r="X268" s="2161"/>
      <c r="Y268" s="2161"/>
      <c r="Z268" s="2161"/>
      <c r="AA268" s="2161"/>
      <c r="AB268" s="2161"/>
      <c r="AC268" s="2161"/>
      <c r="AD268" s="2161"/>
      <c r="AE268" s="2161"/>
      <c r="AF268" s="2161"/>
      <c r="AG268" s="2161"/>
      <c r="AH268" s="2161"/>
      <c r="AI268" s="2161"/>
      <c r="AJ268" s="2161"/>
      <c r="AK268" s="2161"/>
      <c r="AL268" s="2161"/>
      <c r="AM268" s="2161"/>
      <c r="AN268" s="2161"/>
      <c r="AO268" s="2161"/>
      <c r="AP268" s="2161"/>
      <c r="AQ268" s="2161"/>
      <c r="AR268" s="2161"/>
      <c r="AS268" s="2161"/>
      <c r="AT268" s="2161"/>
      <c r="AU268" s="2161"/>
      <c r="AV268" s="2161"/>
      <c r="AW268" s="2161"/>
      <c r="AX268" s="2161"/>
      <c r="AY268" s="2161"/>
      <c r="AZ268" s="2161"/>
      <c r="BA268" s="2161"/>
      <c r="BB268" s="2161"/>
      <c r="BC268" s="2161"/>
      <c r="BD268" s="2161"/>
      <c r="BE268" s="2161"/>
      <c r="BF268" s="2161"/>
      <c r="BG268" s="2161"/>
      <c r="BH268" s="2161"/>
      <c r="BI268" s="2161"/>
      <c r="BJ268" s="2161"/>
      <c r="BK268" s="2161"/>
      <c r="BL268" s="2161"/>
      <c r="BM268" s="2161"/>
      <c r="BN268" s="2161"/>
      <c r="BO268" s="2161"/>
      <c r="BP268" s="2161"/>
      <c r="BQ268" s="2161"/>
      <c r="BR268" s="2161"/>
      <c r="BS268" s="2161"/>
      <c r="BT268" s="2161"/>
      <c r="BU268" s="2161"/>
      <c r="BV268" s="2161"/>
      <c r="BW268" s="2161"/>
      <c r="BX268" s="2161"/>
      <c r="BY268" s="2161"/>
      <c r="BZ268" s="2161"/>
      <c r="CA268" s="2161"/>
      <c r="CB268" s="2161"/>
      <c r="CC268" s="2162"/>
    </row>
    <row r="269" spans="1:81" s="10" customFormat="1" ht="15" customHeight="1" thickTop="1">
      <c r="C269" s="26"/>
      <c r="D269" s="26"/>
      <c r="T269" s="26"/>
      <c r="AN269" s="26"/>
      <c r="BH269" s="26"/>
      <c r="CC269" s="26"/>
    </row>
    <row r="270" spans="1:81" s="10" customFormat="1" ht="15" customHeight="1">
      <c r="C270" s="26"/>
      <c r="D270" s="26"/>
      <c r="T270" s="26"/>
      <c r="AN270" s="26"/>
      <c r="BH270" s="26"/>
      <c r="CC270" s="26"/>
    </row>
    <row r="271" spans="1:81" s="10" customFormat="1" ht="23.25">
      <c r="A271" s="37" t="s">
        <v>87</v>
      </c>
      <c r="C271" s="26"/>
      <c r="D271" s="26"/>
      <c r="T271" s="26"/>
      <c r="AN271" s="26"/>
      <c r="BH271" s="26"/>
      <c r="CC271" s="26"/>
    </row>
    <row r="272" spans="1:81" s="10" customFormat="1" ht="15" customHeight="1">
      <c r="B272" s="3"/>
      <c r="C272" s="26"/>
      <c r="D272" s="26"/>
      <c r="T272" s="26"/>
      <c r="AN272" s="26"/>
      <c r="BH272" s="26"/>
      <c r="CC272" s="26"/>
    </row>
    <row r="273" spans="1:81" s="10" customFormat="1" ht="15" customHeight="1" thickBot="1">
      <c r="B273" s="3"/>
      <c r="C273" s="26"/>
      <c r="D273" s="26"/>
      <c r="T273" s="26"/>
      <c r="AN273" s="26"/>
      <c r="BH273" s="26"/>
      <c r="CC273" s="26"/>
    </row>
    <row r="274" spans="1:81" s="10" customFormat="1" ht="20.100000000000001" customHeight="1" thickTop="1">
      <c r="A274" s="2153"/>
      <c r="B274" s="2154"/>
      <c r="C274" s="2154"/>
      <c r="D274" s="2154"/>
      <c r="E274" s="2154"/>
      <c r="F274" s="2154"/>
      <c r="G274" s="2154"/>
      <c r="H274" s="2154"/>
      <c r="I274" s="2154"/>
      <c r="J274" s="2154"/>
      <c r="K274" s="2154"/>
      <c r="L274" s="2154"/>
      <c r="M274" s="2154"/>
      <c r="N274" s="2154"/>
      <c r="O274" s="2154"/>
      <c r="P274" s="2154"/>
      <c r="Q274" s="2154"/>
      <c r="R274" s="2154"/>
      <c r="S274" s="2154"/>
      <c r="T274" s="2155" t="s">
        <v>88</v>
      </c>
      <c r="U274" s="2155"/>
      <c r="V274" s="2155"/>
      <c r="W274" s="2155"/>
      <c r="X274" s="2155"/>
      <c r="Y274" s="2155"/>
      <c r="Z274" s="2155"/>
      <c r="AA274" s="2155"/>
      <c r="AB274" s="2155"/>
      <c r="AC274" s="2155"/>
      <c r="AD274" s="2155"/>
      <c r="AE274" s="2155"/>
      <c r="AF274" s="2155"/>
      <c r="AG274" s="2155"/>
      <c r="AH274" s="2155"/>
      <c r="AI274" s="2155"/>
      <c r="AJ274" s="2155"/>
      <c r="AK274" s="2155"/>
      <c r="AL274" s="2155"/>
      <c r="AM274" s="2155"/>
      <c r="AN274" s="2155" t="s">
        <v>7</v>
      </c>
      <c r="AO274" s="2155"/>
      <c r="AP274" s="2155"/>
      <c r="AQ274" s="2155"/>
      <c r="AR274" s="2155"/>
      <c r="AS274" s="2155"/>
      <c r="AT274" s="2155"/>
      <c r="AU274" s="2155"/>
      <c r="AV274" s="2155"/>
      <c r="AW274" s="2155"/>
      <c r="AX274" s="2155"/>
      <c r="AY274" s="2155"/>
      <c r="AZ274" s="2155"/>
      <c r="BA274" s="2155"/>
      <c r="BB274" s="2155"/>
      <c r="BC274" s="2155"/>
      <c r="BD274" s="2155"/>
      <c r="BE274" s="2155"/>
      <c r="BF274" s="2155"/>
      <c r="BG274" s="2155"/>
      <c r="BH274" s="2155" t="s">
        <v>8</v>
      </c>
      <c r="BI274" s="2155"/>
      <c r="BJ274" s="2155"/>
      <c r="BK274" s="2155"/>
      <c r="BL274" s="2155"/>
      <c r="BM274" s="2155"/>
      <c r="BN274" s="2155"/>
      <c r="BO274" s="2155"/>
      <c r="BP274" s="2155"/>
      <c r="BQ274" s="2155"/>
      <c r="BR274" s="2155"/>
      <c r="BS274" s="2155"/>
      <c r="BT274" s="2155"/>
      <c r="BU274" s="2155"/>
      <c r="BV274" s="2155"/>
      <c r="BW274" s="2155"/>
      <c r="BX274" s="2155"/>
      <c r="BY274" s="2155"/>
      <c r="BZ274" s="2155"/>
      <c r="CA274" s="2155"/>
      <c r="CB274" s="2155"/>
      <c r="CC274" s="2156"/>
    </row>
    <row r="275" spans="1:81" s="10" customFormat="1" ht="20.100000000000001" customHeight="1">
      <c r="A275" s="2142" t="s">
        <v>89</v>
      </c>
      <c r="B275" s="2143"/>
      <c r="C275" s="2143"/>
      <c r="D275" s="2143"/>
      <c r="E275" s="2143"/>
      <c r="F275" s="2143"/>
      <c r="G275" s="2143"/>
      <c r="H275" s="2143"/>
      <c r="I275" s="2143"/>
      <c r="J275" s="2143"/>
      <c r="K275" s="2143"/>
      <c r="L275" s="2143"/>
      <c r="M275" s="2143"/>
      <c r="N275" s="2143"/>
      <c r="O275" s="2143"/>
      <c r="P275" s="2143"/>
      <c r="Q275" s="2143"/>
      <c r="R275" s="2143"/>
      <c r="S275" s="2143"/>
      <c r="T275" s="2144"/>
      <c r="U275" s="2144"/>
      <c r="V275" s="2144"/>
      <c r="W275" s="2144"/>
      <c r="X275" s="2144"/>
      <c r="Y275" s="2144"/>
      <c r="Z275" s="2144"/>
      <c r="AA275" s="2144"/>
      <c r="AB275" s="2144"/>
      <c r="AC275" s="2144"/>
      <c r="AD275" s="2144"/>
      <c r="AE275" s="2144"/>
      <c r="AF275" s="2144"/>
      <c r="AG275" s="2144"/>
      <c r="AH275" s="2144"/>
      <c r="AI275" s="2144"/>
      <c r="AJ275" s="2144"/>
      <c r="AK275" s="2144"/>
      <c r="AL275" s="2144"/>
      <c r="AM275" s="2144"/>
      <c r="AN275" s="2144"/>
      <c r="AO275" s="2144"/>
      <c r="AP275" s="2144"/>
      <c r="AQ275" s="2144"/>
      <c r="AR275" s="2144"/>
      <c r="AS275" s="2144"/>
      <c r="AT275" s="2144"/>
      <c r="AU275" s="2144"/>
      <c r="AV275" s="2144"/>
      <c r="AW275" s="2144"/>
      <c r="AX275" s="2144"/>
      <c r="AY275" s="2144"/>
      <c r="AZ275" s="2144"/>
      <c r="BA275" s="2144"/>
      <c r="BB275" s="2144"/>
      <c r="BC275" s="2144"/>
      <c r="BD275" s="2144"/>
      <c r="BE275" s="2144"/>
      <c r="BF275" s="2144"/>
      <c r="BG275" s="2144"/>
      <c r="BH275" s="2144"/>
      <c r="BI275" s="2144"/>
      <c r="BJ275" s="2144"/>
      <c r="BK275" s="2144"/>
      <c r="BL275" s="2144"/>
      <c r="BM275" s="2144"/>
      <c r="BN275" s="2144"/>
      <c r="BO275" s="2144"/>
      <c r="BP275" s="2144"/>
      <c r="BQ275" s="2144"/>
      <c r="BR275" s="2144"/>
      <c r="BS275" s="2144"/>
      <c r="BT275" s="2144"/>
      <c r="BU275" s="2144"/>
      <c r="BV275" s="2144"/>
      <c r="BW275" s="2144"/>
      <c r="BX275" s="2144"/>
      <c r="BY275" s="2144"/>
      <c r="BZ275" s="2144"/>
      <c r="CA275" s="2144"/>
      <c r="CB275" s="2144"/>
      <c r="CC275" s="2145"/>
    </row>
    <row r="276" spans="1:81" s="10" customFormat="1" ht="20.100000000000001" customHeight="1">
      <c r="A276" s="2146" t="s">
        <v>90</v>
      </c>
      <c r="B276" s="2147"/>
      <c r="C276" s="2147"/>
      <c r="D276" s="2147"/>
      <c r="E276" s="2147"/>
      <c r="F276" s="2147"/>
      <c r="G276" s="2147"/>
      <c r="H276" s="2147"/>
      <c r="I276" s="2147"/>
      <c r="J276" s="2147"/>
      <c r="K276" s="2147"/>
      <c r="L276" s="2147"/>
      <c r="M276" s="2147"/>
      <c r="N276" s="2147"/>
      <c r="O276" s="2147"/>
      <c r="P276" s="2147"/>
      <c r="Q276" s="2147"/>
      <c r="R276" s="2147"/>
      <c r="S276" s="2147"/>
      <c r="T276" s="2148"/>
      <c r="U276" s="2148"/>
      <c r="V276" s="2148"/>
      <c r="W276" s="2148"/>
      <c r="X276" s="2148"/>
      <c r="Y276" s="2148"/>
      <c r="Z276" s="2148"/>
      <c r="AA276" s="2148"/>
      <c r="AB276" s="2148"/>
      <c r="AC276" s="2148"/>
      <c r="AD276" s="2148"/>
      <c r="AE276" s="2148"/>
      <c r="AF276" s="2148"/>
      <c r="AG276" s="2148"/>
      <c r="AH276" s="2148"/>
      <c r="AI276" s="2148"/>
      <c r="AJ276" s="2148"/>
      <c r="AK276" s="2148"/>
      <c r="AL276" s="2148"/>
      <c r="AM276" s="2148"/>
      <c r="AN276" s="2148"/>
      <c r="AO276" s="2148"/>
      <c r="AP276" s="2148"/>
      <c r="AQ276" s="2148"/>
      <c r="AR276" s="2148"/>
      <c r="AS276" s="2148"/>
      <c r="AT276" s="2148"/>
      <c r="AU276" s="2148"/>
      <c r="AV276" s="2148"/>
      <c r="AW276" s="2148"/>
      <c r="AX276" s="2148"/>
      <c r="AY276" s="2148"/>
      <c r="AZ276" s="2148"/>
      <c r="BA276" s="2148"/>
      <c r="BB276" s="2148"/>
      <c r="BC276" s="2148"/>
      <c r="BD276" s="2148"/>
      <c r="BE276" s="2148"/>
      <c r="BF276" s="2148"/>
      <c r="BG276" s="2148"/>
      <c r="BH276" s="2148"/>
      <c r="BI276" s="2148"/>
      <c r="BJ276" s="2148"/>
      <c r="BK276" s="2148"/>
      <c r="BL276" s="2148"/>
      <c r="BM276" s="2148"/>
      <c r="BN276" s="2148"/>
      <c r="BO276" s="2148"/>
      <c r="BP276" s="2148"/>
      <c r="BQ276" s="2148"/>
      <c r="BR276" s="2148"/>
      <c r="BS276" s="2148"/>
      <c r="BT276" s="2148"/>
      <c r="BU276" s="2148"/>
      <c r="BV276" s="2148"/>
      <c r="BW276" s="2148"/>
      <c r="BX276" s="2148"/>
      <c r="BY276" s="2148"/>
      <c r="BZ276" s="2148"/>
      <c r="CA276" s="2148"/>
      <c r="CB276" s="2148"/>
      <c r="CC276" s="2149"/>
    </row>
    <row r="277" spans="1:81" s="10" customFormat="1" ht="20.100000000000001" customHeight="1">
      <c r="A277" s="2142" t="s">
        <v>91</v>
      </c>
      <c r="B277" s="2143"/>
      <c r="C277" s="2143"/>
      <c r="D277" s="2143"/>
      <c r="E277" s="2143"/>
      <c r="F277" s="2143"/>
      <c r="G277" s="2143"/>
      <c r="H277" s="2143"/>
      <c r="I277" s="2143"/>
      <c r="J277" s="2143"/>
      <c r="K277" s="2143"/>
      <c r="L277" s="2143"/>
      <c r="M277" s="2143"/>
      <c r="N277" s="2143"/>
      <c r="O277" s="2143"/>
      <c r="P277" s="2143"/>
      <c r="Q277" s="2143"/>
      <c r="R277" s="2143"/>
      <c r="S277" s="2143"/>
      <c r="T277" s="2144"/>
      <c r="U277" s="2144"/>
      <c r="V277" s="2144"/>
      <c r="W277" s="2144"/>
      <c r="X277" s="2144"/>
      <c r="Y277" s="2144"/>
      <c r="Z277" s="2144"/>
      <c r="AA277" s="2144"/>
      <c r="AB277" s="2144"/>
      <c r="AC277" s="2144"/>
      <c r="AD277" s="2144"/>
      <c r="AE277" s="2144"/>
      <c r="AF277" s="2144"/>
      <c r="AG277" s="2144"/>
      <c r="AH277" s="2144"/>
      <c r="AI277" s="2144"/>
      <c r="AJ277" s="2144"/>
      <c r="AK277" s="2144"/>
      <c r="AL277" s="2144"/>
      <c r="AM277" s="2144"/>
      <c r="AN277" s="2144"/>
      <c r="AO277" s="2144"/>
      <c r="AP277" s="2144"/>
      <c r="AQ277" s="2144"/>
      <c r="AR277" s="2144"/>
      <c r="AS277" s="2144"/>
      <c r="AT277" s="2144"/>
      <c r="AU277" s="2144"/>
      <c r="AV277" s="2144"/>
      <c r="AW277" s="2144"/>
      <c r="AX277" s="2144"/>
      <c r="AY277" s="2144"/>
      <c r="AZ277" s="2144"/>
      <c r="BA277" s="2144"/>
      <c r="BB277" s="2144"/>
      <c r="BC277" s="2144"/>
      <c r="BD277" s="2144"/>
      <c r="BE277" s="2144"/>
      <c r="BF277" s="2144"/>
      <c r="BG277" s="2144"/>
      <c r="BH277" s="2144"/>
      <c r="BI277" s="2144"/>
      <c r="BJ277" s="2144"/>
      <c r="BK277" s="2144"/>
      <c r="BL277" s="2144"/>
      <c r="BM277" s="2144"/>
      <c r="BN277" s="2144"/>
      <c r="BO277" s="2144"/>
      <c r="BP277" s="2144"/>
      <c r="BQ277" s="2144"/>
      <c r="BR277" s="2144"/>
      <c r="BS277" s="2144"/>
      <c r="BT277" s="2144"/>
      <c r="BU277" s="2144"/>
      <c r="BV277" s="2144"/>
      <c r="BW277" s="2144"/>
      <c r="BX277" s="2144"/>
      <c r="BY277" s="2144"/>
      <c r="BZ277" s="2144"/>
      <c r="CA277" s="2144"/>
      <c r="CB277" s="2144"/>
      <c r="CC277" s="2145"/>
    </row>
    <row r="278" spans="1:81" s="10" customFormat="1" ht="20.100000000000001" customHeight="1">
      <c r="A278" s="2146" t="s">
        <v>92</v>
      </c>
      <c r="B278" s="2147"/>
      <c r="C278" s="2147"/>
      <c r="D278" s="2147"/>
      <c r="E278" s="2147"/>
      <c r="F278" s="2147"/>
      <c r="G278" s="2147"/>
      <c r="H278" s="2147"/>
      <c r="I278" s="2147"/>
      <c r="J278" s="2147"/>
      <c r="K278" s="2147"/>
      <c r="L278" s="2147"/>
      <c r="M278" s="2147"/>
      <c r="N278" s="2147"/>
      <c r="O278" s="2147"/>
      <c r="P278" s="2147"/>
      <c r="Q278" s="2147"/>
      <c r="R278" s="2147"/>
      <c r="S278" s="2147"/>
      <c r="T278" s="2148"/>
      <c r="U278" s="2148"/>
      <c r="V278" s="2148"/>
      <c r="W278" s="2148"/>
      <c r="X278" s="2148"/>
      <c r="Y278" s="2148"/>
      <c r="Z278" s="2148"/>
      <c r="AA278" s="2148"/>
      <c r="AB278" s="2148"/>
      <c r="AC278" s="2148"/>
      <c r="AD278" s="2148"/>
      <c r="AE278" s="2148"/>
      <c r="AF278" s="2148"/>
      <c r="AG278" s="2148"/>
      <c r="AH278" s="2148"/>
      <c r="AI278" s="2148"/>
      <c r="AJ278" s="2148"/>
      <c r="AK278" s="2148"/>
      <c r="AL278" s="2148"/>
      <c r="AM278" s="2148"/>
      <c r="AN278" s="2148"/>
      <c r="AO278" s="2148"/>
      <c r="AP278" s="2148"/>
      <c r="AQ278" s="2148"/>
      <c r="AR278" s="2148"/>
      <c r="AS278" s="2148"/>
      <c r="AT278" s="2148"/>
      <c r="AU278" s="2148"/>
      <c r="AV278" s="2148"/>
      <c r="AW278" s="2148"/>
      <c r="AX278" s="2148"/>
      <c r="AY278" s="2148"/>
      <c r="AZ278" s="2148"/>
      <c r="BA278" s="2148"/>
      <c r="BB278" s="2148"/>
      <c r="BC278" s="2148"/>
      <c r="BD278" s="2148"/>
      <c r="BE278" s="2148"/>
      <c r="BF278" s="2148"/>
      <c r="BG278" s="2148"/>
      <c r="BH278" s="2148"/>
      <c r="BI278" s="2148"/>
      <c r="BJ278" s="2148"/>
      <c r="BK278" s="2148"/>
      <c r="BL278" s="2148"/>
      <c r="BM278" s="2148"/>
      <c r="BN278" s="2148"/>
      <c r="BO278" s="2148"/>
      <c r="BP278" s="2148"/>
      <c r="BQ278" s="2148"/>
      <c r="BR278" s="2148"/>
      <c r="BS278" s="2148"/>
      <c r="BT278" s="2148"/>
      <c r="BU278" s="2148"/>
      <c r="BV278" s="2148"/>
      <c r="BW278" s="2148"/>
      <c r="BX278" s="2148"/>
      <c r="BY278" s="2148"/>
      <c r="BZ278" s="2148"/>
      <c r="CA278" s="2148"/>
      <c r="CB278" s="2148"/>
      <c r="CC278" s="2149"/>
    </row>
    <row r="279" spans="1:81" s="10" customFormat="1" ht="20.100000000000001" customHeight="1">
      <c r="A279" s="2142" t="s">
        <v>4</v>
      </c>
      <c r="B279" s="2143"/>
      <c r="C279" s="2143"/>
      <c r="D279" s="2143"/>
      <c r="E279" s="2143"/>
      <c r="F279" s="2143"/>
      <c r="G279" s="2143"/>
      <c r="H279" s="2143"/>
      <c r="I279" s="2143"/>
      <c r="J279" s="2143"/>
      <c r="K279" s="2143"/>
      <c r="L279" s="2143"/>
      <c r="M279" s="2143"/>
      <c r="N279" s="2143"/>
      <c r="O279" s="2143"/>
      <c r="P279" s="2143"/>
      <c r="Q279" s="2143"/>
      <c r="R279" s="2143"/>
      <c r="S279" s="2143"/>
      <c r="T279" s="2144"/>
      <c r="U279" s="2144"/>
      <c r="V279" s="2144"/>
      <c r="W279" s="2144"/>
      <c r="X279" s="2144"/>
      <c r="Y279" s="2144"/>
      <c r="Z279" s="2144"/>
      <c r="AA279" s="2144"/>
      <c r="AB279" s="2144"/>
      <c r="AC279" s="2144"/>
      <c r="AD279" s="2144"/>
      <c r="AE279" s="2144"/>
      <c r="AF279" s="2144"/>
      <c r="AG279" s="2144"/>
      <c r="AH279" s="2144"/>
      <c r="AI279" s="2144"/>
      <c r="AJ279" s="2144"/>
      <c r="AK279" s="2144"/>
      <c r="AL279" s="2144"/>
      <c r="AM279" s="2144"/>
      <c r="AN279" s="2144"/>
      <c r="AO279" s="2144"/>
      <c r="AP279" s="2144"/>
      <c r="AQ279" s="2144"/>
      <c r="AR279" s="2144"/>
      <c r="AS279" s="2144"/>
      <c r="AT279" s="2144"/>
      <c r="AU279" s="2144"/>
      <c r="AV279" s="2144"/>
      <c r="AW279" s="2144"/>
      <c r="AX279" s="2144"/>
      <c r="AY279" s="2144"/>
      <c r="AZ279" s="2144"/>
      <c r="BA279" s="2144"/>
      <c r="BB279" s="2144"/>
      <c r="BC279" s="2144"/>
      <c r="BD279" s="2144"/>
      <c r="BE279" s="2144"/>
      <c r="BF279" s="2144"/>
      <c r="BG279" s="2144"/>
      <c r="BH279" s="2144"/>
      <c r="BI279" s="2144"/>
      <c r="BJ279" s="2144"/>
      <c r="BK279" s="2144"/>
      <c r="BL279" s="2144"/>
      <c r="BM279" s="2144"/>
      <c r="BN279" s="2144"/>
      <c r="BO279" s="2144"/>
      <c r="BP279" s="2144"/>
      <c r="BQ279" s="2144"/>
      <c r="BR279" s="2144"/>
      <c r="BS279" s="2144"/>
      <c r="BT279" s="2144"/>
      <c r="BU279" s="2144"/>
      <c r="BV279" s="2144"/>
      <c r="BW279" s="2144"/>
      <c r="BX279" s="2144"/>
      <c r="BY279" s="2144"/>
      <c r="BZ279" s="2144"/>
      <c r="CA279" s="2144"/>
      <c r="CB279" s="2144"/>
      <c r="CC279" s="2145"/>
    </row>
    <row r="280" spans="1:81" s="10" customFormat="1" ht="20.100000000000001" customHeight="1">
      <c r="A280" s="2146" t="s">
        <v>5</v>
      </c>
      <c r="B280" s="2147"/>
      <c r="C280" s="2147"/>
      <c r="D280" s="2147"/>
      <c r="E280" s="2147"/>
      <c r="F280" s="2147"/>
      <c r="G280" s="2147"/>
      <c r="H280" s="2147"/>
      <c r="I280" s="2147"/>
      <c r="J280" s="2147"/>
      <c r="K280" s="2147"/>
      <c r="L280" s="2147"/>
      <c r="M280" s="2147"/>
      <c r="N280" s="2147"/>
      <c r="O280" s="2147"/>
      <c r="P280" s="2147"/>
      <c r="Q280" s="2147"/>
      <c r="R280" s="2147"/>
      <c r="S280" s="2147"/>
      <c r="T280" s="2148"/>
      <c r="U280" s="2148"/>
      <c r="V280" s="2148"/>
      <c r="W280" s="2148"/>
      <c r="X280" s="2148"/>
      <c r="Y280" s="2148"/>
      <c r="Z280" s="2148"/>
      <c r="AA280" s="2148"/>
      <c r="AB280" s="2148"/>
      <c r="AC280" s="2148"/>
      <c r="AD280" s="2148"/>
      <c r="AE280" s="2148"/>
      <c r="AF280" s="2148"/>
      <c r="AG280" s="2148"/>
      <c r="AH280" s="2148"/>
      <c r="AI280" s="2148"/>
      <c r="AJ280" s="2148"/>
      <c r="AK280" s="2148"/>
      <c r="AL280" s="2148"/>
      <c r="AM280" s="2148"/>
      <c r="AN280" s="2148"/>
      <c r="AO280" s="2148"/>
      <c r="AP280" s="2148"/>
      <c r="AQ280" s="2148"/>
      <c r="AR280" s="2148"/>
      <c r="AS280" s="2148"/>
      <c r="AT280" s="2148"/>
      <c r="AU280" s="2148"/>
      <c r="AV280" s="2148"/>
      <c r="AW280" s="2148"/>
      <c r="AX280" s="2148"/>
      <c r="AY280" s="2148"/>
      <c r="AZ280" s="2148"/>
      <c r="BA280" s="2148"/>
      <c r="BB280" s="2148"/>
      <c r="BC280" s="2148"/>
      <c r="BD280" s="2148"/>
      <c r="BE280" s="2148"/>
      <c r="BF280" s="2148"/>
      <c r="BG280" s="2148"/>
      <c r="BH280" s="2148"/>
      <c r="BI280" s="2148"/>
      <c r="BJ280" s="2148"/>
      <c r="BK280" s="2148"/>
      <c r="BL280" s="2148"/>
      <c r="BM280" s="2148"/>
      <c r="BN280" s="2148"/>
      <c r="BO280" s="2148"/>
      <c r="BP280" s="2148"/>
      <c r="BQ280" s="2148"/>
      <c r="BR280" s="2148"/>
      <c r="BS280" s="2148"/>
      <c r="BT280" s="2148"/>
      <c r="BU280" s="2148"/>
      <c r="BV280" s="2148"/>
      <c r="BW280" s="2148"/>
      <c r="BX280" s="2148"/>
      <c r="BY280" s="2148"/>
      <c r="BZ280" s="2148"/>
      <c r="CA280" s="2148"/>
      <c r="CB280" s="2148"/>
      <c r="CC280" s="2149"/>
    </row>
    <row r="281" spans="1:81" s="10" customFormat="1" ht="20.100000000000001" customHeight="1">
      <c r="A281" s="2142" t="s">
        <v>6</v>
      </c>
      <c r="B281" s="2143"/>
      <c r="C281" s="2143"/>
      <c r="D281" s="2143"/>
      <c r="E281" s="2143"/>
      <c r="F281" s="2143"/>
      <c r="G281" s="2143"/>
      <c r="H281" s="2143"/>
      <c r="I281" s="2143"/>
      <c r="J281" s="2143"/>
      <c r="K281" s="2143"/>
      <c r="L281" s="2143"/>
      <c r="M281" s="2143"/>
      <c r="N281" s="2143"/>
      <c r="O281" s="2143"/>
      <c r="P281" s="2143"/>
      <c r="Q281" s="2143"/>
      <c r="R281" s="2143"/>
      <c r="S281" s="2143"/>
      <c r="T281" s="2144"/>
      <c r="U281" s="2144"/>
      <c r="V281" s="2144"/>
      <c r="W281" s="2144"/>
      <c r="X281" s="2144"/>
      <c r="Y281" s="2144"/>
      <c r="Z281" s="2144"/>
      <c r="AA281" s="2144"/>
      <c r="AB281" s="2144"/>
      <c r="AC281" s="2144"/>
      <c r="AD281" s="2144"/>
      <c r="AE281" s="2144"/>
      <c r="AF281" s="2144"/>
      <c r="AG281" s="2144"/>
      <c r="AH281" s="2144"/>
      <c r="AI281" s="2144"/>
      <c r="AJ281" s="2144"/>
      <c r="AK281" s="2144"/>
      <c r="AL281" s="2144"/>
      <c r="AM281" s="2144"/>
      <c r="AN281" s="2144"/>
      <c r="AO281" s="2144"/>
      <c r="AP281" s="2144"/>
      <c r="AQ281" s="2144"/>
      <c r="AR281" s="2144"/>
      <c r="AS281" s="2144"/>
      <c r="AT281" s="2144"/>
      <c r="AU281" s="2144"/>
      <c r="AV281" s="2144"/>
      <c r="AW281" s="2144"/>
      <c r="AX281" s="2144"/>
      <c r="AY281" s="2144"/>
      <c r="AZ281" s="2144"/>
      <c r="BA281" s="2144"/>
      <c r="BB281" s="2144"/>
      <c r="BC281" s="2144"/>
      <c r="BD281" s="2144"/>
      <c r="BE281" s="2144"/>
      <c r="BF281" s="2144"/>
      <c r="BG281" s="2144"/>
      <c r="BH281" s="2144"/>
      <c r="BI281" s="2144"/>
      <c r="BJ281" s="2144"/>
      <c r="BK281" s="2144"/>
      <c r="BL281" s="2144"/>
      <c r="BM281" s="2144"/>
      <c r="BN281" s="2144"/>
      <c r="BO281" s="2144"/>
      <c r="BP281" s="2144"/>
      <c r="BQ281" s="2144"/>
      <c r="BR281" s="2144"/>
      <c r="BS281" s="2144"/>
      <c r="BT281" s="2144"/>
      <c r="BU281" s="2144"/>
      <c r="BV281" s="2144"/>
      <c r="BW281" s="2144"/>
      <c r="BX281" s="2144"/>
      <c r="BY281" s="2144"/>
      <c r="BZ281" s="2144"/>
      <c r="CA281" s="2144"/>
      <c r="CB281" s="2144"/>
      <c r="CC281" s="2145"/>
    </row>
    <row r="282" spans="1:81" s="10" customFormat="1" ht="20.100000000000001" customHeight="1">
      <c r="A282" s="2146" t="s">
        <v>93</v>
      </c>
      <c r="B282" s="2147"/>
      <c r="C282" s="2147"/>
      <c r="D282" s="2147"/>
      <c r="E282" s="2147"/>
      <c r="F282" s="2147"/>
      <c r="G282" s="2147"/>
      <c r="H282" s="2147"/>
      <c r="I282" s="2147"/>
      <c r="J282" s="2147"/>
      <c r="K282" s="2147"/>
      <c r="L282" s="2147"/>
      <c r="M282" s="2147"/>
      <c r="N282" s="2147"/>
      <c r="O282" s="2147"/>
      <c r="P282" s="2147"/>
      <c r="Q282" s="2147"/>
      <c r="R282" s="2147"/>
      <c r="S282" s="2147"/>
      <c r="T282" s="2148"/>
      <c r="U282" s="2148"/>
      <c r="V282" s="2148"/>
      <c r="W282" s="2148"/>
      <c r="X282" s="2148"/>
      <c r="Y282" s="2148"/>
      <c r="Z282" s="2148"/>
      <c r="AA282" s="2148"/>
      <c r="AB282" s="2148"/>
      <c r="AC282" s="2148"/>
      <c r="AD282" s="2148"/>
      <c r="AE282" s="2148"/>
      <c r="AF282" s="2148"/>
      <c r="AG282" s="2148"/>
      <c r="AH282" s="2148"/>
      <c r="AI282" s="2148"/>
      <c r="AJ282" s="2148"/>
      <c r="AK282" s="2148"/>
      <c r="AL282" s="2148"/>
      <c r="AM282" s="2148"/>
      <c r="AN282" s="2148"/>
      <c r="AO282" s="2148"/>
      <c r="AP282" s="2148"/>
      <c r="AQ282" s="2148"/>
      <c r="AR282" s="2148"/>
      <c r="AS282" s="2148"/>
      <c r="AT282" s="2148"/>
      <c r="AU282" s="2148"/>
      <c r="AV282" s="2148"/>
      <c r="AW282" s="2148"/>
      <c r="AX282" s="2148"/>
      <c r="AY282" s="2148"/>
      <c r="AZ282" s="2148"/>
      <c r="BA282" s="2148"/>
      <c r="BB282" s="2148"/>
      <c r="BC282" s="2148"/>
      <c r="BD282" s="2148"/>
      <c r="BE282" s="2148"/>
      <c r="BF282" s="2148"/>
      <c r="BG282" s="2148"/>
      <c r="BH282" s="2148"/>
      <c r="BI282" s="2148"/>
      <c r="BJ282" s="2148"/>
      <c r="BK282" s="2148"/>
      <c r="BL282" s="2148"/>
      <c r="BM282" s="2148"/>
      <c r="BN282" s="2148"/>
      <c r="BO282" s="2148"/>
      <c r="BP282" s="2148"/>
      <c r="BQ282" s="2148"/>
      <c r="BR282" s="2148"/>
      <c r="BS282" s="2148"/>
      <c r="BT282" s="2148"/>
      <c r="BU282" s="2148"/>
      <c r="BV282" s="2148"/>
      <c r="BW282" s="2148"/>
      <c r="BX282" s="2148"/>
      <c r="BY282" s="2148"/>
      <c r="BZ282" s="2148"/>
      <c r="CA282" s="2148"/>
      <c r="CB282" s="2148"/>
      <c r="CC282" s="2149"/>
    </row>
    <row r="283" spans="1:81" s="10" customFormat="1" ht="20.100000000000001" customHeight="1">
      <c r="A283" s="2150" t="s">
        <v>94</v>
      </c>
      <c r="B283" s="2151"/>
      <c r="C283" s="2151"/>
      <c r="D283" s="2151"/>
      <c r="E283" s="2151"/>
      <c r="F283" s="2151"/>
      <c r="G283" s="2151"/>
      <c r="H283" s="2151"/>
      <c r="I283" s="2151"/>
      <c r="J283" s="2151"/>
      <c r="K283" s="2151"/>
      <c r="L283" s="2151"/>
      <c r="M283" s="2151"/>
      <c r="N283" s="2152"/>
      <c r="O283" s="2140" t="s">
        <v>95</v>
      </c>
      <c r="P283" s="2140"/>
      <c r="Q283" s="2140"/>
      <c r="R283" s="2140"/>
      <c r="S283" s="2140"/>
      <c r="T283" s="2140"/>
      <c r="U283" s="2140"/>
      <c r="V283" s="2140"/>
      <c r="W283" s="2140"/>
      <c r="X283" s="2140"/>
      <c r="Y283" s="2140"/>
      <c r="Z283" s="2140"/>
      <c r="AA283" s="2140"/>
      <c r="AB283" s="2140"/>
      <c r="AC283" s="2140"/>
      <c r="AD283" s="2140" t="s">
        <v>96</v>
      </c>
      <c r="AE283" s="2140"/>
      <c r="AF283" s="2140"/>
      <c r="AG283" s="2140"/>
      <c r="AH283" s="2140"/>
      <c r="AI283" s="2140"/>
      <c r="AJ283" s="2140"/>
      <c r="AK283" s="2140"/>
      <c r="AL283" s="2140"/>
      <c r="AM283" s="2140"/>
      <c r="AN283" s="2140"/>
      <c r="AO283" s="2140"/>
      <c r="AP283" s="2140"/>
      <c r="AQ283" s="2140"/>
      <c r="AR283" s="2140"/>
      <c r="AS283" s="2140" t="s">
        <v>97</v>
      </c>
      <c r="AT283" s="2140"/>
      <c r="AU283" s="2140"/>
      <c r="AV283" s="2140"/>
      <c r="AW283" s="2140"/>
      <c r="AX283" s="2140"/>
      <c r="AY283" s="2140"/>
      <c r="AZ283" s="2140"/>
      <c r="BA283" s="2140"/>
      <c r="BB283" s="2140"/>
      <c r="BC283" s="2140"/>
      <c r="BD283" s="2140"/>
      <c r="BE283" s="2140"/>
      <c r="BF283" s="2140"/>
      <c r="BG283" s="2140"/>
      <c r="BH283" s="2140" t="s">
        <v>98</v>
      </c>
      <c r="BI283" s="2140"/>
      <c r="BJ283" s="2140"/>
      <c r="BK283" s="2140"/>
      <c r="BL283" s="2140"/>
      <c r="BM283" s="2140"/>
      <c r="BN283" s="2140"/>
      <c r="BO283" s="2140"/>
      <c r="BP283" s="2140"/>
      <c r="BQ283" s="2140"/>
      <c r="BR283" s="2140"/>
      <c r="BS283" s="2140"/>
      <c r="BT283" s="2140"/>
      <c r="BU283" s="2140"/>
      <c r="BV283" s="2140"/>
      <c r="BW283" s="2140"/>
      <c r="BX283" s="2140"/>
      <c r="BY283" s="2140"/>
      <c r="BZ283" s="2140"/>
      <c r="CA283" s="2140"/>
      <c r="CB283" s="2140"/>
      <c r="CC283" s="2141"/>
    </row>
    <row r="284" spans="1:81" s="10" customFormat="1" ht="20.100000000000001" customHeight="1">
      <c r="A284" s="2142" t="s">
        <v>7</v>
      </c>
      <c r="B284" s="2143"/>
      <c r="C284" s="2143"/>
      <c r="D284" s="2143"/>
      <c r="E284" s="2143"/>
      <c r="F284" s="2143"/>
      <c r="G284" s="2143"/>
      <c r="H284" s="2143"/>
      <c r="I284" s="2143"/>
      <c r="J284" s="2143"/>
      <c r="K284" s="2143"/>
      <c r="L284" s="2143"/>
      <c r="M284" s="2143"/>
      <c r="N284" s="2143"/>
      <c r="O284" s="2144"/>
      <c r="P284" s="2144"/>
      <c r="Q284" s="2144"/>
      <c r="R284" s="2144"/>
      <c r="S284" s="2144"/>
      <c r="T284" s="2144"/>
      <c r="U284" s="2144"/>
      <c r="V284" s="2144"/>
      <c r="W284" s="2144"/>
      <c r="X284" s="2144"/>
      <c r="Y284" s="2144"/>
      <c r="Z284" s="2144"/>
      <c r="AA284" s="2144"/>
      <c r="AB284" s="2144"/>
      <c r="AC284" s="2144"/>
      <c r="AD284" s="2144"/>
      <c r="AE284" s="2144"/>
      <c r="AF284" s="2144"/>
      <c r="AG284" s="2144"/>
      <c r="AH284" s="2144"/>
      <c r="AI284" s="2144"/>
      <c r="AJ284" s="2144"/>
      <c r="AK284" s="2144"/>
      <c r="AL284" s="2144"/>
      <c r="AM284" s="2144"/>
      <c r="AN284" s="2144"/>
      <c r="AO284" s="2144"/>
      <c r="AP284" s="2144"/>
      <c r="AQ284" s="2144"/>
      <c r="AR284" s="2144"/>
      <c r="AS284" s="2144"/>
      <c r="AT284" s="2144"/>
      <c r="AU284" s="2144"/>
      <c r="AV284" s="2144"/>
      <c r="AW284" s="2144"/>
      <c r="AX284" s="2144"/>
      <c r="AY284" s="2144"/>
      <c r="AZ284" s="2144"/>
      <c r="BA284" s="2144"/>
      <c r="BB284" s="2144"/>
      <c r="BC284" s="2144"/>
      <c r="BD284" s="2144"/>
      <c r="BE284" s="2144"/>
      <c r="BF284" s="2144"/>
      <c r="BG284" s="2144"/>
      <c r="BH284" s="2144"/>
      <c r="BI284" s="2144"/>
      <c r="BJ284" s="2144"/>
      <c r="BK284" s="2144"/>
      <c r="BL284" s="2144"/>
      <c r="BM284" s="2144"/>
      <c r="BN284" s="2144"/>
      <c r="BO284" s="2144"/>
      <c r="BP284" s="2144"/>
      <c r="BQ284" s="2144"/>
      <c r="BR284" s="2144"/>
      <c r="BS284" s="2144"/>
      <c r="BT284" s="2144"/>
      <c r="BU284" s="2144"/>
      <c r="BV284" s="2144"/>
      <c r="BW284" s="2144"/>
      <c r="BX284" s="2144"/>
      <c r="BY284" s="2144"/>
      <c r="BZ284" s="2144"/>
      <c r="CA284" s="2144"/>
      <c r="CB284" s="2144"/>
      <c r="CC284" s="2145"/>
    </row>
    <row r="285" spans="1:81" s="10" customFormat="1" ht="20.100000000000001" customHeight="1">
      <c r="A285" s="2146" t="s">
        <v>149</v>
      </c>
      <c r="B285" s="2147"/>
      <c r="C285" s="2147"/>
      <c r="D285" s="2147"/>
      <c r="E285" s="2147"/>
      <c r="F285" s="2147"/>
      <c r="G285" s="2147"/>
      <c r="H285" s="2147"/>
      <c r="I285" s="2147"/>
      <c r="J285" s="2147"/>
      <c r="K285" s="2147"/>
      <c r="L285" s="2147"/>
      <c r="M285" s="2147"/>
      <c r="N285" s="2147"/>
      <c r="O285" s="2148"/>
      <c r="P285" s="2148"/>
      <c r="Q285" s="2148"/>
      <c r="R285" s="2148"/>
      <c r="S285" s="2148"/>
      <c r="T285" s="2148"/>
      <c r="U285" s="2148"/>
      <c r="V285" s="2148"/>
      <c r="W285" s="2148"/>
      <c r="X285" s="2148"/>
      <c r="Y285" s="2148"/>
      <c r="Z285" s="2148"/>
      <c r="AA285" s="2148"/>
      <c r="AB285" s="2148"/>
      <c r="AC285" s="2148"/>
      <c r="AD285" s="2148"/>
      <c r="AE285" s="2148"/>
      <c r="AF285" s="2148"/>
      <c r="AG285" s="2148"/>
      <c r="AH285" s="2148"/>
      <c r="AI285" s="2148"/>
      <c r="AJ285" s="2148"/>
      <c r="AK285" s="2148"/>
      <c r="AL285" s="2148"/>
      <c r="AM285" s="2148"/>
      <c r="AN285" s="2148"/>
      <c r="AO285" s="2148"/>
      <c r="AP285" s="2148"/>
      <c r="AQ285" s="2148"/>
      <c r="AR285" s="2148"/>
      <c r="AS285" s="2148"/>
      <c r="AT285" s="2148"/>
      <c r="AU285" s="2148"/>
      <c r="AV285" s="2148"/>
      <c r="AW285" s="2148"/>
      <c r="AX285" s="2148"/>
      <c r="AY285" s="2148"/>
      <c r="AZ285" s="2148"/>
      <c r="BA285" s="2148"/>
      <c r="BB285" s="2148"/>
      <c r="BC285" s="2148"/>
      <c r="BD285" s="2148"/>
      <c r="BE285" s="2148"/>
      <c r="BF285" s="2148"/>
      <c r="BG285" s="2148"/>
      <c r="BH285" s="2148"/>
      <c r="BI285" s="2148"/>
      <c r="BJ285" s="2148"/>
      <c r="BK285" s="2148"/>
      <c r="BL285" s="2148"/>
      <c r="BM285" s="2148"/>
      <c r="BN285" s="2148"/>
      <c r="BO285" s="2148"/>
      <c r="BP285" s="2148"/>
      <c r="BQ285" s="2148"/>
      <c r="BR285" s="2148"/>
      <c r="BS285" s="2148"/>
      <c r="BT285" s="2148"/>
      <c r="BU285" s="2148"/>
      <c r="BV285" s="2148"/>
      <c r="BW285" s="2148"/>
      <c r="BX285" s="2148"/>
      <c r="BY285" s="2148"/>
      <c r="BZ285" s="2148"/>
      <c r="CA285" s="2148"/>
      <c r="CB285" s="2148"/>
      <c r="CC285" s="2149"/>
    </row>
    <row r="286" spans="1:81" s="10" customFormat="1" ht="20.100000000000001" customHeight="1">
      <c r="A286" s="2138" t="s">
        <v>99</v>
      </c>
      <c r="B286" s="2139"/>
      <c r="C286" s="2139"/>
      <c r="D286" s="2139"/>
      <c r="E286" s="2139"/>
      <c r="F286" s="2139"/>
      <c r="G286" s="2139"/>
      <c r="H286" s="2139"/>
      <c r="I286" s="2139"/>
      <c r="J286" s="2139"/>
      <c r="K286" s="2139"/>
      <c r="L286" s="2139"/>
      <c r="M286" s="2139"/>
      <c r="N286" s="2139"/>
      <c r="O286" s="2140" t="s">
        <v>100</v>
      </c>
      <c r="P286" s="2140"/>
      <c r="Q286" s="2140"/>
      <c r="R286" s="2140"/>
      <c r="S286" s="2140"/>
      <c r="T286" s="2140"/>
      <c r="U286" s="2140"/>
      <c r="V286" s="2140"/>
      <c r="W286" s="2140"/>
      <c r="X286" s="2140"/>
      <c r="Y286" s="2140"/>
      <c r="Z286" s="2140"/>
      <c r="AA286" s="2140"/>
      <c r="AB286" s="2140"/>
      <c r="AC286" s="2140"/>
      <c r="AD286" s="2140" t="s">
        <v>101</v>
      </c>
      <c r="AE286" s="2140"/>
      <c r="AF286" s="2140"/>
      <c r="AG286" s="2140"/>
      <c r="AH286" s="2140"/>
      <c r="AI286" s="2140"/>
      <c r="AJ286" s="2140"/>
      <c r="AK286" s="2140"/>
      <c r="AL286" s="2140"/>
      <c r="AM286" s="2140"/>
      <c r="AN286" s="2140"/>
      <c r="AO286" s="2140"/>
      <c r="AP286" s="2140"/>
      <c r="AQ286" s="2140"/>
      <c r="AR286" s="2140"/>
      <c r="AS286" s="2140" t="s">
        <v>102</v>
      </c>
      <c r="AT286" s="2140"/>
      <c r="AU286" s="2140"/>
      <c r="AV286" s="2140"/>
      <c r="AW286" s="2140"/>
      <c r="AX286" s="2140"/>
      <c r="AY286" s="2140"/>
      <c r="AZ286" s="2140"/>
      <c r="BA286" s="2140"/>
      <c r="BB286" s="2140"/>
      <c r="BC286" s="2140"/>
      <c r="BD286" s="2140"/>
      <c r="BE286" s="2140"/>
      <c r="BF286" s="2140"/>
      <c r="BG286" s="2140"/>
      <c r="BH286" s="2140" t="s">
        <v>103</v>
      </c>
      <c r="BI286" s="2140"/>
      <c r="BJ286" s="2140"/>
      <c r="BK286" s="2140"/>
      <c r="BL286" s="2140"/>
      <c r="BM286" s="2140"/>
      <c r="BN286" s="2140"/>
      <c r="BO286" s="2140"/>
      <c r="BP286" s="2140"/>
      <c r="BQ286" s="2140"/>
      <c r="BR286" s="2140"/>
      <c r="BS286" s="2140"/>
      <c r="BT286" s="2140"/>
      <c r="BU286" s="2140"/>
      <c r="BV286" s="2140"/>
      <c r="BW286" s="2140"/>
      <c r="BX286" s="2140"/>
      <c r="BY286" s="2140"/>
      <c r="BZ286" s="2140"/>
      <c r="CA286" s="2140"/>
      <c r="CB286" s="2140"/>
      <c r="CC286" s="2141"/>
    </row>
    <row r="287" spans="1:81" s="10" customFormat="1" ht="20.100000000000001" customHeight="1">
      <c r="A287" s="2142" t="s">
        <v>7</v>
      </c>
      <c r="B287" s="2143"/>
      <c r="C287" s="2143"/>
      <c r="D287" s="2143"/>
      <c r="E287" s="2143"/>
      <c r="F287" s="2143"/>
      <c r="G287" s="2143"/>
      <c r="H287" s="2143"/>
      <c r="I287" s="2143"/>
      <c r="J287" s="2143"/>
      <c r="K287" s="2143"/>
      <c r="L287" s="2143"/>
      <c r="M287" s="2143"/>
      <c r="N287" s="2143"/>
      <c r="O287" s="2144"/>
      <c r="P287" s="2144"/>
      <c r="Q287" s="2144"/>
      <c r="R287" s="2144"/>
      <c r="S287" s="2144"/>
      <c r="T287" s="2144"/>
      <c r="U287" s="2144"/>
      <c r="V287" s="2144"/>
      <c r="W287" s="2144"/>
      <c r="X287" s="2144"/>
      <c r="Y287" s="2144"/>
      <c r="Z287" s="2144"/>
      <c r="AA287" s="2144"/>
      <c r="AB287" s="2144"/>
      <c r="AC287" s="2144"/>
      <c r="AD287" s="2144"/>
      <c r="AE287" s="2144"/>
      <c r="AF287" s="2144"/>
      <c r="AG287" s="2144"/>
      <c r="AH287" s="2144"/>
      <c r="AI287" s="2144"/>
      <c r="AJ287" s="2144"/>
      <c r="AK287" s="2144"/>
      <c r="AL287" s="2144"/>
      <c r="AM287" s="2144"/>
      <c r="AN287" s="2144"/>
      <c r="AO287" s="2144"/>
      <c r="AP287" s="2144"/>
      <c r="AQ287" s="2144"/>
      <c r="AR287" s="2144"/>
      <c r="AS287" s="2144"/>
      <c r="AT287" s="2144"/>
      <c r="AU287" s="2144"/>
      <c r="AV287" s="2144"/>
      <c r="AW287" s="2144"/>
      <c r="AX287" s="2144"/>
      <c r="AY287" s="2144"/>
      <c r="AZ287" s="2144"/>
      <c r="BA287" s="2144"/>
      <c r="BB287" s="2144"/>
      <c r="BC287" s="2144"/>
      <c r="BD287" s="2144"/>
      <c r="BE287" s="2144"/>
      <c r="BF287" s="2144"/>
      <c r="BG287" s="2144"/>
      <c r="BH287" s="2144"/>
      <c r="BI287" s="2144"/>
      <c r="BJ287" s="2144"/>
      <c r="BK287" s="2144"/>
      <c r="BL287" s="2144"/>
      <c r="BM287" s="2144"/>
      <c r="BN287" s="2144"/>
      <c r="BO287" s="2144"/>
      <c r="BP287" s="2144"/>
      <c r="BQ287" s="2144"/>
      <c r="BR287" s="2144"/>
      <c r="BS287" s="2144"/>
      <c r="BT287" s="2144"/>
      <c r="BU287" s="2144"/>
      <c r="BV287" s="2144"/>
      <c r="BW287" s="2144"/>
      <c r="BX287" s="2144"/>
      <c r="BY287" s="2144"/>
      <c r="BZ287" s="2144"/>
      <c r="CA287" s="2144"/>
      <c r="CB287" s="2144"/>
      <c r="CC287" s="2145"/>
    </row>
    <row r="288" spans="1:81" s="10" customFormat="1" ht="20.100000000000001" customHeight="1" thickBot="1">
      <c r="A288" s="2125" t="s">
        <v>149</v>
      </c>
      <c r="B288" s="2126"/>
      <c r="C288" s="2126"/>
      <c r="D288" s="2126"/>
      <c r="E288" s="2126"/>
      <c r="F288" s="2126"/>
      <c r="G288" s="2126"/>
      <c r="H288" s="2126"/>
      <c r="I288" s="2126"/>
      <c r="J288" s="2126"/>
      <c r="K288" s="2126"/>
      <c r="L288" s="2126"/>
      <c r="M288" s="2126"/>
      <c r="N288" s="2126"/>
      <c r="O288" s="2127"/>
      <c r="P288" s="2127"/>
      <c r="Q288" s="2127"/>
      <c r="R288" s="2127"/>
      <c r="S288" s="2127"/>
      <c r="T288" s="2127"/>
      <c r="U288" s="2127"/>
      <c r="V288" s="2127"/>
      <c r="W288" s="2127"/>
      <c r="X288" s="2127"/>
      <c r="Y288" s="2127"/>
      <c r="Z288" s="2127"/>
      <c r="AA288" s="2127"/>
      <c r="AB288" s="2127"/>
      <c r="AC288" s="2127"/>
      <c r="AD288" s="2127"/>
      <c r="AE288" s="2127"/>
      <c r="AF288" s="2127"/>
      <c r="AG288" s="2127"/>
      <c r="AH288" s="2127"/>
      <c r="AI288" s="2127"/>
      <c r="AJ288" s="2127"/>
      <c r="AK288" s="2127"/>
      <c r="AL288" s="2127"/>
      <c r="AM288" s="2127"/>
      <c r="AN288" s="2127"/>
      <c r="AO288" s="2127"/>
      <c r="AP288" s="2127"/>
      <c r="AQ288" s="2127"/>
      <c r="AR288" s="2127"/>
      <c r="AS288" s="2127"/>
      <c r="AT288" s="2127"/>
      <c r="AU288" s="2127"/>
      <c r="AV288" s="2127"/>
      <c r="AW288" s="2127"/>
      <c r="AX288" s="2127"/>
      <c r="AY288" s="2127"/>
      <c r="AZ288" s="2127"/>
      <c r="BA288" s="2127"/>
      <c r="BB288" s="2127"/>
      <c r="BC288" s="2127"/>
      <c r="BD288" s="2127"/>
      <c r="BE288" s="2127"/>
      <c r="BF288" s="2127"/>
      <c r="BG288" s="2127"/>
      <c r="BH288" s="2127"/>
      <c r="BI288" s="2127"/>
      <c r="BJ288" s="2127"/>
      <c r="BK288" s="2127"/>
      <c r="BL288" s="2127"/>
      <c r="BM288" s="2127"/>
      <c r="BN288" s="2127"/>
      <c r="BO288" s="2127"/>
      <c r="BP288" s="2127"/>
      <c r="BQ288" s="2127"/>
      <c r="BR288" s="2127"/>
      <c r="BS288" s="2127"/>
      <c r="BT288" s="2127"/>
      <c r="BU288" s="2127"/>
      <c r="BV288" s="2127"/>
      <c r="BW288" s="2127"/>
      <c r="BX288" s="2127"/>
      <c r="BY288" s="2127"/>
      <c r="BZ288" s="2127"/>
      <c r="CA288" s="2127"/>
      <c r="CB288" s="2127"/>
      <c r="CC288" s="2128"/>
    </row>
    <row r="289" spans="1:81" s="10" customFormat="1" ht="15" customHeight="1" thickTop="1">
      <c r="A289" s="13"/>
      <c r="B289" s="12"/>
      <c r="C289" s="28"/>
      <c r="D289" s="28"/>
      <c r="E289" s="13"/>
      <c r="F289" s="13"/>
      <c r="G289" s="13"/>
      <c r="H289" s="13"/>
      <c r="I289" s="13"/>
      <c r="J289" s="13"/>
      <c r="K289" s="13"/>
      <c r="L289" s="13"/>
      <c r="M289" s="13"/>
      <c r="N289" s="13"/>
      <c r="O289" s="13"/>
      <c r="P289" s="13"/>
      <c r="Q289" s="13"/>
      <c r="R289" s="13"/>
      <c r="S289" s="13"/>
      <c r="T289" s="28"/>
      <c r="U289" s="13"/>
      <c r="V289" s="13"/>
      <c r="W289" s="13"/>
      <c r="X289" s="13"/>
      <c r="Y289" s="13"/>
      <c r="Z289" s="13"/>
      <c r="AA289" s="13"/>
      <c r="AB289" s="13"/>
      <c r="AC289" s="13"/>
      <c r="AD289" s="13"/>
      <c r="AE289" s="13"/>
      <c r="AF289" s="13"/>
      <c r="AG289" s="13"/>
      <c r="AH289" s="13"/>
      <c r="AI289" s="13"/>
      <c r="AJ289" s="13"/>
      <c r="AK289" s="13"/>
      <c r="AL289" s="13"/>
      <c r="AM289" s="13"/>
      <c r="AN289" s="28"/>
      <c r="AO289" s="13"/>
      <c r="AP289" s="13"/>
      <c r="AQ289" s="13"/>
      <c r="AR289" s="13"/>
      <c r="AS289" s="13"/>
      <c r="AT289" s="13"/>
      <c r="AU289" s="13"/>
      <c r="AV289" s="13"/>
      <c r="AW289" s="13"/>
      <c r="AX289" s="13"/>
      <c r="AY289" s="13"/>
      <c r="AZ289" s="13"/>
      <c r="BA289" s="13"/>
      <c r="BB289" s="13"/>
      <c r="BC289" s="13"/>
      <c r="BD289" s="13"/>
      <c r="BE289" s="13"/>
      <c r="BF289" s="13"/>
      <c r="BG289" s="13"/>
      <c r="BH289" s="28"/>
      <c r="BI289" s="13"/>
      <c r="BJ289" s="13"/>
      <c r="BK289" s="13"/>
      <c r="BL289" s="13"/>
      <c r="BM289" s="13"/>
      <c r="BN289" s="13"/>
      <c r="BO289" s="13"/>
      <c r="BP289" s="13"/>
      <c r="BQ289" s="13"/>
      <c r="BR289" s="13"/>
      <c r="BS289" s="13"/>
      <c r="BT289" s="13"/>
      <c r="BU289" s="13"/>
      <c r="BV289" s="13"/>
      <c r="BW289" s="13"/>
      <c r="BX289" s="13"/>
      <c r="BY289" s="13"/>
      <c r="BZ289" s="13"/>
      <c r="CA289" s="13"/>
      <c r="CB289" s="13"/>
      <c r="CC289" s="28"/>
    </row>
    <row r="290" spans="1:81" s="10" customFormat="1" ht="15" customHeight="1">
      <c r="A290" s="13"/>
      <c r="B290" s="12"/>
      <c r="C290" s="28"/>
      <c r="D290" s="28"/>
      <c r="E290" s="13"/>
      <c r="F290" s="13"/>
      <c r="G290" s="13"/>
      <c r="H290" s="13"/>
      <c r="I290" s="13"/>
      <c r="J290" s="13"/>
      <c r="K290" s="13"/>
      <c r="L290" s="13"/>
      <c r="M290" s="13"/>
      <c r="N290" s="13"/>
      <c r="O290" s="13"/>
      <c r="P290" s="13"/>
      <c r="Q290" s="13"/>
      <c r="R290" s="13"/>
      <c r="S290" s="13"/>
      <c r="T290" s="28"/>
      <c r="U290" s="13"/>
      <c r="V290" s="13"/>
      <c r="W290" s="13"/>
      <c r="X290" s="13"/>
      <c r="Y290" s="13"/>
      <c r="Z290" s="13"/>
      <c r="AA290" s="13"/>
      <c r="AB290" s="13"/>
      <c r="AC290" s="13"/>
      <c r="AD290" s="13"/>
      <c r="AE290" s="13"/>
      <c r="AF290" s="13"/>
      <c r="AG290" s="13"/>
      <c r="AH290" s="13"/>
      <c r="AI290" s="13"/>
      <c r="AJ290" s="13"/>
      <c r="AK290" s="13"/>
      <c r="AL290" s="13"/>
      <c r="AM290" s="13"/>
      <c r="AN290" s="28"/>
      <c r="AO290" s="13"/>
      <c r="AP290" s="13"/>
      <c r="AQ290" s="13"/>
      <c r="AR290" s="13"/>
      <c r="AS290" s="13"/>
      <c r="AT290" s="13"/>
      <c r="AU290" s="13"/>
      <c r="AV290" s="13"/>
      <c r="AW290" s="13"/>
      <c r="AX290" s="13"/>
      <c r="AY290" s="13"/>
      <c r="AZ290" s="13"/>
      <c r="BA290" s="13"/>
      <c r="BB290" s="13"/>
      <c r="BC290" s="13"/>
      <c r="BD290" s="13"/>
      <c r="BE290" s="13"/>
      <c r="BF290" s="13"/>
      <c r="BG290" s="13"/>
      <c r="BH290" s="28"/>
      <c r="BI290" s="13"/>
      <c r="BJ290" s="13"/>
      <c r="BK290" s="13"/>
      <c r="BL290" s="13"/>
      <c r="BM290" s="13"/>
      <c r="BN290" s="13"/>
      <c r="BO290" s="13"/>
      <c r="BP290" s="13"/>
      <c r="BQ290" s="13"/>
      <c r="BR290" s="13"/>
      <c r="BS290" s="13"/>
      <c r="BT290" s="13"/>
      <c r="BU290" s="13"/>
      <c r="BV290" s="13"/>
      <c r="BW290" s="13"/>
      <c r="BX290" s="13"/>
      <c r="BY290" s="13"/>
      <c r="BZ290" s="13"/>
      <c r="CA290" s="13"/>
      <c r="CB290" s="13"/>
      <c r="CC290" s="28"/>
    </row>
    <row r="291" spans="1:81" s="10" customFormat="1" ht="15" customHeight="1">
      <c r="A291" s="13"/>
      <c r="B291" s="12"/>
      <c r="C291" s="28"/>
      <c r="D291" s="28"/>
      <c r="E291" s="13"/>
      <c r="F291" s="13"/>
      <c r="G291" s="13"/>
      <c r="H291" s="13"/>
      <c r="I291" s="13"/>
      <c r="J291" s="13"/>
      <c r="K291" s="13"/>
      <c r="L291" s="13"/>
      <c r="M291" s="13"/>
      <c r="N291" s="13"/>
      <c r="O291" s="13"/>
      <c r="P291" s="13"/>
      <c r="Q291" s="13"/>
      <c r="R291" s="13"/>
      <c r="S291" s="13"/>
      <c r="T291" s="28"/>
      <c r="U291" s="13"/>
      <c r="V291" s="13"/>
      <c r="W291" s="13"/>
      <c r="X291" s="13"/>
      <c r="Y291" s="13"/>
      <c r="Z291" s="13"/>
      <c r="AA291" s="13"/>
      <c r="AB291" s="13"/>
      <c r="AC291" s="13"/>
      <c r="AD291" s="13"/>
      <c r="AE291" s="13"/>
      <c r="AF291" s="13"/>
      <c r="AG291" s="13"/>
      <c r="AH291" s="13"/>
      <c r="AI291" s="13"/>
      <c r="AJ291" s="13"/>
      <c r="AK291" s="13"/>
      <c r="AL291" s="13"/>
      <c r="AM291" s="13"/>
      <c r="AN291" s="28"/>
      <c r="AO291" s="13"/>
      <c r="AP291" s="13"/>
      <c r="AQ291" s="13"/>
      <c r="AR291" s="13"/>
      <c r="AS291" s="13"/>
      <c r="AT291" s="13"/>
      <c r="AU291" s="13"/>
      <c r="AV291" s="13"/>
      <c r="AW291" s="13"/>
      <c r="AX291" s="13"/>
      <c r="AY291" s="13"/>
      <c r="AZ291" s="13"/>
      <c r="BA291" s="13"/>
      <c r="BB291" s="13"/>
      <c r="BC291" s="13"/>
      <c r="BD291" s="13"/>
      <c r="BE291" s="13"/>
      <c r="BF291" s="13"/>
      <c r="BG291" s="13"/>
      <c r="BH291" s="28"/>
      <c r="BI291" s="13"/>
      <c r="BJ291" s="13"/>
      <c r="BK291" s="13"/>
      <c r="BL291" s="13"/>
      <c r="BM291" s="13"/>
      <c r="BN291" s="13"/>
      <c r="BO291" s="13"/>
      <c r="BP291" s="13"/>
      <c r="BQ291" s="13"/>
      <c r="BR291" s="13"/>
      <c r="BS291" s="13"/>
      <c r="BT291" s="13"/>
      <c r="BU291" s="13"/>
      <c r="BV291" s="13"/>
      <c r="BW291" s="13"/>
      <c r="BX291" s="13"/>
      <c r="BY291" s="13"/>
      <c r="BZ291" s="13"/>
      <c r="CA291" s="13"/>
      <c r="CB291" s="13"/>
      <c r="CC291" s="28"/>
    </row>
    <row r="292" spans="1:81" s="10" customFormat="1" ht="23.25">
      <c r="A292" s="38" t="s">
        <v>104</v>
      </c>
      <c r="C292" s="28"/>
      <c r="D292" s="28"/>
      <c r="E292" s="13"/>
      <c r="F292" s="13"/>
      <c r="G292" s="13"/>
      <c r="H292" s="13"/>
      <c r="I292" s="13"/>
      <c r="J292" s="13"/>
      <c r="K292" s="13"/>
      <c r="L292" s="13"/>
      <c r="M292" s="13"/>
      <c r="N292" s="13"/>
      <c r="O292" s="13"/>
      <c r="P292" s="13"/>
      <c r="Q292" s="13"/>
      <c r="R292" s="13"/>
      <c r="S292" s="13"/>
      <c r="T292" s="28"/>
      <c r="U292" s="13"/>
      <c r="V292" s="13"/>
      <c r="W292" s="13"/>
      <c r="X292" s="13"/>
      <c r="Y292" s="13"/>
      <c r="Z292" s="13"/>
      <c r="AA292" s="13"/>
      <c r="AB292" s="13"/>
      <c r="AC292" s="13"/>
      <c r="AD292" s="13"/>
      <c r="AE292" s="13"/>
      <c r="AF292" s="13"/>
      <c r="AG292" s="13"/>
      <c r="AH292" s="13"/>
      <c r="AI292" s="13"/>
      <c r="AJ292" s="13"/>
      <c r="AK292" s="13"/>
      <c r="AL292" s="13"/>
      <c r="AM292" s="13"/>
      <c r="AN292" s="28"/>
      <c r="AO292" s="13"/>
      <c r="AP292" s="13"/>
      <c r="AQ292" s="13"/>
      <c r="AR292" s="13"/>
      <c r="AS292" s="13"/>
      <c r="AT292" s="13"/>
      <c r="AU292" s="13"/>
      <c r="AV292" s="13"/>
      <c r="AW292" s="13"/>
      <c r="AX292" s="13"/>
      <c r="AY292" s="13"/>
      <c r="AZ292" s="13"/>
      <c r="BA292" s="13"/>
      <c r="BB292" s="13"/>
      <c r="BC292" s="13"/>
      <c r="BD292" s="13"/>
      <c r="BE292" s="13"/>
      <c r="BF292" s="13"/>
      <c r="BG292" s="13"/>
      <c r="BH292" s="28"/>
      <c r="BI292" s="13"/>
      <c r="BJ292" s="13"/>
      <c r="BK292" s="13"/>
      <c r="BL292" s="13"/>
      <c r="BM292" s="13"/>
      <c r="BN292" s="13"/>
      <c r="BO292" s="13"/>
      <c r="BP292" s="13"/>
      <c r="BQ292" s="13"/>
      <c r="BR292" s="13"/>
      <c r="BS292" s="13"/>
      <c r="BT292" s="13"/>
      <c r="BU292" s="13"/>
      <c r="BV292" s="13"/>
      <c r="BW292" s="13"/>
      <c r="BX292" s="13"/>
      <c r="BY292" s="13"/>
      <c r="BZ292" s="13"/>
      <c r="CA292" s="13"/>
      <c r="CB292" s="13"/>
      <c r="CC292" s="28"/>
    </row>
    <row r="293" spans="1:81" s="10" customFormat="1" ht="15" customHeight="1">
      <c r="A293" s="38"/>
      <c r="C293" s="28"/>
      <c r="D293" s="28"/>
      <c r="E293" s="13"/>
      <c r="F293" s="13"/>
      <c r="G293" s="13"/>
      <c r="H293" s="13"/>
      <c r="I293" s="13"/>
      <c r="J293" s="13"/>
      <c r="K293" s="13"/>
      <c r="L293" s="13"/>
      <c r="M293" s="13"/>
      <c r="N293" s="13"/>
      <c r="O293" s="13"/>
      <c r="P293" s="13"/>
      <c r="Q293" s="13"/>
      <c r="R293" s="13"/>
      <c r="S293" s="13"/>
      <c r="T293" s="28"/>
      <c r="U293" s="13"/>
      <c r="V293" s="13"/>
      <c r="W293" s="13"/>
      <c r="X293" s="13"/>
      <c r="Y293" s="13"/>
      <c r="Z293" s="13"/>
      <c r="AA293" s="13"/>
      <c r="AB293" s="13"/>
      <c r="AC293" s="13"/>
      <c r="AD293" s="13"/>
      <c r="AE293" s="13"/>
      <c r="AF293" s="13"/>
      <c r="AG293" s="13"/>
      <c r="AH293" s="13"/>
      <c r="AI293" s="13"/>
      <c r="AJ293" s="13"/>
      <c r="AK293" s="13"/>
      <c r="AL293" s="13"/>
      <c r="AM293" s="13"/>
      <c r="AN293" s="28"/>
      <c r="AO293" s="13"/>
      <c r="AP293" s="13"/>
      <c r="AQ293" s="13"/>
      <c r="AR293" s="13"/>
      <c r="AS293" s="13"/>
      <c r="AT293" s="13"/>
      <c r="AU293" s="13"/>
      <c r="AV293" s="13"/>
      <c r="AW293" s="13"/>
      <c r="AX293" s="13"/>
      <c r="AY293" s="13"/>
      <c r="AZ293" s="13"/>
      <c r="BA293" s="13"/>
      <c r="BB293" s="13"/>
      <c r="BC293" s="13"/>
      <c r="BD293" s="13"/>
      <c r="BE293" s="13"/>
      <c r="BF293" s="13"/>
      <c r="BG293" s="13"/>
      <c r="BH293" s="28"/>
      <c r="BI293" s="13"/>
      <c r="BJ293" s="13"/>
      <c r="BK293" s="13"/>
      <c r="BL293" s="13"/>
      <c r="BM293" s="13"/>
      <c r="BN293" s="13"/>
      <c r="BO293" s="13"/>
      <c r="BP293" s="13"/>
      <c r="BQ293" s="13"/>
      <c r="BR293" s="13"/>
      <c r="BS293" s="13"/>
      <c r="BT293" s="13"/>
      <c r="BU293" s="13"/>
      <c r="BV293" s="13"/>
      <c r="BW293" s="13"/>
      <c r="BX293" s="13"/>
      <c r="BY293" s="13"/>
      <c r="BZ293" s="13"/>
      <c r="CA293" s="13"/>
      <c r="CB293" s="13"/>
      <c r="CC293" s="28"/>
    </row>
    <row r="294" spans="1:81" s="10" customFormat="1" ht="15" customHeight="1">
      <c r="A294" s="38"/>
      <c r="C294" s="28"/>
      <c r="D294" s="28"/>
      <c r="E294" s="13"/>
      <c r="F294" s="13"/>
      <c r="G294" s="13"/>
      <c r="H294" s="13"/>
      <c r="I294" s="13"/>
      <c r="J294" s="13"/>
      <c r="K294" s="13"/>
      <c r="L294" s="13"/>
      <c r="M294" s="13"/>
      <c r="N294" s="13"/>
      <c r="O294" s="13"/>
      <c r="P294" s="13"/>
      <c r="Q294" s="13"/>
      <c r="R294" s="13"/>
      <c r="S294" s="13"/>
      <c r="T294" s="28"/>
      <c r="U294" s="13"/>
      <c r="V294" s="13"/>
      <c r="W294" s="13"/>
      <c r="X294" s="13"/>
      <c r="Y294" s="13"/>
      <c r="Z294" s="13"/>
      <c r="AA294" s="13"/>
      <c r="AB294" s="13"/>
      <c r="AC294" s="13"/>
      <c r="AD294" s="13"/>
      <c r="AE294" s="13"/>
      <c r="AF294" s="13"/>
      <c r="AG294" s="13"/>
      <c r="AH294" s="13"/>
      <c r="AI294" s="13"/>
      <c r="AJ294" s="13"/>
      <c r="AK294" s="13"/>
      <c r="AL294" s="13"/>
      <c r="AM294" s="13"/>
      <c r="AN294" s="28"/>
      <c r="AO294" s="13"/>
      <c r="AP294" s="13"/>
      <c r="AQ294" s="13"/>
      <c r="AR294" s="13"/>
      <c r="AS294" s="13"/>
      <c r="AT294" s="13"/>
      <c r="AU294" s="13"/>
      <c r="AV294" s="13"/>
      <c r="AW294" s="13"/>
      <c r="AX294" s="13"/>
      <c r="AY294" s="13"/>
      <c r="AZ294" s="13"/>
      <c r="BA294" s="13"/>
      <c r="BB294" s="13"/>
      <c r="BC294" s="13"/>
      <c r="BD294" s="13"/>
      <c r="BE294" s="13"/>
      <c r="BF294" s="13"/>
      <c r="BG294" s="13"/>
      <c r="BH294" s="28"/>
      <c r="BI294" s="13"/>
      <c r="BJ294" s="13"/>
      <c r="BK294" s="13"/>
      <c r="BL294" s="13"/>
      <c r="BM294" s="13"/>
      <c r="BN294" s="13"/>
      <c r="BO294" s="13"/>
      <c r="BP294" s="13"/>
      <c r="BQ294" s="13"/>
      <c r="BR294" s="13"/>
      <c r="BS294" s="13"/>
      <c r="BT294" s="13"/>
      <c r="BU294" s="13"/>
      <c r="BV294" s="13"/>
      <c r="BW294" s="13"/>
      <c r="BX294" s="13"/>
      <c r="BY294" s="13"/>
      <c r="BZ294" s="13"/>
      <c r="CA294" s="13"/>
      <c r="CB294" s="13"/>
      <c r="CC294" s="28"/>
    </row>
    <row r="295" spans="1:81" s="10" customFormat="1" ht="23.25">
      <c r="A295" s="38" t="s">
        <v>105</v>
      </c>
      <c r="C295" s="26"/>
      <c r="D295" s="26"/>
      <c r="T295" s="26"/>
      <c r="AN295" s="26"/>
      <c r="BH295" s="26"/>
      <c r="CC295" s="26"/>
    </row>
    <row r="296" spans="1:81" s="10" customFormat="1" ht="15" customHeight="1" thickBot="1">
      <c r="B296" s="12"/>
      <c r="C296" s="26"/>
      <c r="D296" s="26"/>
      <c r="T296" s="26"/>
      <c r="AN296" s="26"/>
      <c r="BH296" s="26"/>
      <c r="CC296" s="26"/>
    </row>
    <row r="297" spans="1:81" s="10" customFormat="1" ht="20.100000000000001" customHeight="1" thickTop="1" thickBot="1">
      <c r="A297" s="2129" t="s">
        <v>106</v>
      </c>
      <c r="B297" s="2119"/>
      <c r="C297" s="2119"/>
      <c r="D297" s="2119"/>
      <c r="E297" s="2119"/>
      <c r="F297" s="2119"/>
      <c r="G297" s="2119"/>
      <c r="H297" s="2119"/>
      <c r="I297" s="2119"/>
      <c r="J297" s="2119"/>
      <c r="K297" s="2119" t="s">
        <v>107</v>
      </c>
      <c r="L297" s="2119"/>
      <c r="M297" s="2119"/>
      <c r="N297" s="2119"/>
      <c r="O297" s="2119"/>
      <c r="P297" s="2119"/>
      <c r="Q297" s="2119"/>
      <c r="R297" s="2119"/>
      <c r="S297" s="2119"/>
      <c r="T297" s="2119"/>
      <c r="U297" s="2119" t="s">
        <v>108</v>
      </c>
      <c r="V297" s="2119"/>
      <c r="W297" s="2119"/>
      <c r="X297" s="2119"/>
      <c r="Y297" s="2119"/>
      <c r="Z297" s="2119"/>
      <c r="AA297" s="2119"/>
      <c r="AB297" s="2119"/>
      <c r="AC297" s="2119"/>
      <c r="AD297" s="2119"/>
      <c r="AE297" s="2131" t="s">
        <v>150</v>
      </c>
      <c r="AF297" s="2132"/>
      <c r="AG297" s="2132"/>
      <c r="AH297" s="2132"/>
      <c r="AI297" s="2132"/>
      <c r="AJ297" s="2132"/>
      <c r="AK297" s="2132"/>
      <c r="AL297" s="2132"/>
      <c r="AM297" s="2132"/>
      <c r="AN297" s="2133"/>
      <c r="AO297" s="2137" t="s">
        <v>109</v>
      </c>
      <c r="AP297" s="2137"/>
      <c r="AQ297" s="2137"/>
      <c r="AR297" s="2137"/>
      <c r="AS297" s="2137"/>
      <c r="AT297" s="2137"/>
      <c r="AU297" s="2137"/>
      <c r="AV297" s="2137"/>
      <c r="AW297" s="2137"/>
      <c r="AX297" s="2137"/>
      <c r="AY297" s="2137"/>
      <c r="AZ297" s="2137"/>
      <c r="BA297" s="2137"/>
      <c r="BB297" s="2137"/>
      <c r="BC297" s="2137"/>
      <c r="BD297" s="2137"/>
      <c r="BE297" s="2137"/>
      <c r="BF297" s="2137"/>
      <c r="BG297" s="2137"/>
      <c r="BH297" s="2137"/>
      <c r="BI297" s="2137"/>
      <c r="BJ297" s="2137"/>
      <c r="BK297" s="2137"/>
      <c r="BL297" s="2137"/>
      <c r="BM297" s="2137"/>
      <c r="BN297" s="2137"/>
      <c r="BO297" s="2137"/>
      <c r="BP297" s="2137"/>
      <c r="BQ297" s="2137"/>
      <c r="BR297" s="2137"/>
      <c r="BS297" s="2119" t="s">
        <v>153</v>
      </c>
      <c r="BT297" s="2119"/>
      <c r="BU297" s="2119"/>
      <c r="BV297" s="2119"/>
      <c r="BW297" s="2119"/>
      <c r="BX297" s="2119"/>
      <c r="BY297" s="2119"/>
      <c r="BZ297" s="2119"/>
      <c r="CA297" s="2119"/>
      <c r="CB297" s="2119"/>
      <c r="CC297" s="2120"/>
    </row>
    <row r="298" spans="1:81" s="10" customFormat="1" ht="20.100000000000001" customHeight="1" thickTop="1">
      <c r="A298" s="2130"/>
      <c r="B298" s="2121"/>
      <c r="C298" s="2121"/>
      <c r="D298" s="2121"/>
      <c r="E298" s="2121"/>
      <c r="F298" s="2121"/>
      <c r="G298" s="2121"/>
      <c r="H298" s="2121"/>
      <c r="I298" s="2121"/>
      <c r="J298" s="2121"/>
      <c r="K298" s="2121"/>
      <c r="L298" s="2121"/>
      <c r="M298" s="2121"/>
      <c r="N298" s="2121"/>
      <c r="O298" s="2121"/>
      <c r="P298" s="2121"/>
      <c r="Q298" s="2121"/>
      <c r="R298" s="2121"/>
      <c r="S298" s="2121"/>
      <c r="T298" s="2121"/>
      <c r="U298" s="2121"/>
      <c r="V298" s="2121"/>
      <c r="W298" s="2121"/>
      <c r="X298" s="2121"/>
      <c r="Y298" s="2121"/>
      <c r="Z298" s="2121"/>
      <c r="AA298" s="2121"/>
      <c r="AB298" s="2121"/>
      <c r="AC298" s="2121"/>
      <c r="AD298" s="2121"/>
      <c r="AE298" s="2134"/>
      <c r="AF298" s="2135"/>
      <c r="AG298" s="2135"/>
      <c r="AH298" s="2135"/>
      <c r="AI298" s="2135"/>
      <c r="AJ298" s="2135"/>
      <c r="AK298" s="2135"/>
      <c r="AL298" s="2135"/>
      <c r="AM298" s="2135"/>
      <c r="AN298" s="2136"/>
      <c r="AO298" s="2123" t="s">
        <v>16</v>
      </c>
      <c r="AP298" s="2123"/>
      <c r="AQ298" s="2123"/>
      <c r="AR298" s="2123"/>
      <c r="AS298" s="2123"/>
      <c r="AT298" s="2123"/>
      <c r="AU298" s="2123"/>
      <c r="AV298" s="2123"/>
      <c r="AW298" s="2123"/>
      <c r="AX298" s="2123"/>
      <c r="AY298" s="2123" t="s">
        <v>152</v>
      </c>
      <c r="AZ298" s="2123"/>
      <c r="BA298" s="2123"/>
      <c r="BB298" s="2123"/>
      <c r="BC298" s="2123"/>
      <c r="BD298" s="2123"/>
      <c r="BE298" s="2123"/>
      <c r="BF298" s="2123"/>
      <c r="BG298" s="2123"/>
      <c r="BH298" s="2123"/>
      <c r="BI298" s="2123" t="s">
        <v>151</v>
      </c>
      <c r="BJ298" s="2123"/>
      <c r="BK298" s="2123"/>
      <c r="BL298" s="2123"/>
      <c r="BM298" s="2123"/>
      <c r="BN298" s="2123"/>
      <c r="BO298" s="2123"/>
      <c r="BP298" s="2123"/>
      <c r="BQ298" s="2123"/>
      <c r="BR298" s="2123"/>
      <c r="BS298" s="2121"/>
      <c r="BT298" s="2121"/>
      <c r="BU298" s="2121"/>
      <c r="BV298" s="2121"/>
      <c r="BW298" s="2121"/>
      <c r="BX298" s="2121"/>
      <c r="BY298" s="2121"/>
      <c r="BZ298" s="2121"/>
      <c r="CA298" s="2121"/>
      <c r="CB298" s="2121"/>
      <c r="CC298" s="2122"/>
    </row>
    <row r="299" spans="1:81" s="10" customFormat="1" ht="20.100000000000001" customHeight="1">
      <c r="A299" s="2124"/>
      <c r="B299" s="2113"/>
      <c r="C299" s="2113"/>
      <c r="D299" s="2113"/>
      <c r="E299" s="2113"/>
      <c r="F299" s="2113"/>
      <c r="G299" s="2113"/>
      <c r="H299" s="2113"/>
      <c r="I299" s="2113"/>
      <c r="J299" s="2113"/>
      <c r="K299" s="2113"/>
      <c r="L299" s="2113"/>
      <c r="M299" s="2113"/>
      <c r="N299" s="2113"/>
      <c r="O299" s="2113"/>
      <c r="P299" s="2113"/>
      <c r="Q299" s="2113"/>
      <c r="R299" s="2113"/>
      <c r="S299" s="2113"/>
      <c r="T299" s="2113"/>
      <c r="U299" s="2113"/>
      <c r="V299" s="2113"/>
      <c r="W299" s="2113"/>
      <c r="X299" s="2113"/>
      <c r="Y299" s="2113"/>
      <c r="Z299" s="2113"/>
      <c r="AA299" s="2113"/>
      <c r="AB299" s="2113"/>
      <c r="AC299" s="2113"/>
      <c r="AD299" s="2113"/>
      <c r="AE299" s="2112"/>
      <c r="AF299" s="2112"/>
      <c r="AG299" s="2112"/>
      <c r="AH299" s="2112"/>
      <c r="AI299" s="2112"/>
      <c r="AJ299" s="2112"/>
      <c r="AK299" s="2112"/>
      <c r="AL299" s="2112"/>
      <c r="AM299" s="2112"/>
      <c r="AN299" s="2112"/>
      <c r="AO299" s="2112"/>
      <c r="AP299" s="2112"/>
      <c r="AQ299" s="2112"/>
      <c r="AR299" s="2112"/>
      <c r="AS299" s="2112"/>
      <c r="AT299" s="2112"/>
      <c r="AU299" s="2112"/>
      <c r="AV299" s="2112"/>
      <c r="AW299" s="2112"/>
      <c r="AX299" s="2112"/>
      <c r="AY299" s="2112"/>
      <c r="AZ299" s="2112"/>
      <c r="BA299" s="2112"/>
      <c r="BB299" s="2112"/>
      <c r="BC299" s="2112"/>
      <c r="BD299" s="2112"/>
      <c r="BE299" s="2112"/>
      <c r="BF299" s="2112"/>
      <c r="BG299" s="2112"/>
      <c r="BH299" s="2112"/>
      <c r="BI299" s="2112">
        <v>1234556</v>
      </c>
      <c r="BJ299" s="2112"/>
      <c r="BK299" s="2112"/>
      <c r="BL299" s="2112"/>
      <c r="BM299" s="2112"/>
      <c r="BN299" s="2112"/>
      <c r="BO299" s="2112"/>
      <c r="BP299" s="2112"/>
      <c r="BQ299" s="2112"/>
      <c r="BR299" s="2112"/>
      <c r="BS299" s="2113"/>
      <c r="BT299" s="2113"/>
      <c r="BU299" s="2113"/>
      <c r="BV299" s="2113"/>
      <c r="BW299" s="2113"/>
      <c r="BX299" s="2113"/>
      <c r="BY299" s="2113"/>
      <c r="BZ299" s="2113"/>
      <c r="CA299" s="2113"/>
      <c r="CB299" s="2113"/>
      <c r="CC299" s="2114"/>
    </row>
    <row r="300" spans="1:81" s="10" customFormat="1" ht="20.100000000000001" customHeight="1">
      <c r="A300" s="2115"/>
      <c r="B300" s="2116"/>
      <c r="C300" s="2116"/>
      <c r="D300" s="2116"/>
      <c r="E300" s="2116"/>
      <c r="F300" s="2116"/>
      <c r="G300" s="2116"/>
      <c r="H300" s="2116"/>
      <c r="I300" s="2116"/>
      <c r="J300" s="2116"/>
      <c r="K300" s="2116"/>
      <c r="L300" s="2116"/>
      <c r="M300" s="2116"/>
      <c r="N300" s="2116"/>
      <c r="O300" s="2116"/>
      <c r="P300" s="2116"/>
      <c r="Q300" s="2116"/>
      <c r="R300" s="2116"/>
      <c r="S300" s="2116"/>
      <c r="T300" s="2116"/>
      <c r="U300" s="2116"/>
      <c r="V300" s="2116"/>
      <c r="W300" s="2116"/>
      <c r="X300" s="2116"/>
      <c r="Y300" s="2116"/>
      <c r="Z300" s="2116"/>
      <c r="AA300" s="2116"/>
      <c r="AB300" s="2116"/>
      <c r="AC300" s="2116"/>
      <c r="AD300" s="2116"/>
      <c r="AE300" s="2117"/>
      <c r="AF300" s="2117"/>
      <c r="AG300" s="2117"/>
      <c r="AH300" s="2117"/>
      <c r="AI300" s="2117"/>
      <c r="AJ300" s="2117"/>
      <c r="AK300" s="2117"/>
      <c r="AL300" s="2117"/>
      <c r="AM300" s="2117"/>
      <c r="AN300" s="2117"/>
      <c r="AO300" s="2117"/>
      <c r="AP300" s="2117"/>
      <c r="AQ300" s="2117"/>
      <c r="AR300" s="2117"/>
      <c r="AS300" s="2117"/>
      <c r="AT300" s="2117"/>
      <c r="AU300" s="2117"/>
      <c r="AV300" s="2117"/>
      <c r="AW300" s="2117"/>
      <c r="AX300" s="2117"/>
      <c r="AY300" s="2117"/>
      <c r="AZ300" s="2117"/>
      <c r="BA300" s="2117"/>
      <c r="BB300" s="2117"/>
      <c r="BC300" s="2117"/>
      <c r="BD300" s="2117"/>
      <c r="BE300" s="2117"/>
      <c r="BF300" s="2117"/>
      <c r="BG300" s="2117"/>
      <c r="BH300" s="2117"/>
      <c r="BI300" s="2117"/>
      <c r="BJ300" s="2117"/>
      <c r="BK300" s="2117"/>
      <c r="BL300" s="2117"/>
      <c r="BM300" s="2117"/>
      <c r="BN300" s="2117"/>
      <c r="BO300" s="2117"/>
      <c r="BP300" s="2117"/>
      <c r="BQ300" s="2117"/>
      <c r="BR300" s="2117"/>
      <c r="BS300" s="2116"/>
      <c r="BT300" s="2116"/>
      <c r="BU300" s="2116"/>
      <c r="BV300" s="2116"/>
      <c r="BW300" s="2116"/>
      <c r="BX300" s="2116"/>
      <c r="BY300" s="2116"/>
      <c r="BZ300" s="2116"/>
      <c r="CA300" s="2116"/>
      <c r="CB300" s="2116"/>
      <c r="CC300" s="2118"/>
    </row>
    <row r="301" spans="1:81" s="10" customFormat="1" ht="20.100000000000001" customHeight="1" thickBot="1">
      <c r="A301" s="2111"/>
      <c r="B301" s="2103"/>
      <c r="C301" s="2103"/>
      <c r="D301" s="2103"/>
      <c r="E301" s="2103"/>
      <c r="F301" s="2103"/>
      <c r="G301" s="2103"/>
      <c r="H301" s="2103"/>
      <c r="I301" s="2103"/>
      <c r="J301" s="2103"/>
      <c r="K301" s="2103"/>
      <c r="L301" s="2103"/>
      <c r="M301" s="2103"/>
      <c r="N301" s="2103"/>
      <c r="O301" s="2103"/>
      <c r="P301" s="2103"/>
      <c r="Q301" s="2103"/>
      <c r="R301" s="2103"/>
      <c r="S301" s="2103"/>
      <c r="T301" s="2103"/>
      <c r="U301" s="2103"/>
      <c r="V301" s="2103"/>
      <c r="W301" s="2103"/>
      <c r="X301" s="2103"/>
      <c r="Y301" s="2103"/>
      <c r="Z301" s="2103"/>
      <c r="AA301" s="2103"/>
      <c r="AB301" s="2103"/>
      <c r="AC301" s="2103"/>
      <c r="AD301" s="2103"/>
      <c r="AE301" s="2102"/>
      <c r="AF301" s="2102"/>
      <c r="AG301" s="2102"/>
      <c r="AH301" s="2102"/>
      <c r="AI301" s="2102"/>
      <c r="AJ301" s="2102"/>
      <c r="AK301" s="2102"/>
      <c r="AL301" s="2102"/>
      <c r="AM301" s="2102"/>
      <c r="AN301" s="2102"/>
      <c r="AO301" s="2102"/>
      <c r="AP301" s="2102"/>
      <c r="AQ301" s="2102"/>
      <c r="AR301" s="2102"/>
      <c r="AS301" s="2102"/>
      <c r="AT301" s="2102"/>
      <c r="AU301" s="2102"/>
      <c r="AV301" s="2102"/>
      <c r="AW301" s="2102"/>
      <c r="AX301" s="2102"/>
      <c r="AY301" s="2102"/>
      <c r="AZ301" s="2102"/>
      <c r="BA301" s="2102"/>
      <c r="BB301" s="2102"/>
      <c r="BC301" s="2102"/>
      <c r="BD301" s="2102"/>
      <c r="BE301" s="2102"/>
      <c r="BF301" s="2102"/>
      <c r="BG301" s="2102"/>
      <c r="BH301" s="2102"/>
      <c r="BI301" s="2102"/>
      <c r="BJ301" s="2102"/>
      <c r="BK301" s="2102"/>
      <c r="BL301" s="2102"/>
      <c r="BM301" s="2102"/>
      <c r="BN301" s="2102"/>
      <c r="BO301" s="2102"/>
      <c r="BP301" s="2102"/>
      <c r="BQ301" s="2102"/>
      <c r="BR301" s="2102"/>
      <c r="BS301" s="2103"/>
      <c r="BT301" s="2103"/>
      <c r="BU301" s="2103"/>
      <c r="BV301" s="2103"/>
      <c r="BW301" s="2103"/>
      <c r="BX301" s="2103"/>
      <c r="BY301" s="2103"/>
      <c r="BZ301" s="2103"/>
      <c r="CA301" s="2103"/>
      <c r="CB301" s="2103"/>
      <c r="CC301" s="2104"/>
    </row>
    <row r="302" spans="1:81" ht="15" customHeight="1" thickTop="1"/>
    <row r="303" spans="1:81" ht="15" customHeight="1"/>
    <row r="304" spans="1:81" ht="15" customHeight="1"/>
    <row r="305" spans="1:81" ht="15" customHeight="1"/>
    <row r="306" spans="1:81" ht="15" customHeight="1"/>
    <row r="307" spans="1:81" ht="15" customHeight="1"/>
    <row r="308" spans="1:81" ht="15" customHeight="1"/>
    <row r="309" spans="1:81" ht="15" customHeight="1"/>
    <row r="310" spans="1:81" ht="15" customHeight="1"/>
    <row r="311" spans="1:81" ht="15" customHeight="1"/>
    <row r="312" spans="1:81" ht="15" customHeight="1"/>
    <row r="313" spans="1:81" s="10" customFormat="1" ht="23.25">
      <c r="A313" s="38" t="s">
        <v>110</v>
      </c>
      <c r="C313" s="26"/>
      <c r="D313" s="26"/>
      <c r="T313" s="26"/>
      <c r="AN313" s="26"/>
      <c r="BH313" s="26"/>
      <c r="CC313" s="26"/>
    </row>
    <row r="314" spans="1:81" s="10" customFormat="1" ht="15" customHeight="1" thickBot="1">
      <c r="B314" s="12"/>
      <c r="C314" s="26"/>
      <c r="D314" s="26"/>
      <c r="T314" s="26"/>
      <c r="AN314" s="26"/>
      <c r="BH314" s="26"/>
      <c r="CC314" s="26"/>
    </row>
    <row r="315" spans="1:81" s="10" customFormat="1" ht="20.100000000000001" customHeight="1" thickTop="1">
      <c r="A315" s="2105" t="s">
        <v>111</v>
      </c>
      <c r="B315" s="2106"/>
      <c r="C315" s="2106"/>
      <c r="D315" s="2106"/>
      <c r="E315" s="2106"/>
      <c r="F315" s="2106"/>
      <c r="G315" s="2106"/>
      <c r="H315" s="2106"/>
      <c r="I315" s="2106"/>
      <c r="J315" s="2106"/>
      <c r="K315" s="2106"/>
      <c r="L315" s="2106"/>
      <c r="M315" s="2106"/>
      <c r="N315" s="2106"/>
      <c r="O315" s="2106"/>
      <c r="P315" s="2106"/>
      <c r="Q315" s="2106"/>
      <c r="R315" s="2107" t="s">
        <v>8</v>
      </c>
      <c r="S315" s="2108"/>
      <c r="T315" s="2108"/>
      <c r="U315" s="2108"/>
      <c r="V315" s="2108"/>
      <c r="W315" s="2108"/>
      <c r="X315" s="2108"/>
      <c r="Y315" s="2108"/>
      <c r="Z315" s="2108"/>
      <c r="AA315" s="2108"/>
      <c r="AB315" s="2108"/>
      <c r="AC315" s="2108"/>
      <c r="AD315" s="2108"/>
      <c r="AE315" s="2109"/>
      <c r="AF315" s="2110" t="s">
        <v>46</v>
      </c>
      <c r="AG315" s="1916"/>
      <c r="AH315" s="1916"/>
      <c r="AI315" s="1916"/>
      <c r="AJ315" s="1916"/>
      <c r="AK315" s="1916"/>
      <c r="AL315" s="1916"/>
      <c r="AM315" s="1916"/>
      <c r="AN315" s="1916"/>
      <c r="AO315" s="1916"/>
      <c r="AP315" s="1916" t="s">
        <v>47</v>
      </c>
      <c r="AQ315" s="1916"/>
      <c r="AR315" s="1916"/>
      <c r="AS315" s="1916"/>
      <c r="AT315" s="1916"/>
      <c r="AU315" s="1916"/>
      <c r="AV315" s="1916"/>
      <c r="AW315" s="1916"/>
      <c r="AX315" s="1916"/>
      <c r="AY315" s="1916"/>
      <c r="AZ315" s="1916" t="s">
        <v>48</v>
      </c>
      <c r="BA315" s="1916"/>
      <c r="BB315" s="1916"/>
      <c r="BC315" s="1916"/>
      <c r="BD315" s="1916"/>
      <c r="BE315" s="1916"/>
      <c r="BF315" s="1916"/>
      <c r="BG315" s="1916"/>
      <c r="BH315" s="1916"/>
      <c r="BI315" s="1916"/>
      <c r="BJ315" s="1916" t="s">
        <v>45</v>
      </c>
      <c r="BK315" s="1916"/>
      <c r="BL315" s="1916"/>
      <c r="BM315" s="1916"/>
      <c r="BN315" s="1916"/>
      <c r="BO315" s="1916"/>
      <c r="BP315" s="1916"/>
      <c r="BQ315" s="1916"/>
      <c r="BR315" s="1916"/>
      <c r="BS315" s="1916"/>
      <c r="BT315" s="1916" t="s">
        <v>112</v>
      </c>
      <c r="BU315" s="1916"/>
      <c r="BV315" s="1916"/>
      <c r="BW315" s="1916"/>
      <c r="BX315" s="1916"/>
      <c r="BY315" s="1916"/>
      <c r="BZ315" s="1916"/>
      <c r="CA315" s="1916"/>
      <c r="CB315" s="1916"/>
      <c r="CC315" s="1922"/>
    </row>
    <row r="316" spans="1:81" s="10" customFormat="1" ht="20.100000000000001" customHeight="1" thickBot="1">
      <c r="A316" s="2052" t="s">
        <v>113</v>
      </c>
      <c r="B316" s="2053"/>
      <c r="C316" s="2053"/>
      <c r="D316" s="2053"/>
      <c r="E316" s="2053"/>
      <c r="F316" s="2053"/>
      <c r="G316" s="2053"/>
      <c r="H316" s="2053"/>
      <c r="I316" s="2053"/>
      <c r="J316" s="2058" t="s">
        <v>154</v>
      </c>
      <c r="K316" s="2058"/>
      <c r="L316" s="2058"/>
      <c r="M316" s="2058"/>
      <c r="N316" s="2058"/>
      <c r="O316" s="2058"/>
      <c r="P316" s="2058"/>
      <c r="Q316" s="2058"/>
      <c r="R316" s="2100"/>
      <c r="S316" s="2101"/>
      <c r="T316" s="2101"/>
      <c r="U316" s="2101"/>
      <c r="V316" s="2101"/>
      <c r="W316" s="2101"/>
      <c r="X316" s="2101"/>
      <c r="Y316" s="2101"/>
      <c r="Z316" s="2101"/>
      <c r="AA316" s="2101"/>
      <c r="AB316" s="2101"/>
      <c r="AC316" s="2101"/>
      <c r="AD316" s="2101"/>
      <c r="AE316" s="2101"/>
      <c r="AF316" s="2061"/>
      <c r="AG316" s="2062"/>
      <c r="AH316" s="2062"/>
      <c r="AI316" s="2062"/>
      <c r="AJ316" s="2062"/>
      <c r="AK316" s="2062"/>
      <c r="AL316" s="2062"/>
      <c r="AM316" s="2062"/>
      <c r="AN316" s="2062"/>
      <c r="AO316" s="2062"/>
      <c r="AP316" s="2062"/>
      <c r="AQ316" s="2062"/>
      <c r="AR316" s="2062"/>
      <c r="AS316" s="2062"/>
      <c r="AT316" s="2062"/>
      <c r="AU316" s="2062"/>
      <c r="AV316" s="2062"/>
      <c r="AW316" s="2062"/>
      <c r="AX316" s="2062"/>
      <c r="AY316" s="2062"/>
      <c r="AZ316" s="2062"/>
      <c r="BA316" s="2062"/>
      <c r="BB316" s="2062"/>
      <c r="BC316" s="2062"/>
      <c r="BD316" s="2062"/>
      <c r="BE316" s="2062"/>
      <c r="BF316" s="2062"/>
      <c r="BG316" s="2062"/>
      <c r="BH316" s="2062"/>
      <c r="BI316" s="2062"/>
      <c r="BJ316" s="2062"/>
      <c r="BK316" s="2062"/>
      <c r="BL316" s="2062"/>
      <c r="BM316" s="2062"/>
      <c r="BN316" s="2062"/>
      <c r="BO316" s="2062"/>
      <c r="BP316" s="2062"/>
      <c r="BQ316" s="2062"/>
      <c r="BR316" s="2062"/>
      <c r="BS316" s="2062"/>
      <c r="BT316" s="2062"/>
      <c r="BU316" s="2062"/>
      <c r="BV316" s="2062"/>
      <c r="BW316" s="2062"/>
      <c r="BX316" s="2062"/>
      <c r="BY316" s="2062"/>
      <c r="BZ316" s="2062"/>
      <c r="CA316" s="2062"/>
      <c r="CB316" s="2062"/>
      <c r="CC316" s="2063"/>
    </row>
    <row r="317" spans="1:81" s="10" customFormat="1" ht="20.100000000000001" customHeight="1" thickTop="1" thickBot="1">
      <c r="A317" s="2054"/>
      <c r="B317" s="2055"/>
      <c r="C317" s="2055"/>
      <c r="D317" s="2055"/>
      <c r="E317" s="2055"/>
      <c r="F317" s="2055"/>
      <c r="G317" s="2055"/>
      <c r="H317" s="2055"/>
      <c r="I317" s="2055"/>
      <c r="J317" s="2064" t="s">
        <v>155</v>
      </c>
      <c r="K317" s="2064"/>
      <c r="L317" s="2064"/>
      <c r="M317" s="2064"/>
      <c r="N317" s="2064"/>
      <c r="O317" s="2064"/>
      <c r="P317" s="2064"/>
      <c r="Q317" s="2064"/>
      <c r="R317" s="2093"/>
      <c r="S317" s="2094"/>
      <c r="T317" s="2094"/>
      <c r="U317" s="2094"/>
      <c r="V317" s="2094"/>
      <c r="W317" s="2094"/>
      <c r="X317" s="2094"/>
      <c r="Y317" s="2094"/>
      <c r="Z317" s="2094"/>
      <c r="AA317" s="2094"/>
      <c r="AB317" s="2094"/>
      <c r="AC317" s="2094"/>
      <c r="AD317" s="2094"/>
      <c r="AE317" s="2094"/>
      <c r="AF317" s="2095"/>
      <c r="AG317" s="2050"/>
      <c r="AH317" s="2050"/>
      <c r="AI317" s="2050"/>
      <c r="AJ317" s="2050"/>
      <c r="AK317" s="2050"/>
      <c r="AL317" s="2050"/>
      <c r="AM317" s="2050"/>
      <c r="AN317" s="2050"/>
      <c r="AO317" s="2050"/>
      <c r="AP317" s="2050"/>
      <c r="AQ317" s="2050"/>
      <c r="AR317" s="2050"/>
      <c r="AS317" s="2050"/>
      <c r="AT317" s="2050"/>
      <c r="AU317" s="2050"/>
      <c r="AV317" s="2050"/>
      <c r="AW317" s="2050"/>
      <c r="AX317" s="2050"/>
      <c r="AY317" s="2050"/>
      <c r="AZ317" s="2050"/>
      <c r="BA317" s="2050"/>
      <c r="BB317" s="2050"/>
      <c r="BC317" s="2050"/>
      <c r="BD317" s="2050"/>
      <c r="BE317" s="2050"/>
      <c r="BF317" s="2050"/>
      <c r="BG317" s="2050"/>
      <c r="BH317" s="2050"/>
      <c r="BI317" s="2050"/>
      <c r="BJ317" s="2050"/>
      <c r="BK317" s="2050"/>
      <c r="BL317" s="2050"/>
      <c r="BM317" s="2050"/>
      <c r="BN317" s="2050"/>
      <c r="BO317" s="2050"/>
      <c r="BP317" s="2050"/>
      <c r="BQ317" s="2050"/>
      <c r="BR317" s="2050"/>
      <c r="BS317" s="2050"/>
      <c r="BT317" s="2050"/>
      <c r="BU317" s="2050"/>
      <c r="BV317" s="2050"/>
      <c r="BW317" s="2050"/>
      <c r="BX317" s="2050"/>
      <c r="BY317" s="2050"/>
      <c r="BZ317" s="2050"/>
      <c r="CA317" s="2050"/>
      <c r="CB317" s="2050"/>
      <c r="CC317" s="2051"/>
    </row>
    <row r="318" spans="1:81" s="10" customFormat="1" ht="20.100000000000001" customHeight="1" thickTop="1">
      <c r="A318" s="2080"/>
      <c r="B318" s="2081"/>
      <c r="C318" s="2081"/>
      <c r="D318" s="2081"/>
      <c r="E318" s="2081"/>
      <c r="F318" s="2081"/>
      <c r="G318" s="2081"/>
      <c r="H318" s="2081"/>
      <c r="I318" s="2081"/>
      <c r="J318" s="2096" t="s">
        <v>12</v>
      </c>
      <c r="K318" s="2096"/>
      <c r="L318" s="2096"/>
      <c r="M318" s="2096"/>
      <c r="N318" s="2096"/>
      <c r="O318" s="2096"/>
      <c r="P318" s="2096"/>
      <c r="Q318" s="2096"/>
      <c r="R318" s="2097"/>
      <c r="S318" s="2098"/>
      <c r="T318" s="2098"/>
      <c r="U318" s="2098"/>
      <c r="V318" s="2098"/>
      <c r="W318" s="2098"/>
      <c r="X318" s="2098"/>
      <c r="Y318" s="2098"/>
      <c r="Z318" s="2098"/>
      <c r="AA318" s="2098"/>
      <c r="AB318" s="2098"/>
      <c r="AC318" s="2098"/>
      <c r="AD318" s="2098"/>
      <c r="AE318" s="2098"/>
      <c r="AF318" s="2099"/>
      <c r="AG318" s="2075"/>
      <c r="AH318" s="2075"/>
      <c r="AI318" s="2075"/>
      <c r="AJ318" s="2075"/>
      <c r="AK318" s="2075"/>
      <c r="AL318" s="2075"/>
      <c r="AM318" s="2075"/>
      <c r="AN318" s="2075"/>
      <c r="AO318" s="2075"/>
      <c r="AP318" s="2075"/>
      <c r="AQ318" s="2075"/>
      <c r="AR318" s="2075"/>
      <c r="AS318" s="2075"/>
      <c r="AT318" s="2075"/>
      <c r="AU318" s="2075"/>
      <c r="AV318" s="2075"/>
      <c r="AW318" s="2075"/>
      <c r="AX318" s="2075"/>
      <c r="AY318" s="2075"/>
      <c r="AZ318" s="2075"/>
      <c r="BA318" s="2075"/>
      <c r="BB318" s="2075"/>
      <c r="BC318" s="2075"/>
      <c r="BD318" s="2075"/>
      <c r="BE318" s="2075"/>
      <c r="BF318" s="2075"/>
      <c r="BG318" s="2075"/>
      <c r="BH318" s="2075"/>
      <c r="BI318" s="2075"/>
      <c r="BJ318" s="2075"/>
      <c r="BK318" s="2075"/>
      <c r="BL318" s="2075"/>
      <c r="BM318" s="2075"/>
      <c r="BN318" s="2075"/>
      <c r="BO318" s="2075"/>
      <c r="BP318" s="2075"/>
      <c r="BQ318" s="2075"/>
      <c r="BR318" s="2075"/>
      <c r="BS318" s="2075"/>
      <c r="BT318" s="2075"/>
      <c r="BU318" s="2075"/>
      <c r="BV318" s="2075"/>
      <c r="BW318" s="2075"/>
      <c r="BX318" s="2075"/>
      <c r="BY318" s="2075"/>
      <c r="BZ318" s="2075"/>
      <c r="CA318" s="2075"/>
      <c r="CB318" s="2075"/>
      <c r="CC318" s="2076"/>
    </row>
    <row r="319" spans="1:81" s="10" customFormat="1" ht="20.100000000000001" customHeight="1" thickBot="1">
      <c r="A319" s="2052" t="s">
        <v>11</v>
      </c>
      <c r="B319" s="2053"/>
      <c r="C319" s="2053"/>
      <c r="D319" s="2053"/>
      <c r="E319" s="2053"/>
      <c r="F319" s="2053"/>
      <c r="G319" s="2053"/>
      <c r="H319" s="2053"/>
      <c r="I319" s="2053"/>
      <c r="J319" s="2058" t="s">
        <v>154</v>
      </c>
      <c r="K319" s="2058"/>
      <c r="L319" s="2058"/>
      <c r="M319" s="2058"/>
      <c r="N319" s="2058"/>
      <c r="O319" s="2058"/>
      <c r="P319" s="2058"/>
      <c r="Q319" s="2058"/>
      <c r="R319" s="2059"/>
      <c r="S319" s="2060"/>
      <c r="T319" s="2060"/>
      <c r="U319" s="2060"/>
      <c r="V319" s="2060"/>
      <c r="W319" s="2060"/>
      <c r="X319" s="2060"/>
      <c r="Y319" s="2060"/>
      <c r="Z319" s="2060"/>
      <c r="AA319" s="2060"/>
      <c r="AB319" s="2060"/>
      <c r="AC319" s="2060"/>
      <c r="AD319" s="2060"/>
      <c r="AE319" s="2060"/>
      <c r="AF319" s="2061"/>
      <c r="AG319" s="2062"/>
      <c r="AH319" s="2062"/>
      <c r="AI319" s="2062"/>
      <c r="AJ319" s="2062"/>
      <c r="AK319" s="2062"/>
      <c r="AL319" s="2062"/>
      <c r="AM319" s="2062"/>
      <c r="AN319" s="2062"/>
      <c r="AO319" s="2062"/>
      <c r="AP319" s="2062"/>
      <c r="AQ319" s="2062"/>
      <c r="AR319" s="2062"/>
      <c r="AS319" s="2062"/>
      <c r="AT319" s="2062"/>
      <c r="AU319" s="2062"/>
      <c r="AV319" s="2062"/>
      <c r="AW319" s="2062"/>
      <c r="AX319" s="2062"/>
      <c r="AY319" s="2062"/>
      <c r="AZ319" s="2062"/>
      <c r="BA319" s="2062"/>
      <c r="BB319" s="2062"/>
      <c r="BC319" s="2062"/>
      <c r="BD319" s="2062"/>
      <c r="BE319" s="2062"/>
      <c r="BF319" s="2062"/>
      <c r="BG319" s="2062"/>
      <c r="BH319" s="2062"/>
      <c r="BI319" s="2062"/>
      <c r="BJ319" s="2062"/>
      <c r="BK319" s="2062"/>
      <c r="BL319" s="2062"/>
      <c r="BM319" s="2062"/>
      <c r="BN319" s="2062"/>
      <c r="BO319" s="2062"/>
      <c r="BP319" s="2062"/>
      <c r="BQ319" s="2062"/>
      <c r="BR319" s="2062"/>
      <c r="BS319" s="2062"/>
      <c r="BT319" s="2062"/>
      <c r="BU319" s="2062"/>
      <c r="BV319" s="2062"/>
      <c r="BW319" s="2062"/>
      <c r="BX319" s="2062"/>
      <c r="BY319" s="2062"/>
      <c r="BZ319" s="2062"/>
      <c r="CA319" s="2062"/>
      <c r="CB319" s="2062"/>
      <c r="CC319" s="2063"/>
    </row>
    <row r="320" spans="1:81" s="10" customFormat="1" ht="20.100000000000001" customHeight="1" thickTop="1" thickBot="1">
      <c r="A320" s="2054"/>
      <c r="B320" s="2055"/>
      <c r="C320" s="2055"/>
      <c r="D320" s="2055"/>
      <c r="E320" s="2055"/>
      <c r="F320" s="2055"/>
      <c r="G320" s="2055"/>
      <c r="H320" s="2055"/>
      <c r="I320" s="2055"/>
      <c r="J320" s="2064" t="s">
        <v>155</v>
      </c>
      <c r="K320" s="2064"/>
      <c r="L320" s="2064"/>
      <c r="M320" s="2064"/>
      <c r="N320" s="2064"/>
      <c r="O320" s="2064"/>
      <c r="P320" s="2064"/>
      <c r="Q320" s="2064"/>
      <c r="R320" s="2093"/>
      <c r="S320" s="2094"/>
      <c r="T320" s="2094"/>
      <c r="U320" s="2094"/>
      <c r="V320" s="2094"/>
      <c r="W320" s="2094"/>
      <c r="X320" s="2094"/>
      <c r="Y320" s="2094"/>
      <c r="Z320" s="2094"/>
      <c r="AA320" s="2094"/>
      <c r="AB320" s="2094"/>
      <c r="AC320" s="2094"/>
      <c r="AD320" s="2094"/>
      <c r="AE320" s="2094"/>
      <c r="AF320" s="2095"/>
      <c r="AG320" s="2050"/>
      <c r="AH320" s="2050"/>
      <c r="AI320" s="2050"/>
      <c r="AJ320" s="2050"/>
      <c r="AK320" s="2050"/>
      <c r="AL320" s="2050"/>
      <c r="AM320" s="2050"/>
      <c r="AN320" s="2050"/>
      <c r="AO320" s="2050"/>
      <c r="AP320" s="2050"/>
      <c r="AQ320" s="2050"/>
      <c r="AR320" s="2050"/>
      <c r="AS320" s="2050"/>
      <c r="AT320" s="2050"/>
      <c r="AU320" s="2050"/>
      <c r="AV320" s="2050"/>
      <c r="AW320" s="2050"/>
      <c r="AX320" s="2050"/>
      <c r="AY320" s="2050"/>
      <c r="AZ320" s="2050"/>
      <c r="BA320" s="2050"/>
      <c r="BB320" s="2050"/>
      <c r="BC320" s="2050"/>
      <c r="BD320" s="2050"/>
      <c r="BE320" s="2050"/>
      <c r="BF320" s="2050"/>
      <c r="BG320" s="2050"/>
      <c r="BH320" s="2050"/>
      <c r="BI320" s="2050"/>
      <c r="BJ320" s="2050"/>
      <c r="BK320" s="2050"/>
      <c r="BL320" s="2050"/>
      <c r="BM320" s="2050"/>
      <c r="BN320" s="2050"/>
      <c r="BO320" s="2050"/>
      <c r="BP320" s="2050"/>
      <c r="BQ320" s="2050"/>
      <c r="BR320" s="2050"/>
      <c r="BS320" s="2050"/>
      <c r="BT320" s="2050"/>
      <c r="BU320" s="2050"/>
      <c r="BV320" s="2050"/>
      <c r="BW320" s="2050"/>
      <c r="BX320" s="2050"/>
      <c r="BY320" s="2050"/>
      <c r="BZ320" s="2050"/>
      <c r="CA320" s="2050"/>
      <c r="CB320" s="2050"/>
      <c r="CC320" s="2051"/>
    </row>
    <row r="321" spans="1:81" s="10" customFormat="1" ht="20.100000000000001" customHeight="1" thickTop="1">
      <c r="A321" s="2080"/>
      <c r="B321" s="2081"/>
      <c r="C321" s="2081"/>
      <c r="D321" s="2081"/>
      <c r="E321" s="2081"/>
      <c r="F321" s="2081"/>
      <c r="G321" s="2081"/>
      <c r="H321" s="2081"/>
      <c r="I321" s="2081"/>
      <c r="J321" s="2096" t="s">
        <v>12</v>
      </c>
      <c r="K321" s="2096"/>
      <c r="L321" s="2096"/>
      <c r="M321" s="2096"/>
      <c r="N321" s="2096"/>
      <c r="O321" s="2096"/>
      <c r="P321" s="2096"/>
      <c r="Q321" s="2096"/>
      <c r="R321" s="2097"/>
      <c r="S321" s="2098"/>
      <c r="T321" s="2098"/>
      <c r="U321" s="2098"/>
      <c r="V321" s="2098"/>
      <c r="W321" s="2098"/>
      <c r="X321" s="2098"/>
      <c r="Y321" s="2098"/>
      <c r="Z321" s="2098"/>
      <c r="AA321" s="2098"/>
      <c r="AB321" s="2098"/>
      <c r="AC321" s="2098"/>
      <c r="AD321" s="2098"/>
      <c r="AE321" s="2098"/>
      <c r="AF321" s="2099"/>
      <c r="AG321" s="2075"/>
      <c r="AH321" s="2075"/>
      <c r="AI321" s="2075"/>
      <c r="AJ321" s="2075"/>
      <c r="AK321" s="2075"/>
      <c r="AL321" s="2075"/>
      <c r="AM321" s="2075"/>
      <c r="AN321" s="2075"/>
      <c r="AO321" s="2075"/>
      <c r="AP321" s="2075"/>
      <c r="AQ321" s="2075"/>
      <c r="AR321" s="2075"/>
      <c r="AS321" s="2075"/>
      <c r="AT321" s="2075"/>
      <c r="AU321" s="2075"/>
      <c r="AV321" s="2075"/>
      <c r="AW321" s="2075"/>
      <c r="AX321" s="2075"/>
      <c r="AY321" s="2075"/>
      <c r="AZ321" s="2075"/>
      <c r="BA321" s="2075"/>
      <c r="BB321" s="2075"/>
      <c r="BC321" s="2075"/>
      <c r="BD321" s="2075"/>
      <c r="BE321" s="2075"/>
      <c r="BF321" s="2075"/>
      <c r="BG321" s="2075"/>
      <c r="BH321" s="2075"/>
      <c r="BI321" s="2075"/>
      <c r="BJ321" s="2075"/>
      <c r="BK321" s="2075"/>
      <c r="BL321" s="2075"/>
      <c r="BM321" s="2075"/>
      <c r="BN321" s="2075"/>
      <c r="BO321" s="2075"/>
      <c r="BP321" s="2075"/>
      <c r="BQ321" s="2075"/>
      <c r="BR321" s="2075"/>
      <c r="BS321" s="2075"/>
      <c r="BT321" s="2075"/>
      <c r="BU321" s="2075"/>
      <c r="BV321" s="2075"/>
      <c r="BW321" s="2075"/>
      <c r="BX321" s="2075"/>
      <c r="BY321" s="2075"/>
      <c r="BZ321" s="2075"/>
      <c r="CA321" s="2075"/>
      <c r="CB321" s="2075"/>
      <c r="CC321" s="2076"/>
    </row>
    <row r="322" spans="1:81" s="10" customFormat="1" ht="20.100000000000001" customHeight="1" thickBot="1">
      <c r="A322" s="2052" t="s">
        <v>114</v>
      </c>
      <c r="B322" s="2053"/>
      <c r="C322" s="2053"/>
      <c r="D322" s="2053"/>
      <c r="E322" s="2053"/>
      <c r="F322" s="2053"/>
      <c r="G322" s="2053"/>
      <c r="H322" s="2053"/>
      <c r="I322" s="2053"/>
      <c r="J322" s="2058" t="s">
        <v>154</v>
      </c>
      <c r="K322" s="2058"/>
      <c r="L322" s="2058"/>
      <c r="M322" s="2058"/>
      <c r="N322" s="2058"/>
      <c r="O322" s="2058"/>
      <c r="P322" s="2058"/>
      <c r="Q322" s="2058"/>
      <c r="R322" s="2059"/>
      <c r="S322" s="2060"/>
      <c r="T322" s="2060"/>
      <c r="U322" s="2060"/>
      <c r="V322" s="2060"/>
      <c r="W322" s="2060"/>
      <c r="X322" s="2060"/>
      <c r="Y322" s="2060"/>
      <c r="Z322" s="2060"/>
      <c r="AA322" s="2060"/>
      <c r="AB322" s="2060"/>
      <c r="AC322" s="2060"/>
      <c r="AD322" s="2060"/>
      <c r="AE322" s="2060"/>
      <c r="AF322" s="2061"/>
      <c r="AG322" s="2062"/>
      <c r="AH322" s="2062"/>
      <c r="AI322" s="2062"/>
      <c r="AJ322" s="2062"/>
      <c r="AK322" s="2062"/>
      <c r="AL322" s="2062"/>
      <c r="AM322" s="2062"/>
      <c r="AN322" s="2062"/>
      <c r="AO322" s="2062"/>
      <c r="AP322" s="2062"/>
      <c r="AQ322" s="2062"/>
      <c r="AR322" s="2062"/>
      <c r="AS322" s="2062"/>
      <c r="AT322" s="2062"/>
      <c r="AU322" s="2062"/>
      <c r="AV322" s="2062"/>
      <c r="AW322" s="2062"/>
      <c r="AX322" s="2062"/>
      <c r="AY322" s="2062"/>
      <c r="AZ322" s="2062"/>
      <c r="BA322" s="2062"/>
      <c r="BB322" s="2062"/>
      <c r="BC322" s="2062"/>
      <c r="BD322" s="2062"/>
      <c r="BE322" s="2062"/>
      <c r="BF322" s="2062"/>
      <c r="BG322" s="2062"/>
      <c r="BH322" s="2062"/>
      <c r="BI322" s="2062"/>
      <c r="BJ322" s="2062"/>
      <c r="BK322" s="2062"/>
      <c r="BL322" s="2062"/>
      <c r="BM322" s="2062"/>
      <c r="BN322" s="2062"/>
      <c r="BO322" s="2062"/>
      <c r="BP322" s="2062"/>
      <c r="BQ322" s="2062"/>
      <c r="BR322" s="2062"/>
      <c r="BS322" s="2062"/>
      <c r="BT322" s="2062"/>
      <c r="BU322" s="2062"/>
      <c r="BV322" s="2062"/>
      <c r="BW322" s="2062"/>
      <c r="BX322" s="2062"/>
      <c r="BY322" s="2062"/>
      <c r="BZ322" s="2062"/>
      <c r="CA322" s="2062"/>
      <c r="CB322" s="2062"/>
      <c r="CC322" s="2063"/>
    </row>
    <row r="323" spans="1:81" s="10" customFormat="1" ht="20.100000000000001" customHeight="1" thickTop="1" thickBot="1">
      <c r="A323" s="2054"/>
      <c r="B323" s="2055"/>
      <c r="C323" s="2055"/>
      <c r="D323" s="2055"/>
      <c r="E323" s="2055"/>
      <c r="F323" s="2055"/>
      <c r="G323" s="2055"/>
      <c r="H323" s="2055"/>
      <c r="I323" s="2055"/>
      <c r="J323" s="2064" t="s">
        <v>155</v>
      </c>
      <c r="K323" s="2064"/>
      <c r="L323" s="2064"/>
      <c r="M323" s="2064"/>
      <c r="N323" s="2064"/>
      <c r="O323" s="2064"/>
      <c r="P323" s="2064"/>
      <c r="Q323" s="2064"/>
      <c r="R323" s="2093"/>
      <c r="S323" s="2094"/>
      <c r="T323" s="2094"/>
      <c r="U323" s="2094"/>
      <c r="V323" s="2094"/>
      <c r="W323" s="2094"/>
      <c r="X323" s="2094"/>
      <c r="Y323" s="2094"/>
      <c r="Z323" s="2094"/>
      <c r="AA323" s="2094"/>
      <c r="AB323" s="2094"/>
      <c r="AC323" s="2094"/>
      <c r="AD323" s="2094"/>
      <c r="AE323" s="2094"/>
      <c r="AF323" s="2095"/>
      <c r="AG323" s="2050"/>
      <c r="AH323" s="2050"/>
      <c r="AI323" s="2050"/>
      <c r="AJ323" s="2050"/>
      <c r="AK323" s="2050"/>
      <c r="AL323" s="2050"/>
      <c r="AM323" s="2050"/>
      <c r="AN323" s="2050"/>
      <c r="AO323" s="2050"/>
      <c r="AP323" s="2050"/>
      <c r="AQ323" s="2050"/>
      <c r="AR323" s="2050"/>
      <c r="AS323" s="2050"/>
      <c r="AT323" s="2050"/>
      <c r="AU323" s="2050"/>
      <c r="AV323" s="2050"/>
      <c r="AW323" s="2050"/>
      <c r="AX323" s="2050"/>
      <c r="AY323" s="2050"/>
      <c r="AZ323" s="2050"/>
      <c r="BA323" s="2050"/>
      <c r="BB323" s="2050"/>
      <c r="BC323" s="2050"/>
      <c r="BD323" s="2050"/>
      <c r="BE323" s="2050"/>
      <c r="BF323" s="2050"/>
      <c r="BG323" s="2050"/>
      <c r="BH323" s="2050"/>
      <c r="BI323" s="2050"/>
      <c r="BJ323" s="2050"/>
      <c r="BK323" s="2050"/>
      <c r="BL323" s="2050"/>
      <c r="BM323" s="2050"/>
      <c r="BN323" s="2050"/>
      <c r="BO323" s="2050"/>
      <c r="BP323" s="2050"/>
      <c r="BQ323" s="2050"/>
      <c r="BR323" s="2050"/>
      <c r="BS323" s="2050"/>
      <c r="BT323" s="2050"/>
      <c r="BU323" s="2050"/>
      <c r="BV323" s="2050"/>
      <c r="BW323" s="2050"/>
      <c r="BX323" s="2050"/>
      <c r="BY323" s="2050"/>
      <c r="BZ323" s="2050"/>
      <c r="CA323" s="2050"/>
      <c r="CB323" s="2050"/>
      <c r="CC323" s="2051"/>
    </row>
    <row r="324" spans="1:81" s="10" customFormat="1" ht="20.100000000000001" customHeight="1" thickTop="1">
      <c r="A324" s="2080"/>
      <c r="B324" s="2081"/>
      <c r="C324" s="2081"/>
      <c r="D324" s="2081"/>
      <c r="E324" s="2081"/>
      <c r="F324" s="2081"/>
      <c r="G324" s="2081"/>
      <c r="H324" s="2081"/>
      <c r="I324" s="2081"/>
      <c r="J324" s="2096" t="s">
        <v>12</v>
      </c>
      <c r="K324" s="2096"/>
      <c r="L324" s="2096"/>
      <c r="M324" s="2096"/>
      <c r="N324" s="2096"/>
      <c r="O324" s="2096"/>
      <c r="P324" s="2096"/>
      <c r="Q324" s="2096"/>
      <c r="R324" s="2097"/>
      <c r="S324" s="2098"/>
      <c r="T324" s="2098"/>
      <c r="U324" s="2098"/>
      <c r="V324" s="2098"/>
      <c r="W324" s="2098"/>
      <c r="X324" s="2098"/>
      <c r="Y324" s="2098"/>
      <c r="Z324" s="2098"/>
      <c r="AA324" s="2098"/>
      <c r="AB324" s="2098"/>
      <c r="AC324" s="2098"/>
      <c r="AD324" s="2098"/>
      <c r="AE324" s="2098"/>
      <c r="AF324" s="2099"/>
      <c r="AG324" s="2075"/>
      <c r="AH324" s="2075"/>
      <c r="AI324" s="2075"/>
      <c r="AJ324" s="2075"/>
      <c r="AK324" s="2075"/>
      <c r="AL324" s="2075"/>
      <c r="AM324" s="2075"/>
      <c r="AN324" s="2075"/>
      <c r="AO324" s="2075"/>
      <c r="AP324" s="2075"/>
      <c r="AQ324" s="2075"/>
      <c r="AR324" s="2075"/>
      <c r="AS324" s="2075"/>
      <c r="AT324" s="2075"/>
      <c r="AU324" s="2075"/>
      <c r="AV324" s="2075"/>
      <c r="AW324" s="2075"/>
      <c r="AX324" s="2075"/>
      <c r="AY324" s="2075"/>
      <c r="AZ324" s="2075"/>
      <c r="BA324" s="2075"/>
      <c r="BB324" s="2075"/>
      <c r="BC324" s="2075"/>
      <c r="BD324" s="2075"/>
      <c r="BE324" s="2075"/>
      <c r="BF324" s="2075"/>
      <c r="BG324" s="2075"/>
      <c r="BH324" s="2075"/>
      <c r="BI324" s="2075"/>
      <c r="BJ324" s="2075"/>
      <c r="BK324" s="2075"/>
      <c r="BL324" s="2075"/>
      <c r="BM324" s="2075"/>
      <c r="BN324" s="2075"/>
      <c r="BO324" s="2075"/>
      <c r="BP324" s="2075"/>
      <c r="BQ324" s="2075"/>
      <c r="BR324" s="2075"/>
      <c r="BS324" s="2075"/>
      <c r="BT324" s="2075"/>
      <c r="BU324" s="2075"/>
      <c r="BV324" s="2075"/>
      <c r="BW324" s="2075"/>
      <c r="BX324" s="2075"/>
      <c r="BY324" s="2075"/>
      <c r="BZ324" s="2075"/>
      <c r="CA324" s="2075"/>
      <c r="CB324" s="2075"/>
      <c r="CC324" s="2076"/>
    </row>
    <row r="325" spans="1:81" s="10" customFormat="1" ht="20.100000000000001" customHeight="1" thickBot="1">
      <c r="A325" s="2052" t="s">
        <v>172</v>
      </c>
      <c r="B325" s="2053"/>
      <c r="C325" s="2053"/>
      <c r="D325" s="2053"/>
      <c r="E325" s="2053"/>
      <c r="F325" s="2053"/>
      <c r="G325" s="2053"/>
      <c r="H325" s="2053"/>
      <c r="I325" s="2053"/>
      <c r="J325" s="2058" t="s">
        <v>154</v>
      </c>
      <c r="K325" s="2058"/>
      <c r="L325" s="2058"/>
      <c r="M325" s="2058"/>
      <c r="N325" s="2058"/>
      <c r="O325" s="2058"/>
      <c r="P325" s="2058"/>
      <c r="Q325" s="2058"/>
      <c r="R325" s="2059"/>
      <c r="S325" s="2060"/>
      <c r="T325" s="2060"/>
      <c r="U325" s="2060"/>
      <c r="V325" s="2060"/>
      <c r="W325" s="2060"/>
      <c r="X325" s="2060"/>
      <c r="Y325" s="2060"/>
      <c r="Z325" s="2060"/>
      <c r="AA325" s="2060"/>
      <c r="AB325" s="2060"/>
      <c r="AC325" s="2060"/>
      <c r="AD325" s="2060"/>
      <c r="AE325" s="2060"/>
      <c r="AF325" s="2061"/>
      <c r="AG325" s="2062"/>
      <c r="AH325" s="2062"/>
      <c r="AI325" s="2062"/>
      <c r="AJ325" s="2062"/>
      <c r="AK325" s="2062"/>
      <c r="AL325" s="2062"/>
      <c r="AM325" s="2062"/>
      <c r="AN325" s="2062"/>
      <c r="AO325" s="2062"/>
      <c r="AP325" s="2062"/>
      <c r="AQ325" s="2062"/>
      <c r="AR325" s="2062"/>
      <c r="AS325" s="2062"/>
      <c r="AT325" s="2062"/>
      <c r="AU325" s="2062"/>
      <c r="AV325" s="2062"/>
      <c r="AW325" s="2062"/>
      <c r="AX325" s="2062"/>
      <c r="AY325" s="2062"/>
      <c r="AZ325" s="2062"/>
      <c r="BA325" s="2062"/>
      <c r="BB325" s="2062"/>
      <c r="BC325" s="2062"/>
      <c r="BD325" s="2062"/>
      <c r="BE325" s="2062"/>
      <c r="BF325" s="2062"/>
      <c r="BG325" s="2062"/>
      <c r="BH325" s="2062"/>
      <c r="BI325" s="2062"/>
      <c r="BJ325" s="2062"/>
      <c r="BK325" s="2062"/>
      <c r="BL325" s="2062"/>
      <c r="BM325" s="2062"/>
      <c r="BN325" s="2062"/>
      <c r="BO325" s="2062"/>
      <c r="BP325" s="2062"/>
      <c r="BQ325" s="2062"/>
      <c r="BR325" s="2062"/>
      <c r="BS325" s="2062"/>
      <c r="BT325" s="2062"/>
      <c r="BU325" s="2062"/>
      <c r="BV325" s="2062"/>
      <c r="BW325" s="2062"/>
      <c r="BX325" s="2062"/>
      <c r="BY325" s="2062"/>
      <c r="BZ325" s="2062"/>
      <c r="CA325" s="2062"/>
      <c r="CB325" s="2062"/>
      <c r="CC325" s="2063"/>
    </row>
    <row r="326" spans="1:81" s="10" customFormat="1" ht="20.100000000000001" customHeight="1" thickTop="1" thickBot="1">
      <c r="A326" s="2054"/>
      <c r="B326" s="2055"/>
      <c r="C326" s="2055"/>
      <c r="D326" s="2055"/>
      <c r="E326" s="2055"/>
      <c r="F326" s="2055"/>
      <c r="G326" s="2055"/>
      <c r="H326" s="2055"/>
      <c r="I326" s="2055"/>
      <c r="J326" s="2064" t="s">
        <v>155</v>
      </c>
      <c r="K326" s="2064"/>
      <c r="L326" s="2064"/>
      <c r="M326" s="2064"/>
      <c r="N326" s="2064"/>
      <c r="O326" s="2064"/>
      <c r="P326" s="2064"/>
      <c r="Q326" s="2064"/>
      <c r="R326" s="2093"/>
      <c r="S326" s="2094"/>
      <c r="T326" s="2094"/>
      <c r="U326" s="2094"/>
      <c r="V326" s="2094"/>
      <c r="W326" s="2094"/>
      <c r="X326" s="2094"/>
      <c r="Y326" s="2094"/>
      <c r="Z326" s="2094"/>
      <c r="AA326" s="2094"/>
      <c r="AB326" s="2094"/>
      <c r="AC326" s="2094"/>
      <c r="AD326" s="2094"/>
      <c r="AE326" s="2094"/>
      <c r="AF326" s="2095"/>
      <c r="AG326" s="2050"/>
      <c r="AH326" s="2050"/>
      <c r="AI326" s="2050"/>
      <c r="AJ326" s="2050"/>
      <c r="AK326" s="2050"/>
      <c r="AL326" s="2050"/>
      <c r="AM326" s="2050"/>
      <c r="AN326" s="2050"/>
      <c r="AO326" s="2050"/>
      <c r="AP326" s="2050"/>
      <c r="AQ326" s="2050"/>
      <c r="AR326" s="2050"/>
      <c r="AS326" s="2050"/>
      <c r="AT326" s="2050"/>
      <c r="AU326" s="2050"/>
      <c r="AV326" s="2050"/>
      <c r="AW326" s="2050"/>
      <c r="AX326" s="2050"/>
      <c r="AY326" s="2050"/>
      <c r="AZ326" s="2050"/>
      <c r="BA326" s="2050"/>
      <c r="BB326" s="2050"/>
      <c r="BC326" s="2050"/>
      <c r="BD326" s="2050"/>
      <c r="BE326" s="2050"/>
      <c r="BF326" s="2050"/>
      <c r="BG326" s="2050"/>
      <c r="BH326" s="2050"/>
      <c r="BI326" s="2050"/>
      <c r="BJ326" s="2050"/>
      <c r="BK326" s="2050"/>
      <c r="BL326" s="2050"/>
      <c r="BM326" s="2050"/>
      <c r="BN326" s="2050"/>
      <c r="BO326" s="2050"/>
      <c r="BP326" s="2050"/>
      <c r="BQ326" s="2050"/>
      <c r="BR326" s="2050"/>
      <c r="BS326" s="2050"/>
      <c r="BT326" s="2050"/>
      <c r="BU326" s="2050"/>
      <c r="BV326" s="2050"/>
      <c r="BW326" s="2050"/>
      <c r="BX326" s="2050"/>
      <c r="BY326" s="2050"/>
      <c r="BZ326" s="2050"/>
      <c r="CA326" s="2050"/>
      <c r="CB326" s="2050"/>
      <c r="CC326" s="2051"/>
    </row>
    <row r="327" spans="1:81" s="10" customFormat="1" ht="20.100000000000001" customHeight="1" thickTop="1">
      <c r="A327" s="2080"/>
      <c r="B327" s="2081"/>
      <c r="C327" s="2081"/>
      <c r="D327" s="2081"/>
      <c r="E327" s="2081"/>
      <c r="F327" s="2081"/>
      <c r="G327" s="2081"/>
      <c r="H327" s="2081"/>
      <c r="I327" s="2081"/>
      <c r="J327" s="2096" t="s">
        <v>12</v>
      </c>
      <c r="K327" s="2096"/>
      <c r="L327" s="2096"/>
      <c r="M327" s="2096"/>
      <c r="N327" s="2096"/>
      <c r="O327" s="2096"/>
      <c r="P327" s="2096"/>
      <c r="Q327" s="2096"/>
      <c r="R327" s="2097"/>
      <c r="S327" s="2098"/>
      <c r="T327" s="2098"/>
      <c r="U327" s="2098"/>
      <c r="V327" s="2098"/>
      <c r="W327" s="2098"/>
      <c r="X327" s="2098"/>
      <c r="Y327" s="2098"/>
      <c r="Z327" s="2098"/>
      <c r="AA327" s="2098"/>
      <c r="AB327" s="2098"/>
      <c r="AC327" s="2098"/>
      <c r="AD327" s="2098"/>
      <c r="AE327" s="2098"/>
      <c r="AF327" s="2099"/>
      <c r="AG327" s="2075"/>
      <c r="AH327" s="2075"/>
      <c r="AI327" s="2075"/>
      <c r="AJ327" s="2075"/>
      <c r="AK327" s="2075"/>
      <c r="AL327" s="2075"/>
      <c r="AM327" s="2075"/>
      <c r="AN327" s="2075"/>
      <c r="AO327" s="2075"/>
      <c r="AP327" s="2075"/>
      <c r="AQ327" s="2075"/>
      <c r="AR327" s="2075"/>
      <c r="AS327" s="2075"/>
      <c r="AT327" s="2075"/>
      <c r="AU327" s="2075"/>
      <c r="AV327" s="2075"/>
      <c r="AW327" s="2075"/>
      <c r="AX327" s="2075"/>
      <c r="AY327" s="2075"/>
      <c r="AZ327" s="2075"/>
      <c r="BA327" s="2075"/>
      <c r="BB327" s="2075"/>
      <c r="BC327" s="2075"/>
      <c r="BD327" s="2075"/>
      <c r="BE327" s="2075"/>
      <c r="BF327" s="2075"/>
      <c r="BG327" s="2075"/>
      <c r="BH327" s="2075"/>
      <c r="BI327" s="2075"/>
      <c r="BJ327" s="2075"/>
      <c r="BK327" s="2075"/>
      <c r="BL327" s="2075"/>
      <c r="BM327" s="2075"/>
      <c r="BN327" s="2075"/>
      <c r="BO327" s="2075"/>
      <c r="BP327" s="2075"/>
      <c r="BQ327" s="2075"/>
      <c r="BR327" s="2075"/>
      <c r="BS327" s="2075"/>
      <c r="BT327" s="2075"/>
      <c r="BU327" s="2075"/>
      <c r="BV327" s="2075"/>
      <c r="BW327" s="2075"/>
      <c r="BX327" s="2075"/>
      <c r="BY327" s="2075"/>
      <c r="BZ327" s="2075"/>
      <c r="CA327" s="2075"/>
      <c r="CB327" s="2075"/>
      <c r="CC327" s="2076"/>
    </row>
    <row r="328" spans="1:81" s="10" customFormat="1" ht="20.100000000000001" customHeight="1" thickBot="1">
      <c r="A328" s="2079" t="s">
        <v>173</v>
      </c>
      <c r="B328" s="2053"/>
      <c r="C328" s="2053"/>
      <c r="D328" s="2053"/>
      <c r="E328" s="2053"/>
      <c r="F328" s="2053"/>
      <c r="G328" s="2053"/>
      <c r="H328" s="2053"/>
      <c r="I328" s="2053"/>
      <c r="J328" s="2058" t="s">
        <v>154</v>
      </c>
      <c r="K328" s="2058"/>
      <c r="L328" s="2058"/>
      <c r="M328" s="2058"/>
      <c r="N328" s="2058"/>
      <c r="O328" s="2058"/>
      <c r="P328" s="2058"/>
      <c r="Q328" s="2058"/>
      <c r="R328" s="2059"/>
      <c r="S328" s="2060"/>
      <c r="T328" s="2060"/>
      <c r="U328" s="2060"/>
      <c r="V328" s="2060"/>
      <c r="W328" s="2060"/>
      <c r="X328" s="2060"/>
      <c r="Y328" s="2060"/>
      <c r="Z328" s="2060"/>
      <c r="AA328" s="2060"/>
      <c r="AB328" s="2060"/>
      <c r="AC328" s="2060"/>
      <c r="AD328" s="2060"/>
      <c r="AE328" s="2060"/>
      <c r="AF328" s="2061"/>
      <c r="AG328" s="2062"/>
      <c r="AH328" s="2062"/>
      <c r="AI328" s="2062"/>
      <c r="AJ328" s="2062"/>
      <c r="AK328" s="2062"/>
      <c r="AL328" s="2062"/>
      <c r="AM328" s="2062"/>
      <c r="AN328" s="2062"/>
      <c r="AO328" s="2062"/>
      <c r="AP328" s="2062"/>
      <c r="AQ328" s="2062"/>
      <c r="AR328" s="2062"/>
      <c r="AS328" s="2062"/>
      <c r="AT328" s="2062"/>
      <c r="AU328" s="2062"/>
      <c r="AV328" s="2062"/>
      <c r="AW328" s="2062"/>
      <c r="AX328" s="2062"/>
      <c r="AY328" s="2062"/>
      <c r="AZ328" s="2062"/>
      <c r="BA328" s="2062"/>
      <c r="BB328" s="2062"/>
      <c r="BC328" s="2062"/>
      <c r="BD328" s="2062"/>
      <c r="BE328" s="2062"/>
      <c r="BF328" s="2062"/>
      <c r="BG328" s="2062"/>
      <c r="BH328" s="2062"/>
      <c r="BI328" s="2062"/>
      <c r="BJ328" s="2062"/>
      <c r="BK328" s="2062"/>
      <c r="BL328" s="2062"/>
      <c r="BM328" s="2062"/>
      <c r="BN328" s="2062"/>
      <c r="BO328" s="2062"/>
      <c r="BP328" s="2062"/>
      <c r="BQ328" s="2062"/>
      <c r="BR328" s="2062"/>
      <c r="BS328" s="2062"/>
      <c r="BT328" s="2062"/>
      <c r="BU328" s="2062"/>
      <c r="BV328" s="2062"/>
      <c r="BW328" s="2062"/>
      <c r="BX328" s="2062"/>
      <c r="BY328" s="2062"/>
      <c r="BZ328" s="2062"/>
      <c r="CA328" s="2062"/>
      <c r="CB328" s="2062"/>
      <c r="CC328" s="2063"/>
    </row>
    <row r="329" spans="1:81" s="10" customFormat="1" ht="20.100000000000001" customHeight="1" thickTop="1" thickBot="1">
      <c r="A329" s="2054"/>
      <c r="B329" s="2055"/>
      <c r="C329" s="2055"/>
      <c r="D329" s="2055"/>
      <c r="E329" s="2055"/>
      <c r="F329" s="2055"/>
      <c r="G329" s="2055"/>
      <c r="H329" s="2055"/>
      <c r="I329" s="2055"/>
      <c r="J329" s="2064" t="s">
        <v>155</v>
      </c>
      <c r="K329" s="2064"/>
      <c r="L329" s="2064"/>
      <c r="M329" s="2064"/>
      <c r="N329" s="2064"/>
      <c r="O329" s="2064"/>
      <c r="P329" s="2064"/>
      <c r="Q329" s="2064"/>
      <c r="R329" s="2093"/>
      <c r="S329" s="2094"/>
      <c r="T329" s="2094"/>
      <c r="U329" s="2094"/>
      <c r="V329" s="2094"/>
      <c r="W329" s="2094"/>
      <c r="X329" s="2094"/>
      <c r="Y329" s="2094"/>
      <c r="Z329" s="2094"/>
      <c r="AA329" s="2094"/>
      <c r="AB329" s="2094"/>
      <c r="AC329" s="2094"/>
      <c r="AD329" s="2094"/>
      <c r="AE329" s="2094"/>
      <c r="AF329" s="2095"/>
      <c r="AG329" s="2050"/>
      <c r="AH329" s="2050"/>
      <c r="AI329" s="2050"/>
      <c r="AJ329" s="2050"/>
      <c r="AK329" s="2050"/>
      <c r="AL329" s="2050"/>
      <c r="AM329" s="2050"/>
      <c r="AN329" s="2050"/>
      <c r="AO329" s="2050"/>
      <c r="AP329" s="2050"/>
      <c r="AQ329" s="2050"/>
      <c r="AR329" s="2050"/>
      <c r="AS329" s="2050"/>
      <c r="AT329" s="2050"/>
      <c r="AU329" s="2050"/>
      <c r="AV329" s="2050"/>
      <c r="AW329" s="2050"/>
      <c r="AX329" s="2050"/>
      <c r="AY329" s="2050"/>
      <c r="AZ329" s="2050"/>
      <c r="BA329" s="2050"/>
      <c r="BB329" s="2050"/>
      <c r="BC329" s="2050"/>
      <c r="BD329" s="2050"/>
      <c r="BE329" s="2050"/>
      <c r="BF329" s="2050"/>
      <c r="BG329" s="2050"/>
      <c r="BH329" s="2050"/>
      <c r="BI329" s="2050"/>
      <c r="BJ329" s="2050"/>
      <c r="BK329" s="2050"/>
      <c r="BL329" s="2050"/>
      <c r="BM329" s="2050"/>
      <c r="BN329" s="2050"/>
      <c r="BO329" s="2050"/>
      <c r="BP329" s="2050"/>
      <c r="BQ329" s="2050"/>
      <c r="BR329" s="2050"/>
      <c r="BS329" s="2050"/>
      <c r="BT329" s="2050"/>
      <c r="BU329" s="2050"/>
      <c r="BV329" s="2050"/>
      <c r="BW329" s="2050"/>
      <c r="BX329" s="2050"/>
      <c r="BY329" s="2050"/>
      <c r="BZ329" s="2050"/>
      <c r="CA329" s="2050"/>
      <c r="CB329" s="2050"/>
      <c r="CC329" s="2051"/>
    </row>
    <row r="330" spans="1:81" s="10" customFormat="1" ht="20.100000000000001" customHeight="1" thickTop="1">
      <c r="A330" s="2080"/>
      <c r="B330" s="2081"/>
      <c r="C330" s="2081"/>
      <c r="D330" s="2081"/>
      <c r="E330" s="2081"/>
      <c r="F330" s="2081"/>
      <c r="G330" s="2081"/>
      <c r="H330" s="2081"/>
      <c r="I330" s="2081"/>
      <c r="J330" s="2096" t="s">
        <v>12</v>
      </c>
      <c r="K330" s="2096"/>
      <c r="L330" s="2096"/>
      <c r="M330" s="2096"/>
      <c r="N330" s="2096"/>
      <c r="O330" s="2096"/>
      <c r="P330" s="2096"/>
      <c r="Q330" s="2096"/>
      <c r="R330" s="2097"/>
      <c r="S330" s="2098"/>
      <c r="T330" s="2098"/>
      <c r="U330" s="2098"/>
      <c r="V330" s="2098"/>
      <c r="W330" s="2098"/>
      <c r="X330" s="2098"/>
      <c r="Y330" s="2098"/>
      <c r="Z330" s="2098"/>
      <c r="AA330" s="2098"/>
      <c r="AB330" s="2098"/>
      <c r="AC330" s="2098"/>
      <c r="AD330" s="2098"/>
      <c r="AE330" s="2098"/>
      <c r="AF330" s="2099"/>
      <c r="AG330" s="2075"/>
      <c r="AH330" s="2075"/>
      <c r="AI330" s="2075"/>
      <c r="AJ330" s="2075"/>
      <c r="AK330" s="2075"/>
      <c r="AL330" s="2075"/>
      <c r="AM330" s="2075"/>
      <c r="AN330" s="2075"/>
      <c r="AO330" s="2075"/>
      <c r="AP330" s="2075"/>
      <c r="AQ330" s="2075"/>
      <c r="AR330" s="2075"/>
      <c r="AS330" s="2075"/>
      <c r="AT330" s="2075"/>
      <c r="AU330" s="2075"/>
      <c r="AV330" s="2075"/>
      <c r="AW330" s="2075"/>
      <c r="AX330" s="2075"/>
      <c r="AY330" s="2075"/>
      <c r="AZ330" s="2075"/>
      <c r="BA330" s="2075"/>
      <c r="BB330" s="2075"/>
      <c r="BC330" s="2075"/>
      <c r="BD330" s="2075"/>
      <c r="BE330" s="2075"/>
      <c r="BF330" s="2075"/>
      <c r="BG330" s="2075"/>
      <c r="BH330" s="2075"/>
      <c r="BI330" s="2075"/>
      <c r="BJ330" s="2075"/>
      <c r="BK330" s="2075"/>
      <c r="BL330" s="2075"/>
      <c r="BM330" s="2075"/>
      <c r="BN330" s="2075"/>
      <c r="BO330" s="2075"/>
      <c r="BP330" s="2075"/>
      <c r="BQ330" s="2075"/>
      <c r="BR330" s="2075"/>
      <c r="BS330" s="2075"/>
      <c r="BT330" s="2075"/>
      <c r="BU330" s="2075"/>
      <c r="BV330" s="2075"/>
      <c r="BW330" s="2075"/>
      <c r="BX330" s="2075"/>
      <c r="BY330" s="2075"/>
      <c r="BZ330" s="2075"/>
      <c r="CA330" s="2075"/>
      <c r="CB330" s="2075"/>
      <c r="CC330" s="2076"/>
    </row>
    <row r="331" spans="1:81" s="10" customFormat="1" ht="20.100000000000001" customHeight="1" thickBot="1">
      <c r="A331" s="2079" t="s">
        <v>8</v>
      </c>
      <c r="B331" s="2053"/>
      <c r="C331" s="2053"/>
      <c r="D331" s="2053"/>
      <c r="E331" s="2053"/>
      <c r="F331" s="2053"/>
      <c r="G331" s="2053"/>
      <c r="H331" s="2053"/>
      <c r="I331" s="2053"/>
      <c r="J331" s="2058" t="s">
        <v>154</v>
      </c>
      <c r="K331" s="2058"/>
      <c r="L331" s="2058"/>
      <c r="M331" s="2058"/>
      <c r="N331" s="2058"/>
      <c r="O331" s="2058"/>
      <c r="P331" s="2058"/>
      <c r="Q331" s="2058"/>
      <c r="R331" s="2059"/>
      <c r="S331" s="2060"/>
      <c r="T331" s="2060"/>
      <c r="U331" s="2060"/>
      <c r="V331" s="2060"/>
      <c r="W331" s="2060"/>
      <c r="X331" s="2060"/>
      <c r="Y331" s="2060"/>
      <c r="Z331" s="2060"/>
      <c r="AA331" s="2060"/>
      <c r="AB331" s="2060"/>
      <c r="AC331" s="2060"/>
      <c r="AD331" s="2060"/>
      <c r="AE331" s="2060"/>
      <c r="AF331" s="2061"/>
      <c r="AG331" s="2062"/>
      <c r="AH331" s="2062"/>
      <c r="AI331" s="2062"/>
      <c r="AJ331" s="2062"/>
      <c r="AK331" s="2062"/>
      <c r="AL331" s="2062"/>
      <c r="AM331" s="2062"/>
      <c r="AN331" s="2062"/>
      <c r="AO331" s="2062"/>
      <c r="AP331" s="2062"/>
      <c r="AQ331" s="2062"/>
      <c r="AR331" s="2062"/>
      <c r="AS331" s="2062"/>
      <c r="AT331" s="2062"/>
      <c r="AU331" s="2062"/>
      <c r="AV331" s="2062"/>
      <c r="AW331" s="2062"/>
      <c r="AX331" s="2062"/>
      <c r="AY331" s="2062"/>
      <c r="AZ331" s="2062"/>
      <c r="BA331" s="2062"/>
      <c r="BB331" s="2062"/>
      <c r="BC331" s="2062"/>
      <c r="BD331" s="2062"/>
      <c r="BE331" s="2062"/>
      <c r="BF331" s="2062"/>
      <c r="BG331" s="2062"/>
      <c r="BH331" s="2062"/>
      <c r="BI331" s="2062"/>
      <c r="BJ331" s="2062"/>
      <c r="BK331" s="2062"/>
      <c r="BL331" s="2062"/>
      <c r="BM331" s="2062"/>
      <c r="BN331" s="2062"/>
      <c r="BO331" s="2062"/>
      <c r="BP331" s="2062"/>
      <c r="BQ331" s="2062"/>
      <c r="BR331" s="2062"/>
      <c r="BS331" s="2062"/>
      <c r="BT331" s="2062"/>
      <c r="BU331" s="2062"/>
      <c r="BV331" s="2062"/>
      <c r="BW331" s="2062"/>
      <c r="BX331" s="2062"/>
      <c r="BY331" s="2062"/>
      <c r="BZ331" s="2062"/>
      <c r="CA331" s="2062"/>
      <c r="CB331" s="2062"/>
      <c r="CC331" s="2063"/>
    </row>
    <row r="332" spans="1:81" s="10" customFormat="1" ht="20.100000000000001" customHeight="1" thickTop="1" thickBot="1">
      <c r="A332" s="2054"/>
      <c r="B332" s="2055"/>
      <c r="C332" s="2055"/>
      <c r="D332" s="2055"/>
      <c r="E332" s="2055"/>
      <c r="F332" s="2055"/>
      <c r="G332" s="2055"/>
      <c r="H332" s="2055"/>
      <c r="I332" s="2055"/>
      <c r="J332" s="2064" t="s">
        <v>155</v>
      </c>
      <c r="K332" s="2064"/>
      <c r="L332" s="2064"/>
      <c r="M332" s="2064"/>
      <c r="N332" s="2064"/>
      <c r="O332" s="2064"/>
      <c r="P332" s="2064"/>
      <c r="Q332" s="2064"/>
      <c r="R332" s="2093"/>
      <c r="S332" s="2094"/>
      <c r="T332" s="2094"/>
      <c r="U332" s="2094"/>
      <c r="V332" s="2094"/>
      <c r="W332" s="2094"/>
      <c r="X332" s="2094"/>
      <c r="Y332" s="2094"/>
      <c r="Z332" s="2094"/>
      <c r="AA332" s="2094"/>
      <c r="AB332" s="2094"/>
      <c r="AC332" s="2094"/>
      <c r="AD332" s="2094"/>
      <c r="AE332" s="2094"/>
      <c r="AF332" s="2095"/>
      <c r="AG332" s="2050"/>
      <c r="AH332" s="2050"/>
      <c r="AI332" s="2050"/>
      <c r="AJ332" s="2050"/>
      <c r="AK332" s="2050"/>
      <c r="AL332" s="2050"/>
      <c r="AM332" s="2050"/>
      <c r="AN332" s="2050"/>
      <c r="AO332" s="2050"/>
      <c r="AP332" s="2050"/>
      <c r="AQ332" s="2050"/>
      <c r="AR332" s="2050"/>
      <c r="AS332" s="2050"/>
      <c r="AT332" s="2050"/>
      <c r="AU332" s="2050"/>
      <c r="AV332" s="2050"/>
      <c r="AW332" s="2050"/>
      <c r="AX332" s="2050"/>
      <c r="AY332" s="2050"/>
      <c r="AZ332" s="2050"/>
      <c r="BA332" s="2050"/>
      <c r="BB332" s="2050"/>
      <c r="BC332" s="2050"/>
      <c r="BD332" s="2050"/>
      <c r="BE332" s="2050"/>
      <c r="BF332" s="2050"/>
      <c r="BG332" s="2050"/>
      <c r="BH332" s="2050"/>
      <c r="BI332" s="2050"/>
      <c r="BJ332" s="2050"/>
      <c r="BK332" s="2050"/>
      <c r="BL332" s="2050"/>
      <c r="BM332" s="2050"/>
      <c r="BN332" s="2050"/>
      <c r="BO332" s="2050"/>
      <c r="BP332" s="2050"/>
      <c r="BQ332" s="2050"/>
      <c r="BR332" s="2050"/>
      <c r="BS332" s="2050"/>
      <c r="BT332" s="2050"/>
      <c r="BU332" s="2050"/>
      <c r="BV332" s="2050"/>
      <c r="BW332" s="2050"/>
      <c r="BX332" s="2050"/>
      <c r="BY332" s="2050"/>
      <c r="BZ332" s="2050"/>
      <c r="CA332" s="2050"/>
      <c r="CB332" s="2050"/>
      <c r="CC332" s="2051"/>
    </row>
    <row r="333" spans="1:81" s="10" customFormat="1" ht="20.100000000000001" customHeight="1" thickTop="1">
      <c r="A333" s="2080"/>
      <c r="B333" s="2081"/>
      <c r="C333" s="2081"/>
      <c r="D333" s="2081"/>
      <c r="E333" s="2081"/>
      <c r="F333" s="2081"/>
      <c r="G333" s="2081"/>
      <c r="H333" s="2081"/>
      <c r="I333" s="2081"/>
      <c r="J333" s="2096" t="s">
        <v>12</v>
      </c>
      <c r="K333" s="2096"/>
      <c r="L333" s="2096"/>
      <c r="M333" s="2096"/>
      <c r="N333" s="2096"/>
      <c r="O333" s="2096"/>
      <c r="P333" s="2096"/>
      <c r="Q333" s="2096"/>
      <c r="R333" s="2097"/>
      <c r="S333" s="2098"/>
      <c r="T333" s="2098"/>
      <c r="U333" s="2098"/>
      <c r="V333" s="2098"/>
      <c r="W333" s="2098"/>
      <c r="X333" s="2098"/>
      <c r="Y333" s="2098"/>
      <c r="Z333" s="2098"/>
      <c r="AA333" s="2098"/>
      <c r="AB333" s="2098"/>
      <c r="AC333" s="2098"/>
      <c r="AD333" s="2098"/>
      <c r="AE333" s="2098"/>
      <c r="AF333" s="2099"/>
      <c r="AG333" s="2075"/>
      <c r="AH333" s="2075"/>
      <c r="AI333" s="2075"/>
      <c r="AJ333" s="2075"/>
      <c r="AK333" s="2075"/>
      <c r="AL333" s="2075"/>
      <c r="AM333" s="2075"/>
      <c r="AN333" s="2075"/>
      <c r="AO333" s="2075"/>
      <c r="AP333" s="2075"/>
      <c r="AQ333" s="2075"/>
      <c r="AR333" s="2075"/>
      <c r="AS333" s="2075"/>
      <c r="AT333" s="2075"/>
      <c r="AU333" s="2075"/>
      <c r="AV333" s="2075"/>
      <c r="AW333" s="2075"/>
      <c r="AX333" s="2075"/>
      <c r="AY333" s="2075"/>
      <c r="AZ333" s="2075"/>
      <c r="BA333" s="2075"/>
      <c r="BB333" s="2075"/>
      <c r="BC333" s="2075"/>
      <c r="BD333" s="2075"/>
      <c r="BE333" s="2075"/>
      <c r="BF333" s="2075"/>
      <c r="BG333" s="2075"/>
      <c r="BH333" s="2075"/>
      <c r="BI333" s="2075"/>
      <c r="BJ333" s="2075"/>
      <c r="BK333" s="2075"/>
      <c r="BL333" s="2075"/>
      <c r="BM333" s="2075"/>
      <c r="BN333" s="2075"/>
      <c r="BO333" s="2075"/>
      <c r="BP333" s="2075"/>
      <c r="BQ333" s="2075"/>
      <c r="BR333" s="2075"/>
      <c r="BS333" s="2075"/>
      <c r="BT333" s="2075"/>
      <c r="BU333" s="2075"/>
      <c r="BV333" s="2075"/>
      <c r="BW333" s="2075"/>
      <c r="BX333" s="2075"/>
      <c r="BY333" s="2075"/>
      <c r="BZ333" s="2075"/>
      <c r="CA333" s="2075"/>
      <c r="CB333" s="2075"/>
      <c r="CC333" s="2076"/>
    </row>
    <row r="334" spans="1:81" s="10" customFormat="1" ht="20.100000000000001" customHeight="1" thickBot="1">
      <c r="A334" s="2079" t="s">
        <v>174</v>
      </c>
      <c r="B334" s="2053"/>
      <c r="C334" s="2053"/>
      <c r="D334" s="2053"/>
      <c r="E334" s="2053"/>
      <c r="F334" s="2053"/>
      <c r="G334" s="2053"/>
      <c r="H334" s="2053"/>
      <c r="I334" s="2053"/>
      <c r="J334" s="2058" t="s">
        <v>154</v>
      </c>
      <c r="K334" s="2058"/>
      <c r="L334" s="2058"/>
      <c r="M334" s="2058"/>
      <c r="N334" s="2058"/>
      <c r="O334" s="2058"/>
      <c r="P334" s="2058"/>
      <c r="Q334" s="2058"/>
      <c r="R334" s="2059"/>
      <c r="S334" s="2060"/>
      <c r="T334" s="2060"/>
      <c r="U334" s="2060"/>
      <c r="V334" s="2060"/>
      <c r="W334" s="2060"/>
      <c r="X334" s="2060"/>
      <c r="Y334" s="2060"/>
      <c r="Z334" s="2060"/>
      <c r="AA334" s="2060"/>
      <c r="AB334" s="2060"/>
      <c r="AC334" s="2060"/>
      <c r="AD334" s="2060"/>
      <c r="AE334" s="2060"/>
      <c r="AF334" s="2061"/>
      <c r="AG334" s="2062"/>
      <c r="AH334" s="2062"/>
      <c r="AI334" s="2062"/>
      <c r="AJ334" s="2062"/>
      <c r="AK334" s="2062"/>
      <c r="AL334" s="2062"/>
      <c r="AM334" s="2062"/>
      <c r="AN334" s="2062"/>
      <c r="AO334" s="2062"/>
      <c r="AP334" s="2062"/>
      <c r="AQ334" s="2062"/>
      <c r="AR334" s="2062"/>
      <c r="AS334" s="2062"/>
      <c r="AT334" s="2062"/>
      <c r="AU334" s="2062"/>
      <c r="AV334" s="2062"/>
      <c r="AW334" s="2062"/>
      <c r="AX334" s="2062"/>
      <c r="AY334" s="2062"/>
      <c r="AZ334" s="2062"/>
      <c r="BA334" s="2062"/>
      <c r="BB334" s="2062"/>
      <c r="BC334" s="2062"/>
      <c r="BD334" s="2062"/>
      <c r="BE334" s="2062"/>
      <c r="BF334" s="2062"/>
      <c r="BG334" s="2062"/>
      <c r="BH334" s="2062"/>
      <c r="BI334" s="2062"/>
      <c r="BJ334" s="2062"/>
      <c r="BK334" s="2062"/>
      <c r="BL334" s="2062"/>
      <c r="BM334" s="2062"/>
      <c r="BN334" s="2062"/>
      <c r="BO334" s="2062"/>
      <c r="BP334" s="2062"/>
      <c r="BQ334" s="2062"/>
      <c r="BR334" s="2062"/>
      <c r="BS334" s="2062"/>
      <c r="BT334" s="2062"/>
      <c r="BU334" s="2062"/>
      <c r="BV334" s="2062"/>
      <c r="BW334" s="2062"/>
      <c r="BX334" s="2062"/>
      <c r="BY334" s="2062"/>
      <c r="BZ334" s="2062"/>
      <c r="CA334" s="2062"/>
      <c r="CB334" s="2062"/>
      <c r="CC334" s="2063"/>
    </row>
    <row r="335" spans="1:81" s="10" customFormat="1" ht="20.100000000000001" customHeight="1" thickTop="1" thickBot="1">
      <c r="A335" s="2054"/>
      <c r="B335" s="2055"/>
      <c r="C335" s="2055"/>
      <c r="D335" s="2055"/>
      <c r="E335" s="2055"/>
      <c r="F335" s="2055"/>
      <c r="G335" s="2055"/>
      <c r="H335" s="2055"/>
      <c r="I335" s="2055"/>
      <c r="J335" s="2064" t="s">
        <v>155</v>
      </c>
      <c r="K335" s="2064"/>
      <c r="L335" s="2064"/>
      <c r="M335" s="2064"/>
      <c r="N335" s="2064"/>
      <c r="O335" s="2064"/>
      <c r="P335" s="2064"/>
      <c r="Q335" s="2064"/>
      <c r="R335" s="2093"/>
      <c r="S335" s="2094"/>
      <c r="T335" s="2094"/>
      <c r="U335" s="2094"/>
      <c r="V335" s="2094"/>
      <c r="W335" s="2094"/>
      <c r="X335" s="2094"/>
      <c r="Y335" s="2094"/>
      <c r="Z335" s="2094"/>
      <c r="AA335" s="2094"/>
      <c r="AB335" s="2094"/>
      <c r="AC335" s="2094"/>
      <c r="AD335" s="2094"/>
      <c r="AE335" s="2094"/>
      <c r="AF335" s="2095"/>
      <c r="AG335" s="2050"/>
      <c r="AH335" s="2050"/>
      <c r="AI335" s="2050"/>
      <c r="AJ335" s="2050"/>
      <c r="AK335" s="2050"/>
      <c r="AL335" s="2050"/>
      <c r="AM335" s="2050"/>
      <c r="AN335" s="2050"/>
      <c r="AO335" s="2050"/>
      <c r="AP335" s="2050"/>
      <c r="AQ335" s="2050"/>
      <c r="AR335" s="2050"/>
      <c r="AS335" s="2050"/>
      <c r="AT335" s="2050"/>
      <c r="AU335" s="2050"/>
      <c r="AV335" s="2050"/>
      <c r="AW335" s="2050"/>
      <c r="AX335" s="2050"/>
      <c r="AY335" s="2050"/>
      <c r="AZ335" s="2050"/>
      <c r="BA335" s="2050"/>
      <c r="BB335" s="2050"/>
      <c r="BC335" s="2050"/>
      <c r="BD335" s="2050"/>
      <c r="BE335" s="2050"/>
      <c r="BF335" s="2050"/>
      <c r="BG335" s="2050"/>
      <c r="BH335" s="2050"/>
      <c r="BI335" s="2050"/>
      <c r="BJ335" s="2050"/>
      <c r="BK335" s="2050"/>
      <c r="BL335" s="2050"/>
      <c r="BM335" s="2050"/>
      <c r="BN335" s="2050"/>
      <c r="BO335" s="2050"/>
      <c r="BP335" s="2050"/>
      <c r="BQ335" s="2050"/>
      <c r="BR335" s="2050"/>
      <c r="BS335" s="2050"/>
      <c r="BT335" s="2050"/>
      <c r="BU335" s="2050"/>
      <c r="BV335" s="2050"/>
      <c r="BW335" s="2050"/>
      <c r="BX335" s="2050"/>
      <c r="BY335" s="2050"/>
      <c r="BZ335" s="2050"/>
      <c r="CA335" s="2050"/>
      <c r="CB335" s="2050"/>
      <c r="CC335" s="2051"/>
    </row>
    <row r="336" spans="1:81" s="10" customFormat="1" ht="20.100000000000001" customHeight="1" thickTop="1">
      <c r="A336" s="2080"/>
      <c r="B336" s="2081"/>
      <c r="C336" s="2081"/>
      <c r="D336" s="2081"/>
      <c r="E336" s="2081"/>
      <c r="F336" s="2081"/>
      <c r="G336" s="2081"/>
      <c r="H336" s="2081"/>
      <c r="I336" s="2081"/>
      <c r="J336" s="2096" t="s">
        <v>12</v>
      </c>
      <c r="K336" s="2096"/>
      <c r="L336" s="2096"/>
      <c r="M336" s="2096"/>
      <c r="N336" s="2096"/>
      <c r="O336" s="2096"/>
      <c r="P336" s="2096"/>
      <c r="Q336" s="2096"/>
      <c r="R336" s="2097"/>
      <c r="S336" s="2098"/>
      <c r="T336" s="2098"/>
      <c r="U336" s="2098"/>
      <c r="V336" s="2098"/>
      <c r="W336" s="2098"/>
      <c r="X336" s="2098"/>
      <c r="Y336" s="2098"/>
      <c r="Z336" s="2098"/>
      <c r="AA336" s="2098"/>
      <c r="AB336" s="2098"/>
      <c r="AC336" s="2098"/>
      <c r="AD336" s="2098"/>
      <c r="AE336" s="2098"/>
      <c r="AF336" s="2099"/>
      <c r="AG336" s="2075"/>
      <c r="AH336" s="2075"/>
      <c r="AI336" s="2075"/>
      <c r="AJ336" s="2075"/>
      <c r="AK336" s="2075"/>
      <c r="AL336" s="2075"/>
      <c r="AM336" s="2075"/>
      <c r="AN336" s="2075"/>
      <c r="AO336" s="2075"/>
      <c r="AP336" s="2075"/>
      <c r="AQ336" s="2075"/>
      <c r="AR336" s="2075"/>
      <c r="AS336" s="2075"/>
      <c r="AT336" s="2075"/>
      <c r="AU336" s="2075"/>
      <c r="AV336" s="2075"/>
      <c r="AW336" s="2075"/>
      <c r="AX336" s="2075"/>
      <c r="AY336" s="2075"/>
      <c r="AZ336" s="2075"/>
      <c r="BA336" s="2075"/>
      <c r="BB336" s="2075"/>
      <c r="BC336" s="2075"/>
      <c r="BD336" s="2075"/>
      <c r="BE336" s="2075"/>
      <c r="BF336" s="2075"/>
      <c r="BG336" s="2075"/>
      <c r="BH336" s="2075"/>
      <c r="BI336" s="2075"/>
      <c r="BJ336" s="2075"/>
      <c r="BK336" s="2075"/>
      <c r="BL336" s="2075"/>
      <c r="BM336" s="2075"/>
      <c r="BN336" s="2075"/>
      <c r="BO336" s="2075"/>
      <c r="BP336" s="2075"/>
      <c r="BQ336" s="2075"/>
      <c r="BR336" s="2075"/>
      <c r="BS336" s="2075"/>
      <c r="BT336" s="2075"/>
      <c r="BU336" s="2075"/>
      <c r="BV336" s="2075"/>
      <c r="BW336" s="2075"/>
      <c r="BX336" s="2075"/>
      <c r="BY336" s="2075"/>
      <c r="BZ336" s="2075"/>
      <c r="CA336" s="2075"/>
      <c r="CB336" s="2075"/>
      <c r="CC336" s="2076"/>
    </row>
    <row r="337" spans="1:81" s="10" customFormat="1" ht="20.100000000000001" customHeight="1" thickBot="1">
      <c r="A337" s="2079" t="s">
        <v>175</v>
      </c>
      <c r="B337" s="2053"/>
      <c r="C337" s="2053"/>
      <c r="D337" s="2053"/>
      <c r="E337" s="2053"/>
      <c r="F337" s="2053"/>
      <c r="G337" s="2053"/>
      <c r="H337" s="2053"/>
      <c r="I337" s="2053"/>
      <c r="J337" s="2058" t="s">
        <v>154</v>
      </c>
      <c r="K337" s="2058"/>
      <c r="L337" s="2058"/>
      <c r="M337" s="2058"/>
      <c r="N337" s="2058"/>
      <c r="O337" s="2058"/>
      <c r="P337" s="2058"/>
      <c r="Q337" s="2058"/>
      <c r="R337" s="2059"/>
      <c r="S337" s="2060"/>
      <c r="T337" s="2060"/>
      <c r="U337" s="2060"/>
      <c r="V337" s="2060"/>
      <c r="W337" s="2060"/>
      <c r="X337" s="2060"/>
      <c r="Y337" s="2060"/>
      <c r="Z337" s="2060"/>
      <c r="AA337" s="2060"/>
      <c r="AB337" s="2060"/>
      <c r="AC337" s="2060"/>
      <c r="AD337" s="2060"/>
      <c r="AE337" s="2060"/>
      <c r="AF337" s="2061"/>
      <c r="AG337" s="2062"/>
      <c r="AH337" s="2062"/>
      <c r="AI337" s="2062"/>
      <c r="AJ337" s="2062"/>
      <c r="AK337" s="2062"/>
      <c r="AL337" s="2062"/>
      <c r="AM337" s="2062"/>
      <c r="AN337" s="2062"/>
      <c r="AO337" s="2062"/>
      <c r="AP337" s="2062"/>
      <c r="AQ337" s="2062"/>
      <c r="AR337" s="2062"/>
      <c r="AS337" s="2062"/>
      <c r="AT337" s="2062"/>
      <c r="AU337" s="2062"/>
      <c r="AV337" s="2062"/>
      <c r="AW337" s="2062"/>
      <c r="AX337" s="2062"/>
      <c r="AY337" s="2062"/>
      <c r="AZ337" s="2062"/>
      <c r="BA337" s="2062"/>
      <c r="BB337" s="2062"/>
      <c r="BC337" s="2062"/>
      <c r="BD337" s="2062"/>
      <c r="BE337" s="2062"/>
      <c r="BF337" s="2062"/>
      <c r="BG337" s="2062"/>
      <c r="BH337" s="2062"/>
      <c r="BI337" s="2062"/>
      <c r="BJ337" s="2062"/>
      <c r="BK337" s="2062"/>
      <c r="BL337" s="2062"/>
      <c r="BM337" s="2062"/>
      <c r="BN337" s="2062"/>
      <c r="BO337" s="2062"/>
      <c r="BP337" s="2062"/>
      <c r="BQ337" s="2062"/>
      <c r="BR337" s="2062"/>
      <c r="BS337" s="2062"/>
      <c r="BT337" s="2062"/>
      <c r="BU337" s="2062"/>
      <c r="BV337" s="2062"/>
      <c r="BW337" s="2062"/>
      <c r="BX337" s="2062"/>
      <c r="BY337" s="2062"/>
      <c r="BZ337" s="2062"/>
      <c r="CA337" s="2062"/>
      <c r="CB337" s="2062"/>
      <c r="CC337" s="2063"/>
    </row>
    <row r="338" spans="1:81" s="10" customFormat="1" ht="20.100000000000001" customHeight="1" thickTop="1" thickBot="1">
      <c r="A338" s="2054"/>
      <c r="B338" s="2055"/>
      <c r="C338" s="2055"/>
      <c r="D338" s="2055"/>
      <c r="E338" s="2055"/>
      <c r="F338" s="2055"/>
      <c r="G338" s="2055"/>
      <c r="H338" s="2055"/>
      <c r="I338" s="2055"/>
      <c r="J338" s="2064" t="s">
        <v>155</v>
      </c>
      <c r="K338" s="2064"/>
      <c r="L338" s="2064"/>
      <c r="M338" s="2064"/>
      <c r="N338" s="2064"/>
      <c r="O338" s="2064"/>
      <c r="P338" s="2064"/>
      <c r="Q338" s="2064"/>
      <c r="R338" s="2093"/>
      <c r="S338" s="2094"/>
      <c r="T338" s="2094"/>
      <c r="U338" s="2094"/>
      <c r="V338" s="2094"/>
      <c r="W338" s="2094"/>
      <c r="X338" s="2094"/>
      <c r="Y338" s="2094"/>
      <c r="Z338" s="2094"/>
      <c r="AA338" s="2094"/>
      <c r="AB338" s="2094"/>
      <c r="AC338" s="2094"/>
      <c r="AD338" s="2094"/>
      <c r="AE338" s="2094"/>
      <c r="AF338" s="2095"/>
      <c r="AG338" s="2050"/>
      <c r="AH338" s="2050"/>
      <c r="AI338" s="2050"/>
      <c r="AJ338" s="2050"/>
      <c r="AK338" s="2050"/>
      <c r="AL338" s="2050"/>
      <c r="AM338" s="2050"/>
      <c r="AN338" s="2050"/>
      <c r="AO338" s="2050"/>
      <c r="AP338" s="2050"/>
      <c r="AQ338" s="2050"/>
      <c r="AR338" s="2050"/>
      <c r="AS338" s="2050"/>
      <c r="AT338" s="2050"/>
      <c r="AU338" s="2050"/>
      <c r="AV338" s="2050"/>
      <c r="AW338" s="2050"/>
      <c r="AX338" s="2050"/>
      <c r="AY338" s="2050"/>
      <c r="AZ338" s="2050"/>
      <c r="BA338" s="2050"/>
      <c r="BB338" s="2050"/>
      <c r="BC338" s="2050"/>
      <c r="BD338" s="2050"/>
      <c r="BE338" s="2050"/>
      <c r="BF338" s="2050"/>
      <c r="BG338" s="2050"/>
      <c r="BH338" s="2050"/>
      <c r="BI338" s="2050"/>
      <c r="BJ338" s="2050"/>
      <c r="BK338" s="2050"/>
      <c r="BL338" s="2050"/>
      <c r="BM338" s="2050"/>
      <c r="BN338" s="2050"/>
      <c r="BO338" s="2050"/>
      <c r="BP338" s="2050"/>
      <c r="BQ338" s="2050"/>
      <c r="BR338" s="2050"/>
      <c r="BS338" s="2050"/>
      <c r="BT338" s="2050"/>
      <c r="BU338" s="2050"/>
      <c r="BV338" s="2050"/>
      <c r="BW338" s="2050"/>
      <c r="BX338" s="2050"/>
      <c r="BY338" s="2050"/>
      <c r="BZ338" s="2050"/>
      <c r="CA338" s="2050"/>
      <c r="CB338" s="2050"/>
      <c r="CC338" s="2051"/>
    </row>
    <row r="339" spans="1:81" s="10" customFormat="1" ht="20.100000000000001" customHeight="1" thickTop="1">
      <c r="A339" s="2080"/>
      <c r="B339" s="2081"/>
      <c r="C339" s="2081"/>
      <c r="D339" s="2081"/>
      <c r="E339" s="2081"/>
      <c r="F339" s="2081"/>
      <c r="G339" s="2081"/>
      <c r="H339" s="2081"/>
      <c r="I339" s="2081"/>
      <c r="J339" s="2096" t="s">
        <v>12</v>
      </c>
      <c r="K339" s="2096"/>
      <c r="L339" s="2096"/>
      <c r="M339" s="2096"/>
      <c r="N339" s="2096"/>
      <c r="O339" s="2096"/>
      <c r="P339" s="2096"/>
      <c r="Q339" s="2096"/>
      <c r="R339" s="2097"/>
      <c r="S339" s="2098"/>
      <c r="T339" s="2098"/>
      <c r="U339" s="2098"/>
      <c r="V339" s="2098"/>
      <c r="W339" s="2098"/>
      <c r="X339" s="2098"/>
      <c r="Y339" s="2098"/>
      <c r="Z339" s="2098"/>
      <c r="AA339" s="2098"/>
      <c r="AB339" s="2098"/>
      <c r="AC339" s="2098"/>
      <c r="AD339" s="2098"/>
      <c r="AE339" s="2098"/>
      <c r="AF339" s="2099"/>
      <c r="AG339" s="2075"/>
      <c r="AH339" s="2075"/>
      <c r="AI339" s="2075"/>
      <c r="AJ339" s="2075"/>
      <c r="AK339" s="2075"/>
      <c r="AL339" s="2075"/>
      <c r="AM339" s="2075"/>
      <c r="AN339" s="2075"/>
      <c r="AO339" s="2075"/>
      <c r="AP339" s="2075"/>
      <c r="AQ339" s="2075"/>
      <c r="AR339" s="2075"/>
      <c r="AS339" s="2075"/>
      <c r="AT339" s="2075"/>
      <c r="AU339" s="2075"/>
      <c r="AV339" s="2075"/>
      <c r="AW339" s="2075"/>
      <c r="AX339" s="2075"/>
      <c r="AY339" s="2075"/>
      <c r="AZ339" s="2075"/>
      <c r="BA339" s="2075"/>
      <c r="BB339" s="2075"/>
      <c r="BC339" s="2075"/>
      <c r="BD339" s="2075"/>
      <c r="BE339" s="2075"/>
      <c r="BF339" s="2075"/>
      <c r="BG339" s="2075"/>
      <c r="BH339" s="2075"/>
      <c r="BI339" s="2075"/>
      <c r="BJ339" s="2075"/>
      <c r="BK339" s="2075"/>
      <c r="BL339" s="2075"/>
      <c r="BM339" s="2075"/>
      <c r="BN339" s="2075"/>
      <c r="BO339" s="2075"/>
      <c r="BP339" s="2075"/>
      <c r="BQ339" s="2075"/>
      <c r="BR339" s="2075"/>
      <c r="BS339" s="2075"/>
      <c r="BT339" s="2075"/>
      <c r="BU339" s="2075"/>
      <c r="BV339" s="2075"/>
      <c r="BW339" s="2075"/>
      <c r="BX339" s="2075"/>
      <c r="BY339" s="2075"/>
      <c r="BZ339" s="2075"/>
      <c r="CA339" s="2075"/>
      <c r="CB339" s="2075"/>
      <c r="CC339" s="2076"/>
    </row>
    <row r="340" spans="1:81" s="10" customFormat="1" ht="20.100000000000001" customHeight="1" thickBot="1">
      <c r="A340" s="2052" t="s">
        <v>176</v>
      </c>
      <c r="B340" s="2053"/>
      <c r="C340" s="2053"/>
      <c r="D340" s="2053"/>
      <c r="E340" s="2053"/>
      <c r="F340" s="2053"/>
      <c r="G340" s="2053"/>
      <c r="H340" s="2053"/>
      <c r="I340" s="2053"/>
      <c r="J340" s="2058" t="s">
        <v>154</v>
      </c>
      <c r="K340" s="2058"/>
      <c r="L340" s="2058"/>
      <c r="M340" s="2058"/>
      <c r="N340" s="2058"/>
      <c r="O340" s="2058"/>
      <c r="P340" s="2058"/>
      <c r="Q340" s="2058"/>
      <c r="R340" s="2059"/>
      <c r="S340" s="2060"/>
      <c r="T340" s="2060"/>
      <c r="U340" s="2060"/>
      <c r="V340" s="2060"/>
      <c r="W340" s="2060"/>
      <c r="X340" s="2060"/>
      <c r="Y340" s="2060"/>
      <c r="Z340" s="2060"/>
      <c r="AA340" s="2060"/>
      <c r="AB340" s="2060"/>
      <c r="AC340" s="2060"/>
      <c r="AD340" s="2060"/>
      <c r="AE340" s="2060"/>
      <c r="AF340" s="2061"/>
      <c r="AG340" s="2062"/>
      <c r="AH340" s="2062"/>
      <c r="AI340" s="2062"/>
      <c r="AJ340" s="2062"/>
      <c r="AK340" s="2062"/>
      <c r="AL340" s="2062"/>
      <c r="AM340" s="2062"/>
      <c r="AN340" s="2062"/>
      <c r="AO340" s="2062"/>
      <c r="AP340" s="2062"/>
      <c r="AQ340" s="2062"/>
      <c r="AR340" s="2062"/>
      <c r="AS340" s="2062"/>
      <c r="AT340" s="2062"/>
      <c r="AU340" s="2062"/>
      <c r="AV340" s="2062"/>
      <c r="AW340" s="2062"/>
      <c r="AX340" s="2062"/>
      <c r="AY340" s="2062"/>
      <c r="AZ340" s="2062"/>
      <c r="BA340" s="2062"/>
      <c r="BB340" s="2062"/>
      <c r="BC340" s="2062"/>
      <c r="BD340" s="2062"/>
      <c r="BE340" s="2062"/>
      <c r="BF340" s="2062"/>
      <c r="BG340" s="2062"/>
      <c r="BH340" s="2062"/>
      <c r="BI340" s="2062"/>
      <c r="BJ340" s="2062"/>
      <c r="BK340" s="2062"/>
      <c r="BL340" s="2062"/>
      <c r="BM340" s="2062"/>
      <c r="BN340" s="2062"/>
      <c r="BO340" s="2062"/>
      <c r="BP340" s="2062"/>
      <c r="BQ340" s="2062"/>
      <c r="BR340" s="2062"/>
      <c r="BS340" s="2062"/>
      <c r="BT340" s="2062"/>
      <c r="BU340" s="2062"/>
      <c r="BV340" s="2062"/>
      <c r="BW340" s="2062"/>
      <c r="BX340" s="2062"/>
      <c r="BY340" s="2062"/>
      <c r="BZ340" s="2062"/>
      <c r="CA340" s="2062"/>
      <c r="CB340" s="2062"/>
      <c r="CC340" s="2063"/>
    </row>
    <row r="341" spans="1:81" s="10" customFormat="1" ht="20.100000000000001" customHeight="1" thickTop="1" thickBot="1">
      <c r="A341" s="2054"/>
      <c r="B341" s="2055"/>
      <c r="C341" s="2055"/>
      <c r="D341" s="2055"/>
      <c r="E341" s="2055"/>
      <c r="F341" s="2055"/>
      <c r="G341" s="2055"/>
      <c r="H341" s="2055"/>
      <c r="I341" s="2055"/>
      <c r="J341" s="2064" t="s">
        <v>155</v>
      </c>
      <c r="K341" s="2064"/>
      <c r="L341" s="2064"/>
      <c r="M341" s="2064"/>
      <c r="N341" s="2064"/>
      <c r="O341" s="2064"/>
      <c r="P341" s="2064"/>
      <c r="Q341" s="2064"/>
      <c r="R341" s="2093"/>
      <c r="S341" s="2094"/>
      <c r="T341" s="2094"/>
      <c r="U341" s="2094"/>
      <c r="V341" s="2094"/>
      <c r="W341" s="2094"/>
      <c r="X341" s="2094"/>
      <c r="Y341" s="2094"/>
      <c r="Z341" s="2094"/>
      <c r="AA341" s="2094"/>
      <c r="AB341" s="2094"/>
      <c r="AC341" s="2094"/>
      <c r="AD341" s="2094"/>
      <c r="AE341" s="2094"/>
      <c r="AF341" s="2095"/>
      <c r="AG341" s="2050"/>
      <c r="AH341" s="2050"/>
      <c r="AI341" s="2050"/>
      <c r="AJ341" s="2050"/>
      <c r="AK341" s="2050"/>
      <c r="AL341" s="2050"/>
      <c r="AM341" s="2050"/>
      <c r="AN341" s="2050"/>
      <c r="AO341" s="2050"/>
      <c r="AP341" s="2050"/>
      <c r="AQ341" s="2050"/>
      <c r="AR341" s="2050"/>
      <c r="AS341" s="2050"/>
      <c r="AT341" s="2050"/>
      <c r="AU341" s="2050"/>
      <c r="AV341" s="2050"/>
      <c r="AW341" s="2050"/>
      <c r="AX341" s="2050"/>
      <c r="AY341" s="2050"/>
      <c r="AZ341" s="2050"/>
      <c r="BA341" s="2050"/>
      <c r="BB341" s="2050"/>
      <c r="BC341" s="2050"/>
      <c r="BD341" s="2050"/>
      <c r="BE341" s="2050"/>
      <c r="BF341" s="2050"/>
      <c r="BG341" s="2050"/>
      <c r="BH341" s="2050"/>
      <c r="BI341" s="2050"/>
      <c r="BJ341" s="2050"/>
      <c r="BK341" s="2050"/>
      <c r="BL341" s="2050"/>
      <c r="BM341" s="2050"/>
      <c r="BN341" s="2050"/>
      <c r="BO341" s="2050"/>
      <c r="BP341" s="2050"/>
      <c r="BQ341" s="2050"/>
      <c r="BR341" s="2050"/>
      <c r="BS341" s="2050"/>
      <c r="BT341" s="2050"/>
      <c r="BU341" s="2050"/>
      <c r="BV341" s="2050"/>
      <c r="BW341" s="2050"/>
      <c r="BX341" s="2050"/>
      <c r="BY341" s="2050"/>
      <c r="BZ341" s="2050"/>
      <c r="CA341" s="2050"/>
      <c r="CB341" s="2050"/>
      <c r="CC341" s="2051"/>
    </row>
    <row r="342" spans="1:81" s="10" customFormat="1" ht="20.100000000000001" customHeight="1" thickTop="1" thickBot="1">
      <c r="A342" s="2056"/>
      <c r="B342" s="2057"/>
      <c r="C342" s="2057"/>
      <c r="D342" s="2057"/>
      <c r="E342" s="2057"/>
      <c r="F342" s="2057"/>
      <c r="G342" s="2057"/>
      <c r="H342" s="2057"/>
      <c r="I342" s="2057"/>
      <c r="J342" s="2089" t="s">
        <v>12</v>
      </c>
      <c r="K342" s="2089"/>
      <c r="L342" s="2089"/>
      <c r="M342" s="2089"/>
      <c r="N342" s="2089"/>
      <c r="O342" s="2089"/>
      <c r="P342" s="2089"/>
      <c r="Q342" s="2089"/>
      <c r="R342" s="2090"/>
      <c r="S342" s="2091"/>
      <c r="T342" s="2091"/>
      <c r="U342" s="2091"/>
      <c r="V342" s="2091"/>
      <c r="W342" s="2091"/>
      <c r="X342" s="2091"/>
      <c r="Y342" s="2091"/>
      <c r="Z342" s="2091"/>
      <c r="AA342" s="2091"/>
      <c r="AB342" s="2091"/>
      <c r="AC342" s="2091"/>
      <c r="AD342" s="2091"/>
      <c r="AE342" s="2091"/>
      <c r="AF342" s="2092"/>
      <c r="AG342" s="2077"/>
      <c r="AH342" s="2077"/>
      <c r="AI342" s="2077"/>
      <c r="AJ342" s="2077"/>
      <c r="AK342" s="2077"/>
      <c r="AL342" s="2077"/>
      <c r="AM342" s="2077"/>
      <c r="AN342" s="2077"/>
      <c r="AO342" s="2077"/>
      <c r="AP342" s="2077"/>
      <c r="AQ342" s="2077"/>
      <c r="AR342" s="2077"/>
      <c r="AS342" s="2077"/>
      <c r="AT342" s="2077"/>
      <c r="AU342" s="2077"/>
      <c r="AV342" s="2077"/>
      <c r="AW342" s="2077"/>
      <c r="AX342" s="2077"/>
      <c r="AY342" s="2077"/>
      <c r="AZ342" s="2077"/>
      <c r="BA342" s="2077"/>
      <c r="BB342" s="2077"/>
      <c r="BC342" s="2077"/>
      <c r="BD342" s="2077"/>
      <c r="BE342" s="2077"/>
      <c r="BF342" s="2077"/>
      <c r="BG342" s="2077"/>
      <c r="BH342" s="2077"/>
      <c r="BI342" s="2077"/>
      <c r="BJ342" s="2077"/>
      <c r="BK342" s="2077"/>
      <c r="BL342" s="2077"/>
      <c r="BM342" s="2077"/>
      <c r="BN342" s="2077"/>
      <c r="BO342" s="2077"/>
      <c r="BP342" s="2077"/>
      <c r="BQ342" s="2077"/>
      <c r="BR342" s="2077"/>
      <c r="BS342" s="2077"/>
      <c r="BT342" s="2077"/>
      <c r="BU342" s="2077"/>
      <c r="BV342" s="2077"/>
      <c r="BW342" s="2077"/>
      <c r="BX342" s="2077"/>
      <c r="BY342" s="2077"/>
      <c r="BZ342" s="2077"/>
      <c r="CA342" s="2077"/>
      <c r="CB342" s="2077"/>
      <c r="CC342" s="2078"/>
    </row>
    <row r="343" spans="1:81" s="10" customFormat="1" ht="9.9499999999999993" customHeight="1" thickTop="1">
      <c r="A343" s="15"/>
      <c r="B343" s="15"/>
      <c r="C343" s="39"/>
      <c r="D343" s="39"/>
      <c r="E343" s="39"/>
      <c r="F343" s="39"/>
      <c r="G343" s="39"/>
      <c r="H343" s="39"/>
      <c r="I343" s="39"/>
      <c r="J343" s="39"/>
      <c r="K343" s="39"/>
      <c r="L343" s="39"/>
      <c r="M343" s="39"/>
      <c r="N343" s="39"/>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C343" s="26"/>
    </row>
    <row r="344" spans="1:81" s="10" customFormat="1" ht="23.25">
      <c r="A344" s="37" t="s">
        <v>115</v>
      </c>
      <c r="C344" s="26"/>
      <c r="D344" s="26"/>
      <c r="T344" s="26"/>
      <c r="AF344" s="15"/>
      <c r="AG344" s="42"/>
      <c r="AH344" s="15"/>
      <c r="AI344" s="15"/>
      <c r="AJ344" s="15"/>
      <c r="AK344" s="15"/>
      <c r="AN344" s="26"/>
      <c r="BH344" s="26"/>
      <c r="CC344" s="26"/>
    </row>
    <row r="345" spans="1:81" s="10" customFormat="1" ht="9.9499999999999993" customHeight="1" thickBot="1">
      <c r="B345" s="12"/>
      <c r="C345" s="26"/>
      <c r="D345" s="26"/>
      <c r="T345" s="26"/>
      <c r="AN345" s="26"/>
      <c r="BH345" s="26"/>
      <c r="CC345" s="26"/>
    </row>
    <row r="346" spans="1:81" s="10" customFormat="1" ht="20.100000000000001" customHeight="1" thickTop="1">
      <c r="A346" s="2038" t="s">
        <v>116</v>
      </c>
      <c r="B346" s="1920"/>
      <c r="C346" s="1920"/>
      <c r="D346" s="1920"/>
      <c r="E346" s="1920"/>
      <c r="F346" s="1920"/>
      <c r="G346" s="1920"/>
      <c r="H346" s="1920"/>
      <c r="I346" s="1920"/>
      <c r="J346" s="1920"/>
      <c r="K346" s="1920"/>
      <c r="L346" s="1920"/>
      <c r="M346" s="1920"/>
      <c r="N346" s="1920"/>
      <c r="O346" s="1920"/>
      <c r="P346" s="1920"/>
      <c r="Q346" s="1920"/>
      <c r="R346" s="1920"/>
      <c r="S346" s="1920"/>
      <c r="T346" s="1920"/>
      <c r="U346" s="1920"/>
      <c r="V346" s="1920"/>
      <c r="W346" s="1920"/>
      <c r="X346" s="1920"/>
      <c r="Y346" s="1920"/>
      <c r="Z346" s="1920"/>
      <c r="AA346" s="1920"/>
      <c r="AB346" s="1920"/>
      <c r="AC346" s="1920"/>
      <c r="AD346" s="1920"/>
      <c r="AE346" s="1920"/>
      <c r="AF346" s="1920"/>
      <c r="AG346" s="1920"/>
      <c r="AH346" s="1920"/>
      <c r="AI346" s="1920"/>
      <c r="AJ346" s="1921"/>
      <c r="AK346" s="2065" t="s">
        <v>177</v>
      </c>
      <c r="AL346" s="2082"/>
      <c r="AM346" s="2082"/>
      <c r="AN346" s="2082"/>
      <c r="AO346" s="2082"/>
      <c r="AP346" s="2082"/>
      <c r="AQ346" s="2082"/>
      <c r="AR346" s="2082"/>
      <c r="AS346" s="2082"/>
      <c r="AT346" s="2082"/>
      <c r="AU346" s="2082"/>
      <c r="AV346" s="2083"/>
      <c r="AW346" s="2065" t="s">
        <v>178</v>
      </c>
      <c r="AX346" s="2082"/>
      <c r="AY346" s="2082"/>
      <c r="AZ346" s="2082"/>
      <c r="BA346" s="2082"/>
      <c r="BB346" s="2082"/>
      <c r="BC346" s="2082"/>
      <c r="BD346" s="2082"/>
      <c r="BE346" s="2082"/>
      <c r="BF346" s="2082"/>
      <c r="BG346" s="2083"/>
      <c r="BH346" s="2065" t="s">
        <v>179</v>
      </c>
      <c r="BI346" s="2082"/>
      <c r="BJ346" s="2082"/>
      <c r="BK346" s="2082"/>
      <c r="BL346" s="2082"/>
      <c r="BM346" s="2082"/>
      <c r="BN346" s="2082"/>
      <c r="BO346" s="2082"/>
      <c r="BP346" s="2082"/>
      <c r="BQ346" s="2082"/>
      <c r="BR346" s="2083"/>
      <c r="BS346" s="2065" t="s">
        <v>117</v>
      </c>
      <c r="BT346" s="2082"/>
      <c r="BU346" s="2082"/>
      <c r="BV346" s="2082"/>
      <c r="BW346" s="2082"/>
      <c r="BX346" s="2082"/>
      <c r="BY346" s="2082"/>
      <c r="BZ346" s="2082"/>
      <c r="CA346" s="2082"/>
      <c r="CB346" s="2082"/>
      <c r="CC346" s="2087"/>
    </row>
    <row r="347" spans="1:81" s="10" customFormat="1" ht="20.100000000000001" customHeight="1">
      <c r="A347" s="2036" t="s">
        <v>182</v>
      </c>
      <c r="B347" s="2037"/>
      <c r="C347" s="2037"/>
      <c r="D347" s="2037"/>
      <c r="E347" s="2037"/>
      <c r="F347" s="2037"/>
      <c r="G347" s="2037"/>
      <c r="H347" s="2037"/>
      <c r="I347" s="2037"/>
      <c r="J347" s="2037"/>
      <c r="K347" s="2037"/>
      <c r="L347" s="2043"/>
      <c r="M347" s="2044" t="s">
        <v>181</v>
      </c>
      <c r="N347" s="2037"/>
      <c r="O347" s="2037"/>
      <c r="P347" s="2037"/>
      <c r="Q347" s="2037"/>
      <c r="R347" s="2037"/>
      <c r="S347" s="2037"/>
      <c r="T347" s="2037"/>
      <c r="U347" s="2037"/>
      <c r="V347" s="2037"/>
      <c r="W347" s="2037"/>
      <c r="X347" s="2043"/>
      <c r="Y347" s="2044" t="s">
        <v>180</v>
      </c>
      <c r="Z347" s="2037"/>
      <c r="AA347" s="2037"/>
      <c r="AB347" s="2037"/>
      <c r="AC347" s="2037"/>
      <c r="AD347" s="2037"/>
      <c r="AE347" s="2037"/>
      <c r="AF347" s="2037"/>
      <c r="AG347" s="2037"/>
      <c r="AH347" s="2037"/>
      <c r="AI347" s="2037"/>
      <c r="AJ347" s="2043"/>
      <c r="AK347" s="2084"/>
      <c r="AL347" s="2085"/>
      <c r="AM347" s="2085"/>
      <c r="AN347" s="2085"/>
      <c r="AO347" s="2085"/>
      <c r="AP347" s="2085"/>
      <c r="AQ347" s="2085"/>
      <c r="AR347" s="2085"/>
      <c r="AS347" s="2085"/>
      <c r="AT347" s="2085"/>
      <c r="AU347" s="2085"/>
      <c r="AV347" s="2086"/>
      <c r="AW347" s="2084"/>
      <c r="AX347" s="2085"/>
      <c r="AY347" s="2085"/>
      <c r="AZ347" s="2085"/>
      <c r="BA347" s="2085"/>
      <c r="BB347" s="2085"/>
      <c r="BC347" s="2085"/>
      <c r="BD347" s="2085"/>
      <c r="BE347" s="2085"/>
      <c r="BF347" s="2085"/>
      <c r="BG347" s="2086"/>
      <c r="BH347" s="2084"/>
      <c r="BI347" s="2085"/>
      <c r="BJ347" s="2085"/>
      <c r="BK347" s="2085"/>
      <c r="BL347" s="2085"/>
      <c r="BM347" s="2085"/>
      <c r="BN347" s="2085"/>
      <c r="BO347" s="2085"/>
      <c r="BP347" s="2085"/>
      <c r="BQ347" s="2085"/>
      <c r="BR347" s="2086"/>
      <c r="BS347" s="2084"/>
      <c r="BT347" s="2085"/>
      <c r="BU347" s="2085"/>
      <c r="BV347" s="2085"/>
      <c r="BW347" s="2085"/>
      <c r="BX347" s="2085"/>
      <c r="BY347" s="2085"/>
      <c r="BZ347" s="2085"/>
      <c r="CA347" s="2085"/>
      <c r="CB347" s="2085"/>
      <c r="CC347" s="2088"/>
    </row>
    <row r="348" spans="1:81" s="10" customFormat="1" ht="20.100000000000001" customHeight="1">
      <c r="A348" s="2016"/>
      <c r="B348" s="2017"/>
      <c r="C348" s="2017"/>
      <c r="D348" s="2017"/>
      <c r="E348" s="2017"/>
      <c r="F348" s="2017"/>
      <c r="G348" s="2017"/>
      <c r="H348" s="2017"/>
      <c r="I348" s="2017"/>
      <c r="J348" s="2017"/>
      <c r="K348" s="2017"/>
      <c r="L348" s="2018"/>
      <c r="M348" s="2019"/>
      <c r="N348" s="2020"/>
      <c r="O348" s="2020"/>
      <c r="P348" s="2020"/>
      <c r="Q348" s="2020"/>
      <c r="R348" s="2020"/>
      <c r="S348" s="2020"/>
      <c r="T348" s="2020"/>
      <c r="U348" s="2020"/>
      <c r="V348" s="2020"/>
      <c r="W348" s="2020"/>
      <c r="X348" s="2021"/>
      <c r="Y348" s="2019"/>
      <c r="Z348" s="2020"/>
      <c r="AA348" s="2020"/>
      <c r="AB348" s="2020"/>
      <c r="AC348" s="2020"/>
      <c r="AD348" s="2020"/>
      <c r="AE348" s="2020"/>
      <c r="AF348" s="2020"/>
      <c r="AG348" s="2020"/>
      <c r="AH348" s="2020"/>
      <c r="AI348" s="2020"/>
      <c r="AJ348" s="2021"/>
      <c r="AK348" s="2022"/>
      <c r="AL348" s="2017"/>
      <c r="AM348" s="2017"/>
      <c r="AN348" s="2017"/>
      <c r="AO348" s="2017"/>
      <c r="AP348" s="2017"/>
      <c r="AQ348" s="2017"/>
      <c r="AR348" s="2017"/>
      <c r="AS348" s="2017"/>
      <c r="AT348" s="2017"/>
      <c r="AU348" s="2017"/>
      <c r="AV348" s="2018"/>
      <c r="AW348" s="2022"/>
      <c r="AX348" s="2017"/>
      <c r="AY348" s="2017"/>
      <c r="AZ348" s="2017"/>
      <c r="BA348" s="2017"/>
      <c r="BB348" s="2017"/>
      <c r="BC348" s="2017"/>
      <c r="BD348" s="2017"/>
      <c r="BE348" s="2017"/>
      <c r="BF348" s="2017"/>
      <c r="BG348" s="2018"/>
      <c r="BH348" s="2022"/>
      <c r="BI348" s="2017"/>
      <c r="BJ348" s="2017"/>
      <c r="BK348" s="2017"/>
      <c r="BL348" s="2017"/>
      <c r="BM348" s="2017"/>
      <c r="BN348" s="2017"/>
      <c r="BO348" s="2017"/>
      <c r="BP348" s="2017"/>
      <c r="BQ348" s="2017"/>
      <c r="BR348" s="2018"/>
      <c r="BS348" s="2022"/>
      <c r="BT348" s="2017"/>
      <c r="BU348" s="2017"/>
      <c r="BV348" s="2017"/>
      <c r="BW348" s="2017"/>
      <c r="BX348" s="2017"/>
      <c r="BY348" s="2017"/>
      <c r="BZ348" s="2017"/>
      <c r="CA348" s="2017"/>
      <c r="CB348" s="2017"/>
      <c r="CC348" s="2070"/>
    </row>
    <row r="349" spans="1:81" s="10" customFormat="1" ht="20.100000000000001" customHeight="1" thickBot="1">
      <c r="A349" s="2071"/>
      <c r="B349" s="2013"/>
      <c r="C349" s="2013"/>
      <c r="D349" s="2013"/>
      <c r="E349" s="2013"/>
      <c r="F349" s="2013"/>
      <c r="G349" s="2013"/>
      <c r="H349" s="2013"/>
      <c r="I349" s="2013"/>
      <c r="J349" s="2013"/>
      <c r="K349" s="2013"/>
      <c r="L349" s="2014"/>
      <c r="M349" s="2072"/>
      <c r="N349" s="2073"/>
      <c r="O349" s="2073"/>
      <c r="P349" s="2073"/>
      <c r="Q349" s="2073"/>
      <c r="R349" s="2073"/>
      <c r="S349" s="2073"/>
      <c r="T349" s="2073"/>
      <c r="U349" s="2073"/>
      <c r="V349" s="2073"/>
      <c r="W349" s="2073"/>
      <c r="X349" s="2074"/>
      <c r="Y349" s="2072"/>
      <c r="Z349" s="2073"/>
      <c r="AA349" s="2073"/>
      <c r="AB349" s="2073"/>
      <c r="AC349" s="2073"/>
      <c r="AD349" s="2073"/>
      <c r="AE349" s="2073"/>
      <c r="AF349" s="2073"/>
      <c r="AG349" s="2073"/>
      <c r="AH349" s="2073"/>
      <c r="AI349" s="2073"/>
      <c r="AJ349" s="2074"/>
      <c r="AK349" s="2012"/>
      <c r="AL349" s="2013"/>
      <c r="AM349" s="2013"/>
      <c r="AN349" s="2013"/>
      <c r="AO349" s="2013"/>
      <c r="AP349" s="2013"/>
      <c r="AQ349" s="2013"/>
      <c r="AR349" s="2013"/>
      <c r="AS349" s="2013"/>
      <c r="AT349" s="2013"/>
      <c r="AU349" s="2013"/>
      <c r="AV349" s="2014"/>
      <c r="AW349" s="2012"/>
      <c r="AX349" s="2013"/>
      <c r="AY349" s="2013"/>
      <c r="AZ349" s="2013"/>
      <c r="BA349" s="2013"/>
      <c r="BB349" s="2013"/>
      <c r="BC349" s="2013"/>
      <c r="BD349" s="2013"/>
      <c r="BE349" s="2013"/>
      <c r="BF349" s="2013"/>
      <c r="BG349" s="2014"/>
      <c r="BH349" s="2012"/>
      <c r="BI349" s="2013"/>
      <c r="BJ349" s="2013"/>
      <c r="BK349" s="2013"/>
      <c r="BL349" s="2013"/>
      <c r="BM349" s="2013"/>
      <c r="BN349" s="2013"/>
      <c r="BO349" s="2013"/>
      <c r="BP349" s="2013"/>
      <c r="BQ349" s="2013"/>
      <c r="BR349" s="2014"/>
      <c r="BS349" s="2012"/>
      <c r="BT349" s="2013"/>
      <c r="BU349" s="2013"/>
      <c r="BV349" s="2013"/>
      <c r="BW349" s="2013"/>
      <c r="BX349" s="2013"/>
      <c r="BY349" s="2013"/>
      <c r="BZ349" s="2013"/>
      <c r="CA349" s="2013"/>
      <c r="CB349" s="2013"/>
      <c r="CC349" s="2015"/>
    </row>
    <row r="350" spans="1:81" s="10" customFormat="1" ht="9.9499999999999993" customHeight="1" thickTop="1">
      <c r="A350" s="15"/>
      <c r="B350" s="15"/>
      <c r="C350" s="40"/>
      <c r="D350" s="40"/>
      <c r="E350" s="40"/>
      <c r="F350" s="40"/>
      <c r="G350" s="40"/>
      <c r="H350" s="40"/>
      <c r="I350" s="40"/>
      <c r="J350" s="40"/>
      <c r="K350" s="40"/>
      <c r="L350" s="40"/>
      <c r="M350" s="40"/>
      <c r="N350" s="40"/>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41"/>
      <c r="AZ350" s="15"/>
      <c r="BA350" s="15"/>
      <c r="BB350" s="15"/>
      <c r="BC350" s="15"/>
      <c r="BD350" s="15"/>
      <c r="BE350" s="15"/>
      <c r="BF350" s="15"/>
      <c r="BG350" s="15"/>
      <c r="BH350" s="15"/>
      <c r="BI350" s="15"/>
      <c r="BJ350" s="15"/>
      <c r="BK350" s="15"/>
      <c r="BL350" s="15"/>
      <c r="BM350" s="15"/>
      <c r="BN350" s="15"/>
      <c r="BO350" s="42"/>
      <c r="BP350" s="15"/>
      <c r="BQ350" s="15"/>
      <c r="BR350" s="15"/>
      <c r="BS350" s="15"/>
      <c r="BT350" s="15"/>
      <c r="BU350" s="15"/>
      <c r="BV350" s="15"/>
      <c r="BW350" s="15"/>
      <c r="BX350" s="15"/>
      <c r="BY350" s="15"/>
      <c r="BZ350" s="15"/>
      <c r="CA350" s="15"/>
      <c r="CC350" s="26"/>
    </row>
    <row r="351" spans="1:81" s="10" customFormat="1" ht="23.25">
      <c r="A351" s="37" t="s">
        <v>118</v>
      </c>
      <c r="C351" s="26"/>
      <c r="D351" s="26"/>
      <c r="T351" s="26"/>
      <c r="AF351" s="15"/>
      <c r="AG351" s="42"/>
      <c r="AH351" s="15"/>
      <c r="AI351" s="15"/>
      <c r="AJ351" s="15"/>
      <c r="AK351" s="15"/>
      <c r="AN351" s="26"/>
      <c r="BH351" s="26"/>
      <c r="CC351" s="26"/>
    </row>
    <row r="352" spans="1:81" s="10" customFormat="1" ht="9.9499999999999993" customHeight="1" thickBot="1">
      <c r="B352" s="12"/>
      <c r="C352" s="26"/>
      <c r="D352" s="26"/>
      <c r="T352" s="26"/>
      <c r="AN352" s="26"/>
      <c r="BH352" s="26"/>
      <c r="CC352" s="26"/>
    </row>
    <row r="353" spans="1:81" s="10" customFormat="1" ht="20.100000000000001" customHeight="1" thickTop="1">
      <c r="A353" s="2038" t="s">
        <v>119</v>
      </c>
      <c r="B353" s="1920"/>
      <c r="C353" s="1920"/>
      <c r="D353" s="1920"/>
      <c r="E353" s="1920"/>
      <c r="F353" s="1920"/>
      <c r="G353" s="1920"/>
      <c r="H353" s="1920"/>
      <c r="I353" s="1920"/>
      <c r="J353" s="1920"/>
      <c r="K353" s="1920"/>
      <c r="L353" s="1920"/>
      <c r="M353" s="1920"/>
      <c r="N353" s="1920"/>
      <c r="O353" s="1920"/>
      <c r="P353" s="1920"/>
      <c r="Q353" s="1920"/>
      <c r="R353" s="1920"/>
      <c r="S353" s="1920"/>
      <c r="T353" s="1920"/>
      <c r="U353" s="1920"/>
      <c r="V353" s="1920"/>
      <c r="W353" s="1920"/>
      <c r="X353" s="1920"/>
      <c r="Y353" s="1920"/>
      <c r="Z353" s="1920"/>
      <c r="AA353" s="1920"/>
      <c r="AB353" s="1920"/>
      <c r="AC353" s="1920"/>
      <c r="AD353" s="1920"/>
      <c r="AE353" s="1920"/>
      <c r="AF353" s="1920"/>
      <c r="AG353" s="1920"/>
      <c r="AH353" s="1920"/>
      <c r="AI353" s="1920"/>
      <c r="AJ353" s="1920"/>
      <c r="AK353" s="1920"/>
      <c r="AL353" s="1920"/>
      <c r="AM353" s="1920"/>
      <c r="AN353" s="1920"/>
      <c r="AO353" s="1920"/>
      <c r="AP353" s="1920"/>
      <c r="AQ353" s="1920"/>
      <c r="AR353" s="1920"/>
      <c r="AS353" s="1920"/>
      <c r="AT353" s="1920"/>
      <c r="AU353" s="1920"/>
      <c r="AV353" s="1920"/>
      <c r="AW353" s="1920"/>
      <c r="AX353" s="1920"/>
      <c r="AY353" s="1920"/>
      <c r="AZ353" s="1920"/>
      <c r="BA353" s="1920"/>
      <c r="BB353" s="1920"/>
      <c r="BC353" s="1920"/>
      <c r="BD353" s="1920"/>
      <c r="BE353" s="1920"/>
      <c r="BF353" s="1920"/>
      <c r="BG353" s="1920"/>
      <c r="BH353" s="1921"/>
      <c r="BI353" s="2065" t="s">
        <v>183</v>
      </c>
      <c r="BJ353" s="2035"/>
      <c r="BK353" s="2035"/>
      <c r="BL353" s="2035"/>
      <c r="BM353" s="2035"/>
      <c r="BN353" s="2035"/>
      <c r="BO353" s="2035"/>
      <c r="BP353" s="2035"/>
      <c r="BQ353" s="2035"/>
      <c r="BR353" s="2035"/>
      <c r="BS353" s="2035"/>
      <c r="BT353" s="2035"/>
      <c r="BU353" s="2035"/>
      <c r="BV353" s="2035"/>
      <c r="BW353" s="2035"/>
      <c r="BX353" s="2035"/>
      <c r="BY353" s="2035"/>
      <c r="BZ353" s="2035"/>
      <c r="CA353" s="2035"/>
      <c r="CB353" s="2035"/>
      <c r="CC353" s="2066"/>
    </row>
    <row r="354" spans="1:81" s="10" customFormat="1" ht="20.100000000000001" customHeight="1">
      <c r="A354" s="2068">
        <v>41579</v>
      </c>
      <c r="B354" s="2069"/>
      <c r="C354" s="2069"/>
      <c r="D354" s="2069"/>
      <c r="E354" s="2069"/>
      <c r="F354" s="2069"/>
      <c r="G354" s="2069"/>
      <c r="H354" s="2069"/>
      <c r="I354" s="2069"/>
      <c r="J354" s="2069"/>
      <c r="K354" s="2069"/>
      <c r="L354" s="2069"/>
      <c r="M354" s="2069"/>
      <c r="N354" s="2069"/>
      <c r="O354" s="2069"/>
      <c r="P354" s="2069">
        <v>41609</v>
      </c>
      <c r="Q354" s="2069"/>
      <c r="R354" s="2069"/>
      <c r="S354" s="2069"/>
      <c r="T354" s="2069"/>
      <c r="U354" s="2069"/>
      <c r="V354" s="2069"/>
      <c r="W354" s="2069"/>
      <c r="X354" s="2069"/>
      <c r="Y354" s="2069"/>
      <c r="Z354" s="2069"/>
      <c r="AA354" s="2069"/>
      <c r="AB354" s="2069"/>
      <c r="AC354" s="2069"/>
      <c r="AD354" s="2069"/>
      <c r="AE354" s="2069">
        <v>41640</v>
      </c>
      <c r="AF354" s="2069"/>
      <c r="AG354" s="2069"/>
      <c r="AH354" s="2069"/>
      <c r="AI354" s="2069"/>
      <c r="AJ354" s="2069"/>
      <c r="AK354" s="2069"/>
      <c r="AL354" s="2069"/>
      <c r="AM354" s="2069"/>
      <c r="AN354" s="2069"/>
      <c r="AO354" s="2069"/>
      <c r="AP354" s="2069"/>
      <c r="AQ354" s="2069"/>
      <c r="AR354" s="2069"/>
      <c r="AS354" s="2069"/>
      <c r="AT354" s="2069" t="s">
        <v>184</v>
      </c>
      <c r="AU354" s="2069"/>
      <c r="AV354" s="2069"/>
      <c r="AW354" s="2069"/>
      <c r="AX354" s="2069"/>
      <c r="AY354" s="2069"/>
      <c r="AZ354" s="2069"/>
      <c r="BA354" s="2069"/>
      <c r="BB354" s="2069"/>
      <c r="BC354" s="2069"/>
      <c r="BD354" s="2069"/>
      <c r="BE354" s="2069"/>
      <c r="BF354" s="2069"/>
      <c r="BG354" s="2069"/>
      <c r="BH354" s="2069"/>
      <c r="BI354" s="2044"/>
      <c r="BJ354" s="2037"/>
      <c r="BK354" s="2037"/>
      <c r="BL354" s="2037"/>
      <c r="BM354" s="2037"/>
      <c r="BN354" s="2037"/>
      <c r="BO354" s="2037"/>
      <c r="BP354" s="2037"/>
      <c r="BQ354" s="2037"/>
      <c r="BR354" s="2037"/>
      <c r="BS354" s="2037"/>
      <c r="BT354" s="2037"/>
      <c r="BU354" s="2037"/>
      <c r="BV354" s="2037"/>
      <c r="BW354" s="2037"/>
      <c r="BX354" s="2037"/>
      <c r="BY354" s="2037"/>
      <c r="BZ354" s="2037"/>
      <c r="CA354" s="2037"/>
      <c r="CB354" s="2037"/>
      <c r="CC354" s="2067"/>
    </row>
    <row r="355" spans="1:81" s="10" customFormat="1" ht="20.100000000000001" customHeight="1">
      <c r="A355" s="1927"/>
      <c r="B355" s="1928"/>
      <c r="C355" s="1928"/>
      <c r="D355" s="1928"/>
      <c r="E355" s="1928"/>
      <c r="F355" s="1928"/>
      <c r="G355" s="1928"/>
      <c r="H355" s="1928"/>
      <c r="I355" s="1928"/>
      <c r="J355" s="1928"/>
      <c r="K355" s="1928"/>
      <c r="L355" s="1928"/>
      <c r="M355" s="1928"/>
      <c r="N355" s="1928"/>
      <c r="O355" s="1928"/>
      <c r="P355" s="1929"/>
      <c r="Q355" s="1929"/>
      <c r="R355" s="1929"/>
      <c r="S355" s="1929"/>
      <c r="T355" s="1929"/>
      <c r="U355" s="1929"/>
      <c r="V355" s="1929"/>
      <c r="W355" s="1929"/>
      <c r="X355" s="1929"/>
      <c r="Y355" s="1929"/>
      <c r="Z355" s="1929"/>
      <c r="AA355" s="1929"/>
      <c r="AB355" s="1929"/>
      <c r="AC355" s="1929"/>
      <c r="AD355" s="1929"/>
      <c r="AE355" s="1929"/>
      <c r="AF355" s="1929"/>
      <c r="AG355" s="1929"/>
      <c r="AH355" s="1929"/>
      <c r="AI355" s="1929"/>
      <c r="AJ355" s="1929"/>
      <c r="AK355" s="1929"/>
      <c r="AL355" s="1929"/>
      <c r="AM355" s="1929"/>
      <c r="AN355" s="1929"/>
      <c r="AO355" s="1929"/>
      <c r="AP355" s="1929"/>
      <c r="AQ355" s="1929"/>
      <c r="AR355" s="1929"/>
      <c r="AS355" s="1929"/>
      <c r="AT355" s="1928"/>
      <c r="AU355" s="1928"/>
      <c r="AV355" s="1928"/>
      <c r="AW355" s="1928"/>
      <c r="AX355" s="1928"/>
      <c r="AY355" s="1928"/>
      <c r="AZ355" s="1928"/>
      <c r="BA355" s="1928"/>
      <c r="BB355" s="1928"/>
      <c r="BC355" s="1928"/>
      <c r="BD355" s="1928"/>
      <c r="BE355" s="1928"/>
      <c r="BF355" s="1928"/>
      <c r="BG355" s="1928"/>
      <c r="BH355" s="1928"/>
      <c r="BI355" s="1928"/>
      <c r="BJ355" s="1928"/>
      <c r="BK355" s="1928"/>
      <c r="BL355" s="1928"/>
      <c r="BM355" s="1928"/>
      <c r="BN355" s="1928"/>
      <c r="BO355" s="1928"/>
      <c r="BP355" s="1928"/>
      <c r="BQ355" s="1928"/>
      <c r="BR355" s="1928"/>
      <c r="BS355" s="1928"/>
      <c r="BT355" s="1928"/>
      <c r="BU355" s="1928"/>
      <c r="BV355" s="1928"/>
      <c r="BW355" s="1928"/>
      <c r="BX355" s="1928"/>
      <c r="BY355" s="1928"/>
      <c r="BZ355" s="1928"/>
      <c r="CA355" s="1928"/>
      <c r="CB355" s="1928"/>
      <c r="CC355" s="1930"/>
    </row>
    <row r="356" spans="1:81" s="10" customFormat="1" ht="20.100000000000001" customHeight="1" thickBot="1">
      <c r="A356" s="1923"/>
      <c r="B356" s="1924"/>
      <c r="C356" s="1924"/>
      <c r="D356" s="1924"/>
      <c r="E356" s="1924"/>
      <c r="F356" s="1924"/>
      <c r="G356" s="1924"/>
      <c r="H356" s="1924"/>
      <c r="I356" s="1924"/>
      <c r="J356" s="1924"/>
      <c r="K356" s="1924"/>
      <c r="L356" s="1924"/>
      <c r="M356" s="1924"/>
      <c r="N356" s="1924"/>
      <c r="O356" s="1924"/>
      <c r="P356" s="1925"/>
      <c r="Q356" s="1925"/>
      <c r="R356" s="1925"/>
      <c r="S356" s="1925"/>
      <c r="T356" s="1925"/>
      <c r="U356" s="1925"/>
      <c r="V356" s="1925"/>
      <c r="W356" s="1925"/>
      <c r="X356" s="1925"/>
      <c r="Y356" s="1925"/>
      <c r="Z356" s="1925"/>
      <c r="AA356" s="1925"/>
      <c r="AB356" s="1925"/>
      <c r="AC356" s="1925"/>
      <c r="AD356" s="1925"/>
      <c r="AE356" s="1925"/>
      <c r="AF356" s="1925"/>
      <c r="AG356" s="1925"/>
      <c r="AH356" s="1925"/>
      <c r="AI356" s="1925"/>
      <c r="AJ356" s="1925"/>
      <c r="AK356" s="1925"/>
      <c r="AL356" s="1925"/>
      <c r="AM356" s="1925"/>
      <c r="AN356" s="1925"/>
      <c r="AO356" s="1925"/>
      <c r="AP356" s="1925"/>
      <c r="AQ356" s="1925"/>
      <c r="AR356" s="1925"/>
      <c r="AS356" s="1925"/>
      <c r="AT356" s="1924"/>
      <c r="AU356" s="1924"/>
      <c r="AV356" s="1924"/>
      <c r="AW356" s="1924"/>
      <c r="AX356" s="1924"/>
      <c r="AY356" s="1924"/>
      <c r="AZ356" s="1924"/>
      <c r="BA356" s="1924"/>
      <c r="BB356" s="1924"/>
      <c r="BC356" s="1924"/>
      <c r="BD356" s="1924"/>
      <c r="BE356" s="1924"/>
      <c r="BF356" s="1924"/>
      <c r="BG356" s="1924"/>
      <c r="BH356" s="1924"/>
      <c r="BI356" s="1924"/>
      <c r="BJ356" s="1924"/>
      <c r="BK356" s="1924"/>
      <c r="BL356" s="1924"/>
      <c r="BM356" s="1924"/>
      <c r="BN356" s="1924"/>
      <c r="BO356" s="1924"/>
      <c r="BP356" s="1924"/>
      <c r="BQ356" s="1924"/>
      <c r="BR356" s="1924"/>
      <c r="BS356" s="1924"/>
      <c r="BT356" s="1924"/>
      <c r="BU356" s="1924"/>
      <c r="BV356" s="1924"/>
      <c r="BW356" s="1924"/>
      <c r="BX356" s="1924"/>
      <c r="BY356" s="1924"/>
      <c r="BZ356" s="1924"/>
      <c r="CA356" s="1924"/>
      <c r="CB356" s="1924"/>
      <c r="CC356" s="1926"/>
    </row>
    <row r="357" spans="1:81" s="10" customFormat="1" ht="9.9499999999999993" customHeight="1" thickTop="1">
      <c r="A357" s="15"/>
      <c r="B357" s="15"/>
      <c r="C357" s="40"/>
      <c r="D357" s="40"/>
      <c r="E357" s="40"/>
      <c r="F357" s="40"/>
      <c r="G357" s="40"/>
      <c r="H357" s="40"/>
      <c r="I357" s="40"/>
      <c r="J357" s="40"/>
      <c r="K357" s="40"/>
      <c r="L357" s="40"/>
      <c r="M357" s="40"/>
      <c r="N357" s="40"/>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41"/>
      <c r="AZ357" s="15"/>
      <c r="BA357" s="15"/>
      <c r="BB357" s="15"/>
      <c r="BC357" s="15"/>
      <c r="BD357" s="15"/>
      <c r="BE357" s="15"/>
      <c r="BF357" s="15"/>
      <c r="BG357" s="15"/>
      <c r="BH357" s="15"/>
      <c r="BI357" s="15"/>
      <c r="BJ357" s="15"/>
      <c r="BK357" s="15"/>
      <c r="BL357" s="15"/>
      <c r="BM357" s="15"/>
      <c r="BN357" s="15"/>
      <c r="BO357" s="42"/>
      <c r="BP357" s="15"/>
      <c r="BQ357" s="15"/>
      <c r="BR357" s="15"/>
      <c r="BS357" s="15"/>
      <c r="BT357" s="15"/>
      <c r="BU357" s="15"/>
      <c r="BV357" s="15"/>
      <c r="BW357" s="15"/>
      <c r="BX357" s="15"/>
      <c r="BY357" s="15"/>
      <c r="BZ357" s="15"/>
      <c r="CA357" s="15"/>
      <c r="CC357" s="26"/>
    </row>
    <row r="358" spans="1:81" s="10" customFormat="1" ht="23.25">
      <c r="A358" s="37" t="s">
        <v>120</v>
      </c>
      <c r="C358" s="26"/>
      <c r="D358" s="26"/>
      <c r="T358" s="26"/>
      <c r="AF358" s="15"/>
      <c r="AG358" s="42"/>
      <c r="AH358" s="15"/>
      <c r="AI358" s="15"/>
      <c r="AJ358" s="15"/>
      <c r="AK358" s="15"/>
      <c r="AN358" s="26"/>
      <c r="BH358" s="26"/>
      <c r="CC358" s="26"/>
    </row>
    <row r="359" spans="1:81" s="10" customFormat="1" ht="9.9499999999999993" customHeight="1" thickBot="1">
      <c r="B359" s="12"/>
      <c r="C359" s="26"/>
      <c r="D359" s="26"/>
      <c r="T359" s="26"/>
      <c r="AN359" s="26"/>
      <c r="BH359" s="26"/>
      <c r="CC359" s="26"/>
    </row>
    <row r="360" spans="1:81" s="10" customFormat="1" ht="20.100000000000001" customHeight="1" thickTop="1">
      <c r="A360" s="2034"/>
      <c r="B360" s="2035"/>
      <c r="C360" s="2035"/>
      <c r="D360" s="2035"/>
      <c r="E360" s="2035"/>
      <c r="F360" s="2035"/>
      <c r="G360" s="2035"/>
      <c r="H360" s="2035"/>
      <c r="I360" s="2035"/>
      <c r="J360" s="2035"/>
      <c r="K360" s="2035"/>
      <c r="L360" s="2035"/>
      <c r="M360" s="2038"/>
      <c r="N360" s="1920"/>
      <c r="O360" s="1920"/>
      <c r="P360" s="1920"/>
      <c r="Q360" s="1920"/>
      <c r="R360" s="1920"/>
      <c r="S360" s="1920"/>
      <c r="T360" s="1920"/>
      <c r="U360" s="1920"/>
      <c r="V360" s="1920"/>
      <c r="W360" s="1920"/>
      <c r="X360" s="1920"/>
      <c r="Y360" s="1920"/>
      <c r="Z360" s="1920"/>
      <c r="AA360" s="1920"/>
      <c r="AB360" s="1920"/>
      <c r="AC360" s="1920"/>
      <c r="AD360" s="1920"/>
      <c r="AE360" s="1920"/>
      <c r="AF360" s="1920"/>
      <c r="AG360" s="1920"/>
      <c r="AH360" s="1920"/>
      <c r="AI360" s="1920"/>
      <c r="AJ360" s="1920"/>
      <c r="AK360" s="1920"/>
      <c r="AL360" s="1920"/>
      <c r="AM360" s="1920"/>
      <c r="AN360" s="1920"/>
      <c r="AO360" s="1920"/>
      <c r="AP360" s="1920"/>
      <c r="AQ360" s="1920"/>
      <c r="AR360" s="1920"/>
      <c r="AS360" s="1920"/>
      <c r="AT360" s="1920"/>
      <c r="AU360" s="1920"/>
      <c r="AV360" s="2039"/>
      <c r="AW360" s="2040"/>
      <c r="AX360" s="2041"/>
      <c r="AY360" s="2041"/>
      <c r="AZ360" s="2041"/>
      <c r="BA360" s="2041"/>
      <c r="BB360" s="2041"/>
      <c r="BC360" s="2041"/>
      <c r="BD360" s="2041"/>
      <c r="BE360" s="2041"/>
      <c r="BF360" s="2041"/>
      <c r="BG360" s="2041"/>
      <c r="BH360" s="2041"/>
      <c r="BI360" s="2041"/>
      <c r="BJ360" s="2041"/>
      <c r="BK360" s="2041"/>
      <c r="BL360" s="2041"/>
      <c r="BM360" s="2041"/>
      <c r="BN360" s="2041"/>
      <c r="BO360" s="2041"/>
      <c r="BP360" s="2041"/>
      <c r="BQ360" s="2041"/>
      <c r="BR360" s="2041"/>
      <c r="BS360" s="2041"/>
      <c r="BT360" s="2041"/>
      <c r="BU360" s="2041"/>
      <c r="BV360" s="2041"/>
      <c r="BW360" s="2041"/>
      <c r="BX360" s="2041"/>
      <c r="BY360" s="2041"/>
      <c r="BZ360" s="2041"/>
      <c r="CA360" s="2041"/>
      <c r="CB360" s="2041"/>
      <c r="CC360" s="2042"/>
    </row>
    <row r="361" spans="1:81" s="10" customFormat="1" ht="20.100000000000001" customHeight="1">
      <c r="A361" s="2036"/>
      <c r="B361" s="2037"/>
      <c r="C361" s="2037"/>
      <c r="D361" s="2037"/>
      <c r="E361" s="2037"/>
      <c r="F361" s="2037"/>
      <c r="G361" s="2037"/>
      <c r="H361" s="2037"/>
      <c r="I361" s="2037"/>
      <c r="J361" s="2037"/>
      <c r="K361" s="2037"/>
      <c r="L361" s="2037"/>
      <c r="M361" s="2036" t="s">
        <v>185</v>
      </c>
      <c r="N361" s="2037"/>
      <c r="O361" s="2037"/>
      <c r="P361" s="2037"/>
      <c r="Q361" s="2037"/>
      <c r="R361" s="2037"/>
      <c r="S361" s="2037"/>
      <c r="T361" s="2037"/>
      <c r="U361" s="2037"/>
      <c r="V361" s="2037"/>
      <c r="W361" s="2037"/>
      <c r="X361" s="2043"/>
      <c r="Y361" s="2044" t="s">
        <v>121</v>
      </c>
      <c r="Z361" s="2037"/>
      <c r="AA361" s="2037"/>
      <c r="AB361" s="2037"/>
      <c r="AC361" s="2037"/>
      <c r="AD361" s="2037"/>
      <c r="AE361" s="2037"/>
      <c r="AF361" s="2037"/>
      <c r="AG361" s="2037"/>
      <c r="AH361" s="2037"/>
      <c r="AI361" s="2037"/>
      <c r="AJ361" s="2043"/>
      <c r="AK361" s="2045" t="s">
        <v>186</v>
      </c>
      <c r="AL361" s="2046"/>
      <c r="AM361" s="2046"/>
      <c r="AN361" s="2046"/>
      <c r="AO361" s="2046"/>
      <c r="AP361" s="2046"/>
      <c r="AQ361" s="2046"/>
      <c r="AR361" s="2046"/>
      <c r="AS361" s="2046"/>
      <c r="AT361" s="2046"/>
      <c r="AU361" s="2046"/>
      <c r="AV361" s="2047"/>
      <c r="AW361" s="2048" t="s">
        <v>185</v>
      </c>
      <c r="AX361" s="2046"/>
      <c r="AY361" s="2046"/>
      <c r="AZ361" s="2046"/>
      <c r="BA361" s="2046"/>
      <c r="BB361" s="2046"/>
      <c r="BC361" s="2046"/>
      <c r="BD361" s="2046"/>
      <c r="BE361" s="2046"/>
      <c r="BF361" s="2046"/>
      <c r="BG361" s="2049"/>
      <c r="BH361" s="2045" t="s">
        <v>121</v>
      </c>
      <c r="BI361" s="2046"/>
      <c r="BJ361" s="2046"/>
      <c r="BK361" s="2046"/>
      <c r="BL361" s="2046"/>
      <c r="BM361" s="2046"/>
      <c r="BN361" s="2046"/>
      <c r="BO361" s="2046"/>
      <c r="BP361" s="2046"/>
      <c r="BQ361" s="2046"/>
      <c r="BR361" s="2049"/>
      <c r="BS361" s="2045" t="s">
        <v>186</v>
      </c>
      <c r="BT361" s="2046"/>
      <c r="BU361" s="2046"/>
      <c r="BV361" s="2046"/>
      <c r="BW361" s="2046"/>
      <c r="BX361" s="2046"/>
      <c r="BY361" s="2046"/>
      <c r="BZ361" s="2046"/>
      <c r="CA361" s="2046"/>
      <c r="CB361" s="2046"/>
      <c r="CC361" s="2047"/>
    </row>
    <row r="362" spans="1:81" s="10" customFormat="1" ht="20.100000000000001" customHeight="1">
      <c r="A362" s="2004" t="s">
        <v>122</v>
      </c>
      <c r="B362" s="2005"/>
      <c r="C362" s="2005"/>
      <c r="D362" s="2005"/>
      <c r="E362" s="2005"/>
      <c r="F362" s="2005"/>
      <c r="G362" s="2005"/>
      <c r="H362" s="2005"/>
      <c r="I362" s="2005"/>
      <c r="J362" s="2005"/>
      <c r="K362" s="2005"/>
      <c r="L362" s="2005"/>
      <c r="M362" s="2006"/>
      <c r="N362" s="2007"/>
      <c r="O362" s="2007"/>
      <c r="P362" s="2007"/>
      <c r="Q362" s="2007"/>
      <c r="R362" s="2007"/>
      <c r="S362" s="2007"/>
      <c r="T362" s="2007"/>
      <c r="U362" s="2007"/>
      <c r="V362" s="2007"/>
      <c r="W362" s="2007"/>
      <c r="X362" s="2008"/>
      <c r="Y362" s="2009"/>
      <c r="Z362" s="2007"/>
      <c r="AA362" s="2007"/>
      <c r="AB362" s="2007"/>
      <c r="AC362" s="2007"/>
      <c r="AD362" s="2007"/>
      <c r="AE362" s="2007"/>
      <c r="AF362" s="2007"/>
      <c r="AG362" s="2007"/>
      <c r="AH362" s="2007"/>
      <c r="AI362" s="2007"/>
      <c r="AJ362" s="2008"/>
      <c r="AK362" s="1990"/>
      <c r="AL362" s="1991"/>
      <c r="AM362" s="1991"/>
      <c r="AN362" s="1991"/>
      <c r="AO362" s="1991"/>
      <c r="AP362" s="1991"/>
      <c r="AQ362" s="1991"/>
      <c r="AR362" s="1991"/>
      <c r="AS362" s="1991"/>
      <c r="AT362" s="1991"/>
      <c r="AU362" s="1991"/>
      <c r="AV362" s="1992"/>
      <c r="AW362" s="2010"/>
      <c r="AX362" s="1991"/>
      <c r="AY362" s="1991"/>
      <c r="AZ362" s="1991"/>
      <c r="BA362" s="1991"/>
      <c r="BB362" s="1991"/>
      <c r="BC362" s="1991"/>
      <c r="BD362" s="1991"/>
      <c r="BE362" s="1991"/>
      <c r="BF362" s="1991"/>
      <c r="BG362" s="2011"/>
      <c r="BH362" s="1990"/>
      <c r="BI362" s="1991"/>
      <c r="BJ362" s="1991"/>
      <c r="BK362" s="1991"/>
      <c r="BL362" s="1991"/>
      <c r="BM362" s="1991"/>
      <c r="BN362" s="1991"/>
      <c r="BO362" s="1991"/>
      <c r="BP362" s="1991"/>
      <c r="BQ362" s="1991"/>
      <c r="BR362" s="2011"/>
      <c r="BS362" s="1990"/>
      <c r="BT362" s="1991"/>
      <c r="BU362" s="1991"/>
      <c r="BV362" s="1991"/>
      <c r="BW362" s="1991"/>
      <c r="BX362" s="1991"/>
      <c r="BY362" s="1991"/>
      <c r="BZ362" s="1991"/>
      <c r="CA362" s="1991"/>
      <c r="CB362" s="1991"/>
      <c r="CC362" s="1992"/>
    </row>
    <row r="363" spans="1:81" s="10" customFormat="1" ht="20.100000000000001" customHeight="1">
      <c r="A363" s="2023" t="s">
        <v>123</v>
      </c>
      <c r="B363" s="2024"/>
      <c r="C363" s="2024"/>
      <c r="D363" s="2024"/>
      <c r="E363" s="2024"/>
      <c r="F363" s="2024"/>
      <c r="G363" s="2024"/>
      <c r="H363" s="2024"/>
      <c r="I363" s="2024"/>
      <c r="J363" s="2024"/>
      <c r="K363" s="2024"/>
      <c r="L363" s="2024"/>
      <c r="M363" s="2025"/>
      <c r="N363" s="2026"/>
      <c r="O363" s="2026"/>
      <c r="P363" s="2026"/>
      <c r="Q363" s="2026"/>
      <c r="R363" s="2026"/>
      <c r="S363" s="2026"/>
      <c r="T363" s="2026"/>
      <c r="U363" s="2026"/>
      <c r="V363" s="2026"/>
      <c r="W363" s="2026"/>
      <c r="X363" s="2027"/>
      <c r="Y363" s="2028"/>
      <c r="Z363" s="2026"/>
      <c r="AA363" s="2026"/>
      <c r="AB363" s="2026"/>
      <c r="AC363" s="2026"/>
      <c r="AD363" s="2026"/>
      <c r="AE363" s="2026"/>
      <c r="AF363" s="2026"/>
      <c r="AG363" s="2026"/>
      <c r="AH363" s="2026"/>
      <c r="AI363" s="2026"/>
      <c r="AJ363" s="2027"/>
      <c r="AK363" s="2029"/>
      <c r="AL363" s="2030"/>
      <c r="AM363" s="2030"/>
      <c r="AN363" s="2030"/>
      <c r="AO363" s="2030"/>
      <c r="AP363" s="2030"/>
      <c r="AQ363" s="2030"/>
      <c r="AR363" s="2030"/>
      <c r="AS363" s="2030"/>
      <c r="AT363" s="2030"/>
      <c r="AU363" s="2030"/>
      <c r="AV363" s="2031"/>
      <c r="AW363" s="2032"/>
      <c r="AX363" s="2030"/>
      <c r="AY363" s="2030"/>
      <c r="AZ363" s="2030"/>
      <c r="BA363" s="2030"/>
      <c r="BB363" s="2030"/>
      <c r="BC363" s="2030"/>
      <c r="BD363" s="2030"/>
      <c r="BE363" s="2030"/>
      <c r="BF363" s="2030"/>
      <c r="BG363" s="2033"/>
      <c r="BH363" s="2029"/>
      <c r="BI363" s="2030"/>
      <c r="BJ363" s="2030"/>
      <c r="BK363" s="2030"/>
      <c r="BL363" s="2030"/>
      <c r="BM363" s="2030"/>
      <c r="BN363" s="2030"/>
      <c r="BO363" s="2030"/>
      <c r="BP363" s="2030"/>
      <c r="BQ363" s="2030"/>
      <c r="BR363" s="2033"/>
      <c r="BS363" s="2029"/>
      <c r="BT363" s="2030"/>
      <c r="BU363" s="2030"/>
      <c r="BV363" s="2030"/>
      <c r="BW363" s="2030"/>
      <c r="BX363" s="2030"/>
      <c r="BY363" s="2030"/>
      <c r="BZ363" s="2030"/>
      <c r="CA363" s="2030"/>
      <c r="CB363" s="2030"/>
      <c r="CC363" s="2031"/>
    </row>
    <row r="364" spans="1:81" s="10" customFormat="1" ht="19.5" customHeight="1">
      <c r="A364" s="2004" t="s">
        <v>124</v>
      </c>
      <c r="B364" s="2005"/>
      <c r="C364" s="2005"/>
      <c r="D364" s="2005"/>
      <c r="E364" s="2005"/>
      <c r="F364" s="2005"/>
      <c r="G364" s="2005"/>
      <c r="H364" s="2005"/>
      <c r="I364" s="2005"/>
      <c r="J364" s="2005"/>
      <c r="K364" s="2005"/>
      <c r="L364" s="2005"/>
      <c r="M364" s="2006"/>
      <c r="N364" s="2007"/>
      <c r="O364" s="2007"/>
      <c r="P364" s="2007"/>
      <c r="Q364" s="2007"/>
      <c r="R364" s="2007"/>
      <c r="S364" s="2007"/>
      <c r="T364" s="2007"/>
      <c r="U364" s="2007"/>
      <c r="V364" s="2007"/>
      <c r="W364" s="2007"/>
      <c r="X364" s="2008"/>
      <c r="Y364" s="2009"/>
      <c r="Z364" s="2007"/>
      <c r="AA364" s="2007"/>
      <c r="AB364" s="2007"/>
      <c r="AC364" s="2007"/>
      <c r="AD364" s="2007"/>
      <c r="AE364" s="2007"/>
      <c r="AF364" s="2007"/>
      <c r="AG364" s="2007"/>
      <c r="AH364" s="2007"/>
      <c r="AI364" s="2007"/>
      <c r="AJ364" s="2008"/>
      <c r="AK364" s="1990"/>
      <c r="AL364" s="1991"/>
      <c r="AM364" s="1991"/>
      <c r="AN364" s="1991"/>
      <c r="AO364" s="1991"/>
      <c r="AP364" s="1991"/>
      <c r="AQ364" s="1991"/>
      <c r="AR364" s="1991"/>
      <c r="AS364" s="1991"/>
      <c r="AT364" s="1991"/>
      <c r="AU364" s="1991"/>
      <c r="AV364" s="1992"/>
      <c r="AW364" s="2010"/>
      <c r="AX364" s="1991"/>
      <c r="AY364" s="1991"/>
      <c r="AZ364" s="1991"/>
      <c r="BA364" s="1991"/>
      <c r="BB364" s="1991"/>
      <c r="BC364" s="1991"/>
      <c r="BD364" s="1991"/>
      <c r="BE364" s="1991"/>
      <c r="BF364" s="1991"/>
      <c r="BG364" s="2011"/>
      <c r="BH364" s="1990"/>
      <c r="BI364" s="1991"/>
      <c r="BJ364" s="1991"/>
      <c r="BK364" s="1991"/>
      <c r="BL364" s="1991"/>
      <c r="BM364" s="1991"/>
      <c r="BN364" s="1991"/>
      <c r="BO364" s="1991"/>
      <c r="BP364" s="1991"/>
      <c r="BQ364" s="1991"/>
      <c r="BR364" s="2011"/>
      <c r="BS364" s="1990"/>
      <c r="BT364" s="1991"/>
      <c r="BU364" s="1991"/>
      <c r="BV364" s="1991"/>
      <c r="BW364" s="1991"/>
      <c r="BX364" s="1991"/>
      <c r="BY364" s="1991"/>
      <c r="BZ364" s="1991"/>
      <c r="CA364" s="1991"/>
      <c r="CB364" s="1991"/>
      <c r="CC364" s="1992"/>
    </row>
    <row r="365" spans="1:81" s="10" customFormat="1" ht="20.100000000000001" customHeight="1" thickBot="1">
      <c r="A365" s="1993" t="s">
        <v>15</v>
      </c>
      <c r="B365" s="1994"/>
      <c r="C365" s="1994"/>
      <c r="D365" s="1994"/>
      <c r="E365" s="1994"/>
      <c r="F365" s="1994"/>
      <c r="G365" s="1994"/>
      <c r="H365" s="1994"/>
      <c r="I365" s="1994"/>
      <c r="J365" s="1994"/>
      <c r="K365" s="1994"/>
      <c r="L365" s="1994"/>
      <c r="M365" s="1995"/>
      <c r="N365" s="1996"/>
      <c r="O365" s="1996"/>
      <c r="P365" s="1996"/>
      <c r="Q365" s="1996"/>
      <c r="R365" s="1996"/>
      <c r="S365" s="1996"/>
      <c r="T365" s="1996"/>
      <c r="U365" s="1996"/>
      <c r="V365" s="1996"/>
      <c r="W365" s="1996"/>
      <c r="X365" s="1997"/>
      <c r="Y365" s="1998"/>
      <c r="Z365" s="1996"/>
      <c r="AA365" s="1996"/>
      <c r="AB365" s="1996"/>
      <c r="AC365" s="1996"/>
      <c r="AD365" s="1996"/>
      <c r="AE365" s="1996"/>
      <c r="AF365" s="1996"/>
      <c r="AG365" s="1996"/>
      <c r="AH365" s="1996"/>
      <c r="AI365" s="1996"/>
      <c r="AJ365" s="1997"/>
      <c r="AK365" s="1999"/>
      <c r="AL365" s="2000"/>
      <c r="AM365" s="2000"/>
      <c r="AN365" s="2000"/>
      <c r="AO365" s="2000"/>
      <c r="AP365" s="2000"/>
      <c r="AQ365" s="2000"/>
      <c r="AR365" s="2000"/>
      <c r="AS365" s="2000"/>
      <c r="AT365" s="2000"/>
      <c r="AU365" s="2000"/>
      <c r="AV365" s="2001"/>
      <c r="AW365" s="2002"/>
      <c r="AX365" s="2000"/>
      <c r="AY365" s="2000"/>
      <c r="AZ365" s="2000"/>
      <c r="BA365" s="2000"/>
      <c r="BB365" s="2000"/>
      <c r="BC365" s="2000"/>
      <c r="BD365" s="2000"/>
      <c r="BE365" s="2000"/>
      <c r="BF365" s="2000"/>
      <c r="BG365" s="2003"/>
      <c r="BH365" s="1999"/>
      <c r="BI365" s="2000"/>
      <c r="BJ365" s="2000"/>
      <c r="BK365" s="2000"/>
      <c r="BL365" s="2000"/>
      <c r="BM365" s="2000"/>
      <c r="BN365" s="2000"/>
      <c r="BO365" s="2000"/>
      <c r="BP365" s="2000"/>
      <c r="BQ365" s="2000"/>
      <c r="BR365" s="2003"/>
      <c r="BS365" s="1999"/>
      <c r="BT365" s="2000"/>
      <c r="BU365" s="2000"/>
      <c r="BV365" s="2000"/>
      <c r="BW365" s="2000"/>
      <c r="BX365" s="2000"/>
      <c r="BY365" s="2000"/>
      <c r="BZ365" s="2000"/>
      <c r="CA365" s="2000"/>
      <c r="CB365" s="2000"/>
      <c r="CC365" s="2001"/>
    </row>
    <row r="366" spans="1:81" s="10" customFormat="1" ht="15" customHeight="1" thickTop="1">
      <c r="B366" s="3"/>
      <c r="C366" s="26"/>
      <c r="D366" s="26"/>
      <c r="T366" s="26"/>
      <c r="AN366" s="26"/>
      <c r="BH366" s="26"/>
      <c r="CC366" s="26"/>
    </row>
    <row r="367" spans="1:81" s="10" customFormat="1" ht="15" customHeight="1">
      <c r="B367" s="3"/>
      <c r="C367" s="26"/>
      <c r="D367" s="26"/>
      <c r="T367" s="26"/>
      <c r="AN367" s="26"/>
      <c r="BH367" s="26"/>
      <c r="CC367" s="26"/>
    </row>
    <row r="368" spans="1:81" s="10" customFormat="1" ht="15" customHeight="1">
      <c r="B368" s="3"/>
      <c r="C368" s="26"/>
      <c r="D368" s="26"/>
      <c r="T368" s="26"/>
      <c r="AN368" s="26"/>
      <c r="BH368" s="26"/>
      <c r="CC368" s="26"/>
    </row>
    <row r="369" spans="1:81" s="10" customFormat="1" ht="15" customHeight="1">
      <c r="B369" s="3"/>
      <c r="C369" s="26"/>
      <c r="D369" s="26"/>
      <c r="T369" s="26"/>
      <c r="AN369" s="26"/>
      <c r="BH369" s="26"/>
      <c r="CC369" s="26"/>
    </row>
    <row r="370" spans="1:81" s="10" customFormat="1" ht="15" customHeight="1">
      <c r="B370" s="3"/>
      <c r="C370" s="26"/>
      <c r="D370" s="26"/>
      <c r="T370" s="26"/>
      <c r="AN370" s="26"/>
      <c r="BH370" s="26"/>
      <c r="CC370" s="26"/>
    </row>
    <row r="371" spans="1:81" s="10" customFormat="1" ht="23.25">
      <c r="A371" s="37" t="s">
        <v>125</v>
      </c>
      <c r="C371" s="26"/>
      <c r="D371" s="26"/>
      <c r="T371" s="26"/>
      <c r="AN371" s="26"/>
      <c r="BH371" s="26"/>
      <c r="CC371" s="26"/>
    </row>
    <row r="372" spans="1:81" s="10" customFormat="1" ht="15" customHeight="1" thickBot="1">
      <c r="B372" s="12"/>
      <c r="C372" s="26"/>
      <c r="D372" s="26"/>
      <c r="T372" s="26"/>
      <c r="AN372" s="26"/>
      <c r="BH372" s="26"/>
      <c r="CC372" s="26"/>
    </row>
    <row r="373" spans="1:81" s="10" customFormat="1" ht="20.100000000000001" customHeight="1" thickTop="1">
      <c r="A373" s="1974" t="s">
        <v>187</v>
      </c>
      <c r="B373" s="1975"/>
      <c r="C373" s="1975"/>
      <c r="D373" s="1976"/>
      <c r="E373" s="1980" t="s">
        <v>126</v>
      </c>
      <c r="F373" s="1981"/>
      <c r="G373" s="1981"/>
      <c r="H373" s="1981"/>
      <c r="I373" s="1981"/>
      <c r="J373" s="1981"/>
      <c r="K373" s="1982"/>
      <c r="L373" s="1986" t="s">
        <v>127</v>
      </c>
      <c r="M373" s="1986"/>
      <c r="N373" s="1986"/>
      <c r="O373" s="1986"/>
      <c r="P373" s="1986"/>
      <c r="Q373" s="1986"/>
      <c r="R373" s="1986"/>
      <c r="S373" s="1986"/>
      <c r="T373" s="1986"/>
      <c r="U373" s="1986"/>
      <c r="V373" s="1986"/>
      <c r="W373" s="1986"/>
      <c r="X373" s="1986"/>
      <c r="Y373" s="1986"/>
      <c r="Z373" s="1986" t="s">
        <v>190</v>
      </c>
      <c r="AA373" s="1986"/>
      <c r="AB373" s="1986"/>
      <c r="AC373" s="1986"/>
      <c r="AD373" s="1986"/>
      <c r="AE373" s="1986"/>
      <c r="AF373" s="1986"/>
      <c r="AG373" s="1986"/>
      <c r="AH373" s="1986"/>
      <c r="AI373" s="1986"/>
      <c r="AJ373" s="1986"/>
      <c r="AK373" s="1986"/>
      <c r="AL373" s="1986"/>
      <c r="AM373" s="1986"/>
      <c r="AN373" s="1986"/>
      <c r="AO373" s="1986"/>
      <c r="AP373" s="1986"/>
      <c r="AQ373" s="1986"/>
      <c r="AR373" s="1986"/>
      <c r="AS373" s="1986"/>
      <c r="AT373" s="1986"/>
      <c r="AU373" s="1986"/>
      <c r="AV373" s="1986"/>
      <c r="AW373" s="1986"/>
      <c r="AX373" s="1986"/>
      <c r="AY373" s="1986"/>
      <c r="AZ373" s="1986"/>
      <c r="BA373" s="1986"/>
      <c r="BB373" s="1987" t="s">
        <v>128</v>
      </c>
      <c r="BC373" s="1987"/>
      <c r="BD373" s="1987"/>
      <c r="BE373" s="1987"/>
      <c r="BF373" s="1987"/>
      <c r="BG373" s="1987"/>
      <c r="BH373" s="1987"/>
      <c r="BI373" s="1987"/>
      <c r="BJ373" s="1987"/>
      <c r="BK373" s="1987"/>
      <c r="BL373" s="1987"/>
      <c r="BM373" s="1987"/>
      <c r="BN373" s="1987"/>
      <c r="BO373" s="1987"/>
      <c r="BP373" s="1987"/>
      <c r="BQ373" s="1987"/>
      <c r="BR373" s="1987"/>
      <c r="BS373" s="1987"/>
      <c r="BT373" s="1987"/>
      <c r="BU373" s="1987"/>
      <c r="BV373" s="1987"/>
      <c r="BW373" s="1986" t="s">
        <v>62</v>
      </c>
      <c r="BX373" s="1986"/>
      <c r="BY373" s="1986"/>
      <c r="BZ373" s="1986"/>
      <c r="CA373" s="1986"/>
      <c r="CB373" s="1986"/>
      <c r="CC373" s="1988"/>
    </row>
    <row r="374" spans="1:81" s="10" customFormat="1" ht="23.25" customHeight="1">
      <c r="A374" s="1977"/>
      <c r="B374" s="1978"/>
      <c r="C374" s="1978"/>
      <c r="D374" s="1979"/>
      <c r="E374" s="1983"/>
      <c r="F374" s="1984"/>
      <c r="G374" s="1984"/>
      <c r="H374" s="1984"/>
      <c r="I374" s="1984"/>
      <c r="J374" s="1984"/>
      <c r="K374" s="1985"/>
      <c r="L374" s="1969" t="s">
        <v>16</v>
      </c>
      <c r="M374" s="1969"/>
      <c r="N374" s="1969"/>
      <c r="O374" s="1969"/>
      <c r="P374" s="1969"/>
      <c r="Q374" s="1969"/>
      <c r="R374" s="1969"/>
      <c r="S374" s="1969" t="s">
        <v>2</v>
      </c>
      <c r="T374" s="1969"/>
      <c r="U374" s="1969"/>
      <c r="V374" s="1969"/>
      <c r="W374" s="1969"/>
      <c r="X374" s="1969"/>
      <c r="Y374" s="1969"/>
      <c r="Z374" s="1969" t="s">
        <v>10</v>
      </c>
      <c r="AA374" s="1969"/>
      <c r="AB374" s="1969"/>
      <c r="AC374" s="1969"/>
      <c r="AD374" s="1969"/>
      <c r="AE374" s="1969"/>
      <c r="AF374" s="1969"/>
      <c r="AG374" s="1969" t="s">
        <v>11</v>
      </c>
      <c r="AH374" s="1969"/>
      <c r="AI374" s="1969"/>
      <c r="AJ374" s="1969"/>
      <c r="AK374" s="1969"/>
      <c r="AL374" s="1969"/>
      <c r="AM374" s="1969"/>
      <c r="AN374" s="1969" t="s">
        <v>114</v>
      </c>
      <c r="AO374" s="1969"/>
      <c r="AP374" s="1969"/>
      <c r="AQ374" s="1969"/>
      <c r="AR374" s="1969"/>
      <c r="AS374" s="1969"/>
      <c r="AT374" s="1969"/>
      <c r="AU374" s="1970" t="s">
        <v>188</v>
      </c>
      <c r="AV374" s="1970"/>
      <c r="AW374" s="1970"/>
      <c r="AX374" s="1970"/>
      <c r="AY374" s="1970"/>
      <c r="AZ374" s="1970"/>
      <c r="BA374" s="1970"/>
      <c r="BB374" s="1969" t="s">
        <v>189</v>
      </c>
      <c r="BC374" s="1969"/>
      <c r="BD374" s="1969"/>
      <c r="BE374" s="1969"/>
      <c r="BF374" s="1969"/>
      <c r="BG374" s="1969"/>
      <c r="BH374" s="1969"/>
      <c r="BI374" s="1969" t="s">
        <v>78</v>
      </c>
      <c r="BJ374" s="1969"/>
      <c r="BK374" s="1969"/>
      <c r="BL374" s="1969"/>
      <c r="BM374" s="1969"/>
      <c r="BN374" s="1969"/>
      <c r="BO374" s="1969"/>
      <c r="BP374" s="1969" t="s">
        <v>129</v>
      </c>
      <c r="BQ374" s="1969"/>
      <c r="BR374" s="1969"/>
      <c r="BS374" s="1969"/>
      <c r="BT374" s="1969"/>
      <c r="BU374" s="1969"/>
      <c r="BV374" s="1969"/>
      <c r="BW374" s="1969"/>
      <c r="BX374" s="1969"/>
      <c r="BY374" s="1969"/>
      <c r="BZ374" s="1969"/>
      <c r="CA374" s="1969"/>
      <c r="CB374" s="1969"/>
      <c r="CC374" s="1989"/>
    </row>
    <row r="375" spans="1:81" s="10" customFormat="1" ht="20.100000000000001" customHeight="1">
      <c r="A375" s="1971"/>
      <c r="B375" s="1967"/>
      <c r="C375" s="1967"/>
      <c r="D375" s="1967"/>
      <c r="E375" s="1972"/>
      <c r="F375" s="1972"/>
      <c r="G375" s="1972"/>
      <c r="H375" s="1972"/>
      <c r="I375" s="1972"/>
      <c r="J375" s="1972"/>
      <c r="K375" s="1972"/>
      <c r="L375" s="1973"/>
      <c r="M375" s="1973"/>
      <c r="N375" s="1973"/>
      <c r="O375" s="1973"/>
      <c r="P375" s="1973"/>
      <c r="Q375" s="1973"/>
      <c r="R375" s="1973"/>
      <c r="S375" s="1973"/>
      <c r="T375" s="1973"/>
      <c r="U375" s="1973"/>
      <c r="V375" s="1973"/>
      <c r="W375" s="1973"/>
      <c r="X375" s="1973"/>
      <c r="Y375" s="1973"/>
      <c r="Z375" s="1967"/>
      <c r="AA375" s="1967"/>
      <c r="AB375" s="1967"/>
      <c r="AC375" s="1967"/>
      <c r="AD375" s="1967"/>
      <c r="AE375" s="1967"/>
      <c r="AF375" s="1967"/>
      <c r="AG375" s="1967"/>
      <c r="AH375" s="1967"/>
      <c r="AI375" s="1967"/>
      <c r="AJ375" s="1967"/>
      <c r="AK375" s="1967"/>
      <c r="AL375" s="1967"/>
      <c r="AM375" s="1967"/>
      <c r="AN375" s="1967"/>
      <c r="AO375" s="1967"/>
      <c r="AP375" s="1967"/>
      <c r="AQ375" s="1967"/>
      <c r="AR375" s="1967"/>
      <c r="AS375" s="1967"/>
      <c r="AT375" s="1967"/>
      <c r="AU375" s="1967"/>
      <c r="AV375" s="1967"/>
      <c r="AW375" s="1967"/>
      <c r="AX375" s="1967"/>
      <c r="AY375" s="1967"/>
      <c r="AZ375" s="1967"/>
      <c r="BA375" s="1967"/>
      <c r="BB375" s="1967"/>
      <c r="BC375" s="1967"/>
      <c r="BD375" s="1967"/>
      <c r="BE375" s="1967"/>
      <c r="BF375" s="1967"/>
      <c r="BG375" s="1967"/>
      <c r="BH375" s="1967"/>
      <c r="BI375" s="1967"/>
      <c r="BJ375" s="1967"/>
      <c r="BK375" s="1967"/>
      <c r="BL375" s="1967"/>
      <c r="BM375" s="1967"/>
      <c r="BN375" s="1967"/>
      <c r="BO375" s="1967"/>
      <c r="BP375" s="1967"/>
      <c r="BQ375" s="1967"/>
      <c r="BR375" s="1967"/>
      <c r="BS375" s="1967"/>
      <c r="BT375" s="1967"/>
      <c r="BU375" s="1967"/>
      <c r="BV375" s="1967"/>
      <c r="BW375" s="1967"/>
      <c r="BX375" s="1967"/>
      <c r="BY375" s="1967"/>
      <c r="BZ375" s="1967"/>
      <c r="CA375" s="1967"/>
      <c r="CB375" s="1967"/>
      <c r="CC375" s="1968"/>
    </row>
    <row r="376" spans="1:81" s="10" customFormat="1" ht="20.100000000000001" customHeight="1">
      <c r="A376" s="1964"/>
      <c r="B376" s="1963"/>
      <c r="C376" s="1963"/>
      <c r="D376" s="1963"/>
      <c r="E376" s="1965"/>
      <c r="F376" s="1965"/>
      <c r="G376" s="1965"/>
      <c r="H376" s="1965"/>
      <c r="I376" s="1965"/>
      <c r="J376" s="1965"/>
      <c r="K376" s="1965"/>
      <c r="L376" s="1966"/>
      <c r="M376" s="1966"/>
      <c r="N376" s="1966"/>
      <c r="O376" s="1966"/>
      <c r="P376" s="1966"/>
      <c r="Q376" s="1966"/>
      <c r="R376" s="1966"/>
      <c r="S376" s="1966"/>
      <c r="T376" s="1966"/>
      <c r="U376" s="1966"/>
      <c r="V376" s="1966"/>
      <c r="W376" s="1966"/>
      <c r="X376" s="1966"/>
      <c r="Y376" s="1966"/>
      <c r="Z376" s="1963"/>
      <c r="AA376" s="1963"/>
      <c r="AB376" s="1963"/>
      <c r="AC376" s="1963"/>
      <c r="AD376" s="1963"/>
      <c r="AE376" s="1963"/>
      <c r="AF376" s="1963"/>
      <c r="AG376" s="1963"/>
      <c r="AH376" s="1963"/>
      <c r="AI376" s="1963"/>
      <c r="AJ376" s="1963"/>
      <c r="AK376" s="1963"/>
      <c r="AL376" s="1963"/>
      <c r="AM376" s="1963"/>
      <c r="AN376" s="1963"/>
      <c r="AO376" s="1963"/>
      <c r="AP376" s="1963"/>
      <c r="AQ376" s="1963"/>
      <c r="AR376" s="1963"/>
      <c r="AS376" s="1963"/>
      <c r="AT376" s="1963"/>
      <c r="AU376" s="1963"/>
      <c r="AV376" s="1963"/>
      <c r="AW376" s="1963"/>
      <c r="AX376" s="1963"/>
      <c r="AY376" s="1963"/>
      <c r="AZ376" s="1963"/>
      <c r="BA376" s="1963"/>
      <c r="BB376" s="1963"/>
      <c r="BC376" s="1963"/>
      <c r="BD376" s="1963"/>
      <c r="BE376" s="1963"/>
      <c r="BF376" s="1963"/>
      <c r="BG376" s="1963"/>
      <c r="BH376" s="1963"/>
      <c r="BI376" s="1963"/>
      <c r="BJ376" s="1963"/>
      <c r="BK376" s="1963"/>
      <c r="BL376" s="1963"/>
      <c r="BM376" s="1963"/>
      <c r="BN376" s="1963"/>
      <c r="BO376" s="1963"/>
      <c r="BP376" s="1963"/>
      <c r="BQ376" s="1963"/>
      <c r="BR376" s="1963"/>
      <c r="BS376" s="1963"/>
      <c r="BT376" s="1963"/>
      <c r="BU376" s="1963"/>
      <c r="BV376" s="1963"/>
      <c r="BW376" s="1958"/>
      <c r="BX376" s="1958"/>
      <c r="BY376" s="1958"/>
      <c r="BZ376" s="1958"/>
      <c r="CA376" s="1958"/>
      <c r="CB376" s="1958"/>
      <c r="CC376" s="1959"/>
    </row>
    <row r="377" spans="1:81" s="10" customFormat="1" ht="20.100000000000001" customHeight="1">
      <c r="A377" s="1960"/>
      <c r="B377" s="1953"/>
      <c r="C377" s="1953"/>
      <c r="D377" s="1953"/>
      <c r="E377" s="1961"/>
      <c r="F377" s="1961"/>
      <c r="G377" s="1961"/>
      <c r="H377" s="1961"/>
      <c r="I377" s="1961"/>
      <c r="J377" s="1961"/>
      <c r="K377" s="1961"/>
      <c r="L377" s="1962"/>
      <c r="M377" s="1962"/>
      <c r="N377" s="1962"/>
      <c r="O377" s="1962"/>
      <c r="P377" s="1962"/>
      <c r="Q377" s="1962"/>
      <c r="R377" s="1962"/>
      <c r="S377" s="1962"/>
      <c r="T377" s="1962"/>
      <c r="U377" s="1962"/>
      <c r="V377" s="1962"/>
      <c r="W377" s="1962"/>
      <c r="X377" s="1962"/>
      <c r="Y377" s="1962"/>
      <c r="Z377" s="1953"/>
      <c r="AA377" s="1953"/>
      <c r="AB377" s="1953"/>
      <c r="AC377" s="1953"/>
      <c r="AD377" s="1953"/>
      <c r="AE377" s="1953"/>
      <c r="AF377" s="1953"/>
      <c r="AG377" s="1953"/>
      <c r="AH377" s="1953"/>
      <c r="AI377" s="1953"/>
      <c r="AJ377" s="1953"/>
      <c r="AK377" s="1953"/>
      <c r="AL377" s="1953"/>
      <c r="AM377" s="1953"/>
      <c r="AN377" s="1953"/>
      <c r="AO377" s="1953"/>
      <c r="AP377" s="1953"/>
      <c r="AQ377" s="1953"/>
      <c r="AR377" s="1953"/>
      <c r="AS377" s="1953"/>
      <c r="AT377" s="1953"/>
      <c r="AU377" s="1953"/>
      <c r="AV377" s="1953"/>
      <c r="AW377" s="1953"/>
      <c r="AX377" s="1953"/>
      <c r="AY377" s="1953"/>
      <c r="AZ377" s="1953"/>
      <c r="BA377" s="1953"/>
      <c r="BB377" s="1953"/>
      <c r="BC377" s="1953"/>
      <c r="BD377" s="1953"/>
      <c r="BE377" s="1953"/>
      <c r="BF377" s="1953"/>
      <c r="BG377" s="1953"/>
      <c r="BH377" s="1953"/>
      <c r="BI377" s="1953"/>
      <c r="BJ377" s="1953"/>
      <c r="BK377" s="1953"/>
      <c r="BL377" s="1953"/>
      <c r="BM377" s="1953"/>
      <c r="BN377" s="1953"/>
      <c r="BO377" s="1953"/>
      <c r="BP377" s="1953"/>
      <c r="BQ377" s="1953"/>
      <c r="BR377" s="1953"/>
      <c r="BS377" s="1953"/>
      <c r="BT377" s="1953"/>
      <c r="BU377" s="1953"/>
      <c r="BV377" s="1953"/>
      <c r="BW377" s="1953"/>
      <c r="BX377" s="1953"/>
      <c r="BY377" s="1953"/>
      <c r="BZ377" s="1953"/>
      <c r="CA377" s="1953"/>
      <c r="CB377" s="1953"/>
      <c r="CC377" s="1954"/>
    </row>
    <row r="378" spans="1:81" s="10" customFormat="1" ht="20.100000000000001" customHeight="1">
      <c r="A378" s="1964"/>
      <c r="B378" s="1963"/>
      <c r="C378" s="1963"/>
      <c r="D378" s="1963"/>
      <c r="E378" s="1965"/>
      <c r="F378" s="1965"/>
      <c r="G378" s="1965"/>
      <c r="H378" s="1965"/>
      <c r="I378" s="1965"/>
      <c r="J378" s="1965"/>
      <c r="K378" s="1965"/>
      <c r="L378" s="1966"/>
      <c r="M378" s="1966"/>
      <c r="N378" s="1966"/>
      <c r="O378" s="1966"/>
      <c r="P378" s="1966"/>
      <c r="Q378" s="1966"/>
      <c r="R378" s="1966"/>
      <c r="S378" s="1966"/>
      <c r="T378" s="1966"/>
      <c r="U378" s="1966"/>
      <c r="V378" s="1966"/>
      <c r="W378" s="1966"/>
      <c r="X378" s="1966"/>
      <c r="Y378" s="1966"/>
      <c r="Z378" s="1963"/>
      <c r="AA378" s="1963"/>
      <c r="AB378" s="1963"/>
      <c r="AC378" s="1963"/>
      <c r="AD378" s="1963"/>
      <c r="AE378" s="1963"/>
      <c r="AF378" s="1963"/>
      <c r="AG378" s="1963"/>
      <c r="AH378" s="1963"/>
      <c r="AI378" s="1963"/>
      <c r="AJ378" s="1963"/>
      <c r="AK378" s="1963"/>
      <c r="AL378" s="1963"/>
      <c r="AM378" s="1963"/>
      <c r="AN378" s="1963"/>
      <c r="AO378" s="1963"/>
      <c r="AP378" s="1963"/>
      <c r="AQ378" s="1963"/>
      <c r="AR378" s="1963"/>
      <c r="AS378" s="1963"/>
      <c r="AT378" s="1963"/>
      <c r="AU378" s="1963"/>
      <c r="AV378" s="1963"/>
      <c r="AW378" s="1963"/>
      <c r="AX378" s="1963"/>
      <c r="AY378" s="1963"/>
      <c r="AZ378" s="1963"/>
      <c r="BA378" s="1963"/>
      <c r="BB378" s="1963"/>
      <c r="BC378" s="1963"/>
      <c r="BD378" s="1963"/>
      <c r="BE378" s="1963"/>
      <c r="BF378" s="1963"/>
      <c r="BG378" s="1963"/>
      <c r="BH378" s="1963"/>
      <c r="BI378" s="1963"/>
      <c r="BJ378" s="1963"/>
      <c r="BK378" s="1963"/>
      <c r="BL378" s="1963"/>
      <c r="BM378" s="1963"/>
      <c r="BN378" s="1963"/>
      <c r="BO378" s="1963"/>
      <c r="BP378" s="1963"/>
      <c r="BQ378" s="1963"/>
      <c r="BR378" s="1963"/>
      <c r="BS378" s="1963"/>
      <c r="BT378" s="1963"/>
      <c r="BU378" s="1963"/>
      <c r="BV378" s="1963"/>
      <c r="BW378" s="1958"/>
      <c r="BX378" s="1958"/>
      <c r="BY378" s="1958"/>
      <c r="BZ378" s="1958"/>
      <c r="CA378" s="1958"/>
      <c r="CB378" s="1958"/>
      <c r="CC378" s="1959"/>
    </row>
    <row r="379" spans="1:81" s="10" customFormat="1" ht="20.100000000000001" customHeight="1">
      <c r="A379" s="1960"/>
      <c r="B379" s="1953"/>
      <c r="C379" s="1953"/>
      <c r="D379" s="1953"/>
      <c r="E379" s="1961"/>
      <c r="F379" s="1961"/>
      <c r="G379" s="1961"/>
      <c r="H379" s="1961"/>
      <c r="I379" s="1961"/>
      <c r="J379" s="1961"/>
      <c r="K379" s="1961"/>
      <c r="L379" s="1962"/>
      <c r="M379" s="1962"/>
      <c r="N379" s="1962"/>
      <c r="O379" s="1962"/>
      <c r="P379" s="1962"/>
      <c r="Q379" s="1962"/>
      <c r="R379" s="1962"/>
      <c r="S379" s="1962"/>
      <c r="T379" s="1962"/>
      <c r="U379" s="1962"/>
      <c r="V379" s="1962"/>
      <c r="W379" s="1962"/>
      <c r="X379" s="1962"/>
      <c r="Y379" s="1962"/>
      <c r="Z379" s="1953"/>
      <c r="AA379" s="1953"/>
      <c r="AB379" s="1953"/>
      <c r="AC379" s="1953"/>
      <c r="AD379" s="1953"/>
      <c r="AE379" s="1953"/>
      <c r="AF379" s="1953"/>
      <c r="AG379" s="1953"/>
      <c r="AH379" s="1953"/>
      <c r="AI379" s="1953"/>
      <c r="AJ379" s="1953"/>
      <c r="AK379" s="1953"/>
      <c r="AL379" s="1953"/>
      <c r="AM379" s="1953"/>
      <c r="AN379" s="1953"/>
      <c r="AO379" s="1953"/>
      <c r="AP379" s="1953"/>
      <c r="AQ379" s="1953"/>
      <c r="AR379" s="1953"/>
      <c r="AS379" s="1953"/>
      <c r="AT379" s="1953"/>
      <c r="AU379" s="1953"/>
      <c r="AV379" s="1953"/>
      <c r="AW379" s="1953"/>
      <c r="AX379" s="1953"/>
      <c r="AY379" s="1953"/>
      <c r="AZ379" s="1953"/>
      <c r="BA379" s="1953"/>
      <c r="BB379" s="1953"/>
      <c r="BC379" s="1953"/>
      <c r="BD379" s="1953"/>
      <c r="BE379" s="1953"/>
      <c r="BF379" s="1953"/>
      <c r="BG379" s="1953"/>
      <c r="BH379" s="1953"/>
      <c r="BI379" s="1953"/>
      <c r="BJ379" s="1953"/>
      <c r="BK379" s="1953"/>
      <c r="BL379" s="1953"/>
      <c r="BM379" s="1953"/>
      <c r="BN379" s="1953"/>
      <c r="BO379" s="1953"/>
      <c r="BP379" s="1953"/>
      <c r="BQ379" s="1953"/>
      <c r="BR379" s="1953"/>
      <c r="BS379" s="1953"/>
      <c r="BT379" s="1953"/>
      <c r="BU379" s="1953"/>
      <c r="BV379" s="1953"/>
      <c r="BW379" s="1953"/>
      <c r="BX379" s="1953"/>
      <c r="BY379" s="1953"/>
      <c r="BZ379" s="1953"/>
      <c r="CA379" s="1953"/>
      <c r="CB379" s="1953"/>
      <c r="CC379" s="1954"/>
    </row>
    <row r="380" spans="1:81" s="10" customFormat="1" ht="20.100000000000001" customHeight="1">
      <c r="A380" s="1964"/>
      <c r="B380" s="1963"/>
      <c r="C380" s="1963"/>
      <c r="D380" s="1963"/>
      <c r="E380" s="1965"/>
      <c r="F380" s="1965"/>
      <c r="G380" s="1965"/>
      <c r="H380" s="1965"/>
      <c r="I380" s="1965"/>
      <c r="J380" s="1965"/>
      <c r="K380" s="1965"/>
      <c r="L380" s="1966"/>
      <c r="M380" s="1966"/>
      <c r="N380" s="1966"/>
      <c r="O380" s="1966"/>
      <c r="P380" s="1966"/>
      <c r="Q380" s="1966"/>
      <c r="R380" s="1966"/>
      <c r="S380" s="1966"/>
      <c r="T380" s="1966"/>
      <c r="U380" s="1966"/>
      <c r="V380" s="1966"/>
      <c r="W380" s="1966"/>
      <c r="X380" s="1966"/>
      <c r="Y380" s="1966"/>
      <c r="Z380" s="1963"/>
      <c r="AA380" s="1963"/>
      <c r="AB380" s="1963"/>
      <c r="AC380" s="1963"/>
      <c r="AD380" s="1963"/>
      <c r="AE380" s="1963"/>
      <c r="AF380" s="1963"/>
      <c r="AG380" s="1963"/>
      <c r="AH380" s="1963"/>
      <c r="AI380" s="1963"/>
      <c r="AJ380" s="1963"/>
      <c r="AK380" s="1963"/>
      <c r="AL380" s="1963"/>
      <c r="AM380" s="1963"/>
      <c r="AN380" s="1963"/>
      <c r="AO380" s="1963"/>
      <c r="AP380" s="1963"/>
      <c r="AQ380" s="1963"/>
      <c r="AR380" s="1963"/>
      <c r="AS380" s="1963"/>
      <c r="AT380" s="1963"/>
      <c r="AU380" s="1963"/>
      <c r="AV380" s="1963"/>
      <c r="AW380" s="1963"/>
      <c r="AX380" s="1963"/>
      <c r="AY380" s="1963"/>
      <c r="AZ380" s="1963"/>
      <c r="BA380" s="1963"/>
      <c r="BB380" s="1963"/>
      <c r="BC380" s="1963"/>
      <c r="BD380" s="1963"/>
      <c r="BE380" s="1963"/>
      <c r="BF380" s="1963"/>
      <c r="BG380" s="1963"/>
      <c r="BH380" s="1963"/>
      <c r="BI380" s="1963"/>
      <c r="BJ380" s="1963"/>
      <c r="BK380" s="1963"/>
      <c r="BL380" s="1963"/>
      <c r="BM380" s="1963"/>
      <c r="BN380" s="1963"/>
      <c r="BO380" s="1963"/>
      <c r="BP380" s="1963"/>
      <c r="BQ380" s="1963"/>
      <c r="BR380" s="1963"/>
      <c r="BS380" s="1963"/>
      <c r="BT380" s="1963"/>
      <c r="BU380" s="1963"/>
      <c r="BV380" s="1963"/>
      <c r="BW380" s="1958"/>
      <c r="BX380" s="1958"/>
      <c r="BY380" s="1958"/>
      <c r="BZ380" s="1958"/>
      <c r="CA380" s="1958"/>
      <c r="CB380" s="1958"/>
      <c r="CC380" s="1959"/>
    </row>
    <row r="381" spans="1:81" s="10" customFormat="1" ht="20.100000000000001" customHeight="1">
      <c r="A381" s="1960"/>
      <c r="B381" s="1953"/>
      <c r="C381" s="1953"/>
      <c r="D381" s="1953"/>
      <c r="E381" s="1961"/>
      <c r="F381" s="1961"/>
      <c r="G381" s="1961"/>
      <c r="H381" s="1961"/>
      <c r="I381" s="1961"/>
      <c r="J381" s="1961"/>
      <c r="K381" s="1961"/>
      <c r="L381" s="1962"/>
      <c r="M381" s="1962"/>
      <c r="N381" s="1962"/>
      <c r="O381" s="1962"/>
      <c r="P381" s="1962"/>
      <c r="Q381" s="1962"/>
      <c r="R381" s="1962"/>
      <c r="S381" s="1962"/>
      <c r="T381" s="1962"/>
      <c r="U381" s="1962"/>
      <c r="V381" s="1962"/>
      <c r="W381" s="1962"/>
      <c r="X381" s="1962"/>
      <c r="Y381" s="1962"/>
      <c r="Z381" s="1953"/>
      <c r="AA381" s="1953"/>
      <c r="AB381" s="1953"/>
      <c r="AC381" s="1953"/>
      <c r="AD381" s="1953"/>
      <c r="AE381" s="1953"/>
      <c r="AF381" s="1953"/>
      <c r="AG381" s="1953"/>
      <c r="AH381" s="1953"/>
      <c r="AI381" s="1953"/>
      <c r="AJ381" s="1953"/>
      <c r="AK381" s="1953"/>
      <c r="AL381" s="1953"/>
      <c r="AM381" s="1953"/>
      <c r="AN381" s="1953"/>
      <c r="AO381" s="1953"/>
      <c r="AP381" s="1953"/>
      <c r="AQ381" s="1953"/>
      <c r="AR381" s="1953"/>
      <c r="AS381" s="1953"/>
      <c r="AT381" s="1953"/>
      <c r="AU381" s="1953"/>
      <c r="AV381" s="1953"/>
      <c r="AW381" s="1953"/>
      <c r="AX381" s="1953"/>
      <c r="AY381" s="1953"/>
      <c r="AZ381" s="1953"/>
      <c r="BA381" s="1953"/>
      <c r="BB381" s="1953"/>
      <c r="BC381" s="1953"/>
      <c r="BD381" s="1953"/>
      <c r="BE381" s="1953"/>
      <c r="BF381" s="1953"/>
      <c r="BG381" s="1953"/>
      <c r="BH381" s="1953"/>
      <c r="BI381" s="1953"/>
      <c r="BJ381" s="1953"/>
      <c r="BK381" s="1953"/>
      <c r="BL381" s="1953"/>
      <c r="BM381" s="1953"/>
      <c r="BN381" s="1953"/>
      <c r="BO381" s="1953"/>
      <c r="BP381" s="1953"/>
      <c r="BQ381" s="1953"/>
      <c r="BR381" s="1953"/>
      <c r="BS381" s="1953"/>
      <c r="BT381" s="1953"/>
      <c r="BU381" s="1953"/>
      <c r="BV381" s="1953"/>
      <c r="BW381" s="1953"/>
      <c r="BX381" s="1953"/>
      <c r="BY381" s="1953"/>
      <c r="BZ381" s="1953"/>
      <c r="CA381" s="1953"/>
      <c r="CB381" s="1953"/>
      <c r="CC381" s="1954"/>
    </row>
    <row r="382" spans="1:81" s="10" customFormat="1" ht="20.100000000000001" customHeight="1">
      <c r="A382" s="1964"/>
      <c r="B382" s="1963"/>
      <c r="C382" s="1963"/>
      <c r="D382" s="1963"/>
      <c r="E382" s="1965"/>
      <c r="F382" s="1965"/>
      <c r="G382" s="1965"/>
      <c r="H382" s="1965"/>
      <c r="I382" s="1965"/>
      <c r="J382" s="1965"/>
      <c r="K382" s="1965"/>
      <c r="L382" s="1966"/>
      <c r="M382" s="1966"/>
      <c r="N382" s="1966"/>
      <c r="O382" s="1966"/>
      <c r="P382" s="1966"/>
      <c r="Q382" s="1966"/>
      <c r="R382" s="1966"/>
      <c r="S382" s="1966"/>
      <c r="T382" s="1966"/>
      <c r="U382" s="1966"/>
      <c r="V382" s="1966"/>
      <c r="W382" s="1966"/>
      <c r="X382" s="1966"/>
      <c r="Y382" s="1966"/>
      <c r="Z382" s="1963"/>
      <c r="AA382" s="1963"/>
      <c r="AB382" s="1963"/>
      <c r="AC382" s="1963"/>
      <c r="AD382" s="1963"/>
      <c r="AE382" s="1963"/>
      <c r="AF382" s="1963"/>
      <c r="AG382" s="1963"/>
      <c r="AH382" s="1963"/>
      <c r="AI382" s="1963"/>
      <c r="AJ382" s="1963"/>
      <c r="AK382" s="1963"/>
      <c r="AL382" s="1963"/>
      <c r="AM382" s="1963"/>
      <c r="AN382" s="1963"/>
      <c r="AO382" s="1963"/>
      <c r="AP382" s="1963"/>
      <c r="AQ382" s="1963"/>
      <c r="AR382" s="1963"/>
      <c r="AS382" s="1963"/>
      <c r="AT382" s="1963"/>
      <c r="AU382" s="1963"/>
      <c r="AV382" s="1963"/>
      <c r="AW382" s="1963"/>
      <c r="AX382" s="1963"/>
      <c r="AY382" s="1963"/>
      <c r="AZ382" s="1963"/>
      <c r="BA382" s="1963"/>
      <c r="BB382" s="1963"/>
      <c r="BC382" s="1963"/>
      <c r="BD382" s="1963"/>
      <c r="BE382" s="1963"/>
      <c r="BF382" s="1963"/>
      <c r="BG382" s="1963"/>
      <c r="BH382" s="1963"/>
      <c r="BI382" s="1963"/>
      <c r="BJ382" s="1963"/>
      <c r="BK382" s="1963"/>
      <c r="BL382" s="1963"/>
      <c r="BM382" s="1963"/>
      <c r="BN382" s="1963"/>
      <c r="BO382" s="1963"/>
      <c r="BP382" s="1963"/>
      <c r="BQ382" s="1963"/>
      <c r="BR382" s="1963"/>
      <c r="BS382" s="1963"/>
      <c r="BT382" s="1963"/>
      <c r="BU382" s="1963"/>
      <c r="BV382" s="1963"/>
      <c r="BW382" s="1958"/>
      <c r="BX382" s="1958"/>
      <c r="BY382" s="1958"/>
      <c r="BZ382" s="1958"/>
      <c r="CA382" s="1958"/>
      <c r="CB382" s="1958"/>
      <c r="CC382" s="1959"/>
    </row>
    <row r="383" spans="1:81" s="10" customFormat="1" ht="20.100000000000001" customHeight="1">
      <c r="A383" s="1960"/>
      <c r="B383" s="1953"/>
      <c r="C383" s="1953"/>
      <c r="D383" s="1953"/>
      <c r="E383" s="1961"/>
      <c r="F383" s="1961"/>
      <c r="G383" s="1961"/>
      <c r="H383" s="1961"/>
      <c r="I383" s="1961"/>
      <c r="J383" s="1961"/>
      <c r="K383" s="1961"/>
      <c r="L383" s="1962"/>
      <c r="M383" s="1962"/>
      <c r="N383" s="1962"/>
      <c r="O383" s="1962"/>
      <c r="P383" s="1962"/>
      <c r="Q383" s="1962"/>
      <c r="R383" s="1962"/>
      <c r="S383" s="1962"/>
      <c r="T383" s="1962"/>
      <c r="U383" s="1962"/>
      <c r="V383" s="1962"/>
      <c r="W383" s="1962"/>
      <c r="X383" s="1962"/>
      <c r="Y383" s="1962"/>
      <c r="Z383" s="1953"/>
      <c r="AA383" s="1953"/>
      <c r="AB383" s="1953"/>
      <c r="AC383" s="1953"/>
      <c r="AD383" s="1953"/>
      <c r="AE383" s="1953"/>
      <c r="AF383" s="1953"/>
      <c r="AG383" s="1953"/>
      <c r="AH383" s="1953"/>
      <c r="AI383" s="1953"/>
      <c r="AJ383" s="1953"/>
      <c r="AK383" s="1953"/>
      <c r="AL383" s="1953"/>
      <c r="AM383" s="1953"/>
      <c r="AN383" s="1953"/>
      <c r="AO383" s="1953"/>
      <c r="AP383" s="1953"/>
      <c r="AQ383" s="1953"/>
      <c r="AR383" s="1953"/>
      <c r="AS383" s="1953"/>
      <c r="AT383" s="1953"/>
      <c r="AU383" s="1953"/>
      <c r="AV383" s="1953"/>
      <c r="AW383" s="1953"/>
      <c r="AX383" s="1953"/>
      <c r="AY383" s="1953"/>
      <c r="AZ383" s="1953"/>
      <c r="BA383" s="1953"/>
      <c r="BB383" s="1953"/>
      <c r="BC383" s="1953"/>
      <c r="BD383" s="1953"/>
      <c r="BE383" s="1953"/>
      <c r="BF383" s="1953"/>
      <c r="BG383" s="1953"/>
      <c r="BH383" s="1953"/>
      <c r="BI383" s="1953"/>
      <c r="BJ383" s="1953"/>
      <c r="BK383" s="1953"/>
      <c r="BL383" s="1953"/>
      <c r="BM383" s="1953"/>
      <c r="BN383" s="1953"/>
      <c r="BO383" s="1953"/>
      <c r="BP383" s="1953"/>
      <c r="BQ383" s="1953"/>
      <c r="BR383" s="1953"/>
      <c r="BS383" s="1953"/>
      <c r="BT383" s="1953"/>
      <c r="BU383" s="1953"/>
      <c r="BV383" s="1953"/>
      <c r="BW383" s="1953"/>
      <c r="BX383" s="1953"/>
      <c r="BY383" s="1953"/>
      <c r="BZ383" s="1953"/>
      <c r="CA383" s="1953"/>
      <c r="CB383" s="1953"/>
      <c r="CC383" s="1954"/>
    </row>
    <row r="384" spans="1:81" s="10" customFormat="1" ht="20.100000000000001" customHeight="1">
      <c r="A384" s="1964"/>
      <c r="B384" s="1963"/>
      <c r="C384" s="1963"/>
      <c r="D384" s="1963"/>
      <c r="E384" s="1965"/>
      <c r="F384" s="1965"/>
      <c r="G384" s="1965"/>
      <c r="H384" s="1965"/>
      <c r="I384" s="1965"/>
      <c r="J384" s="1965"/>
      <c r="K384" s="1965"/>
      <c r="L384" s="1966"/>
      <c r="M384" s="1966"/>
      <c r="N384" s="1966"/>
      <c r="O384" s="1966"/>
      <c r="P384" s="1966"/>
      <c r="Q384" s="1966"/>
      <c r="R384" s="1966"/>
      <c r="S384" s="1966"/>
      <c r="T384" s="1966"/>
      <c r="U384" s="1966"/>
      <c r="V384" s="1966"/>
      <c r="W384" s="1966"/>
      <c r="X384" s="1966"/>
      <c r="Y384" s="1966"/>
      <c r="Z384" s="1963"/>
      <c r="AA384" s="1963"/>
      <c r="AB384" s="1963"/>
      <c r="AC384" s="1963"/>
      <c r="AD384" s="1963"/>
      <c r="AE384" s="1963"/>
      <c r="AF384" s="1963"/>
      <c r="AG384" s="1963"/>
      <c r="AH384" s="1963"/>
      <c r="AI384" s="1963"/>
      <c r="AJ384" s="1963"/>
      <c r="AK384" s="1963"/>
      <c r="AL384" s="1963"/>
      <c r="AM384" s="1963"/>
      <c r="AN384" s="1963"/>
      <c r="AO384" s="1963"/>
      <c r="AP384" s="1963"/>
      <c r="AQ384" s="1963"/>
      <c r="AR384" s="1963"/>
      <c r="AS384" s="1963"/>
      <c r="AT384" s="1963"/>
      <c r="AU384" s="1963"/>
      <c r="AV384" s="1963"/>
      <c r="AW384" s="1963"/>
      <c r="AX384" s="1963"/>
      <c r="AY384" s="1963"/>
      <c r="AZ384" s="1963"/>
      <c r="BA384" s="1963"/>
      <c r="BB384" s="1963"/>
      <c r="BC384" s="1963"/>
      <c r="BD384" s="1963"/>
      <c r="BE384" s="1963"/>
      <c r="BF384" s="1963"/>
      <c r="BG384" s="1963"/>
      <c r="BH384" s="1963"/>
      <c r="BI384" s="1963"/>
      <c r="BJ384" s="1963"/>
      <c r="BK384" s="1963"/>
      <c r="BL384" s="1963"/>
      <c r="BM384" s="1963"/>
      <c r="BN384" s="1963"/>
      <c r="BO384" s="1963"/>
      <c r="BP384" s="1963"/>
      <c r="BQ384" s="1963"/>
      <c r="BR384" s="1963"/>
      <c r="BS384" s="1963"/>
      <c r="BT384" s="1963"/>
      <c r="BU384" s="1963"/>
      <c r="BV384" s="1963"/>
      <c r="BW384" s="1958"/>
      <c r="BX384" s="1958"/>
      <c r="BY384" s="1958"/>
      <c r="BZ384" s="1958"/>
      <c r="CA384" s="1958"/>
      <c r="CB384" s="1958"/>
      <c r="CC384" s="1959"/>
    </row>
    <row r="385" spans="1:81" s="10" customFormat="1" ht="19.5" customHeight="1">
      <c r="A385" s="1960"/>
      <c r="B385" s="1953"/>
      <c r="C385" s="1953"/>
      <c r="D385" s="1953"/>
      <c r="E385" s="1961"/>
      <c r="F385" s="1961"/>
      <c r="G385" s="1961"/>
      <c r="H385" s="1961"/>
      <c r="I385" s="1961"/>
      <c r="J385" s="1961"/>
      <c r="K385" s="1961"/>
      <c r="L385" s="1962"/>
      <c r="M385" s="1962"/>
      <c r="N385" s="1962"/>
      <c r="O385" s="1962"/>
      <c r="P385" s="1962"/>
      <c r="Q385" s="1962"/>
      <c r="R385" s="1962"/>
      <c r="S385" s="1962"/>
      <c r="T385" s="1962"/>
      <c r="U385" s="1962"/>
      <c r="V385" s="1962"/>
      <c r="W385" s="1962"/>
      <c r="X385" s="1962"/>
      <c r="Y385" s="1962"/>
      <c r="Z385" s="1953"/>
      <c r="AA385" s="1953"/>
      <c r="AB385" s="1953"/>
      <c r="AC385" s="1953"/>
      <c r="AD385" s="1953"/>
      <c r="AE385" s="1953"/>
      <c r="AF385" s="1953"/>
      <c r="AG385" s="1953"/>
      <c r="AH385" s="1953"/>
      <c r="AI385" s="1953"/>
      <c r="AJ385" s="1953"/>
      <c r="AK385" s="1953"/>
      <c r="AL385" s="1953"/>
      <c r="AM385" s="1953"/>
      <c r="AN385" s="1953"/>
      <c r="AO385" s="1953"/>
      <c r="AP385" s="1953"/>
      <c r="AQ385" s="1953"/>
      <c r="AR385" s="1953"/>
      <c r="AS385" s="1953"/>
      <c r="AT385" s="1953"/>
      <c r="AU385" s="1953"/>
      <c r="AV385" s="1953"/>
      <c r="AW385" s="1953"/>
      <c r="AX385" s="1953"/>
      <c r="AY385" s="1953"/>
      <c r="AZ385" s="1953"/>
      <c r="BA385" s="1953"/>
      <c r="BB385" s="1953"/>
      <c r="BC385" s="1953"/>
      <c r="BD385" s="1953"/>
      <c r="BE385" s="1953"/>
      <c r="BF385" s="1953"/>
      <c r="BG385" s="1953"/>
      <c r="BH385" s="1953"/>
      <c r="BI385" s="1953"/>
      <c r="BJ385" s="1953"/>
      <c r="BK385" s="1953"/>
      <c r="BL385" s="1953"/>
      <c r="BM385" s="1953"/>
      <c r="BN385" s="1953"/>
      <c r="BO385" s="1953"/>
      <c r="BP385" s="1953"/>
      <c r="BQ385" s="1953"/>
      <c r="BR385" s="1953"/>
      <c r="BS385" s="1953"/>
      <c r="BT385" s="1953"/>
      <c r="BU385" s="1953"/>
      <c r="BV385" s="1953"/>
      <c r="BW385" s="1953"/>
      <c r="BX385" s="1953"/>
      <c r="BY385" s="1953"/>
      <c r="BZ385" s="1953"/>
      <c r="CA385" s="1953"/>
      <c r="CB385" s="1953"/>
      <c r="CC385" s="1954"/>
    </row>
    <row r="386" spans="1:81" s="10" customFormat="1" ht="20.100000000000001" customHeight="1" thickBot="1">
      <c r="A386" s="1955"/>
      <c r="B386" s="1947"/>
      <c r="C386" s="1947"/>
      <c r="D386" s="1947"/>
      <c r="E386" s="1956"/>
      <c r="F386" s="1956"/>
      <c r="G386" s="1956"/>
      <c r="H386" s="1956"/>
      <c r="I386" s="1956"/>
      <c r="J386" s="1956"/>
      <c r="K386" s="1956"/>
      <c r="L386" s="1957"/>
      <c r="M386" s="1957"/>
      <c r="N386" s="1957"/>
      <c r="O386" s="1957"/>
      <c r="P386" s="1957"/>
      <c r="Q386" s="1957"/>
      <c r="R386" s="1957"/>
      <c r="S386" s="1957"/>
      <c r="T386" s="1957"/>
      <c r="U386" s="1957"/>
      <c r="V386" s="1957"/>
      <c r="W386" s="1957"/>
      <c r="X386" s="1957"/>
      <c r="Y386" s="1957"/>
      <c r="Z386" s="1947"/>
      <c r="AA386" s="1947"/>
      <c r="AB386" s="1947"/>
      <c r="AC386" s="1947"/>
      <c r="AD386" s="1947"/>
      <c r="AE386" s="1947"/>
      <c r="AF386" s="1947"/>
      <c r="AG386" s="1947"/>
      <c r="AH386" s="1947"/>
      <c r="AI386" s="1947"/>
      <c r="AJ386" s="1947"/>
      <c r="AK386" s="1947"/>
      <c r="AL386" s="1947"/>
      <c r="AM386" s="1947"/>
      <c r="AN386" s="1947"/>
      <c r="AO386" s="1947"/>
      <c r="AP386" s="1947"/>
      <c r="AQ386" s="1947"/>
      <c r="AR386" s="1947"/>
      <c r="AS386" s="1947"/>
      <c r="AT386" s="1947"/>
      <c r="AU386" s="1947"/>
      <c r="AV386" s="1947"/>
      <c r="AW386" s="1947"/>
      <c r="AX386" s="1947"/>
      <c r="AY386" s="1947"/>
      <c r="AZ386" s="1947"/>
      <c r="BA386" s="1947"/>
      <c r="BB386" s="1947"/>
      <c r="BC386" s="1947"/>
      <c r="BD386" s="1947"/>
      <c r="BE386" s="1947"/>
      <c r="BF386" s="1947"/>
      <c r="BG386" s="1947"/>
      <c r="BH386" s="1947"/>
      <c r="BI386" s="1947"/>
      <c r="BJ386" s="1947"/>
      <c r="BK386" s="1947"/>
      <c r="BL386" s="1947"/>
      <c r="BM386" s="1947"/>
      <c r="BN386" s="1947"/>
      <c r="BO386" s="1947"/>
      <c r="BP386" s="1947"/>
      <c r="BQ386" s="1947"/>
      <c r="BR386" s="1947"/>
      <c r="BS386" s="1947"/>
      <c r="BT386" s="1947"/>
      <c r="BU386" s="1947"/>
      <c r="BV386" s="1947"/>
      <c r="BW386" s="1948"/>
      <c r="BX386" s="1948"/>
      <c r="BY386" s="1948"/>
      <c r="BZ386" s="1948"/>
      <c r="CA386" s="1948"/>
      <c r="CB386" s="1948"/>
      <c r="CC386" s="1949"/>
    </row>
    <row r="387" spans="1:81" s="10" customFormat="1" ht="15" customHeight="1" thickTop="1">
      <c r="N387" s="26"/>
      <c r="T387" s="26"/>
      <c r="AN387" s="26"/>
      <c r="BH387" s="26"/>
      <c r="CC387" s="26"/>
    </row>
    <row r="388" spans="1:81" s="10" customFormat="1" ht="23.25">
      <c r="A388" s="37" t="s">
        <v>17</v>
      </c>
      <c r="C388" s="26"/>
      <c r="D388" s="26"/>
      <c r="T388" s="26"/>
      <c r="AN388" s="26"/>
      <c r="BH388" s="26"/>
      <c r="CC388" s="26"/>
    </row>
    <row r="389" spans="1:81" s="10" customFormat="1" ht="15" customHeight="1" thickBot="1">
      <c r="A389" s="15"/>
      <c r="B389" s="43"/>
      <c r="C389" s="43"/>
      <c r="D389" s="43"/>
      <c r="E389" s="43"/>
      <c r="F389" s="43"/>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row>
    <row r="390" spans="1:81" s="10" customFormat="1" ht="23.25" customHeight="1" thickTop="1">
      <c r="A390" s="1950" t="s">
        <v>130</v>
      </c>
      <c r="B390" s="1951"/>
      <c r="C390" s="1951"/>
      <c r="D390" s="1951"/>
      <c r="E390" s="1951"/>
      <c r="F390" s="1951"/>
      <c r="G390" s="1951"/>
      <c r="H390" s="1951"/>
      <c r="I390" s="1951"/>
      <c r="J390" s="1951" t="s">
        <v>191</v>
      </c>
      <c r="K390" s="1951"/>
      <c r="L390" s="1951"/>
      <c r="M390" s="1951"/>
      <c r="N390" s="1951"/>
      <c r="O390" s="1951"/>
      <c r="P390" s="1951"/>
      <c r="Q390" s="1951"/>
      <c r="R390" s="1951"/>
      <c r="S390" s="1951"/>
      <c r="T390" s="1951"/>
      <c r="U390" s="1951"/>
      <c r="V390" s="1951"/>
      <c r="W390" s="1951"/>
      <c r="X390" s="1951"/>
      <c r="Y390" s="1951"/>
      <c r="Z390" s="1951"/>
      <c r="AA390" s="1951"/>
      <c r="AB390" s="1951"/>
      <c r="AC390" s="1951"/>
      <c r="AD390" s="1951"/>
      <c r="AE390" s="1951"/>
      <c r="AF390" s="1951"/>
      <c r="AG390" s="1951"/>
      <c r="AH390" s="1951" t="s">
        <v>192</v>
      </c>
      <c r="AI390" s="1951"/>
      <c r="AJ390" s="1951"/>
      <c r="AK390" s="1951"/>
      <c r="AL390" s="1951"/>
      <c r="AM390" s="1951"/>
      <c r="AN390" s="1951"/>
      <c r="AO390" s="1951"/>
      <c r="AP390" s="1951"/>
      <c r="AQ390" s="1951"/>
      <c r="AR390" s="1951"/>
      <c r="AS390" s="1951"/>
      <c r="AT390" s="1951"/>
      <c r="AU390" s="1951"/>
      <c r="AV390" s="1951"/>
      <c r="AW390" s="1951"/>
      <c r="AX390" s="1951"/>
      <c r="AY390" s="1951"/>
      <c r="AZ390" s="1951"/>
      <c r="BA390" s="1951"/>
      <c r="BB390" s="1951"/>
      <c r="BC390" s="1951"/>
      <c r="BD390" s="1951"/>
      <c r="BE390" s="1951"/>
      <c r="BF390" s="1951" t="s">
        <v>134</v>
      </c>
      <c r="BG390" s="1951"/>
      <c r="BH390" s="1951"/>
      <c r="BI390" s="1951"/>
      <c r="BJ390" s="1951"/>
      <c r="BK390" s="1951"/>
      <c r="BL390" s="1951"/>
      <c r="BM390" s="1951"/>
      <c r="BN390" s="1951"/>
      <c r="BO390" s="1951"/>
      <c r="BP390" s="1951"/>
      <c r="BQ390" s="1951"/>
      <c r="BR390" s="1951"/>
      <c r="BS390" s="1951"/>
      <c r="BT390" s="1951"/>
      <c r="BU390" s="1951"/>
      <c r="BV390" s="1951"/>
      <c r="BW390" s="1951"/>
      <c r="BX390" s="1951"/>
      <c r="BY390" s="1951"/>
      <c r="BZ390" s="1951"/>
      <c r="CA390" s="1951"/>
      <c r="CB390" s="1951"/>
      <c r="CC390" s="1952"/>
    </row>
    <row r="391" spans="1:81" s="10" customFormat="1" ht="20.100000000000001" customHeight="1">
      <c r="A391" s="1944"/>
      <c r="B391" s="1945"/>
      <c r="C391" s="1945"/>
      <c r="D391" s="1945"/>
      <c r="E391" s="1945"/>
      <c r="F391" s="1945"/>
      <c r="G391" s="1945"/>
      <c r="H391" s="1945"/>
      <c r="I391" s="1945"/>
      <c r="J391" s="1945"/>
      <c r="K391" s="1945"/>
      <c r="L391" s="1945"/>
      <c r="M391" s="1945"/>
      <c r="N391" s="1945"/>
      <c r="O391" s="1945"/>
      <c r="P391" s="1945"/>
      <c r="Q391" s="1945"/>
      <c r="R391" s="1945"/>
      <c r="S391" s="1945"/>
      <c r="T391" s="1945"/>
      <c r="U391" s="1945"/>
      <c r="V391" s="1945"/>
      <c r="W391" s="1945"/>
      <c r="X391" s="1945"/>
      <c r="Y391" s="1945"/>
      <c r="Z391" s="1945"/>
      <c r="AA391" s="1945"/>
      <c r="AB391" s="1945"/>
      <c r="AC391" s="1945"/>
      <c r="AD391" s="1945"/>
      <c r="AE391" s="1945"/>
      <c r="AF391" s="1945"/>
      <c r="AG391" s="1945"/>
      <c r="AH391" s="1945"/>
      <c r="AI391" s="1945"/>
      <c r="AJ391" s="1945"/>
      <c r="AK391" s="1945"/>
      <c r="AL391" s="1945"/>
      <c r="AM391" s="1945"/>
      <c r="AN391" s="1945"/>
      <c r="AO391" s="1945"/>
      <c r="AP391" s="1945"/>
      <c r="AQ391" s="1945"/>
      <c r="AR391" s="1945"/>
      <c r="AS391" s="1945"/>
      <c r="AT391" s="1945"/>
      <c r="AU391" s="1945"/>
      <c r="AV391" s="1945"/>
      <c r="AW391" s="1945"/>
      <c r="AX391" s="1945"/>
      <c r="AY391" s="1945"/>
      <c r="AZ391" s="1945"/>
      <c r="BA391" s="1945"/>
      <c r="BB391" s="1945"/>
      <c r="BC391" s="1945"/>
      <c r="BD391" s="1945"/>
      <c r="BE391" s="1945"/>
      <c r="BF391" s="1945"/>
      <c r="BG391" s="1945"/>
      <c r="BH391" s="1945"/>
      <c r="BI391" s="1945"/>
      <c r="BJ391" s="1945"/>
      <c r="BK391" s="1945"/>
      <c r="BL391" s="1945"/>
      <c r="BM391" s="1945"/>
      <c r="BN391" s="1945"/>
      <c r="BO391" s="1945"/>
      <c r="BP391" s="1945"/>
      <c r="BQ391" s="1945"/>
      <c r="BR391" s="1945"/>
      <c r="BS391" s="1945"/>
      <c r="BT391" s="1945"/>
      <c r="BU391" s="1945"/>
      <c r="BV391" s="1945"/>
      <c r="BW391" s="1945"/>
      <c r="BX391" s="1945"/>
      <c r="BY391" s="1945"/>
      <c r="BZ391" s="1945"/>
      <c r="CA391" s="1945"/>
      <c r="CB391" s="1945"/>
      <c r="CC391" s="1946"/>
    </row>
    <row r="392" spans="1:81" s="10" customFormat="1" ht="20.100000000000001" customHeight="1">
      <c r="A392" s="1941"/>
      <c r="B392" s="1942"/>
      <c r="C392" s="1942"/>
      <c r="D392" s="1942"/>
      <c r="E392" s="1942"/>
      <c r="F392" s="1942"/>
      <c r="G392" s="1942"/>
      <c r="H392" s="1942"/>
      <c r="I392" s="1942"/>
      <c r="J392" s="1942"/>
      <c r="K392" s="1942"/>
      <c r="L392" s="1942"/>
      <c r="M392" s="1942"/>
      <c r="N392" s="1942"/>
      <c r="O392" s="1942"/>
      <c r="P392" s="1942"/>
      <c r="Q392" s="1942"/>
      <c r="R392" s="1942"/>
      <c r="S392" s="1942"/>
      <c r="T392" s="1942"/>
      <c r="U392" s="1942"/>
      <c r="V392" s="1942"/>
      <c r="W392" s="1942"/>
      <c r="X392" s="1942"/>
      <c r="Y392" s="1942"/>
      <c r="Z392" s="1942"/>
      <c r="AA392" s="1942"/>
      <c r="AB392" s="1942"/>
      <c r="AC392" s="1942"/>
      <c r="AD392" s="1942"/>
      <c r="AE392" s="1942"/>
      <c r="AF392" s="1942"/>
      <c r="AG392" s="1942"/>
      <c r="AH392" s="1942"/>
      <c r="AI392" s="1942"/>
      <c r="AJ392" s="1942"/>
      <c r="AK392" s="1942"/>
      <c r="AL392" s="1942"/>
      <c r="AM392" s="1942"/>
      <c r="AN392" s="1942"/>
      <c r="AO392" s="1942"/>
      <c r="AP392" s="1942"/>
      <c r="AQ392" s="1942"/>
      <c r="AR392" s="1942"/>
      <c r="AS392" s="1942"/>
      <c r="AT392" s="1942"/>
      <c r="AU392" s="1942"/>
      <c r="AV392" s="1942"/>
      <c r="AW392" s="1942"/>
      <c r="AX392" s="1942"/>
      <c r="AY392" s="1942"/>
      <c r="AZ392" s="1942"/>
      <c r="BA392" s="1942"/>
      <c r="BB392" s="1942"/>
      <c r="BC392" s="1942"/>
      <c r="BD392" s="1942"/>
      <c r="BE392" s="1942"/>
      <c r="BF392" s="1942"/>
      <c r="BG392" s="1942"/>
      <c r="BH392" s="1942"/>
      <c r="BI392" s="1942"/>
      <c r="BJ392" s="1942"/>
      <c r="BK392" s="1942"/>
      <c r="BL392" s="1942"/>
      <c r="BM392" s="1942"/>
      <c r="BN392" s="1942"/>
      <c r="BO392" s="1942"/>
      <c r="BP392" s="1942"/>
      <c r="BQ392" s="1942"/>
      <c r="BR392" s="1942"/>
      <c r="BS392" s="1942"/>
      <c r="BT392" s="1942"/>
      <c r="BU392" s="1942"/>
      <c r="BV392" s="1942"/>
      <c r="BW392" s="1942"/>
      <c r="BX392" s="1942"/>
      <c r="BY392" s="1942"/>
      <c r="BZ392" s="1942"/>
      <c r="CA392" s="1942"/>
      <c r="CB392" s="1942"/>
      <c r="CC392" s="1943"/>
    </row>
    <row r="393" spans="1:81" s="10" customFormat="1" ht="20.100000000000001" customHeight="1">
      <c r="A393" s="1935"/>
      <c r="B393" s="1936"/>
      <c r="C393" s="1936"/>
      <c r="D393" s="1936"/>
      <c r="E393" s="1936"/>
      <c r="F393" s="1936"/>
      <c r="G393" s="1936"/>
      <c r="H393" s="1936"/>
      <c r="I393" s="1936"/>
      <c r="J393" s="1936"/>
      <c r="K393" s="1936"/>
      <c r="L393" s="1936"/>
      <c r="M393" s="1936"/>
      <c r="N393" s="1936"/>
      <c r="O393" s="1936"/>
      <c r="P393" s="1936"/>
      <c r="Q393" s="1936"/>
      <c r="R393" s="1936"/>
      <c r="S393" s="1936"/>
      <c r="T393" s="1936"/>
      <c r="U393" s="1936"/>
      <c r="V393" s="1936"/>
      <c r="W393" s="1936"/>
      <c r="X393" s="1936"/>
      <c r="Y393" s="1936"/>
      <c r="Z393" s="1936"/>
      <c r="AA393" s="1936"/>
      <c r="AB393" s="1936"/>
      <c r="AC393" s="1936"/>
      <c r="AD393" s="1936"/>
      <c r="AE393" s="1936"/>
      <c r="AF393" s="1936"/>
      <c r="AG393" s="1936"/>
      <c r="AH393" s="1936"/>
      <c r="AI393" s="1936"/>
      <c r="AJ393" s="1936"/>
      <c r="AK393" s="1936"/>
      <c r="AL393" s="1936"/>
      <c r="AM393" s="1936"/>
      <c r="AN393" s="1936"/>
      <c r="AO393" s="1936"/>
      <c r="AP393" s="1936"/>
      <c r="AQ393" s="1936"/>
      <c r="AR393" s="1936"/>
      <c r="AS393" s="1936"/>
      <c r="AT393" s="1936"/>
      <c r="AU393" s="1936"/>
      <c r="AV393" s="1936"/>
      <c r="AW393" s="1936"/>
      <c r="AX393" s="1936"/>
      <c r="AY393" s="1936"/>
      <c r="AZ393" s="1936"/>
      <c r="BA393" s="1936"/>
      <c r="BB393" s="1936"/>
      <c r="BC393" s="1936"/>
      <c r="BD393" s="1936"/>
      <c r="BE393" s="1936"/>
      <c r="BF393" s="1936"/>
      <c r="BG393" s="1936"/>
      <c r="BH393" s="1936"/>
      <c r="BI393" s="1936"/>
      <c r="BJ393" s="1936"/>
      <c r="BK393" s="1936"/>
      <c r="BL393" s="1936"/>
      <c r="BM393" s="1936"/>
      <c r="BN393" s="1936"/>
      <c r="BO393" s="1936"/>
      <c r="BP393" s="1936"/>
      <c r="BQ393" s="1936"/>
      <c r="BR393" s="1936"/>
      <c r="BS393" s="1936"/>
      <c r="BT393" s="1936"/>
      <c r="BU393" s="1936"/>
      <c r="BV393" s="1936"/>
      <c r="BW393" s="1936"/>
      <c r="BX393" s="1936"/>
      <c r="BY393" s="1936"/>
      <c r="BZ393" s="1936"/>
      <c r="CA393" s="1936"/>
      <c r="CB393" s="1936"/>
      <c r="CC393" s="1937"/>
    </row>
    <row r="394" spans="1:81" s="10" customFormat="1" ht="20.100000000000001" customHeight="1">
      <c r="A394" s="1941"/>
      <c r="B394" s="1942"/>
      <c r="C394" s="1942"/>
      <c r="D394" s="1942"/>
      <c r="E394" s="1942"/>
      <c r="F394" s="1942"/>
      <c r="G394" s="1942"/>
      <c r="H394" s="1942"/>
      <c r="I394" s="1942"/>
      <c r="J394" s="1942"/>
      <c r="K394" s="1942"/>
      <c r="L394" s="1942"/>
      <c r="M394" s="1942"/>
      <c r="N394" s="1942"/>
      <c r="O394" s="1942"/>
      <c r="P394" s="1942"/>
      <c r="Q394" s="1942"/>
      <c r="R394" s="1942"/>
      <c r="S394" s="1942"/>
      <c r="T394" s="1942"/>
      <c r="U394" s="1942"/>
      <c r="V394" s="1942"/>
      <c r="W394" s="1942"/>
      <c r="X394" s="1942"/>
      <c r="Y394" s="1942"/>
      <c r="Z394" s="1942"/>
      <c r="AA394" s="1942"/>
      <c r="AB394" s="1942"/>
      <c r="AC394" s="1942"/>
      <c r="AD394" s="1942"/>
      <c r="AE394" s="1942"/>
      <c r="AF394" s="1942"/>
      <c r="AG394" s="1942"/>
      <c r="AH394" s="1942"/>
      <c r="AI394" s="1942"/>
      <c r="AJ394" s="1942"/>
      <c r="AK394" s="1942"/>
      <c r="AL394" s="1942"/>
      <c r="AM394" s="1942"/>
      <c r="AN394" s="1942"/>
      <c r="AO394" s="1942"/>
      <c r="AP394" s="1942"/>
      <c r="AQ394" s="1942"/>
      <c r="AR394" s="1942"/>
      <c r="AS394" s="1942"/>
      <c r="AT394" s="1942"/>
      <c r="AU394" s="1942"/>
      <c r="AV394" s="1942"/>
      <c r="AW394" s="1942"/>
      <c r="AX394" s="1942"/>
      <c r="AY394" s="1942"/>
      <c r="AZ394" s="1942"/>
      <c r="BA394" s="1942"/>
      <c r="BB394" s="1942"/>
      <c r="BC394" s="1942"/>
      <c r="BD394" s="1942"/>
      <c r="BE394" s="1942"/>
      <c r="BF394" s="1942"/>
      <c r="BG394" s="1942"/>
      <c r="BH394" s="1942"/>
      <c r="BI394" s="1942"/>
      <c r="BJ394" s="1942"/>
      <c r="BK394" s="1942"/>
      <c r="BL394" s="1942"/>
      <c r="BM394" s="1942"/>
      <c r="BN394" s="1942"/>
      <c r="BO394" s="1942"/>
      <c r="BP394" s="1942"/>
      <c r="BQ394" s="1942"/>
      <c r="BR394" s="1942"/>
      <c r="BS394" s="1942"/>
      <c r="BT394" s="1942"/>
      <c r="BU394" s="1942"/>
      <c r="BV394" s="1942"/>
      <c r="BW394" s="1942"/>
      <c r="BX394" s="1942"/>
      <c r="BY394" s="1942"/>
      <c r="BZ394" s="1942"/>
      <c r="CA394" s="1942"/>
      <c r="CB394" s="1942"/>
      <c r="CC394" s="1943"/>
    </row>
    <row r="395" spans="1:81" s="10" customFormat="1" ht="20.100000000000001" customHeight="1">
      <c r="A395" s="1935"/>
      <c r="B395" s="1936"/>
      <c r="C395" s="1936"/>
      <c r="D395" s="1936"/>
      <c r="E395" s="1936"/>
      <c r="F395" s="1936"/>
      <c r="G395" s="1936"/>
      <c r="H395" s="1936"/>
      <c r="I395" s="1936"/>
      <c r="J395" s="1936"/>
      <c r="K395" s="1936"/>
      <c r="L395" s="1936"/>
      <c r="M395" s="1936"/>
      <c r="N395" s="1936"/>
      <c r="O395" s="1936"/>
      <c r="P395" s="1936"/>
      <c r="Q395" s="1936"/>
      <c r="R395" s="1936"/>
      <c r="S395" s="1936"/>
      <c r="T395" s="1936"/>
      <c r="U395" s="1936"/>
      <c r="V395" s="1936"/>
      <c r="W395" s="1936"/>
      <c r="X395" s="1936"/>
      <c r="Y395" s="1936"/>
      <c r="Z395" s="1936"/>
      <c r="AA395" s="1936"/>
      <c r="AB395" s="1936"/>
      <c r="AC395" s="1936"/>
      <c r="AD395" s="1936"/>
      <c r="AE395" s="1936"/>
      <c r="AF395" s="1936"/>
      <c r="AG395" s="1936"/>
      <c r="AH395" s="1936"/>
      <c r="AI395" s="1936"/>
      <c r="AJ395" s="1936"/>
      <c r="AK395" s="1936"/>
      <c r="AL395" s="1936"/>
      <c r="AM395" s="1936"/>
      <c r="AN395" s="1936"/>
      <c r="AO395" s="1936"/>
      <c r="AP395" s="1936"/>
      <c r="AQ395" s="1936"/>
      <c r="AR395" s="1936"/>
      <c r="AS395" s="1936"/>
      <c r="AT395" s="1936"/>
      <c r="AU395" s="1936"/>
      <c r="AV395" s="1936"/>
      <c r="AW395" s="1936"/>
      <c r="AX395" s="1936"/>
      <c r="AY395" s="1936"/>
      <c r="AZ395" s="1936"/>
      <c r="BA395" s="1936"/>
      <c r="BB395" s="1936"/>
      <c r="BC395" s="1936"/>
      <c r="BD395" s="1936"/>
      <c r="BE395" s="1936"/>
      <c r="BF395" s="1936"/>
      <c r="BG395" s="1936"/>
      <c r="BH395" s="1936"/>
      <c r="BI395" s="1936"/>
      <c r="BJ395" s="1936"/>
      <c r="BK395" s="1936"/>
      <c r="BL395" s="1936"/>
      <c r="BM395" s="1936"/>
      <c r="BN395" s="1936"/>
      <c r="BO395" s="1936"/>
      <c r="BP395" s="1936"/>
      <c r="BQ395" s="1936"/>
      <c r="BR395" s="1936"/>
      <c r="BS395" s="1936"/>
      <c r="BT395" s="1936"/>
      <c r="BU395" s="1936"/>
      <c r="BV395" s="1936"/>
      <c r="BW395" s="1936"/>
      <c r="BX395" s="1936"/>
      <c r="BY395" s="1936"/>
      <c r="BZ395" s="1936"/>
      <c r="CA395" s="1936"/>
      <c r="CB395" s="1936"/>
      <c r="CC395" s="1937"/>
    </row>
    <row r="396" spans="1:81" s="10" customFormat="1" ht="20.100000000000001" customHeight="1">
      <c r="A396" s="1941"/>
      <c r="B396" s="1942"/>
      <c r="C396" s="1942"/>
      <c r="D396" s="1942"/>
      <c r="E396" s="1942"/>
      <c r="F396" s="1942"/>
      <c r="G396" s="1942"/>
      <c r="H396" s="1942"/>
      <c r="I396" s="1942"/>
      <c r="J396" s="1942"/>
      <c r="K396" s="1942"/>
      <c r="L396" s="1942"/>
      <c r="M396" s="1942"/>
      <c r="N396" s="1942"/>
      <c r="O396" s="1942"/>
      <c r="P396" s="1942"/>
      <c r="Q396" s="1942"/>
      <c r="R396" s="1942"/>
      <c r="S396" s="1942"/>
      <c r="T396" s="1942"/>
      <c r="U396" s="1942"/>
      <c r="V396" s="1942"/>
      <c r="W396" s="1942"/>
      <c r="X396" s="1942"/>
      <c r="Y396" s="1942"/>
      <c r="Z396" s="1942"/>
      <c r="AA396" s="1942"/>
      <c r="AB396" s="1942"/>
      <c r="AC396" s="1942"/>
      <c r="AD396" s="1942"/>
      <c r="AE396" s="1942"/>
      <c r="AF396" s="1942"/>
      <c r="AG396" s="1942"/>
      <c r="AH396" s="1942"/>
      <c r="AI396" s="1942"/>
      <c r="AJ396" s="1942"/>
      <c r="AK396" s="1942"/>
      <c r="AL396" s="1942"/>
      <c r="AM396" s="1942"/>
      <c r="AN396" s="1942"/>
      <c r="AO396" s="1942"/>
      <c r="AP396" s="1942"/>
      <c r="AQ396" s="1942"/>
      <c r="AR396" s="1942"/>
      <c r="AS396" s="1942"/>
      <c r="AT396" s="1942"/>
      <c r="AU396" s="1942"/>
      <c r="AV396" s="1942"/>
      <c r="AW396" s="1942"/>
      <c r="AX396" s="1942"/>
      <c r="AY396" s="1942"/>
      <c r="AZ396" s="1942"/>
      <c r="BA396" s="1942"/>
      <c r="BB396" s="1942"/>
      <c r="BC396" s="1942"/>
      <c r="BD396" s="1942"/>
      <c r="BE396" s="1942"/>
      <c r="BF396" s="1942"/>
      <c r="BG396" s="1942"/>
      <c r="BH396" s="1942"/>
      <c r="BI396" s="1942"/>
      <c r="BJ396" s="1942"/>
      <c r="BK396" s="1942"/>
      <c r="BL396" s="1942"/>
      <c r="BM396" s="1942"/>
      <c r="BN396" s="1942"/>
      <c r="BO396" s="1942"/>
      <c r="BP396" s="1942"/>
      <c r="BQ396" s="1942"/>
      <c r="BR396" s="1942"/>
      <c r="BS396" s="1942"/>
      <c r="BT396" s="1942"/>
      <c r="BU396" s="1942"/>
      <c r="BV396" s="1942"/>
      <c r="BW396" s="1942"/>
      <c r="BX396" s="1942"/>
      <c r="BY396" s="1942"/>
      <c r="BZ396" s="1942"/>
      <c r="CA396" s="1942"/>
      <c r="CB396" s="1942"/>
      <c r="CC396" s="1943"/>
    </row>
    <row r="397" spans="1:81" s="10" customFormat="1" ht="20.100000000000001" customHeight="1">
      <c r="A397" s="1935"/>
      <c r="B397" s="1936"/>
      <c r="C397" s="1936"/>
      <c r="D397" s="1936"/>
      <c r="E397" s="1936"/>
      <c r="F397" s="1936"/>
      <c r="G397" s="1936"/>
      <c r="H397" s="1936"/>
      <c r="I397" s="1936"/>
      <c r="J397" s="1936"/>
      <c r="K397" s="1936"/>
      <c r="L397" s="1936"/>
      <c r="M397" s="1936"/>
      <c r="N397" s="1936"/>
      <c r="O397" s="1936"/>
      <c r="P397" s="1936"/>
      <c r="Q397" s="1936"/>
      <c r="R397" s="1936"/>
      <c r="S397" s="1936"/>
      <c r="T397" s="1936"/>
      <c r="U397" s="1936"/>
      <c r="V397" s="1936"/>
      <c r="W397" s="1936"/>
      <c r="X397" s="1936"/>
      <c r="Y397" s="1936"/>
      <c r="Z397" s="1936"/>
      <c r="AA397" s="1936"/>
      <c r="AB397" s="1936"/>
      <c r="AC397" s="1936"/>
      <c r="AD397" s="1936"/>
      <c r="AE397" s="1936"/>
      <c r="AF397" s="1936"/>
      <c r="AG397" s="1936"/>
      <c r="AH397" s="1936"/>
      <c r="AI397" s="1936"/>
      <c r="AJ397" s="1936"/>
      <c r="AK397" s="1936"/>
      <c r="AL397" s="1936"/>
      <c r="AM397" s="1936"/>
      <c r="AN397" s="1936"/>
      <c r="AO397" s="1936"/>
      <c r="AP397" s="1936"/>
      <c r="AQ397" s="1936"/>
      <c r="AR397" s="1936"/>
      <c r="AS397" s="1936"/>
      <c r="AT397" s="1936"/>
      <c r="AU397" s="1936"/>
      <c r="AV397" s="1936"/>
      <c r="AW397" s="1936"/>
      <c r="AX397" s="1936"/>
      <c r="AY397" s="1936"/>
      <c r="AZ397" s="1936"/>
      <c r="BA397" s="1936"/>
      <c r="BB397" s="1936"/>
      <c r="BC397" s="1936"/>
      <c r="BD397" s="1936"/>
      <c r="BE397" s="1936"/>
      <c r="BF397" s="1936"/>
      <c r="BG397" s="1936"/>
      <c r="BH397" s="1936"/>
      <c r="BI397" s="1936"/>
      <c r="BJ397" s="1936"/>
      <c r="BK397" s="1936"/>
      <c r="BL397" s="1936"/>
      <c r="BM397" s="1936"/>
      <c r="BN397" s="1936"/>
      <c r="BO397" s="1936"/>
      <c r="BP397" s="1936"/>
      <c r="BQ397" s="1936"/>
      <c r="BR397" s="1936"/>
      <c r="BS397" s="1936"/>
      <c r="BT397" s="1936"/>
      <c r="BU397" s="1936"/>
      <c r="BV397" s="1936"/>
      <c r="BW397" s="1936"/>
      <c r="BX397" s="1936"/>
      <c r="BY397" s="1936"/>
      <c r="BZ397" s="1936"/>
      <c r="CA397" s="1936"/>
      <c r="CB397" s="1936"/>
      <c r="CC397" s="1937"/>
    </row>
    <row r="398" spans="1:81" s="10" customFormat="1" ht="20.100000000000001" customHeight="1">
      <c r="A398" s="1941"/>
      <c r="B398" s="1942"/>
      <c r="C398" s="1942"/>
      <c r="D398" s="1942"/>
      <c r="E398" s="1942"/>
      <c r="F398" s="1942"/>
      <c r="G398" s="1942"/>
      <c r="H398" s="1942"/>
      <c r="I398" s="1942"/>
      <c r="J398" s="1942"/>
      <c r="K398" s="1942"/>
      <c r="L398" s="1942"/>
      <c r="M398" s="1942"/>
      <c r="N398" s="1942"/>
      <c r="O398" s="1942"/>
      <c r="P398" s="1942"/>
      <c r="Q398" s="1942"/>
      <c r="R398" s="1942"/>
      <c r="S398" s="1942"/>
      <c r="T398" s="1942"/>
      <c r="U398" s="1942"/>
      <c r="V398" s="1942"/>
      <c r="W398" s="1942"/>
      <c r="X398" s="1942"/>
      <c r="Y398" s="1942"/>
      <c r="Z398" s="1942"/>
      <c r="AA398" s="1942"/>
      <c r="AB398" s="1942"/>
      <c r="AC398" s="1942"/>
      <c r="AD398" s="1942"/>
      <c r="AE398" s="1942"/>
      <c r="AF398" s="1942"/>
      <c r="AG398" s="1942"/>
      <c r="AH398" s="1942"/>
      <c r="AI398" s="1942"/>
      <c r="AJ398" s="1942"/>
      <c r="AK398" s="1942"/>
      <c r="AL398" s="1942"/>
      <c r="AM398" s="1942"/>
      <c r="AN398" s="1942"/>
      <c r="AO398" s="1942"/>
      <c r="AP398" s="1942"/>
      <c r="AQ398" s="1942"/>
      <c r="AR398" s="1942"/>
      <c r="AS398" s="1942"/>
      <c r="AT398" s="1942"/>
      <c r="AU398" s="1942"/>
      <c r="AV398" s="1942"/>
      <c r="AW398" s="1942"/>
      <c r="AX398" s="1942"/>
      <c r="AY398" s="1942"/>
      <c r="AZ398" s="1942"/>
      <c r="BA398" s="1942"/>
      <c r="BB398" s="1942"/>
      <c r="BC398" s="1942"/>
      <c r="BD398" s="1942"/>
      <c r="BE398" s="1942"/>
      <c r="BF398" s="1942"/>
      <c r="BG398" s="1942"/>
      <c r="BH398" s="1942"/>
      <c r="BI398" s="1942"/>
      <c r="BJ398" s="1942"/>
      <c r="BK398" s="1942"/>
      <c r="BL398" s="1942"/>
      <c r="BM398" s="1942"/>
      <c r="BN398" s="1942"/>
      <c r="BO398" s="1942"/>
      <c r="BP398" s="1942"/>
      <c r="BQ398" s="1942"/>
      <c r="BR398" s="1942"/>
      <c r="BS398" s="1942"/>
      <c r="BT398" s="1942"/>
      <c r="BU398" s="1942"/>
      <c r="BV398" s="1942"/>
      <c r="BW398" s="1942"/>
      <c r="BX398" s="1942"/>
      <c r="BY398" s="1942"/>
      <c r="BZ398" s="1942"/>
      <c r="CA398" s="1942"/>
      <c r="CB398" s="1942"/>
      <c r="CC398" s="1943"/>
    </row>
    <row r="399" spans="1:81" s="10" customFormat="1" ht="20.100000000000001" customHeight="1">
      <c r="A399" s="1935"/>
      <c r="B399" s="1936"/>
      <c r="C399" s="1936"/>
      <c r="D399" s="1936"/>
      <c r="E399" s="1936"/>
      <c r="F399" s="1936"/>
      <c r="G399" s="1936"/>
      <c r="H399" s="1936"/>
      <c r="I399" s="1936"/>
      <c r="J399" s="1936"/>
      <c r="K399" s="1936"/>
      <c r="L399" s="1936"/>
      <c r="M399" s="1936"/>
      <c r="N399" s="1936"/>
      <c r="O399" s="1936"/>
      <c r="P399" s="1936"/>
      <c r="Q399" s="1936"/>
      <c r="R399" s="1936"/>
      <c r="S399" s="1936"/>
      <c r="T399" s="1936"/>
      <c r="U399" s="1936"/>
      <c r="V399" s="1936"/>
      <c r="W399" s="1936"/>
      <c r="X399" s="1936"/>
      <c r="Y399" s="1936"/>
      <c r="Z399" s="1936"/>
      <c r="AA399" s="1936"/>
      <c r="AB399" s="1936"/>
      <c r="AC399" s="1936"/>
      <c r="AD399" s="1936"/>
      <c r="AE399" s="1936"/>
      <c r="AF399" s="1936"/>
      <c r="AG399" s="1936"/>
      <c r="AH399" s="1936"/>
      <c r="AI399" s="1936"/>
      <c r="AJ399" s="1936"/>
      <c r="AK399" s="1936"/>
      <c r="AL399" s="1936"/>
      <c r="AM399" s="1936"/>
      <c r="AN399" s="1936"/>
      <c r="AO399" s="1936"/>
      <c r="AP399" s="1936"/>
      <c r="AQ399" s="1936"/>
      <c r="AR399" s="1936"/>
      <c r="AS399" s="1936"/>
      <c r="AT399" s="1936"/>
      <c r="AU399" s="1936"/>
      <c r="AV399" s="1936"/>
      <c r="AW399" s="1936"/>
      <c r="AX399" s="1936"/>
      <c r="AY399" s="1936"/>
      <c r="AZ399" s="1936"/>
      <c r="BA399" s="1936"/>
      <c r="BB399" s="1936"/>
      <c r="BC399" s="1936"/>
      <c r="BD399" s="1936"/>
      <c r="BE399" s="1936"/>
      <c r="BF399" s="1936"/>
      <c r="BG399" s="1936"/>
      <c r="BH399" s="1936"/>
      <c r="BI399" s="1936"/>
      <c r="BJ399" s="1936"/>
      <c r="BK399" s="1936"/>
      <c r="BL399" s="1936"/>
      <c r="BM399" s="1936"/>
      <c r="BN399" s="1936"/>
      <c r="BO399" s="1936"/>
      <c r="BP399" s="1936"/>
      <c r="BQ399" s="1936"/>
      <c r="BR399" s="1936"/>
      <c r="BS399" s="1936"/>
      <c r="BT399" s="1936"/>
      <c r="BU399" s="1936"/>
      <c r="BV399" s="1936"/>
      <c r="BW399" s="1936"/>
      <c r="BX399" s="1936"/>
      <c r="BY399" s="1936"/>
      <c r="BZ399" s="1936"/>
      <c r="CA399" s="1936"/>
      <c r="CB399" s="1936"/>
      <c r="CC399" s="1937"/>
    </row>
    <row r="400" spans="1:81" s="10" customFormat="1" ht="20.100000000000001" customHeight="1">
      <c r="A400" s="1941"/>
      <c r="B400" s="1942"/>
      <c r="C400" s="1942"/>
      <c r="D400" s="1942"/>
      <c r="E400" s="1942"/>
      <c r="F400" s="1942"/>
      <c r="G400" s="1942"/>
      <c r="H400" s="1942"/>
      <c r="I400" s="1942"/>
      <c r="J400" s="1942"/>
      <c r="K400" s="1942"/>
      <c r="L400" s="1942"/>
      <c r="M400" s="1942"/>
      <c r="N400" s="1942"/>
      <c r="O400" s="1942"/>
      <c r="P400" s="1942"/>
      <c r="Q400" s="1942"/>
      <c r="R400" s="1942"/>
      <c r="S400" s="1942"/>
      <c r="T400" s="1942"/>
      <c r="U400" s="1942"/>
      <c r="V400" s="1942"/>
      <c r="W400" s="1942"/>
      <c r="X400" s="1942"/>
      <c r="Y400" s="1942"/>
      <c r="Z400" s="1942"/>
      <c r="AA400" s="1942"/>
      <c r="AB400" s="1942"/>
      <c r="AC400" s="1942"/>
      <c r="AD400" s="1942"/>
      <c r="AE400" s="1942"/>
      <c r="AF400" s="1942"/>
      <c r="AG400" s="1942"/>
      <c r="AH400" s="1942"/>
      <c r="AI400" s="1942"/>
      <c r="AJ400" s="1942"/>
      <c r="AK400" s="1942"/>
      <c r="AL400" s="1942"/>
      <c r="AM400" s="1942"/>
      <c r="AN400" s="1942"/>
      <c r="AO400" s="1942"/>
      <c r="AP400" s="1942"/>
      <c r="AQ400" s="1942"/>
      <c r="AR400" s="1942"/>
      <c r="AS400" s="1942"/>
      <c r="AT400" s="1942"/>
      <c r="AU400" s="1942"/>
      <c r="AV400" s="1942"/>
      <c r="AW400" s="1942"/>
      <c r="AX400" s="1942"/>
      <c r="AY400" s="1942"/>
      <c r="AZ400" s="1942"/>
      <c r="BA400" s="1942"/>
      <c r="BB400" s="1942"/>
      <c r="BC400" s="1942"/>
      <c r="BD400" s="1942"/>
      <c r="BE400" s="1942"/>
      <c r="BF400" s="1942"/>
      <c r="BG400" s="1942"/>
      <c r="BH400" s="1942"/>
      <c r="BI400" s="1942"/>
      <c r="BJ400" s="1942"/>
      <c r="BK400" s="1942"/>
      <c r="BL400" s="1942"/>
      <c r="BM400" s="1942"/>
      <c r="BN400" s="1942"/>
      <c r="BO400" s="1942"/>
      <c r="BP400" s="1942"/>
      <c r="BQ400" s="1942"/>
      <c r="BR400" s="1942"/>
      <c r="BS400" s="1942"/>
      <c r="BT400" s="1942"/>
      <c r="BU400" s="1942"/>
      <c r="BV400" s="1942"/>
      <c r="BW400" s="1942"/>
      <c r="BX400" s="1942"/>
      <c r="BY400" s="1942"/>
      <c r="BZ400" s="1942"/>
      <c r="CA400" s="1942"/>
      <c r="CB400" s="1942"/>
      <c r="CC400" s="1943"/>
    </row>
    <row r="401" spans="1:81" s="10" customFormat="1" ht="20.100000000000001" customHeight="1">
      <c r="A401" s="1935"/>
      <c r="B401" s="1936"/>
      <c r="C401" s="1936"/>
      <c r="D401" s="1936"/>
      <c r="E401" s="1936"/>
      <c r="F401" s="1936"/>
      <c r="G401" s="1936"/>
      <c r="H401" s="1936"/>
      <c r="I401" s="1936"/>
      <c r="J401" s="1936"/>
      <c r="K401" s="1936"/>
      <c r="L401" s="1936"/>
      <c r="M401" s="1936"/>
      <c r="N401" s="1936"/>
      <c r="O401" s="1936"/>
      <c r="P401" s="1936"/>
      <c r="Q401" s="1936"/>
      <c r="R401" s="1936"/>
      <c r="S401" s="1936"/>
      <c r="T401" s="1936"/>
      <c r="U401" s="1936"/>
      <c r="V401" s="1936"/>
      <c r="W401" s="1936"/>
      <c r="X401" s="1936"/>
      <c r="Y401" s="1936"/>
      <c r="Z401" s="1936"/>
      <c r="AA401" s="1936"/>
      <c r="AB401" s="1936"/>
      <c r="AC401" s="1936"/>
      <c r="AD401" s="1936"/>
      <c r="AE401" s="1936"/>
      <c r="AF401" s="1936"/>
      <c r="AG401" s="1936"/>
      <c r="AH401" s="1936"/>
      <c r="AI401" s="1936"/>
      <c r="AJ401" s="1936"/>
      <c r="AK401" s="1936"/>
      <c r="AL401" s="1936"/>
      <c r="AM401" s="1936"/>
      <c r="AN401" s="1936"/>
      <c r="AO401" s="1936"/>
      <c r="AP401" s="1936"/>
      <c r="AQ401" s="1936"/>
      <c r="AR401" s="1936"/>
      <c r="AS401" s="1936"/>
      <c r="AT401" s="1936"/>
      <c r="AU401" s="1936"/>
      <c r="AV401" s="1936"/>
      <c r="AW401" s="1936"/>
      <c r="AX401" s="1936"/>
      <c r="AY401" s="1936"/>
      <c r="AZ401" s="1936"/>
      <c r="BA401" s="1936"/>
      <c r="BB401" s="1936"/>
      <c r="BC401" s="1936"/>
      <c r="BD401" s="1936"/>
      <c r="BE401" s="1936"/>
      <c r="BF401" s="1936"/>
      <c r="BG401" s="1936"/>
      <c r="BH401" s="1936"/>
      <c r="BI401" s="1936"/>
      <c r="BJ401" s="1936"/>
      <c r="BK401" s="1936"/>
      <c r="BL401" s="1936"/>
      <c r="BM401" s="1936"/>
      <c r="BN401" s="1936"/>
      <c r="BO401" s="1936"/>
      <c r="BP401" s="1936"/>
      <c r="BQ401" s="1936"/>
      <c r="BR401" s="1936"/>
      <c r="BS401" s="1936"/>
      <c r="BT401" s="1936"/>
      <c r="BU401" s="1936"/>
      <c r="BV401" s="1936"/>
      <c r="BW401" s="1936"/>
      <c r="BX401" s="1936"/>
      <c r="BY401" s="1936"/>
      <c r="BZ401" s="1936"/>
      <c r="CA401" s="1936"/>
      <c r="CB401" s="1936"/>
      <c r="CC401" s="1937"/>
    </row>
    <row r="402" spans="1:81" s="10" customFormat="1" ht="20.100000000000001" customHeight="1">
      <c r="A402" s="1941"/>
      <c r="B402" s="1942"/>
      <c r="C402" s="1942"/>
      <c r="D402" s="1942"/>
      <c r="E402" s="1942"/>
      <c r="F402" s="1942"/>
      <c r="G402" s="1942"/>
      <c r="H402" s="1942"/>
      <c r="I402" s="1942"/>
      <c r="J402" s="1942"/>
      <c r="K402" s="1942"/>
      <c r="L402" s="1942"/>
      <c r="M402" s="1942"/>
      <c r="N402" s="1942"/>
      <c r="O402" s="1942"/>
      <c r="P402" s="1942"/>
      <c r="Q402" s="1942"/>
      <c r="R402" s="1942"/>
      <c r="S402" s="1942"/>
      <c r="T402" s="1942"/>
      <c r="U402" s="1942"/>
      <c r="V402" s="1942"/>
      <c r="W402" s="1942"/>
      <c r="X402" s="1942"/>
      <c r="Y402" s="1942"/>
      <c r="Z402" s="1942"/>
      <c r="AA402" s="1942"/>
      <c r="AB402" s="1942"/>
      <c r="AC402" s="1942"/>
      <c r="AD402" s="1942"/>
      <c r="AE402" s="1942"/>
      <c r="AF402" s="1942"/>
      <c r="AG402" s="1942"/>
      <c r="AH402" s="1942"/>
      <c r="AI402" s="1942"/>
      <c r="AJ402" s="1942"/>
      <c r="AK402" s="1942"/>
      <c r="AL402" s="1942"/>
      <c r="AM402" s="1942"/>
      <c r="AN402" s="1942"/>
      <c r="AO402" s="1942"/>
      <c r="AP402" s="1942"/>
      <c r="AQ402" s="1942"/>
      <c r="AR402" s="1942"/>
      <c r="AS402" s="1942"/>
      <c r="AT402" s="1942"/>
      <c r="AU402" s="1942"/>
      <c r="AV402" s="1942"/>
      <c r="AW402" s="1942"/>
      <c r="AX402" s="1942"/>
      <c r="AY402" s="1942"/>
      <c r="AZ402" s="1942"/>
      <c r="BA402" s="1942"/>
      <c r="BB402" s="1942"/>
      <c r="BC402" s="1942"/>
      <c r="BD402" s="1942"/>
      <c r="BE402" s="1942"/>
      <c r="BF402" s="1942"/>
      <c r="BG402" s="1942"/>
      <c r="BH402" s="1942"/>
      <c r="BI402" s="1942"/>
      <c r="BJ402" s="1942"/>
      <c r="BK402" s="1942"/>
      <c r="BL402" s="1942"/>
      <c r="BM402" s="1942"/>
      <c r="BN402" s="1942"/>
      <c r="BO402" s="1942"/>
      <c r="BP402" s="1942"/>
      <c r="BQ402" s="1942"/>
      <c r="BR402" s="1942"/>
      <c r="BS402" s="1942"/>
      <c r="BT402" s="1942"/>
      <c r="BU402" s="1942"/>
      <c r="BV402" s="1942"/>
      <c r="BW402" s="1942"/>
      <c r="BX402" s="1942"/>
      <c r="BY402" s="1942"/>
      <c r="BZ402" s="1942"/>
      <c r="CA402" s="1942"/>
      <c r="CB402" s="1942"/>
      <c r="CC402" s="1943"/>
    </row>
    <row r="403" spans="1:81" s="10" customFormat="1" ht="20.100000000000001" customHeight="1">
      <c r="A403" s="1935"/>
      <c r="B403" s="1936"/>
      <c r="C403" s="1936"/>
      <c r="D403" s="1936"/>
      <c r="E403" s="1936"/>
      <c r="F403" s="1936"/>
      <c r="G403" s="1936"/>
      <c r="H403" s="1936"/>
      <c r="I403" s="1936"/>
      <c r="J403" s="1936"/>
      <c r="K403" s="1936"/>
      <c r="L403" s="1936"/>
      <c r="M403" s="1936"/>
      <c r="N403" s="1936"/>
      <c r="O403" s="1936"/>
      <c r="P403" s="1936"/>
      <c r="Q403" s="1936"/>
      <c r="R403" s="1936"/>
      <c r="S403" s="1936"/>
      <c r="T403" s="1936"/>
      <c r="U403" s="1936"/>
      <c r="V403" s="1936"/>
      <c r="W403" s="1936"/>
      <c r="X403" s="1936"/>
      <c r="Y403" s="1936"/>
      <c r="Z403" s="1936"/>
      <c r="AA403" s="1936"/>
      <c r="AB403" s="1936"/>
      <c r="AC403" s="1936"/>
      <c r="AD403" s="1936"/>
      <c r="AE403" s="1936"/>
      <c r="AF403" s="1936"/>
      <c r="AG403" s="1936"/>
      <c r="AH403" s="1936"/>
      <c r="AI403" s="1936"/>
      <c r="AJ403" s="1936"/>
      <c r="AK403" s="1936"/>
      <c r="AL403" s="1936"/>
      <c r="AM403" s="1936"/>
      <c r="AN403" s="1936"/>
      <c r="AO403" s="1936"/>
      <c r="AP403" s="1936"/>
      <c r="AQ403" s="1936"/>
      <c r="AR403" s="1936"/>
      <c r="AS403" s="1936"/>
      <c r="AT403" s="1936"/>
      <c r="AU403" s="1936"/>
      <c r="AV403" s="1936"/>
      <c r="AW403" s="1936"/>
      <c r="AX403" s="1936"/>
      <c r="AY403" s="1936"/>
      <c r="AZ403" s="1936"/>
      <c r="BA403" s="1936"/>
      <c r="BB403" s="1936"/>
      <c r="BC403" s="1936"/>
      <c r="BD403" s="1936"/>
      <c r="BE403" s="1936"/>
      <c r="BF403" s="1936"/>
      <c r="BG403" s="1936"/>
      <c r="BH403" s="1936"/>
      <c r="BI403" s="1936"/>
      <c r="BJ403" s="1936"/>
      <c r="BK403" s="1936"/>
      <c r="BL403" s="1936"/>
      <c r="BM403" s="1936"/>
      <c r="BN403" s="1936"/>
      <c r="BO403" s="1936"/>
      <c r="BP403" s="1936"/>
      <c r="BQ403" s="1936"/>
      <c r="BR403" s="1936"/>
      <c r="BS403" s="1936"/>
      <c r="BT403" s="1936"/>
      <c r="BU403" s="1936"/>
      <c r="BV403" s="1936"/>
      <c r="BW403" s="1936"/>
      <c r="BX403" s="1936"/>
      <c r="BY403" s="1936"/>
      <c r="BZ403" s="1936"/>
      <c r="CA403" s="1936"/>
      <c r="CB403" s="1936"/>
      <c r="CC403" s="1937"/>
    </row>
    <row r="404" spans="1:81" s="10" customFormat="1" ht="20.100000000000001" customHeight="1" thickBot="1">
      <c r="A404" s="1938"/>
      <c r="B404" s="1939"/>
      <c r="C404" s="1939"/>
      <c r="D404" s="1939"/>
      <c r="E404" s="1939"/>
      <c r="F404" s="1939"/>
      <c r="G404" s="1939"/>
      <c r="H404" s="1939"/>
      <c r="I404" s="1939"/>
      <c r="J404" s="1939"/>
      <c r="K404" s="1939"/>
      <c r="L404" s="1939"/>
      <c r="M404" s="1939"/>
      <c r="N404" s="1939"/>
      <c r="O404" s="1939"/>
      <c r="P404" s="1939"/>
      <c r="Q404" s="1939"/>
      <c r="R404" s="1939"/>
      <c r="S404" s="1939"/>
      <c r="T404" s="1939"/>
      <c r="U404" s="1939"/>
      <c r="V404" s="1939"/>
      <c r="W404" s="1939"/>
      <c r="X404" s="1939"/>
      <c r="Y404" s="1939"/>
      <c r="Z404" s="1939"/>
      <c r="AA404" s="1939"/>
      <c r="AB404" s="1939"/>
      <c r="AC404" s="1939"/>
      <c r="AD404" s="1939"/>
      <c r="AE404" s="1939"/>
      <c r="AF404" s="1939"/>
      <c r="AG404" s="1939"/>
      <c r="AH404" s="1939"/>
      <c r="AI404" s="1939"/>
      <c r="AJ404" s="1939"/>
      <c r="AK404" s="1939"/>
      <c r="AL404" s="1939"/>
      <c r="AM404" s="1939"/>
      <c r="AN404" s="1939"/>
      <c r="AO404" s="1939"/>
      <c r="AP404" s="1939"/>
      <c r="AQ404" s="1939"/>
      <c r="AR404" s="1939"/>
      <c r="AS404" s="1939"/>
      <c r="AT404" s="1939"/>
      <c r="AU404" s="1939"/>
      <c r="AV404" s="1939"/>
      <c r="AW404" s="1939"/>
      <c r="AX404" s="1939"/>
      <c r="AY404" s="1939"/>
      <c r="AZ404" s="1939"/>
      <c r="BA404" s="1939"/>
      <c r="BB404" s="1939"/>
      <c r="BC404" s="1939"/>
      <c r="BD404" s="1939"/>
      <c r="BE404" s="1939"/>
      <c r="BF404" s="1939"/>
      <c r="BG404" s="1939"/>
      <c r="BH404" s="1939"/>
      <c r="BI404" s="1939"/>
      <c r="BJ404" s="1939"/>
      <c r="BK404" s="1939"/>
      <c r="BL404" s="1939"/>
      <c r="BM404" s="1939"/>
      <c r="BN404" s="1939"/>
      <c r="BO404" s="1939"/>
      <c r="BP404" s="1939"/>
      <c r="BQ404" s="1939"/>
      <c r="BR404" s="1939"/>
      <c r="BS404" s="1939"/>
      <c r="BT404" s="1939"/>
      <c r="BU404" s="1939"/>
      <c r="BV404" s="1939"/>
      <c r="BW404" s="1939"/>
      <c r="BX404" s="1939"/>
      <c r="BY404" s="1939"/>
      <c r="BZ404" s="1939"/>
      <c r="CA404" s="1939"/>
      <c r="CB404" s="1939"/>
      <c r="CC404" s="1940"/>
    </row>
    <row r="405" spans="1:81" s="10" customFormat="1" ht="15" customHeight="1" thickTop="1">
      <c r="A405" s="15"/>
      <c r="B405" s="44"/>
      <c r="C405" s="27"/>
      <c r="D405" s="27"/>
      <c r="E405" s="27"/>
      <c r="F405" s="27"/>
      <c r="G405" s="15"/>
      <c r="H405" s="15"/>
      <c r="I405" s="15"/>
      <c r="J405" s="15"/>
      <c r="K405" s="15"/>
      <c r="L405" s="15"/>
      <c r="M405" s="15"/>
      <c r="T405" s="26"/>
      <c r="AN405" s="26"/>
      <c r="BH405" s="26"/>
      <c r="CC405" s="26"/>
    </row>
    <row r="406" spans="1:81" s="10" customFormat="1" ht="15" customHeight="1">
      <c r="A406" s="15"/>
      <c r="B406" s="45"/>
      <c r="C406" s="15"/>
      <c r="D406" s="15"/>
      <c r="E406" s="15"/>
      <c r="F406" s="15"/>
      <c r="G406" s="15"/>
      <c r="H406" s="15"/>
      <c r="I406" s="15"/>
      <c r="J406" s="15"/>
      <c r="K406" s="15"/>
      <c r="L406" s="15"/>
      <c r="M406" s="15"/>
      <c r="T406" s="26"/>
      <c r="AN406" s="26"/>
      <c r="BH406" s="26"/>
      <c r="CC406" s="26"/>
    </row>
    <row r="407" spans="1:81" s="10" customFormat="1" ht="23.25">
      <c r="A407" s="37" t="s">
        <v>131</v>
      </c>
      <c r="C407" s="26"/>
      <c r="D407" s="26"/>
      <c r="T407" s="26"/>
      <c r="AN407" s="26"/>
      <c r="BH407" s="26"/>
      <c r="CC407" s="26"/>
    </row>
    <row r="408" spans="1:81" s="10" customFormat="1" ht="15" customHeight="1">
      <c r="A408" s="5" t="s">
        <v>50</v>
      </c>
      <c r="C408" s="26"/>
      <c r="D408" s="26"/>
      <c r="T408" s="26"/>
      <c r="AN408" s="26"/>
      <c r="BH408" s="26"/>
      <c r="CC408" s="26"/>
    </row>
    <row r="409" spans="1:81" s="10" customFormat="1" ht="15" customHeight="1">
      <c r="B409" s="11"/>
      <c r="C409" s="26"/>
      <c r="D409" s="26"/>
      <c r="T409" s="26"/>
      <c r="AN409" s="26"/>
      <c r="BH409" s="26"/>
      <c r="CC409" s="26"/>
    </row>
    <row r="410" spans="1:81" s="10" customFormat="1" ht="15" customHeight="1">
      <c r="B410" s="11"/>
      <c r="C410" s="26"/>
      <c r="D410" s="26"/>
      <c r="T410" s="26"/>
      <c r="AN410" s="26"/>
      <c r="BH410" s="26"/>
      <c r="CC410" s="26"/>
    </row>
    <row r="411" spans="1:81" s="10" customFormat="1" ht="21">
      <c r="A411" s="3" t="s">
        <v>25</v>
      </c>
      <c r="C411" s="26"/>
      <c r="D411" s="26"/>
      <c r="T411" s="26"/>
      <c r="AN411" s="26"/>
      <c r="BH411" s="26"/>
      <c r="CC411" s="26"/>
    </row>
    <row r="412" spans="1:81" s="10" customFormat="1" ht="15" customHeight="1" thickBot="1">
      <c r="B412" s="12"/>
      <c r="C412" s="26"/>
      <c r="D412" s="26"/>
      <c r="CC412" s="26"/>
    </row>
    <row r="413" spans="1:81" s="10" customFormat="1" ht="20.100000000000001" customHeight="1" thickTop="1">
      <c r="A413" s="1915" t="s">
        <v>69</v>
      </c>
      <c r="B413" s="1916"/>
      <c r="C413" s="1916"/>
      <c r="D413" s="1916"/>
      <c r="E413" s="1916" t="s">
        <v>132</v>
      </c>
      <c r="F413" s="1916"/>
      <c r="G413" s="1916"/>
      <c r="H413" s="1916"/>
      <c r="I413" s="1916"/>
      <c r="J413" s="1916"/>
      <c r="K413" s="1916"/>
      <c r="L413" s="1916"/>
      <c r="M413" s="1916"/>
      <c r="N413" s="1916"/>
      <c r="O413" s="1916"/>
      <c r="P413" s="1916" t="s">
        <v>133</v>
      </c>
      <c r="Q413" s="1916"/>
      <c r="R413" s="1916"/>
      <c r="S413" s="1916"/>
      <c r="T413" s="1916"/>
      <c r="U413" s="1916"/>
      <c r="V413" s="1916"/>
      <c r="W413" s="1916"/>
      <c r="X413" s="1916"/>
      <c r="Y413" s="1916"/>
      <c r="Z413" s="1916"/>
      <c r="AA413" s="1916"/>
      <c r="AB413" s="1916"/>
      <c r="AC413" s="1916"/>
      <c r="AD413" s="1916"/>
      <c r="AE413" s="1916" t="s">
        <v>193</v>
      </c>
      <c r="AF413" s="1916"/>
      <c r="AG413" s="1916"/>
      <c r="AH413" s="1916"/>
      <c r="AI413" s="1916"/>
      <c r="AJ413" s="1916"/>
      <c r="AK413" s="1916"/>
      <c r="AL413" s="1916"/>
      <c r="AM413" s="1916"/>
      <c r="AN413" s="1916"/>
      <c r="AO413" s="1916"/>
      <c r="AP413" s="1916"/>
      <c r="AQ413" s="1916"/>
      <c r="AR413" s="1916"/>
      <c r="AS413" s="1916"/>
      <c r="AT413" s="1916" t="s">
        <v>18</v>
      </c>
      <c r="AU413" s="1916"/>
      <c r="AV413" s="1916"/>
      <c r="AW413" s="1916"/>
      <c r="AX413" s="1916"/>
      <c r="AY413" s="1916"/>
      <c r="AZ413" s="1916"/>
      <c r="BA413" s="1916"/>
      <c r="BB413" s="1916"/>
      <c r="BC413" s="1916"/>
      <c r="BD413" s="1916"/>
      <c r="BE413" s="1916"/>
      <c r="BF413" s="1916"/>
      <c r="BG413" s="1916"/>
      <c r="BH413" s="1916"/>
      <c r="BI413" s="1916" t="s">
        <v>134</v>
      </c>
      <c r="BJ413" s="1916"/>
      <c r="BK413" s="1916"/>
      <c r="BL413" s="1916"/>
      <c r="BM413" s="1916"/>
      <c r="BN413" s="1916"/>
      <c r="BO413" s="1916"/>
      <c r="BP413" s="1916"/>
      <c r="BQ413" s="1916"/>
      <c r="BR413" s="1916"/>
      <c r="BS413" s="1916"/>
      <c r="BT413" s="1916"/>
      <c r="BU413" s="1916"/>
      <c r="BV413" s="1916"/>
      <c r="BW413" s="1916"/>
      <c r="BX413" s="1916"/>
      <c r="BY413" s="1916"/>
      <c r="BZ413" s="1916"/>
      <c r="CA413" s="1916"/>
      <c r="CB413" s="1916"/>
      <c r="CC413" s="1922"/>
    </row>
    <row r="414" spans="1:81" s="10" customFormat="1" ht="25.5" customHeight="1">
      <c r="A414" s="1927"/>
      <c r="B414" s="1928"/>
      <c r="C414" s="1928"/>
      <c r="D414" s="1928"/>
      <c r="E414" s="1928"/>
      <c r="F414" s="1928"/>
      <c r="G414" s="1928"/>
      <c r="H414" s="1928"/>
      <c r="I414" s="1928"/>
      <c r="J414" s="1928"/>
      <c r="K414" s="1928"/>
      <c r="L414" s="1928"/>
      <c r="M414" s="1928"/>
      <c r="N414" s="1928"/>
      <c r="O414" s="1928"/>
      <c r="P414" s="1929"/>
      <c r="Q414" s="1929"/>
      <c r="R414" s="1929"/>
      <c r="S414" s="1929"/>
      <c r="T414" s="1929"/>
      <c r="U414" s="1929"/>
      <c r="V414" s="1929"/>
      <c r="W414" s="1929"/>
      <c r="X414" s="1929"/>
      <c r="Y414" s="1929"/>
      <c r="Z414" s="1929"/>
      <c r="AA414" s="1929"/>
      <c r="AB414" s="1929"/>
      <c r="AC414" s="1929"/>
      <c r="AD414" s="1929"/>
      <c r="AE414" s="1929"/>
      <c r="AF414" s="1929"/>
      <c r="AG414" s="1929"/>
      <c r="AH414" s="1929"/>
      <c r="AI414" s="1929"/>
      <c r="AJ414" s="1929"/>
      <c r="AK414" s="1929"/>
      <c r="AL414" s="1929"/>
      <c r="AM414" s="1929"/>
      <c r="AN414" s="1929"/>
      <c r="AO414" s="1929"/>
      <c r="AP414" s="1929"/>
      <c r="AQ414" s="1929"/>
      <c r="AR414" s="1929"/>
      <c r="AS414" s="1929"/>
      <c r="AT414" s="1928"/>
      <c r="AU414" s="1928"/>
      <c r="AV414" s="1928"/>
      <c r="AW414" s="1928"/>
      <c r="AX414" s="1928"/>
      <c r="AY414" s="1928"/>
      <c r="AZ414" s="1928"/>
      <c r="BA414" s="1928"/>
      <c r="BB414" s="1928"/>
      <c r="BC414" s="1928"/>
      <c r="BD414" s="1928"/>
      <c r="BE414" s="1928"/>
      <c r="BF414" s="1928"/>
      <c r="BG414" s="1928"/>
      <c r="BH414" s="1928"/>
      <c r="BI414" s="1928"/>
      <c r="BJ414" s="1928"/>
      <c r="BK414" s="1928"/>
      <c r="BL414" s="1928"/>
      <c r="BM414" s="1928"/>
      <c r="BN414" s="1928"/>
      <c r="BO414" s="1928"/>
      <c r="BP414" s="1928"/>
      <c r="BQ414" s="1928"/>
      <c r="BR414" s="1928"/>
      <c r="BS414" s="1928"/>
      <c r="BT414" s="1928"/>
      <c r="BU414" s="1928"/>
      <c r="BV414" s="1928"/>
      <c r="BW414" s="1928"/>
      <c r="BX414" s="1928"/>
      <c r="BY414" s="1928"/>
      <c r="BZ414" s="1928"/>
      <c r="CA414" s="1928"/>
      <c r="CB414" s="1928"/>
      <c r="CC414" s="1930"/>
    </row>
    <row r="415" spans="1:81" s="10" customFormat="1" ht="25.5" customHeight="1">
      <c r="A415" s="1931"/>
      <c r="B415" s="1932"/>
      <c r="C415" s="1932"/>
      <c r="D415" s="1932"/>
      <c r="E415" s="1932"/>
      <c r="F415" s="1932"/>
      <c r="G415" s="1932"/>
      <c r="H415" s="1932"/>
      <c r="I415" s="1932"/>
      <c r="J415" s="1932"/>
      <c r="K415" s="1932"/>
      <c r="L415" s="1932"/>
      <c r="M415" s="1932"/>
      <c r="N415" s="1932"/>
      <c r="O415" s="1932"/>
      <c r="P415" s="1933"/>
      <c r="Q415" s="1933"/>
      <c r="R415" s="1933"/>
      <c r="S415" s="1933"/>
      <c r="T415" s="1933"/>
      <c r="U415" s="1933"/>
      <c r="V415" s="1933"/>
      <c r="W415" s="1933"/>
      <c r="X415" s="1933"/>
      <c r="Y415" s="1933"/>
      <c r="Z415" s="1933"/>
      <c r="AA415" s="1933"/>
      <c r="AB415" s="1933"/>
      <c r="AC415" s="1933"/>
      <c r="AD415" s="1933"/>
      <c r="AE415" s="1933"/>
      <c r="AF415" s="1933"/>
      <c r="AG415" s="1933"/>
      <c r="AH415" s="1933"/>
      <c r="AI415" s="1933"/>
      <c r="AJ415" s="1933"/>
      <c r="AK415" s="1933"/>
      <c r="AL415" s="1933"/>
      <c r="AM415" s="1933"/>
      <c r="AN415" s="1933"/>
      <c r="AO415" s="1933"/>
      <c r="AP415" s="1933"/>
      <c r="AQ415" s="1933"/>
      <c r="AR415" s="1933"/>
      <c r="AS415" s="1933"/>
      <c r="AT415" s="1932"/>
      <c r="AU415" s="1932"/>
      <c r="AV415" s="1932"/>
      <c r="AW415" s="1932"/>
      <c r="AX415" s="1932"/>
      <c r="AY415" s="1932"/>
      <c r="AZ415" s="1932"/>
      <c r="BA415" s="1932"/>
      <c r="BB415" s="1932"/>
      <c r="BC415" s="1932"/>
      <c r="BD415" s="1932"/>
      <c r="BE415" s="1932"/>
      <c r="BF415" s="1932"/>
      <c r="BG415" s="1932"/>
      <c r="BH415" s="1932"/>
      <c r="BI415" s="1932"/>
      <c r="BJ415" s="1932"/>
      <c r="BK415" s="1932"/>
      <c r="BL415" s="1932"/>
      <c r="BM415" s="1932"/>
      <c r="BN415" s="1932"/>
      <c r="BO415" s="1932"/>
      <c r="BP415" s="1932"/>
      <c r="BQ415" s="1932"/>
      <c r="BR415" s="1932"/>
      <c r="BS415" s="1932"/>
      <c r="BT415" s="1932"/>
      <c r="BU415" s="1932"/>
      <c r="BV415" s="1932"/>
      <c r="BW415" s="1932"/>
      <c r="BX415" s="1932"/>
      <c r="BY415" s="1932"/>
      <c r="BZ415" s="1932"/>
      <c r="CA415" s="1932"/>
      <c r="CB415" s="1932"/>
      <c r="CC415" s="1934"/>
    </row>
    <row r="416" spans="1:81" s="10" customFormat="1" ht="25.5" customHeight="1">
      <c r="A416" s="1927"/>
      <c r="B416" s="1928"/>
      <c r="C416" s="1928"/>
      <c r="D416" s="1928"/>
      <c r="E416" s="1928"/>
      <c r="F416" s="1928"/>
      <c r="G416" s="1928"/>
      <c r="H416" s="1928"/>
      <c r="I416" s="1928"/>
      <c r="J416" s="1928"/>
      <c r="K416" s="1928"/>
      <c r="L416" s="1928"/>
      <c r="M416" s="1928"/>
      <c r="N416" s="1928"/>
      <c r="O416" s="1928"/>
      <c r="P416" s="1929"/>
      <c r="Q416" s="1929"/>
      <c r="R416" s="1929"/>
      <c r="S416" s="1929"/>
      <c r="T416" s="1929"/>
      <c r="U416" s="1929"/>
      <c r="V416" s="1929"/>
      <c r="W416" s="1929"/>
      <c r="X416" s="1929"/>
      <c r="Y416" s="1929"/>
      <c r="Z416" s="1929"/>
      <c r="AA416" s="1929"/>
      <c r="AB416" s="1929"/>
      <c r="AC416" s="1929"/>
      <c r="AD416" s="1929"/>
      <c r="AE416" s="1929"/>
      <c r="AF416" s="1929"/>
      <c r="AG416" s="1929"/>
      <c r="AH416" s="1929"/>
      <c r="AI416" s="1929"/>
      <c r="AJ416" s="1929"/>
      <c r="AK416" s="1929"/>
      <c r="AL416" s="1929"/>
      <c r="AM416" s="1929"/>
      <c r="AN416" s="1929"/>
      <c r="AO416" s="1929"/>
      <c r="AP416" s="1929"/>
      <c r="AQ416" s="1929"/>
      <c r="AR416" s="1929"/>
      <c r="AS416" s="1929"/>
      <c r="AT416" s="1928"/>
      <c r="AU416" s="1928"/>
      <c r="AV416" s="1928"/>
      <c r="AW416" s="1928"/>
      <c r="AX416" s="1928"/>
      <c r="AY416" s="1928"/>
      <c r="AZ416" s="1928"/>
      <c r="BA416" s="1928"/>
      <c r="BB416" s="1928"/>
      <c r="BC416" s="1928"/>
      <c r="BD416" s="1928"/>
      <c r="BE416" s="1928"/>
      <c r="BF416" s="1928"/>
      <c r="BG416" s="1928"/>
      <c r="BH416" s="1928"/>
      <c r="BI416" s="1928"/>
      <c r="BJ416" s="1928"/>
      <c r="BK416" s="1928"/>
      <c r="BL416" s="1928"/>
      <c r="BM416" s="1928"/>
      <c r="BN416" s="1928"/>
      <c r="BO416" s="1928"/>
      <c r="BP416" s="1928"/>
      <c r="BQ416" s="1928"/>
      <c r="BR416" s="1928"/>
      <c r="BS416" s="1928"/>
      <c r="BT416" s="1928"/>
      <c r="BU416" s="1928"/>
      <c r="BV416" s="1928"/>
      <c r="BW416" s="1928"/>
      <c r="BX416" s="1928"/>
      <c r="BY416" s="1928"/>
      <c r="BZ416" s="1928"/>
      <c r="CA416" s="1928"/>
      <c r="CB416" s="1928"/>
      <c r="CC416" s="1930"/>
    </row>
    <row r="417" spans="1:81" s="10" customFormat="1" ht="25.5" customHeight="1">
      <c r="A417" s="1931"/>
      <c r="B417" s="1932"/>
      <c r="C417" s="1932"/>
      <c r="D417" s="1932"/>
      <c r="E417" s="1932"/>
      <c r="F417" s="1932"/>
      <c r="G417" s="1932"/>
      <c r="H417" s="1932"/>
      <c r="I417" s="1932"/>
      <c r="J417" s="1932"/>
      <c r="K417" s="1932"/>
      <c r="L417" s="1932"/>
      <c r="M417" s="1932"/>
      <c r="N417" s="1932"/>
      <c r="O417" s="1932"/>
      <c r="P417" s="1933"/>
      <c r="Q417" s="1933"/>
      <c r="R417" s="1933"/>
      <c r="S417" s="1933"/>
      <c r="T417" s="1933"/>
      <c r="U417" s="1933"/>
      <c r="V417" s="1933"/>
      <c r="W417" s="1933"/>
      <c r="X417" s="1933"/>
      <c r="Y417" s="1933"/>
      <c r="Z417" s="1933"/>
      <c r="AA417" s="1933"/>
      <c r="AB417" s="1933"/>
      <c r="AC417" s="1933"/>
      <c r="AD417" s="1933"/>
      <c r="AE417" s="1933"/>
      <c r="AF417" s="1933"/>
      <c r="AG417" s="1933"/>
      <c r="AH417" s="1933"/>
      <c r="AI417" s="1933"/>
      <c r="AJ417" s="1933"/>
      <c r="AK417" s="1933"/>
      <c r="AL417" s="1933"/>
      <c r="AM417" s="1933"/>
      <c r="AN417" s="1933"/>
      <c r="AO417" s="1933"/>
      <c r="AP417" s="1933"/>
      <c r="AQ417" s="1933"/>
      <c r="AR417" s="1933"/>
      <c r="AS417" s="1933"/>
      <c r="AT417" s="1932"/>
      <c r="AU417" s="1932"/>
      <c r="AV417" s="1932"/>
      <c r="AW417" s="1932"/>
      <c r="AX417" s="1932"/>
      <c r="AY417" s="1932"/>
      <c r="AZ417" s="1932"/>
      <c r="BA417" s="1932"/>
      <c r="BB417" s="1932"/>
      <c r="BC417" s="1932"/>
      <c r="BD417" s="1932"/>
      <c r="BE417" s="1932"/>
      <c r="BF417" s="1932"/>
      <c r="BG417" s="1932"/>
      <c r="BH417" s="1932"/>
      <c r="BI417" s="1932"/>
      <c r="BJ417" s="1932"/>
      <c r="BK417" s="1932"/>
      <c r="BL417" s="1932"/>
      <c r="BM417" s="1932"/>
      <c r="BN417" s="1932"/>
      <c r="BO417" s="1932"/>
      <c r="BP417" s="1932"/>
      <c r="BQ417" s="1932"/>
      <c r="BR417" s="1932"/>
      <c r="BS417" s="1932"/>
      <c r="BT417" s="1932"/>
      <c r="BU417" s="1932"/>
      <c r="BV417" s="1932"/>
      <c r="BW417" s="1932"/>
      <c r="BX417" s="1932"/>
      <c r="BY417" s="1932"/>
      <c r="BZ417" s="1932"/>
      <c r="CA417" s="1932"/>
      <c r="CB417" s="1932"/>
      <c r="CC417" s="1934"/>
    </row>
    <row r="418" spans="1:81" s="10" customFormat="1" ht="25.5" customHeight="1">
      <c r="A418" s="1927"/>
      <c r="B418" s="1928"/>
      <c r="C418" s="1928"/>
      <c r="D418" s="1928"/>
      <c r="E418" s="1928"/>
      <c r="F418" s="1928"/>
      <c r="G418" s="1928"/>
      <c r="H418" s="1928"/>
      <c r="I418" s="1928"/>
      <c r="J418" s="1928"/>
      <c r="K418" s="1928"/>
      <c r="L418" s="1928"/>
      <c r="M418" s="1928"/>
      <c r="N418" s="1928"/>
      <c r="O418" s="1928"/>
      <c r="P418" s="1929"/>
      <c r="Q418" s="1929"/>
      <c r="R418" s="1929"/>
      <c r="S418" s="1929"/>
      <c r="T418" s="1929"/>
      <c r="U418" s="1929"/>
      <c r="V418" s="1929"/>
      <c r="W418" s="1929"/>
      <c r="X418" s="1929"/>
      <c r="Y418" s="1929"/>
      <c r="Z418" s="1929"/>
      <c r="AA418" s="1929"/>
      <c r="AB418" s="1929"/>
      <c r="AC418" s="1929"/>
      <c r="AD418" s="1929"/>
      <c r="AE418" s="1929"/>
      <c r="AF418" s="1929"/>
      <c r="AG418" s="1929"/>
      <c r="AH418" s="1929"/>
      <c r="AI418" s="1929"/>
      <c r="AJ418" s="1929"/>
      <c r="AK418" s="1929"/>
      <c r="AL418" s="1929"/>
      <c r="AM418" s="1929"/>
      <c r="AN418" s="1929"/>
      <c r="AO418" s="1929"/>
      <c r="AP418" s="1929"/>
      <c r="AQ418" s="1929"/>
      <c r="AR418" s="1929"/>
      <c r="AS418" s="1929"/>
      <c r="AT418" s="1928"/>
      <c r="AU418" s="1928"/>
      <c r="AV418" s="1928"/>
      <c r="AW418" s="1928"/>
      <c r="AX418" s="1928"/>
      <c r="AY418" s="1928"/>
      <c r="AZ418" s="1928"/>
      <c r="BA418" s="1928"/>
      <c r="BB418" s="1928"/>
      <c r="BC418" s="1928"/>
      <c r="BD418" s="1928"/>
      <c r="BE418" s="1928"/>
      <c r="BF418" s="1928"/>
      <c r="BG418" s="1928"/>
      <c r="BH418" s="1928"/>
      <c r="BI418" s="1928"/>
      <c r="BJ418" s="1928"/>
      <c r="BK418" s="1928"/>
      <c r="BL418" s="1928"/>
      <c r="BM418" s="1928"/>
      <c r="BN418" s="1928"/>
      <c r="BO418" s="1928"/>
      <c r="BP418" s="1928"/>
      <c r="BQ418" s="1928"/>
      <c r="BR418" s="1928"/>
      <c r="BS418" s="1928"/>
      <c r="BT418" s="1928"/>
      <c r="BU418" s="1928"/>
      <c r="BV418" s="1928"/>
      <c r="BW418" s="1928"/>
      <c r="BX418" s="1928"/>
      <c r="BY418" s="1928"/>
      <c r="BZ418" s="1928"/>
      <c r="CA418" s="1928"/>
      <c r="CB418" s="1928"/>
      <c r="CC418" s="1930"/>
    </row>
    <row r="419" spans="1:81" s="10" customFormat="1" ht="25.5" customHeight="1" thickBot="1">
      <c r="A419" s="1923"/>
      <c r="B419" s="1924"/>
      <c r="C419" s="1924"/>
      <c r="D419" s="1924"/>
      <c r="E419" s="1924"/>
      <c r="F419" s="1924"/>
      <c r="G419" s="1924"/>
      <c r="H419" s="1924"/>
      <c r="I419" s="1924"/>
      <c r="J419" s="1924"/>
      <c r="K419" s="1924"/>
      <c r="L419" s="1924"/>
      <c r="M419" s="1924"/>
      <c r="N419" s="1924"/>
      <c r="O419" s="1924"/>
      <c r="P419" s="1925"/>
      <c r="Q419" s="1925"/>
      <c r="R419" s="1925"/>
      <c r="S419" s="1925"/>
      <c r="T419" s="1925"/>
      <c r="U419" s="1925"/>
      <c r="V419" s="1925"/>
      <c r="W419" s="1925"/>
      <c r="X419" s="1925"/>
      <c r="Y419" s="1925"/>
      <c r="Z419" s="1925"/>
      <c r="AA419" s="1925"/>
      <c r="AB419" s="1925"/>
      <c r="AC419" s="1925"/>
      <c r="AD419" s="1925"/>
      <c r="AE419" s="1925"/>
      <c r="AF419" s="1925"/>
      <c r="AG419" s="1925"/>
      <c r="AH419" s="1925"/>
      <c r="AI419" s="1925"/>
      <c r="AJ419" s="1925"/>
      <c r="AK419" s="1925"/>
      <c r="AL419" s="1925"/>
      <c r="AM419" s="1925"/>
      <c r="AN419" s="1925"/>
      <c r="AO419" s="1925"/>
      <c r="AP419" s="1925"/>
      <c r="AQ419" s="1925"/>
      <c r="AR419" s="1925"/>
      <c r="AS419" s="1925"/>
      <c r="AT419" s="1924"/>
      <c r="AU419" s="1924"/>
      <c r="AV419" s="1924"/>
      <c r="AW419" s="1924"/>
      <c r="AX419" s="1924"/>
      <c r="AY419" s="1924"/>
      <c r="AZ419" s="1924"/>
      <c r="BA419" s="1924"/>
      <c r="BB419" s="1924"/>
      <c r="BC419" s="1924"/>
      <c r="BD419" s="1924"/>
      <c r="BE419" s="1924"/>
      <c r="BF419" s="1924"/>
      <c r="BG419" s="1924"/>
      <c r="BH419" s="1924"/>
      <c r="BI419" s="1924"/>
      <c r="BJ419" s="1924"/>
      <c r="BK419" s="1924"/>
      <c r="BL419" s="1924"/>
      <c r="BM419" s="1924"/>
      <c r="BN419" s="1924"/>
      <c r="BO419" s="1924"/>
      <c r="BP419" s="1924"/>
      <c r="BQ419" s="1924"/>
      <c r="BR419" s="1924"/>
      <c r="BS419" s="1924"/>
      <c r="BT419" s="1924"/>
      <c r="BU419" s="1924"/>
      <c r="BV419" s="1924"/>
      <c r="BW419" s="1924"/>
      <c r="BX419" s="1924"/>
      <c r="BY419" s="1924"/>
      <c r="BZ419" s="1924"/>
      <c r="CA419" s="1924"/>
      <c r="CB419" s="1924"/>
      <c r="CC419" s="1926"/>
    </row>
    <row r="420" spans="1:81" s="10" customFormat="1" ht="15" customHeight="1" thickTop="1">
      <c r="B420" s="7"/>
      <c r="C420" s="26"/>
      <c r="D420" s="26"/>
      <c r="T420" s="26"/>
      <c r="AN420" s="26"/>
      <c r="BH420" s="26"/>
      <c r="CC420" s="26"/>
    </row>
    <row r="421" spans="1:81" s="10" customFormat="1" ht="15" customHeight="1">
      <c r="B421" s="3"/>
      <c r="C421" s="26"/>
      <c r="D421" s="26"/>
      <c r="T421" s="26"/>
      <c r="AN421" s="26"/>
      <c r="BH421" s="26"/>
      <c r="CC421" s="26"/>
    </row>
    <row r="422" spans="1:81" s="10" customFormat="1" ht="15" customHeight="1">
      <c r="B422" s="3"/>
      <c r="C422" s="26"/>
      <c r="D422" s="26"/>
      <c r="T422" s="26"/>
      <c r="AN422" s="26"/>
      <c r="BH422" s="26"/>
      <c r="CC422" s="26"/>
    </row>
    <row r="423" spans="1:81" s="10" customFormat="1" ht="15" customHeight="1">
      <c r="B423" s="3"/>
      <c r="C423" s="26"/>
      <c r="D423" s="26"/>
      <c r="T423" s="26"/>
      <c r="AN423" s="26"/>
      <c r="BH423" s="26"/>
      <c r="CC423" s="26"/>
    </row>
    <row r="424" spans="1:81" s="10" customFormat="1" ht="15" customHeight="1">
      <c r="B424" s="3"/>
      <c r="C424" s="26"/>
      <c r="D424" s="26"/>
      <c r="T424" s="26"/>
      <c r="AN424" s="26"/>
      <c r="BH424" s="26"/>
      <c r="CC424" s="26"/>
    </row>
    <row r="425" spans="1:81" s="10" customFormat="1" ht="15" customHeight="1">
      <c r="B425" s="3"/>
      <c r="C425" s="26"/>
      <c r="D425" s="26"/>
      <c r="T425" s="26"/>
      <c r="AN425" s="26"/>
      <c r="BH425" s="26"/>
      <c r="CC425" s="26"/>
    </row>
    <row r="426" spans="1:81" s="10" customFormat="1" ht="15" customHeight="1">
      <c r="B426" s="3"/>
      <c r="C426" s="26"/>
      <c r="D426" s="26"/>
      <c r="T426" s="26"/>
      <c r="AN426" s="26"/>
      <c r="BH426" s="26"/>
      <c r="CC426" s="26"/>
    </row>
    <row r="427" spans="1:81" s="10" customFormat="1" ht="23.25">
      <c r="A427" s="37" t="s">
        <v>26</v>
      </c>
      <c r="C427" s="26"/>
      <c r="D427" s="26"/>
      <c r="T427" s="26"/>
      <c r="AN427" s="26"/>
      <c r="BH427" s="26"/>
      <c r="CC427" s="26"/>
    </row>
    <row r="428" spans="1:81" s="10" customFormat="1" ht="15" customHeight="1" thickBot="1">
      <c r="B428" s="9"/>
      <c r="C428" s="26"/>
      <c r="D428" s="26"/>
      <c r="T428" s="26"/>
      <c r="AN428" s="26"/>
      <c r="BH428" s="26"/>
      <c r="CC428" s="26"/>
    </row>
    <row r="429" spans="1:81" s="10" customFormat="1" ht="20.100000000000001" customHeight="1" thickTop="1">
      <c r="A429" s="1915"/>
      <c r="B429" s="1916"/>
      <c r="C429" s="1916"/>
      <c r="D429" s="1916"/>
      <c r="E429" s="1916"/>
      <c r="F429" s="1916"/>
      <c r="G429" s="1916"/>
      <c r="H429" s="1916"/>
      <c r="I429" s="1916"/>
      <c r="J429" s="1919" t="s">
        <v>197</v>
      </c>
      <c r="K429" s="1920"/>
      <c r="L429" s="1920"/>
      <c r="M429" s="1920"/>
      <c r="N429" s="1920"/>
      <c r="O429" s="1920"/>
      <c r="P429" s="1920"/>
      <c r="Q429" s="1920"/>
      <c r="R429" s="1920"/>
      <c r="S429" s="1920"/>
      <c r="T429" s="1920"/>
      <c r="U429" s="1920"/>
      <c r="V429" s="1920"/>
      <c r="W429" s="1920"/>
      <c r="X429" s="1920"/>
      <c r="Y429" s="1920"/>
      <c r="Z429" s="1920"/>
      <c r="AA429" s="1920"/>
      <c r="AB429" s="1920"/>
      <c r="AC429" s="1920"/>
      <c r="AD429" s="1920"/>
      <c r="AE429" s="1920"/>
      <c r="AF429" s="1920"/>
      <c r="AG429" s="1920"/>
      <c r="AH429" s="1920"/>
      <c r="AI429" s="1920"/>
      <c r="AJ429" s="1920"/>
      <c r="AK429" s="1920"/>
      <c r="AL429" s="1920"/>
      <c r="AM429" s="1921"/>
      <c r="AN429" s="1919" t="s">
        <v>7</v>
      </c>
      <c r="AO429" s="1920"/>
      <c r="AP429" s="1920"/>
      <c r="AQ429" s="1920"/>
      <c r="AR429" s="1920"/>
      <c r="AS429" s="1920"/>
      <c r="AT429" s="1920"/>
      <c r="AU429" s="1920"/>
      <c r="AV429" s="1920"/>
      <c r="AW429" s="1920"/>
      <c r="AX429" s="1920"/>
      <c r="AY429" s="1920"/>
      <c r="AZ429" s="1920"/>
      <c r="BA429" s="1920"/>
      <c r="BB429" s="1920"/>
      <c r="BC429" s="1920"/>
      <c r="BD429" s="1920"/>
      <c r="BE429" s="1920"/>
      <c r="BF429" s="1920"/>
      <c r="BG429" s="1920"/>
      <c r="BH429" s="1920"/>
      <c r="BI429" s="1920"/>
      <c r="BJ429" s="1920"/>
      <c r="BK429" s="1920"/>
      <c r="BL429" s="1920"/>
      <c r="BM429" s="1920"/>
      <c r="BN429" s="1920"/>
      <c r="BO429" s="1920"/>
      <c r="BP429" s="1920"/>
      <c r="BQ429" s="1921"/>
      <c r="BR429" s="1916" t="s">
        <v>196</v>
      </c>
      <c r="BS429" s="1916"/>
      <c r="BT429" s="1916"/>
      <c r="BU429" s="1916"/>
      <c r="BV429" s="1916"/>
      <c r="BW429" s="1916"/>
      <c r="BX429" s="1916"/>
      <c r="BY429" s="1916"/>
      <c r="BZ429" s="1916"/>
      <c r="CA429" s="1916"/>
      <c r="CB429" s="1916"/>
      <c r="CC429" s="1922"/>
    </row>
    <row r="430" spans="1:81" s="10" customFormat="1" ht="20.100000000000001" customHeight="1">
      <c r="A430" s="1917"/>
      <c r="B430" s="1918"/>
      <c r="C430" s="1918"/>
      <c r="D430" s="1918"/>
      <c r="E430" s="1918"/>
      <c r="F430" s="1918"/>
      <c r="G430" s="1918"/>
      <c r="H430" s="1918"/>
      <c r="I430" s="1918"/>
      <c r="J430" s="1913" t="s">
        <v>194</v>
      </c>
      <c r="K430" s="1913"/>
      <c r="L430" s="1913"/>
      <c r="M430" s="1913"/>
      <c r="N430" s="1913"/>
      <c r="O430" s="1913"/>
      <c r="P430" s="1913"/>
      <c r="Q430" s="1913"/>
      <c r="R430" s="1913"/>
      <c r="S430" s="1913"/>
      <c r="T430" s="1913" t="s">
        <v>135</v>
      </c>
      <c r="U430" s="1913"/>
      <c r="V430" s="1913"/>
      <c r="W430" s="1913"/>
      <c r="X430" s="1913"/>
      <c r="Y430" s="1913"/>
      <c r="Z430" s="1913"/>
      <c r="AA430" s="1913"/>
      <c r="AB430" s="1913"/>
      <c r="AC430" s="1913"/>
      <c r="AD430" s="1913" t="s">
        <v>136</v>
      </c>
      <c r="AE430" s="1913"/>
      <c r="AF430" s="1913"/>
      <c r="AG430" s="1913"/>
      <c r="AH430" s="1913"/>
      <c r="AI430" s="1913"/>
      <c r="AJ430" s="1913"/>
      <c r="AK430" s="1913"/>
      <c r="AL430" s="1913"/>
      <c r="AM430" s="1913"/>
      <c r="AN430" s="1913" t="s">
        <v>194</v>
      </c>
      <c r="AO430" s="1913"/>
      <c r="AP430" s="1913"/>
      <c r="AQ430" s="1913"/>
      <c r="AR430" s="1913"/>
      <c r="AS430" s="1913"/>
      <c r="AT430" s="1913"/>
      <c r="AU430" s="1913"/>
      <c r="AV430" s="1913"/>
      <c r="AW430" s="1913"/>
      <c r="AX430" s="1913" t="s">
        <v>135</v>
      </c>
      <c r="AY430" s="1913"/>
      <c r="AZ430" s="1913"/>
      <c r="BA430" s="1913"/>
      <c r="BB430" s="1913"/>
      <c r="BC430" s="1913"/>
      <c r="BD430" s="1913"/>
      <c r="BE430" s="1913"/>
      <c r="BF430" s="1913"/>
      <c r="BG430" s="1913"/>
      <c r="BH430" s="1913" t="s">
        <v>136</v>
      </c>
      <c r="BI430" s="1913"/>
      <c r="BJ430" s="1913"/>
      <c r="BK430" s="1913"/>
      <c r="BL430" s="1913"/>
      <c r="BM430" s="1913"/>
      <c r="BN430" s="1913"/>
      <c r="BO430" s="1913"/>
      <c r="BP430" s="1913"/>
      <c r="BQ430" s="1913"/>
      <c r="BR430" s="1913" t="s">
        <v>195</v>
      </c>
      <c r="BS430" s="1913"/>
      <c r="BT430" s="1913"/>
      <c r="BU430" s="1913"/>
      <c r="BV430" s="1913"/>
      <c r="BW430" s="1913"/>
      <c r="BX430" s="1913"/>
      <c r="BY430" s="1913"/>
      <c r="BZ430" s="1913"/>
      <c r="CA430" s="1913"/>
      <c r="CB430" s="1913"/>
      <c r="CC430" s="1914"/>
    </row>
    <row r="431" spans="1:81" s="10" customFormat="1" ht="20.100000000000001" customHeight="1">
      <c r="A431" s="1911" t="s">
        <v>198</v>
      </c>
      <c r="B431" s="1912"/>
      <c r="C431" s="1912"/>
      <c r="D431" s="1912"/>
      <c r="E431" s="1912"/>
      <c r="F431" s="1912"/>
      <c r="G431" s="1912"/>
      <c r="H431" s="1912"/>
      <c r="I431" s="1912"/>
      <c r="J431" s="1907"/>
      <c r="K431" s="1907"/>
      <c r="L431" s="1907"/>
      <c r="M431" s="1907"/>
      <c r="N431" s="1907"/>
      <c r="O431" s="1907"/>
      <c r="P431" s="1907"/>
      <c r="Q431" s="1907"/>
      <c r="R431" s="1907"/>
      <c r="S431" s="1907"/>
      <c r="T431" s="1907"/>
      <c r="U431" s="1907"/>
      <c r="V431" s="1907"/>
      <c r="W431" s="1907"/>
      <c r="X431" s="1907"/>
      <c r="Y431" s="1907"/>
      <c r="Z431" s="1907"/>
      <c r="AA431" s="1907"/>
      <c r="AB431" s="1907"/>
      <c r="AC431" s="1907"/>
      <c r="AD431" s="1907"/>
      <c r="AE431" s="1907"/>
      <c r="AF431" s="1907"/>
      <c r="AG431" s="1907"/>
      <c r="AH431" s="1907"/>
      <c r="AI431" s="1907"/>
      <c r="AJ431" s="1907"/>
      <c r="AK431" s="1907"/>
      <c r="AL431" s="1907"/>
      <c r="AM431" s="1907"/>
      <c r="AN431" s="1907"/>
      <c r="AO431" s="1907"/>
      <c r="AP431" s="1907"/>
      <c r="AQ431" s="1907"/>
      <c r="AR431" s="1907"/>
      <c r="AS431" s="1907"/>
      <c r="AT431" s="1907"/>
      <c r="AU431" s="1907"/>
      <c r="AV431" s="1907"/>
      <c r="AW431" s="1907"/>
      <c r="AX431" s="1907"/>
      <c r="AY431" s="1907"/>
      <c r="AZ431" s="1907"/>
      <c r="BA431" s="1907"/>
      <c r="BB431" s="1907"/>
      <c r="BC431" s="1907"/>
      <c r="BD431" s="1907"/>
      <c r="BE431" s="1907"/>
      <c r="BF431" s="1907"/>
      <c r="BG431" s="1907"/>
      <c r="BH431" s="1907"/>
      <c r="BI431" s="1907"/>
      <c r="BJ431" s="1907"/>
      <c r="BK431" s="1907"/>
      <c r="BL431" s="1907"/>
      <c r="BM431" s="1907"/>
      <c r="BN431" s="1907"/>
      <c r="BO431" s="1907"/>
      <c r="BP431" s="1907"/>
      <c r="BQ431" s="1907"/>
      <c r="BR431" s="1907"/>
      <c r="BS431" s="1907"/>
      <c r="BT431" s="1907"/>
      <c r="BU431" s="1907"/>
      <c r="BV431" s="1907"/>
      <c r="BW431" s="1907"/>
      <c r="BX431" s="1907"/>
      <c r="BY431" s="1907"/>
      <c r="BZ431" s="1907"/>
      <c r="CA431" s="1907"/>
      <c r="CB431" s="1907"/>
      <c r="CC431" s="1908"/>
    </row>
    <row r="432" spans="1:81" s="10" customFormat="1" ht="20.100000000000001" customHeight="1">
      <c r="A432" s="1909" t="s">
        <v>137</v>
      </c>
      <c r="B432" s="1910"/>
      <c r="C432" s="1910"/>
      <c r="D432" s="1910"/>
      <c r="E432" s="1910"/>
      <c r="F432" s="1910"/>
      <c r="G432" s="1910"/>
      <c r="H432" s="1910"/>
      <c r="I432" s="1910"/>
      <c r="J432" s="1902"/>
      <c r="K432" s="1902"/>
      <c r="L432" s="1902"/>
      <c r="M432" s="1902"/>
      <c r="N432" s="1902"/>
      <c r="O432" s="1902"/>
      <c r="P432" s="1902"/>
      <c r="Q432" s="1902"/>
      <c r="R432" s="1902"/>
      <c r="S432" s="1902"/>
      <c r="T432" s="1902"/>
      <c r="U432" s="1902"/>
      <c r="V432" s="1902"/>
      <c r="W432" s="1902"/>
      <c r="X432" s="1902"/>
      <c r="Y432" s="1902"/>
      <c r="Z432" s="1902"/>
      <c r="AA432" s="1902"/>
      <c r="AB432" s="1902"/>
      <c r="AC432" s="1902"/>
      <c r="AD432" s="1902"/>
      <c r="AE432" s="1902"/>
      <c r="AF432" s="1902"/>
      <c r="AG432" s="1902"/>
      <c r="AH432" s="1902"/>
      <c r="AI432" s="1902"/>
      <c r="AJ432" s="1902"/>
      <c r="AK432" s="1902"/>
      <c r="AL432" s="1902"/>
      <c r="AM432" s="1902"/>
      <c r="AN432" s="1902"/>
      <c r="AO432" s="1902"/>
      <c r="AP432" s="1902"/>
      <c r="AQ432" s="1902"/>
      <c r="AR432" s="1902"/>
      <c r="AS432" s="1902"/>
      <c r="AT432" s="1902"/>
      <c r="AU432" s="1902"/>
      <c r="AV432" s="1902"/>
      <c r="AW432" s="1902"/>
      <c r="AX432" s="1902"/>
      <c r="AY432" s="1902"/>
      <c r="AZ432" s="1902"/>
      <c r="BA432" s="1902"/>
      <c r="BB432" s="1902"/>
      <c r="BC432" s="1902"/>
      <c r="BD432" s="1902"/>
      <c r="BE432" s="1902"/>
      <c r="BF432" s="1902"/>
      <c r="BG432" s="1902"/>
      <c r="BH432" s="1902"/>
      <c r="BI432" s="1902"/>
      <c r="BJ432" s="1902"/>
      <c r="BK432" s="1902"/>
      <c r="BL432" s="1902"/>
      <c r="BM432" s="1902"/>
      <c r="BN432" s="1902"/>
      <c r="BO432" s="1902"/>
      <c r="BP432" s="1902"/>
      <c r="BQ432" s="1902"/>
      <c r="BR432" s="1902"/>
      <c r="BS432" s="1902"/>
      <c r="BT432" s="1902"/>
      <c r="BU432" s="1902"/>
      <c r="BV432" s="1902"/>
      <c r="BW432" s="1902"/>
      <c r="BX432" s="1902"/>
      <c r="BY432" s="1902"/>
      <c r="BZ432" s="1902"/>
      <c r="CA432" s="1902"/>
      <c r="CB432" s="1902"/>
      <c r="CC432" s="1903"/>
    </row>
    <row r="433" spans="1:81" s="10" customFormat="1" ht="20.100000000000001" customHeight="1">
      <c r="A433" s="1911" t="s">
        <v>138</v>
      </c>
      <c r="B433" s="1912"/>
      <c r="C433" s="1912"/>
      <c r="D433" s="1912"/>
      <c r="E433" s="1912"/>
      <c r="F433" s="1912"/>
      <c r="G433" s="1912"/>
      <c r="H433" s="1912"/>
      <c r="I433" s="1912"/>
      <c r="J433" s="1907"/>
      <c r="K433" s="1907"/>
      <c r="L433" s="1907"/>
      <c r="M433" s="1907"/>
      <c r="N433" s="1907"/>
      <c r="O433" s="1907"/>
      <c r="P433" s="1907"/>
      <c r="Q433" s="1907"/>
      <c r="R433" s="1907"/>
      <c r="S433" s="1907"/>
      <c r="T433" s="1907"/>
      <c r="U433" s="1907"/>
      <c r="V433" s="1907"/>
      <c r="W433" s="1907"/>
      <c r="X433" s="1907"/>
      <c r="Y433" s="1907"/>
      <c r="Z433" s="1907"/>
      <c r="AA433" s="1907"/>
      <c r="AB433" s="1907"/>
      <c r="AC433" s="1907"/>
      <c r="AD433" s="1907"/>
      <c r="AE433" s="1907"/>
      <c r="AF433" s="1907"/>
      <c r="AG433" s="1907"/>
      <c r="AH433" s="1907"/>
      <c r="AI433" s="1907"/>
      <c r="AJ433" s="1907"/>
      <c r="AK433" s="1907"/>
      <c r="AL433" s="1907"/>
      <c r="AM433" s="1907"/>
      <c r="AN433" s="1907"/>
      <c r="AO433" s="1907"/>
      <c r="AP433" s="1907"/>
      <c r="AQ433" s="1907"/>
      <c r="AR433" s="1907"/>
      <c r="AS433" s="1907"/>
      <c r="AT433" s="1907"/>
      <c r="AU433" s="1907"/>
      <c r="AV433" s="1907"/>
      <c r="AW433" s="1907"/>
      <c r="AX433" s="1907"/>
      <c r="AY433" s="1907"/>
      <c r="AZ433" s="1907"/>
      <c r="BA433" s="1907"/>
      <c r="BB433" s="1907"/>
      <c r="BC433" s="1907"/>
      <c r="BD433" s="1907"/>
      <c r="BE433" s="1907"/>
      <c r="BF433" s="1907"/>
      <c r="BG433" s="1907"/>
      <c r="BH433" s="1907"/>
      <c r="BI433" s="1907"/>
      <c r="BJ433" s="1907"/>
      <c r="BK433" s="1907"/>
      <c r="BL433" s="1907"/>
      <c r="BM433" s="1907"/>
      <c r="BN433" s="1907"/>
      <c r="BO433" s="1907"/>
      <c r="BP433" s="1907"/>
      <c r="BQ433" s="1907"/>
      <c r="BR433" s="1907"/>
      <c r="BS433" s="1907"/>
      <c r="BT433" s="1907"/>
      <c r="BU433" s="1907"/>
      <c r="BV433" s="1907"/>
      <c r="BW433" s="1907"/>
      <c r="BX433" s="1907"/>
      <c r="BY433" s="1907"/>
      <c r="BZ433" s="1907"/>
      <c r="CA433" s="1907"/>
      <c r="CB433" s="1907"/>
      <c r="CC433" s="1908"/>
    </row>
    <row r="434" spans="1:81" s="10" customFormat="1" ht="20.100000000000001" customHeight="1">
      <c r="A434" s="1909" t="s">
        <v>139</v>
      </c>
      <c r="B434" s="1910"/>
      <c r="C434" s="1910"/>
      <c r="D434" s="1910"/>
      <c r="E434" s="1910"/>
      <c r="F434" s="1910"/>
      <c r="G434" s="1910"/>
      <c r="H434" s="1910"/>
      <c r="I434" s="1910"/>
      <c r="J434" s="1902"/>
      <c r="K434" s="1902"/>
      <c r="L434" s="1902"/>
      <c r="M434" s="1902"/>
      <c r="N434" s="1902"/>
      <c r="O434" s="1902"/>
      <c r="P434" s="1902"/>
      <c r="Q434" s="1902"/>
      <c r="R434" s="1902"/>
      <c r="S434" s="1902"/>
      <c r="T434" s="1902"/>
      <c r="U434" s="1902"/>
      <c r="V434" s="1902"/>
      <c r="W434" s="1902"/>
      <c r="X434" s="1902"/>
      <c r="Y434" s="1902"/>
      <c r="Z434" s="1902"/>
      <c r="AA434" s="1902"/>
      <c r="AB434" s="1902"/>
      <c r="AC434" s="1902"/>
      <c r="AD434" s="1902"/>
      <c r="AE434" s="1902"/>
      <c r="AF434" s="1902"/>
      <c r="AG434" s="1902"/>
      <c r="AH434" s="1902"/>
      <c r="AI434" s="1902"/>
      <c r="AJ434" s="1902"/>
      <c r="AK434" s="1902"/>
      <c r="AL434" s="1902"/>
      <c r="AM434" s="1902"/>
      <c r="AN434" s="1902"/>
      <c r="AO434" s="1902"/>
      <c r="AP434" s="1902"/>
      <c r="AQ434" s="1902"/>
      <c r="AR434" s="1902"/>
      <c r="AS434" s="1902"/>
      <c r="AT434" s="1902"/>
      <c r="AU434" s="1902"/>
      <c r="AV434" s="1902"/>
      <c r="AW434" s="1902"/>
      <c r="AX434" s="1902"/>
      <c r="AY434" s="1902"/>
      <c r="AZ434" s="1902"/>
      <c r="BA434" s="1902"/>
      <c r="BB434" s="1902"/>
      <c r="BC434" s="1902"/>
      <c r="BD434" s="1902"/>
      <c r="BE434" s="1902"/>
      <c r="BF434" s="1902"/>
      <c r="BG434" s="1902"/>
      <c r="BH434" s="1902"/>
      <c r="BI434" s="1902"/>
      <c r="BJ434" s="1902"/>
      <c r="BK434" s="1902"/>
      <c r="BL434" s="1902"/>
      <c r="BM434" s="1902"/>
      <c r="BN434" s="1902"/>
      <c r="BO434" s="1902"/>
      <c r="BP434" s="1902"/>
      <c r="BQ434" s="1902"/>
      <c r="BR434" s="1902"/>
      <c r="BS434" s="1902"/>
      <c r="BT434" s="1902"/>
      <c r="BU434" s="1902"/>
      <c r="BV434" s="1902"/>
      <c r="BW434" s="1902"/>
      <c r="BX434" s="1902"/>
      <c r="BY434" s="1902"/>
      <c r="BZ434" s="1902"/>
      <c r="CA434" s="1902"/>
      <c r="CB434" s="1902"/>
      <c r="CC434" s="1903"/>
    </row>
    <row r="435" spans="1:81" s="10" customFormat="1" ht="26.25" customHeight="1">
      <c r="A435" s="1904" t="s">
        <v>199</v>
      </c>
      <c r="B435" s="1905"/>
      <c r="C435" s="1905"/>
      <c r="D435" s="1905"/>
      <c r="E435" s="1905"/>
      <c r="F435" s="1905"/>
      <c r="G435" s="1905"/>
      <c r="H435" s="1905"/>
      <c r="I435" s="1906"/>
      <c r="J435" s="1907"/>
      <c r="K435" s="1907"/>
      <c r="L435" s="1907"/>
      <c r="M435" s="1907"/>
      <c r="N435" s="1907"/>
      <c r="O435" s="1907"/>
      <c r="P435" s="1907"/>
      <c r="Q435" s="1907"/>
      <c r="R435" s="1907"/>
      <c r="S435" s="1907"/>
      <c r="T435" s="1907"/>
      <c r="U435" s="1907"/>
      <c r="V435" s="1907"/>
      <c r="W435" s="1907"/>
      <c r="X435" s="1907"/>
      <c r="Y435" s="1907"/>
      <c r="Z435" s="1907"/>
      <c r="AA435" s="1907"/>
      <c r="AB435" s="1907"/>
      <c r="AC435" s="1907"/>
      <c r="AD435" s="1907"/>
      <c r="AE435" s="1907"/>
      <c r="AF435" s="1907"/>
      <c r="AG435" s="1907"/>
      <c r="AH435" s="1907"/>
      <c r="AI435" s="1907"/>
      <c r="AJ435" s="1907"/>
      <c r="AK435" s="1907"/>
      <c r="AL435" s="1907"/>
      <c r="AM435" s="1907"/>
      <c r="AN435" s="1907"/>
      <c r="AO435" s="1907"/>
      <c r="AP435" s="1907"/>
      <c r="AQ435" s="1907"/>
      <c r="AR435" s="1907"/>
      <c r="AS435" s="1907"/>
      <c r="AT435" s="1907"/>
      <c r="AU435" s="1907"/>
      <c r="AV435" s="1907"/>
      <c r="AW435" s="1907"/>
      <c r="AX435" s="1907"/>
      <c r="AY435" s="1907"/>
      <c r="AZ435" s="1907"/>
      <c r="BA435" s="1907"/>
      <c r="BB435" s="1907"/>
      <c r="BC435" s="1907"/>
      <c r="BD435" s="1907"/>
      <c r="BE435" s="1907"/>
      <c r="BF435" s="1907"/>
      <c r="BG435" s="1907"/>
      <c r="BH435" s="1907"/>
      <c r="BI435" s="1907"/>
      <c r="BJ435" s="1907"/>
      <c r="BK435" s="1907"/>
      <c r="BL435" s="1907"/>
      <c r="BM435" s="1907"/>
      <c r="BN435" s="1907"/>
      <c r="BO435" s="1907"/>
      <c r="BP435" s="1907"/>
      <c r="BQ435" s="1907"/>
      <c r="BR435" s="1907"/>
      <c r="BS435" s="1907"/>
      <c r="BT435" s="1907"/>
      <c r="BU435" s="1907"/>
      <c r="BV435" s="1907"/>
      <c r="BW435" s="1907"/>
      <c r="BX435" s="1907"/>
      <c r="BY435" s="1907"/>
      <c r="BZ435" s="1907"/>
      <c r="CA435" s="1907"/>
      <c r="CB435" s="1907"/>
      <c r="CC435" s="1908"/>
    </row>
    <row r="436" spans="1:81" s="10" customFormat="1" ht="30.75" customHeight="1" thickBot="1">
      <c r="A436" s="1899" t="s">
        <v>200</v>
      </c>
      <c r="B436" s="1900"/>
      <c r="C436" s="1900"/>
      <c r="D436" s="1900"/>
      <c r="E436" s="1900"/>
      <c r="F436" s="1900"/>
      <c r="G436" s="1900"/>
      <c r="H436" s="1900"/>
      <c r="I436" s="1900"/>
      <c r="J436" s="1900"/>
      <c r="K436" s="1900"/>
      <c r="L436" s="1900"/>
      <c r="M436" s="1900"/>
      <c r="N436" s="1900"/>
      <c r="O436" s="1900"/>
      <c r="P436" s="1900"/>
      <c r="Q436" s="1900"/>
      <c r="R436" s="1900"/>
      <c r="S436" s="1900"/>
      <c r="T436" s="1900"/>
      <c r="U436" s="1900"/>
      <c r="V436" s="1900"/>
      <c r="W436" s="1900"/>
      <c r="X436" s="1900"/>
      <c r="Y436" s="1900"/>
      <c r="Z436" s="1900"/>
      <c r="AA436" s="1900"/>
      <c r="AB436" s="1900"/>
      <c r="AC436" s="1900"/>
      <c r="AD436" s="1900"/>
      <c r="AE436" s="1900"/>
      <c r="AF436" s="1900"/>
      <c r="AG436" s="1900"/>
      <c r="AH436" s="1900"/>
      <c r="AI436" s="1900"/>
      <c r="AJ436" s="1900"/>
      <c r="AK436" s="1900"/>
      <c r="AL436" s="1900"/>
      <c r="AM436" s="1900"/>
      <c r="AN436" s="1900"/>
      <c r="AO436" s="1900"/>
      <c r="AP436" s="1900"/>
      <c r="AQ436" s="1900"/>
      <c r="AR436" s="1900"/>
      <c r="AS436" s="1900"/>
      <c r="AT436" s="1900"/>
      <c r="AU436" s="1900"/>
      <c r="AV436" s="1900"/>
      <c r="AW436" s="1900"/>
      <c r="AX436" s="1900"/>
      <c r="AY436" s="1900"/>
      <c r="AZ436" s="1900"/>
      <c r="BA436" s="1900"/>
      <c r="BB436" s="1900"/>
      <c r="BC436" s="1900"/>
      <c r="BD436" s="1900"/>
      <c r="BE436" s="1900"/>
      <c r="BF436" s="1900"/>
      <c r="BG436" s="1900"/>
      <c r="BH436" s="1900"/>
      <c r="BI436" s="1900"/>
      <c r="BJ436" s="1900"/>
      <c r="BK436" s="1900"/>
      <c r="BL436" s="1900"/>
      <c r="BM436" s="1900"/>
      <c r="BN436" s="1900"/>
      <c r="BO436" s="1900"/>
      <c r="BP436" s="1900"/>
      <c r="BQ436" s="1900"/>
      <c r="BR436" s="1900"/>
      <c r="BS436" s="1900"/>
      <c r="BT436" s="1900"/>
      <c r="BU436" s="1900"/>
      <c r="BV436" s="1900"/>
      <c r="BW436" s="1900"/>
      <c r="BX436" s="1900"/>
      <c r="BY436" s="1900"/>
      <c r="BZ436" s="1900"/>
      <c r="CA436" s="1900"/>
      <c r="CB436" s="1900"/>
      <c r="CC436" s="1901"/>
    </row>
    <row r="437" spans="1:81" s="10" customFormat="1" ht="15" customHeight="1" thickTop="1">
      <c r="B437" s="1"/>
      <c r="C437" s="26"/>
      <c r="D437" s="26"/>
      <c r="T437" s="26"/>
      <c r="AN437" s="26"/>
      <c r="BH437" s="26"/>
      <c r="CC437" s="26"/>
    </row>
    <row r="438" spans="1:81" ht="15" customHeight="1"/>
    <row r="439" spans="1:81" ht="15" customHeight="1"/>
    <row r="440" spans="1:81" ht="15" customHeight="1"/>
    <row r="441" spans="1:81" ht="15" customHeight="1"/>
    <row r="442" spans="1:81" ht="15" customHeight="1"/>
    <row r="443" spans="1:81" ht="15" customHeight="1"/>
    <row r="444" spans="1:81" ht="15" customHeight="1"/>
    <row r="445" spans="1:81" ht="15" customHeight="1"/>
    <row r="446" spans="1:81" ht="15" customHeight="1"/>
    <row r="447" spans="1:81" ht="15" customHeight="1"/>
    <row r="448" spans="1:81"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sheetData>
  <mergeCells count="1252">
    <mergeCell ref="A145:U146"/>
    <mergeCell ref="V145:CC146"/>
    <mergeCell ref="A147:U148"/>
    <mergeCell ref="V147:CC148"/>
    <mergeCell ref="A149:U150"/>
    <mergeCell ref="V149:CC150"/>
    <mergeCell ref="A139:U140"/>
    <mergeCell ref="V139:CC140"/>
    <mergeCell ref="A141:U142"/>
    <mergeCell ref="V141:CC142"/>
    <mergeCell ref="A143:U144"/>
    <mergeCell ref="V143:CC144"/>
    <mergeCell ref="F21:BZ23"/>
    <mergeCell ref="F37:BZ39"/>
    <mergeCell ref="E78:BY79"/>
    <mergeCell ref="A133:CC134"/>
    <mergeCell ref="A136:CC136"/>
    <mergeCell ref="A137:U138"/>
    <mergeCell ref="V137:CC138"/>
    <mergeCell ref="A160:P160"/>
    <mergeCell ref="Q160:T160"/>
    <mergeCell ref="U160:AF160"/>
    <mergeCell ref="AG160:AS160"/>
    <mergeCell ref="AT160:BJ160"/>
    <mergeCell ref="BK160:CC160"/>
    <mergeCell ref="A158:P159"/>
    <mergeCell ref="Q158:T159"/>
    <mergeCell ref="U158:AF159"/>
    <mergeCell ref="AG158:AS159"/>
    <mergeCell ref="AT158:BJ159"/>
    <mergeCell ref="BK158:CC159"/>
    <mergeCell ref="A151:R154"/>
    <mergeCell ref="S151:U151"/>
    <mergeCell ref="V151:CC151"/>
    <mergeCell ref="S152:U152"/>
    <mergeCell ref="V152:CC152"/>
    <mergeCell ref="S153:U153"/>
    <mergeCell ref="V153:CC153"/>
    <mergeCell ref="S154:U154"/>
    <mergeCell ref="V154:CC154"/>
    <mergeCell ref="A163:CC163"/>
    <mergeCell ref="A167:P168"/>
    <mergeCell ref="Q167:AA168"/>
    <mergeCell ref="AB167:AK168"/>
    <mergeCell ref="AL167:CC167"/>
    <mergeCell ref="AL168:AV168"/>
    <mergeCell ref="AW168:BD168"/>
    <mergeCell ref="BE168:BL168"/>
    <mergeCell ref="BM168:BT168"/>
    <mergeCell ref="BU168:CC168"/>
    <mergeCell ref="A162:P162"/>
    <mergeCell ref="Q162:T162"/>
    <mergeCell ref="U162:AF162"/>
    <mergeCell ref="AG162:AS162"/>
    <mergeCell ref="AT162:BJ162"/>
    <mergeCell ref="BK162:CC162"/>
    <mergeCell ref="A161:P161"/>
    <mergeCell ref="Q161:T161"/>
    <mergeCell ref="U161:AF161"/>
    <mergeCell ref="AG161:AS161"/>
    <mergeCell ref="AT161:BJ161"/>
    <mergeCell ref="BK161:CC161"/>
    <mergeCell ref="BM170:BT170"/>
    <mergeCell ref="BU170:CC170"/>
    <mergeCell ref="A171:H171"/>
    <mergeCell ref="I171:P171"/>
    <mergeCell ref="Q171:AA171"/>
    <mergeCell ref="AB171:AK171"/>
    <mergeCell ref="AL171:AV171"/>
    <mergeCell ref="AW171:BD171"/>
    <mergeCell ref="BE171:BL171"/>
    <mergeCell ref="BM171:BT171"/>
    <mergeCell ref="BE169:BL169"/>
    <mergeCell ref="BM169:BT169"/>
    <mergeCell ref="BU169:CC169"/>
    <mergeCell ref="A170:H170"/>
    <mergeCell ref="I170:P170"/>
    <mergeCell ref="Q170:AA170"/>
    <mergeCell ref="AB170:AK170"/>
    <mergeCell ref="AL170:AV170"/>
    <mergeCell ref="AW170:BD170"/>
    <mergeCell ref="BE170:BL170"/>
    <mergeCell ref="A169:H169"/>
    <mergeCell ref="I169:P169"/>
    <mergeCell ref="Q169:AA169"/>
    <mergeCell ref="AB169:AK169"/>
    <mergeCell ref="AL169:AV169"/>
    <mergeCell ref="AW169:BD169"/>
    <mergeCell ref="A180:C180"/>
    <mergeCell ref="D180:AS180"/>
    <mergeCell ref="AT180:BH180"/>
    <mergeCell ref="BI180:CC180"/>
    <mergeCell ref="A181:C181"/>
    <mergeCell ref="D181:AS181"/>
    <mergeCell ref="AT181:BH181"/>
    <mergeCell ref="BI181:CC181"/>
    <mergeCell ref="BU171:CC171"/>
    <mergeCell ref="A178:C178"/>
    <mergeCell ref="D178:AS178"/>
    <mergeCell ref="AT178:BH178"/>
    <mergeCell ref="BI178:CC178"/>
    <mergeCell ref="A179:C179"/>
    <mergeCell ref="D179:AS179"/>
    <mergeCell ref="AT179:BH179"/>
    <mergeCell ref="BI179:CC179"/>
    <mergeCell ref="A186:C186"/>
    <mergeCell ref="D186:AS186"/>
    <mergeCell ref="AT186:BH186"/>
    <mergeCell ref="BI186:CC186"/>
    <mergeCell ref="A187:C187"/>
    <mergeCell ref="D187:AS187"/>
    <mergeCell ref="AT187:BH187"/>
    <mergeCell ref="BI187:CC187"/>
    <mergeCell ref="A184:C184"/>
    <mergeCell ref="D184:AS184"/>
    <mergeCell ref="AT184:BH184"/>
    <mergeCell ref="BI184:CC184"/>
    <mergeCell ref="A185:C185"/>
    <mergeCell ref="D185:AS185"/>
    <mergeCell ref="AT185:BH185"/>
    <mergeCell ref="BI185:CC185"/>
    <mergeCell ref="A182:C182"/>
    <mergeCell ref="D182:AS182"/>
    <mergeCell ref="AT182:BH182"/>
    <mergeCell ref="BI182:CC182"/>
    <mergeCell ref="A183:C183"/>
    <mergeCell ref="D183:AS183"/>
    <mergeCell ref="AT183:BH183"/>
    <mergeCell ref="BI183:CC183"/>
    <mergeCell ref="AQ207:BH207"/>
    <mergeCell ref="BI207:BN208"/>
    <mergeCell ref="BO207:BT208"/>
    <mergeCell ref="BU207:CC208"/>
    <mergeCell ref="AQ208:AV208"/>
    <mergeCell ref="AW208:BB208"/>
    <mergeCell ref="BC208:BH208"/>
    <mergeCell ref="A207:C208"/>
    <mergeCell ref="D207:R208"/>
    <mergeCell ref="S207:X208"/>
    <mergeCell ref="Y207:AD208"/>
    <mergeCell ref="AE207:AJ208"/>
    <mergeCell ref="AK207:AP208"/>
    <mergeCell ref="A188:C188"/>
    <mergeCell ref="D188:AS188"/>
    <mergeCell ref="AT188:BH188"/>
    <mergeCell ref="BI188:CC188"/>
    <mergeCell ref="A189:C189"/>
    <mergeCell ref="D189:AS189"/>
    <mergeCell ref="AT189:BH189"/>
    <mergeCell ref="BI189:CC189"/>
    <mergeCell ref="AQ210:AV210"/>
    <mergeCell ref="AW210:BB210"/>
    <mergeCell ref="BC210:BH210"/>
    <mergeCell ref="BI210:BN210"/>
    <mergeCell ref="BO210:BT210"/>
    <mergeCell ref="BU210:CC210"/>
    <mergeCell ref="A210:C210"/>
    <mergeCell ref="D210:R210"/>
    <mergeCell ref="S210:X210"/>
    <mergeCell ref="Y210:AD210"/>
    <mergeCell ref="AE210:AJ210"/>
    <mergeCell ref="AK210:AP210"/>
    <mergeCell ref="AQ209:AV209"/>
    <mergeCell ref="AW209:BB209"/>
    <mergeCell ref="BC209:BH209"/>
    <mergeCell ref="BI209:BN209"/>
    <mergeCell ref="BO209:BT209"/>
    <mergeCell ref="BU209:CC209"/>
    <mergeCell ref="A209:C209"/>
    <mergeCell ref="D209:R209"/>
    <mergeCell ref="S209:X209"/>
    <mergeCell ref="Y209:AD209"/>
    <mergeCell ref="AE209:AJ209"/>
    <mergeCell ref="AK209:AP209"/>
    <mergeCell ref="AQ212:AV212"/>
    <mergeCell ref="AW212:BB212"/>
    <mergeCell ref="BC212:BH212"/>
    <mergeCell ref="BI212:BN212"/>
    <mergeCell ref="BO212:BT212"/>
    <mergeCell ref="BU212:CC212"/>
    <mergeCell ref="A212:C212"/>
    <mergeCell ref="D212:R212"/>
    <mergeCell ref="S212:X212"/>
    <mergeCell ref="Y212:AD212"/>
    <mergeCell ref="AE212:AJ212"/>
    <mergeCell ref="AK212:AP212"/>
    <mergeCell ref="AQ211:AV211"/>
    <mergeCell ref="AW211:BB211"/>
    <mergeCell ref="BC211:BH211"/>
    <mergeCell ref="BI211:BN211"/>
    <mergeCell ref="BO211:BT211"/>
    <mergeCell ref="BU211:CC211"/>
    <mergeCell ref="A211:C211"/>
    <mergeCell ref="D211:R211"/>
    <mergeCell ref="S211:X211"/>
    <mergeCell ref="Y211:AD211"/>
    <mergeCell ref="AE211:AJ211"/>
    <mergeCell ref="AK211:AP211"/>
    <mergeCell ref="AQ214:AV214"/>
    <mergeCell ref="AW214:BB214"/>
    <mergeCell ref="BC214:BH214"/>
    <mergeCell ref="BI214:BN214"/>
    <mergeCell ref="BO214:BT214"/>
    <mergeCell ref="BU214:CC214"/>
    <mergeCell ref="A214:C214"/>
    <mergeCell ref="D214:R214"/>
    <mergeCell ref="S214:X214"/>
    <mergeCell ref="Y214:AD214"/>
    <mergeCell ref="AE214:AJ214"/>
    <mergeCell ref="AK214:AP214"/>
    <mergeCell ref="AQ213:AV213"/>
    <mergeCell ref="AW213:BB213"/>
    <mergeCell ref="BC213:BH213"/>
    <mergeCell ref="BI213:BN213"/>
    <mergeCell ref="BO213:BT213"/>
    <mergeCell ref="BU213:CC213"/>
    <mergeCell ref="A213:C213"/>
    <mergeCell ref="D213:R213"/>
    <mergeCell ref="S213:X213"/>
    <mergeCell ref="Y213:AD213"/>
    <mergeCell ref="AE213:AJ213"/>
    <mergeCell ref="AK213:AP213"/>
    <mergeCell ref="AQ216:AV216"/>
    <mergeCell ref="AW216:BB216"/>
    <mergeCell ref="BC216:BH216"/>
    <mergeCell ref="BI216:BN216"/>
    <mergeCell ref="BO216:BT216"/>
    <mergeCell ref="BU216:CC216"/>
    <mergeCell ref="A216:C216"/>
    <mergeCell ref="D216:R216"/>
    <mergeCell ref="S216:X216"/>
    <mergeCell ref="Y216:AD216"/>
    <mergeCell ref="AE216:AJ216"/>
    <mergeCell ref="AK216:AP216"/>
    <mergeCell ref="AQ215:AV215"/>
    <mergeCell ref="AW215:BB215"/>
    <mergeCell ref="BC215:BH215"/>
    <mergeCell ref="BI215:BN215"/>
    <mergeCell ref="BO215:BT215"/>
    <mergeCell ref="BU215:CC215"/>
    <mergeCell ref="A215:C215"/>
    <mergeCell ref="D215:R215"/>
    <mergeCell ref="S215:X215"/>
    <mergeCell ref="Y215:AD215"/>
    <mergeCell ref="AE215:AJ215"/>
    <mergeCell ref="AK215:AP215"/>
    <mergeCell ref="AQ218:AV218"/>
    <mergeCell ref="AW218:BB218"/>
    <mergeCell ref="BC218:BH218"/>
    <mergeCell ref="BI218:BN218"/>
    <mergeCell ref="BO218:BT218"/>
    <mergeCell ref="BU218:CC218"/>
    <mergeCell ref="A218:C218"/>
    <mergeCell ref="D218:R218"/>
    <mergeCell ref="S218:X218"/>
    <mergeCell ref="Y218:AD218"/>
    <mergeCell ref="AE218:AJ218"/>
    <mergeCell ref="AK218:AP218"/>
    <mergeCell ref="AQ217:AV217"/>
    <mergeCell ref="AW217:BB217"/>
    <mergeCell ref="BC217:BH217"/>
    <mergeCell ref="BI217:BN217"/>
    <mergeCell ref="BO217:BT217"/>
    <mergeCell ref="BU217:CC217"/>
    <mergeCell ref="A217:C217"/>
    <mergeCell ref="D217:R217"/>
    <mergeCell ref="S217:X217"/>
    <mergeCell ref="Y217:AD217"/>
    <mergeCell ref="AE217:AJ217"/>
    <mergeCell ref="AK217:AP217"/>
    <mergeCell ref="AQ220:AV220"/>
    <mergeCell ref="AW220:BB220"/>
    <mergeCell ref="BC220:BH220"/>
    <mergeCell ref="BI220:BN220"/>
    <mergeCell ref="BO220:BT220"/>
    <mergeCell ref="BU220:CC220"/>
    <mergeCell ref="A220:C220"/>
    <mergeCell ref="D220:R220"/>
    <mergeCell ref="S220:X220"/>
    <mergeCell ref="Y220:AD220"/>
    <mergeCell ref="AE220:AJ220"/>
    <mergeCell ref="AK220:AP220"/>
    <mergeCell ref="AQ219:AV219"/>
    <mergeCell ref="AW219:BB219"/>
    <mergeCell ref="BC219:BH219"/>
    <mergeCell ref="BI219:BN219"/>
    <mergeCell ref="BO219:BT219"/>
    <mergeCell ref="BU219:CC219"/>
    <mergeCell ref="A219:C219"/>
    <mergeCell ref="D219:R219"/>
    <mergeCell ref="S219:X219"/>
    <mergeCell ref="Y219:AD219"/>
    <mergeCell ref="AE219:AJ219"/>
    <mergeCell ref="AK219:AP219"/>
    <mergeCell ref="AQ222:AV222"/>
    <mergeCell ref="AW222:BB222"/>
    <mergeCell ref="BC222:BH222"/>
    <mergeCell ref="BI222:BN222"/>
    <mergeCell ref="BO222:BT222"/>
    <mergeCell ref="BU222:CC222"/>
    <mergeCell ref="A222:C222"/>
    <mergeCell ref="D222:R222"/>
    <mergeCell ref="S222:X222"/>
    <mergeCell ref="Y222:AD222"/>
    <mergeCell ref="AE222:AJ222"/>
    <mergeCell ref="AK222:AP222"/>
    <mergeCell ref="AQ221:AV221"/>
    <mergeCell ref="AW221:BB221"/>
    <mergeCell ref="BC221:BH221"/>
    <mergeCell ref="BI221:BN221"/>
    <mergeCell ref="BO221:BT221"/>
    <mergeCell ref="BU221:CC221"/>
    <mergeCell ref="A221:C221"/>
    <mergeCell ref="D221:R221"/>
    <mergeCell ref="S221:X221"/>
    <mergeCell ref="Y221:AD221"/>
    <mergeCell ref="AE221:AJ221"/>
    <mergeCell ref="AK221:AP221"/>
    <mergeCell ref="AQ224:AV224"/>
    <mergeCell ref="AW224:BB224"/>
    <mergeCell ref="BC224:BH224"/>
    <mergeCell ref="BI224:BN224"/>
    <mergeCell ref="BO224:BT224"/>
    <mergeCell ref="BU224:CC224"/>
    <mergeCell ref="A224:C224"/>
    <mergeCell ref="D224:R224"/>
    <mergeCell ref="S224:X224"/>
    <mergeCell ref="Y224:AD224"/>
    <mergeCell ref="AE224:AJ224"/>
    <mergeCell ref="AK224:AP224"/>
    <mergeCell ref="AQ223:AV223"/>
    <mergeCell ref="AW223:BB223"/>
    <mergeCell ref="BC223:BH223"/>
    <mergeCell ref="BI223:BN223"/>
    <mergeCell ref="BO223:BT223"/>
    <mergeCell ref="BU223:CC223"/>
    <mergeCell ref="A223:C223"/>
    <mergeCell ref="D223:R223"/>
    <mergeCell ref="S223:X223"/>
    <mergeCell ref="Y223:AD223"/>
    <mergeCell ref="AE223:AJ223"/>
    <mergeCell ref="AK223:AP223"/>
    <mergeCell ref="AQ226:AV226"/>
    <mergeCell ref="AW226:BB226"/>
    <mergeCell ref="BC226:BH226"/>
    <mergeCell ref="BI226:BN226"/>
    <mergeCell ref="BO226:BT226"/>
    <mergeCell ref="BU226:CC226"/>
    <mergeCell ref="A226:C226"/>
    <mergeCell ref="D226:R226"/>
    <mergeCell ref="S226:X226"/>
    <mergeCell ref="Y226:AD226"/>
    <mergeCell ref="AE226:AJ226"/>
    <mergeCell ref="AK226:AP226"/>
    <mergeCell ref="AQ225:AV225"/>
    <mergeCell ref="AW225:BB225"/>
    <mergeCell ref="BC225:BH225"/>
    <mergeCell ref="BI225:BN225"/>
    <mergeCell ref="BO225:BT225"/>
    <mergeCell ref="BU225:CC225"/>
    <mergeCell ref="A225:C225"/>
    <mergeCell ref="D225:R225"/>
    <mergeCell ref="S225:X225"/>
    <mergeCell ref="Y225:AD225"/>
    <mergeCell ref="AE225:AJ225"/>
    <mergeCell ref="AK225:AP225"/>
    <mergeCell ref="BM234:BY234"/>
    <mergeCell ref="BZ234:CC234"/>
    <mergeCell ref="A235:C235"/>
    <mergeCell ref="D235:X235"/>
    <mergeCell ref="Y235:AJ235"/>
    <mergeCell ref="AK235:AN235"/>
    <mergeCell ref="AO235:AQ235"/>
    <mergeCell ref="AR235:BL235"/>
    <mergeCell ref="BM235:BY235"/>
    <mergeCell ref="BZ235:CC235"/>
    <mergeCell ref="A234:C234"/>
    <mergeCell ref="D234:X234"/>
    <mergeCell ref="Y234:AJ234"/>
    <mergeCell ref="AK234:AN234"/>
    <mergeCell ref="AO234:AQ234"/>
    <mergeCell ref="AR234:BL234"/>
    <mergeCell ref="A232:AN232"/>
    <mergeCell ref="AO232:CC232"/>
    <mergeCell ref="A233:C233"/>
    <mergeCell ref="D233:X233"/>
    <mergeCell ref="Y233:AJ233"/>
    <mergeCell ref="AK233:AN233"/>
    <mergeCell ref="AO233:AQ233"/>
    <mergeCell ref="AR233:BL233"/>
    <mergeCell ref="BM233:BY233"/>
    <mergeCell ref="BZ233:CC233"/>
    <mergeCell ref="BM238:BY238"/>
    <mergeCell ref="BZ238:CC238"/>
    <mergeCell ref="A239:C239"/>
    <mergeCell ref="D239:X239"/>
    <mergeCell ref="Y239:AJ239"/>
    <mergeCell ref="AK239:AN239"/>
    <mergeCell ref="AO239:AQ239"/>
    <mergeCell ref="AR239:BL239"/>
    <mergeCell ref="BM239:BY239"/>
    <mergeCell ref="BZ239:CC239"/>
    <mergeCell ref="A238:C238"/>
    <mergeCell ref="D238:X238"/>
    <mergeCell ref="Y238:AJ238"/>
    <mergeCell ref="AK238:AN238"/>
    <mergeCell ref="AO238:AQ238"/>
    <mergeCell ref="AR238:BL238"/>
    <mergeCell ref="BM236:BY236"/>
    <mergeCell ref="BZ236:CC236"/>
    <mergeCell ref="A237:C237"/>
    <mergeCell ref="D237:X237"/>
    <mergeCell ref="Y237:AJ237"/>
    <mergeCell ref="AK237:AN237"/>
    <mergeCell ref="AO237:AQ237"/>
    <mergeCell ref="AR237:BL237"/>
    <mergeCell ref="BM237:BY237"/>
    <mergeCell ref="BZ237:CC237"/>
    <mergeCell ref="A236:C236"/>
    <mergeCell ref="D236:X236"/>
    <mergeCell ref="Y236:AJ236"/>
    <mergeCell ref="AK236:AN236"/>
    <mergeCell ref="AO236:AQ236"/>
    <mergeCell ref="AR236:BL236"/>
    <mergeCell ref="BM242:BY242"/>
    <mergeCell ref="BZ242:CC242"/>
    <mergeCell ref="A243:C243"/>
    <mergeCell ref="D243:X243"/>
    <mergeCell ref="Y243:AJ243"/>
    <mergeCell ref="AK243:AN243"/>
    <mergeCell ref="AO243:AQ243"/>
    <mergeCell ref="AR243:BL243"/>
    <mergeCell ref="BM243:BY243"/>
    <mergeCell ref="BZ243:CC243"/>
    <mergeCell ref="A242:C242"/>
    <mergeCell ref="D242:X242"/>
    <mergeCell ref="Y242:AJ242"/>
    <mergeCell ref="AK242:AN242"/>
    <mergeCell ref="AO242:AQ242"/>
    <mergeCell ref="AR242:BL242"/>
    <mergeCell ref="BM240:BY240"/>
    <mergeCell ref="BZ240:CC240"/>
    <mergeCell ref="A241:C241"/>
    <mergeCell ref="D241:X241"/>
    <mergeCell ref="Y241:AJ241"/>
    <mergeCell ref="AK241:AN241"/>
    <mergeCell ref="AO241:AQ241"/>
    <mergeCell ref="AR241:BL241"/>
    <mergeCell ref="BM241:BY241"/>
    <mergeCell ref="BZ241:CC241"/>
    <mergeCell ref="A240:C240"/>
    <mergeCell ref="D240:X240"/>
    <mergeCell ref="Y240:AJ240"/>
    <mergeCell ref="AK240:AN240"/>
    <mergeCell ref="AO240:AQ240"/>
    <mergeCell ref="AR240:BL240"/>
    <mergeCell ref="BM246:BY246"/>
    <mergeCell ref="BZ246:CC246"/>
    <mergeCell ref="A247:C247"/>
    <mergeCell ref="D247:X247"/>
    <mergeCell ref="Y247:AJ247"/>
    <mergeCell ref="AK247:AN247"/>
    <mergeCell ref="AO247:AQ247"/>
    <mergeCell ref="AR247:BL247"/>
    <mergeCell ref="BM247:BY247"/>
    <mergeCell ref="BZ247:CC247"/>
    <mergeCell ref="A246:C246"/>
    <mergeCell ref="D246:X246"/>
    <mergeCell ref="Y246:AJ246"/>
    <mergeCell ref="AK246:AN246"/>
    <mergeCell ref="AO246:AQ246"/>
    <mergeCell ref="AR246:BL246"/>
    <mergeCell ref="BM244:BY244"/>
    <mergeCell ref="BZ244:CC244"/>
    <mergeCell ref="A245:C245"/>
    <mergeCell ref="D245:X245"/>
    <mergeCell ref="Y245:AJ245"/>
    <mergeCell ref="AK245:AN245"/>
    <mergeCell ref="AO245:AQ245"/>
    <mergeCell ref="AR245:BL245"/>
    <mergeCell ref="BM245:BY245"/>
    <mergeCell ref="BZ245:CC245"/>
    <mergeCell ref="A244:C244"/>
    <mergeCell ref="D244:X244"/>
    <mergeCell ref="Y244:AJ244"/>
    <mergeCell ref="AK244:AN244"/>
    <mergeCell ref="AO244:AQ244"/>
    <mergeCell ref="AR244:BL244"/>
    <mergeCell ref="A257:S257"/>
    <mergeCell ref="T257:AM257"/>
    <mergeCell ref="AN257:BG257"/>
    <mergeCell ref="BH257:BP257"/>
    <mergeCell ref="BQ257:CC257"/>
    <mergeCell ref="A258:I258"/>
    <mergeCell ref="J258:S258"/>
    <mergeCell ref="T258:AC258"/>
    <mergeCell ref="AD258:AM258"/>
    <mergeCell ref="AN258:AW258"/>
    <mergeCell ref="A255:I255"/>
    <mergeCell ref="J255:CC255"/>
    <mergeCell ref="A256:S256"/>
    <mergeCell ref="T256:AM256"/>
    <mergeCell ref="AN256:BG256"/>
    <mergeCell ref="BH256:BP256"/>
    <mergeCell ref="BQ256:CC256"/>
    <mergeCell ref="BQ259:CC259"/>
    <mergeCell ref="A260:I260"/>
    <mergeCell ref="J260:S260"/>
    <mergeCell ref="T260:AC260"/>
    <mergeCell ref="AD260:AM260"/>
    <mergeCell ref="AN260:AW260"/>
    <mergeCell ref="AX260:BG260"/>
    <mergeCell ref="BH260:BP260"/>
    <mergeCell ref="BQ260:CC260"/>
    <mergeCell ref="AX258:BG258"/>
    <mergeCell ref="BH258:BP258"/>
    <mergeCell ref="BQ258:CC258"/>
    <mergeCell ref="A259:I259"/>
    <mergeCell ref="J259:S259"/>
    <mergeCell ref="T259:AC259"/>
    <mergeCell ref="AD259:AM259"/>
    <mergeCell ref="AN259:AW259"/>
    <mergeCell ref="AX259:BG259"/>
    <mergeCell ref="BH259:BP259"/>
    <mergeCell ref="A265:S265"/>
    <mergeCell ref="T265:AM265"/>
    <mergeCell ref="AN265:BG265"/>
    <mergeCell ref="BH265:BP265"/>
    <mergeCell ref="BQ265:CC265"/>
    <mergeCell ref="A266:I266"/>
    <mergeCell ref="J266:S266"/>
    <mergeCell ref="T266:AC266"/>
    <mergeCell ref="AD266:AM266"/>
    <mergeCell ref="AN266:AW266"/>
    <mergeCell ref="A263:I263"/>
    <mergeCell ref="J263:CC263"/>
    <mergeCell ref="A264:S264"/>
    <mergeCell ref="T264:AM264"/>
    <mergeCell ref="AN264:BG264"/>
    <mergeCell ref="BH264:BP264"/>
    <mergeCell ref="BQ264:CC264"/>
    <mergeCell ref="BQ267:CC267"/>
    <mergeCell ref="A268:I268"/>
    <mergeCell ref="J268:S268"/>
    <mergeCell ref="T268:AC268"/>
    <mergeCell ref="AD268:AM268"/>
    <mergeCell ref="AN268:AW268"/>
    <mergeCell ref="AX268:BG268"/>
    <mergeCell ref="BH268:BP268"/>
    <mergeCell ref="BQ268:CC268"/>
    <mergeCell ref="AX266:BG266"/>
    <mergeCell ref="BH266:BP266"/>
    <mergeCell ref="BQ266:CC266"/>
    <mergeCell ref="A267:I267"/>
    <mergeCell ref="J267:S267"/>
    <mergeCell ref="T267:AC267"/>
    <mergeCell ref="AD267:AM267"/>
    <mergeCell ref="AN267:AW267"/>
    <mergeCell ref="AX267:BG267"/>
    <mergeCell ref="BH267:BP267"/>
    <mergeCell ref="A278:S278"/>
    <mergeCell ref="T278:AM278"/>
    <mergeCell ref="AN278:BG278"/>
    <mergeCell ref="BH278:CC278"/>
    <mergeCell ref="A279:S279"/>
    <mergeCell ref="T279:AM279"/>
    <mergeCell ref="AN279:BG279"/>
    <mergeCell ref="BH279:CC279"/>
    <mergeCell ref="A276:S276"/>
    <mergeCell ref="T276:AM276"/>
    <mergeCell ref="AN276:BG276"/>
    <mergeCell ref="BH276:CC276"/>
    <mergeCell ref="A277:S277"/>
    <mergeCell ref="T277:AM277"/>
    <mergeCell ref="AN277:BG277"/>
    <mergeCell ref="BH277:CC277"/>
    <mergeCell ref="A274:S274"/>
    <mergeCell ref="T274:AM274"/>
    <mergeCell ref="AN274:BG274"/>
    <mergeCell ref="BH274:CC274"/>
    <mergeCell ref="A275:S275"/>
    <mergeCell ref="T275:AM275"/>
    <mergeCell ref="AN275:BG275"/>
    <mergeCell ref="BH275:CC275"/>
    <mergeCell ref="A282:S282"/>
    <mergeCell ref="T282:AM282"/>
    <mergeCell ref="AN282:BG282"/>
    <mergeCell ref="BH282:CC282"/>
    <mergeCell ref="A283:N283"/>
    <mergeCell ref="O283:AC283"/>
    <mergeCell ref="AD283:AR283"/>
    <mergeCell ref="AS283:BG283"/>
    <mergeCell ref="BH283:CC283"/>
    <mergeCell ref="A280:S280"/>
    <mergeCell ref="T280:AM280"/>
    <mergeCell ref="AN280:BG280"/>
    <mergeCell ref="BH280:CC280"/>
    <mergeCell ref="A281:S281"/>
    <mergeCell ref="T281:AM281"/>
    <mergeCell ref="AN281:BG281"/>
    <mergeCell ref="BH281:CC281"/>
    <mergeCell ref="A286:N286"/>
    <mergeCell ref="O286:AC286"/>
    <mergeCell ref="AD286:AR286"/>
    <mergeCell ref="AS286:BG286"/>
    <mergeCell ref="BH286:CC286"/>
    <mergeCell ref="A287:N287"/>
    <mergeCell ref="O287:AC287"/>
    <mergeCell ref="AD287:AR287"/>
    <mergeCell ref="AS287:BG287"/>
    <mergeCell ref="BH287:CC287"/>
    <mergeCell ref="A284:N284"/>
    <mergeCell ref="O284:AC284"/>
    <mergeCell ref="AD284:AR284"/>
    <mergeCell ref="AS284:BG284"/>
    <mergeCell ref="BH284:CC284"/>
    <mergeCell ref="A285:N285"/>
    <mergeCell ref="O285:AC285"/>
    <mergeCell ref="AD285:AR285"/>
    <mergeCell ref="AS285:BG285"/>
    <mergeCell ref="BH285:CC285"/>
    <mergeCell ref="BS297:CC298"/>
    <mergeCell ref="AO298:AX298"/>
    <mergeCell ref="AY298:BH298"/>
    <mergeCell ref="BI298:BR298"/>
    <mergeCell ref="A299:J299"/>
    <mergeCell ref="K299:T299"/>
    <mergeCell ref="U299:AD299"/>
    <mergeCell ref="AE299:AN299"/>
    <mergeCell ref="AO299:AX299"/>
    <mergeCell ref="AY299:BH299"/>
    <mergeCell ref="A288:N288"/>
    <mergeCell ref="O288:AC288"/>
    <mergeCell ref="AD288:AR288"/>
    <mergeCell ref="AS288:BG288"/>
    <mergeCell ref="BH288:CC288"/>
    <mergeCell ref="A297:J298"/>
    <mergeCell ref="K297:T298"/>
    <mergeCell ref="U297:AD298"/>
    <mergeCell ref="AE297:AN298"/>
    <mergeCell ref="AO297:BR297"/>
    <mergeCell ref="BI301:BR301"/>
    <mergeCell ref="BS301:CC301"/>
    <mergeCell ref="A315:Q315"/>
    <mergeCell ref="R315:AE315"/>
    <mergeCell ref="AF315:AO315"/>
    <mergeCell ref="AP315:AY315"/>
    <mergeCell ref="AZ315:BI315"/>
    <mergeCell ref="BJ315:BS315"/>
    <mergeCell ref="BT315:CC315"/>
    <mergeCell ref="A301:J301"/>
    <mergeCell ref="K301:T301"/>
    <mergeCell ref="U301:AD301"/>
    <mergeCell ref="AE301:AN301"/>
    <mergeCell ref="AO301:AX301"/>
    <mergeCell ref="AY301:BH301"/>
    <mergeCell ref="BI299:BR299"/>
    <mergeCell ref="BS299:CC299"/>
    <mergeCell ref="A300:J300"/>
    <mergeCell ref="K300:T300"/>
    <mergeCell ref="U300:AD300"/>
    <mergeCell ref="AE300:AN300"/>
    <mergeCell ref="AO300:AX300"/>
    <mergeCell ref="AY300:BH300"/>
    <mergeCell ref="BI300:BR300"/>
    <mergeCell ref="BS300:CC300"/>
    <mergeCell ref="BJ316:BS316"/>
    <mergeCell ref="BT316:CC316"/>
    <mergeCell ref="J317:Q317"/>
    <mergeCell ref="R317:AE317"/>
    <mergeCell ref="AF317:AO317"/>
    <mergeCell ref="AP317:AY317"/>
    <mergeCell ref="AZ317:BI317"/>
    <mergeCell ref="BJ317:BS317"/>
    <mergeCell ref="BT317:CC317"/>
    <mergeCell ref="A316:I318"/>
    <mergeCell ref="J316:Q316"/>
    <mergeCell ref="R316:AE316"/>
    <mergeCell ref="AF316:AO316"/>
    <mergeCell ref="AP316:AY316"/>
    <mergeCell ref="AZ316:BI316"/>
    <mergeCell ref="J318:Q318"/>
    <mergeCell ref="R318:AE318"/>
    <mergeCell ref="AF318:AO318"/>
    <mergeCell ref="AP318:AY318"/>
    <mergeCell ref="AZ318:BI318"/>
    <mergeCell ref="BJ318:BS318"/>
    <mergeCell ref="BT318:CC318"/>
    <mergeCell ref="AP323:AY323"/>
    <mergeCell ref="AZ323:BI323"/>
    <mergeCell ref="BJ323:BS323"/>
    <mergeCell ref="BT323:CC323"/>
    <mergeCell ref="A319:I321"/>
    <mergeCell ref="J319:Q319"/>
    <mergeCell ref="R319:AE319"/>
    <mergeCell ref="AF319:AO319"/>
    <mergeCell ref="AP319:AY319"/>
    <mergeCell ref="AZ319:BI319"/>
    <mergeCell ref="BJ319:BS319"/>
    <mergeCell ref="BT321:CC321"/>
    <mergeCell ref="J321:Q321"/>
    <mergeCell ref="R321:AE321"/>
    <mergeCell ref="AF321:AO321"/>
    <mergeCell ref="AP321:AY321"/>
    <mergeCell ref="AZ321:BI321"/>
    <mergeCell ref="AF326:AO326"/>
    <mergeCell ref="AP326:AY326"/>
    <mergeCell ref="AZ326:BI326"/>
    <mergeCell ref="BJ326:BS326"/>
    <mergeCell ref="BT326:CC326"/>
    <mergeCell ref="A325:I327"/>
    <mergeCell ref="J325:Q325"/>
    <mergeCell ref="R325:AE325"/>
    <mergeCell ref="AF325:AO325"/>
    <mergeCell ref="AP325:AY325"/>
    <mergeCell ref="AZ325:BI325"/>
    <mergeCell ref="BJ325:BS325"/>
    <mergeCell ref="BT325:CC325"/>
    <mergeCell ref="J326:Q326"/>
    <mergeCell ref="BJ321:BS321"/>
    <mergeCell ref="BT319:CC319"/>
    <mergeCell ref="J320:Q320"/>
    <mergeCell ref="R320:AE320"/>
    <mergeCell ref="AF320:AO320"/>
    <mergeCell ref="AP320:AY320"/>
    <mergeCell ref="AZ320:BI320"/>
    <mergeCell ref="BJ320:BS320"/>
    <mergeCell ref="BT320:CC320"/>
    <mergeCell ref="BT324:CC324"/>
    <mergeCell ref="J324:Q324"/>
    <mergeCell ref="R324:AE324"/>
    <mergeCell ref="AF324:AO324"/>
    <mergeCell ref="AP324:AY324"/>
    <mergeCell ref="AZ324:BI324"/>
    <mergeCell ref="BJ324:BS324"/>
    <mergeCell ref="R323:AE323"/>
    <mergeCell ref="AF323:AO323"/>
    <mergeCell ref="R329:AE329"/>
    <mergeCell ref="AF329:AO329"/>
    <mergeCell ref="AP329:AY329"/>
    <mergeCell ref="AZ329:BI329"/>
    <mergeCell ref="BJ329:BS329"/>
    <mergeCell ref="BT329:CC329"/>
    <mergeCell ref="BT327:CC327"/>
    <mergeCell ref="A328:I330"/>
    <mergeCell ref="J328:Q328"/>
    <mergeCell ref="R328:AE328"/>
    <mergeCell ref="AF328:AO328"/>
    <mergeCell ref="AP328:AY328"/>
    <mergeCell ref="AZ328:BI328"/>
    <mergeCell ref="BJ328:BS328"/>
    <mergeCell ref="BT328:CC328"/>
    <mergeCell ref="J329:Q329"/>
    <mergeCell ref="A322:I324"/>
    <mergeCell ref="J322:Q322"/>
    <mergeCell ref="R322:AE322"/>
    <mergeCell ref="AF322:AO322"/>
    <mergeCell ref="AP322:AY322"/>
    <mergeCell ref="AZ322:BI322"/>
    <mergeCell ref="BJ322:BS322"/>
    <mergeCell ref="BT322:CC322"/>
    <mergeCell ref="J323:Q323"/>
    <mergeCell ref="J327:Q327"/>
    <mergeCell ref="R327:AE327"/>
    <mergeCell ref="AF327:AO327"/>
    <mergeCell ref="AP327:AY327"/>
    <mergeCell ref="AZ327:BI327"/>
    <mergeCell ref="BJ327:BS327"/>
    <mergeCell ref="R326:AE326"/>
    <mergeCell ref="J333:Q333"/>
    <mergeCell ref="R333:AE333"/>
    <mergeCell ref="AF333:AO333"/>
    <mergeCell ref="AP333:AY333"/>
    <mergeCell ref="AZ333:BI333"/>
    <mergeCell ref="BJ333:BS333"/>
    <mergeCell ref="R332:AE332"/>
    <mergeCell ref="AF332:AO332"/>
    <mergeCell ref="AP332:AY332"/>
    <mergeCell ref="AZ332:BI332"/>
    <mergeCell ref="BJ332:BS332"/>
    <mergeCell ref="BT332:CC332"/>
    <mergeCell ref="BT330:CC330"/>
    <mergeCell ref="A331:I333"/>
    <mergeCell ref="J331:Q331"/>
    <mergeCell ref="R331:AE331"/>
    <mergeCell ref="AF331:AO331"/>
    <mergeCell ref="AP331:AY331"/>
    <mergeCell ref="AZ331:BI331"/>
    <mergeCell ref="BJ331:BS331"/>
    <mergeCell ref="BT331:CC331"/>
    <mergeCell ref="J332:Q332"/>
    <mergeCell ref="J330:Q330"/>
    <mergeCell ref="R330:AE330"/>
    <mergeCell ref="AF330:AO330"/>
    <mergeCell ref="AP330:AY330"/>
    <mergeCell ref="AZ330:BI330"/>
    <mergeCell ref="BJ330:BS330"/>
    <mergeCell ref="J336:Q336"/>
    <mergeCell ref="R336:AE336"/>
    <mergeCell ref="AF336:AO336"/>
    <mergeCell ref="AP336:AY336"/>
    <mergeCell ref="AZ336:BI336"/>
    <mergeCell ref="BJ336:BS336"/>
    <mergeCell ref="R335:AE335"/>
    <mergeCell ref="AF335:AO335"/>
    <mergeCell ref="AP335:AY335"/>
    <mergeCell ref="AZ335:BI335"/>
    <mergeCell ref="BJ335:BS335"/>
    <mergeCell ref="BT335:CC335"/>
    <mergeCell ref="BT333:CC333"/>
    <mergeCell ref="BT339:CC339"/>
    <mergeCell ref="A334:I336"/>
    <mergeCell ref="J334:Q334"/>
    <mergeCell ref="R334:AE334"/>
    <mergeCell ref="AF334:AO334"/>
    <mergeCell ref="AP334:AY334"/>
    <mergeCell ref="AZ334:BI334"/>
    <mergeCell ref="BJ334:BS334"/>
    <mergeCell ref="BT334:CC334"/>
    <mergeCell ref="J335:Q335"/>
    <mergeCell ref="J339:Q339"/>
    <mergeCell ref="R339:AE339"/>
    <mergeCell ref="AF339:AO339"/>
    <mergeCell ref="AP339:AY339"/>
    <mergeCell ref="AZ339:BI339"/>
    <mergeCell ref="BJ339:BS339"/>
    <mergeCell ref="R338:AE338"/>
    <mergeCell ref="AF338:AO338"/>
    <mergeCell ref="AP338:AY338"/>
    <mergeCell ref="AZ338:BI338"/>
    <mergeCell ref="BJ338:BS338"/>
    <mergeCell ref="BT338:CC338"/>
    <mergeCell ref="BT336:CC336"/>
    <mergeCell ref="BT342:CC342"/>
    <mergeCell ref="A337:I339"/>
    <mergeCell ref="J337:Q337"/>
    <mergeCell ref="R337:AE337"/>
    <mergeCell ref="AF337:AO337"/>
    <mergeCell ref="AP337:AY337"/>
    <mergeCell ref="AZ337:BI337"/>
    <mergeCell ref="BJ337:BS337"/>
    <mergeCell ref="BT337:CC337"/>
    <mergeCell ref="J338:Q338"/>
    <mergeCell ref="A346:AJ346"/>
    <mergeCell ref="AK346:AV347"/>
    <mergeCell ref="AW346:BG347"/>
    <mergeCell ref="BH346:BR347"/>
    <mergeCell ref="BS346:CC347"/>
    <mergeCell ref="A347:L347"/>
    <mergeCell ref="M347:X347"/>
    <mergeCell ref="Y347:AJ347"/>
    <mergeCell ref="J342:Q342"/>
    <mergeCell ref="R342:AE342"/>
    <mergeCell ref="AF342:AO342"/>
    <mergeCell ref="AP342:AY342"/>
    <mergeCell ref="AZ342:BI342"/>
    <mergeCell ref="BJ342:BS342"/>
    <mergeCell ref="R341:AE341"/>
    <mergeCell ref="AF341:AO341"/>
    <mergeCell ref="AP341:AY341"/>
    <mergeCell ref="AZ341:BI341"/>
    <mergeCell ref="BJ341:BS341"/>
    <mergeCell ref="BT341:CC341"/>
    <mergeCell ref="A340:I342"/>
    <mergeCell ref="J340:Q340"/>
    <mergeCell ref="R340:AE340"/>
    <mergeCell ref="AF340:AO340"/>
    <mergeCell ref="AP340:AY340"/>
    <mergeCell ref="AZ340:BI340"/>
    <mergeCell ref="BJ340:BS340"/>
    <mergeCell ref="BT340:CC340"/>
    <mergeCell ref="J341:Q341"/>
    <mergeCell ref="A355:O355"/>
    <mergeCell ref="P355:AD355"/>
    <mergeCell ref="AE355:AS355"/>
    <mergeCell ref="AT355:BH355"/>
    <mergeCell ref="BI355:CC355"/>
    <mergeCell ref="A356:O356"/>
    <mergeCell ref="P356:AD356"/>
    <mergeCell ref="AE356:AS356"/>
    <mergeCell ref="AT356:BH356"/>
    <mergeCell ref="BI356:CC356"/>
    <mergeCell ref="A353:BH353"/>
    <mergeCell ref="BI353:CC354"/>
    <mergeCell ref="A354:O354"/>
    <mergeCell ref="P354:AD354"/>
    <mergeCell ref="AE354:AS354"/>
    <mergeCell ref="AT354:BH354"/>
    <mergeCell ref="BS348:CC348"/>
    <mergeCell ref="A349:L349"/>
    <mergeCell ref="M349:X349"/>
    <mergeCell ref="Y349:AJ349"/>
    <mergeCell ref="AK349:AV349"/>
    <mergeCell ref="AW349:BG349"/>
    <mergeCell ref="BH349:BR349"/>
    <mergeCell ref="BS349:CC349"/>
    <mergeCell ref="A348:L348"/>
    <mergeCell ref="M348:X348"/>
    <mergeCell ref="Y348:AJ348"/>
    <mergeCell ref="AK348:AV348"/>
    <mergeCell ref="AW348:BG348"/>
    <mergeCell ref="BH348:BR348"/>
    <mergeCell ref="BS362:CC362"/>
    <mergeCell ref="A363:L363"/>
    <mergeCell ref="M363:X363"/>
    <mergeCell ref="Y363:AJ363"/>
    <mergeCell ref="AK363:AV363"/>
    <mergeCell ref="AW363:BG363"/>
    <mergeCell ref="BH363:BR363"/>
    <mergeCell ref="BS363:CC363"/>
    <mergeCell ref="A362:L362"/>
    <mergeCell ref="M362:X362"/>
    <mergeCell ref="Y362:AJ362"/>
    <mergeCell ref="AK362:AV362"/>
    <mergeCell ref="AW362:BG362"/>
    <mergeCell ref="BH362:BR362"/>
    <mergeCell ref="A360:L361"/>
    <mergeCell ref="M360:AV360"/>
    <mergeCell ref="AW360:CC360"/>
    <mergeCell ref="M361:X361"/>
    <mergeCell ref="Y361:AJ361"/>
    <mergeCell ref="AK361:AV361"/>
    <mergeCell ref="AW361:BG361"/>
    <mergeCell ref="BH361:BR361"/>
    <mergeCell ref="BS361:CC361"/>
    <mergeCell ref="L374:R374"/>
    <mergeCell ref="S374:Y374"/>
    <mergeCell ref="Z374:AF374"/>
    <mergeCell ref="AG374:AM374"/>
    <mergeCell ref="BS364:CC364"/>
    <mergeCell ref="A365:L365"/>
    <mergeCell ref="M365:X365"/>
    <mergeCell ref="Y365:AJ365"/>
    <mergeCell ref="AK365:AV365"/>
    <mergeCell ref="AW365:BG365"/>
    <mergeCell ref="BH365:BR365"/>
    <mergeCell ref="BS365:CC365"/>
    <mergeCell ref="A364:L364"/>
    <mergeCell ref="M364:X364"/>
    <mergeCell ref="Y364:AJ364"/>
    <mergeCell ref="AK364:AV364"/>
    <mergeCell ref="AW364:BG364"/>
    <mergeCell ref="BH364:BR364"/>
    <mergeCell ref="BW375:CC375"/>
    <mergeCell ref="A376:D376"/>
    <mergeCell ref="E376:K376"/>
    <mergeCell ref="L376:R376"/>
    <mergeCell ref="S376:Y376"/>
    <mergeCell ref="Z376:AF376"/>
    <mergeCell ref="AG376:AM376"/>
    <mergeCell ref="AN376:AT376"/>
    <mergeCell ref="AU376:BA376"/>
    <mergeCell ref="BB376:BH376"/>
    <mergeCell ref="AG375:AM375"/>
    <mergeCell ref="AN375:AT375"/>
    <mergeCell ref="AU375:BA375"/>
    <mergeCell ref="BB375:BH375"/>
    <mergeCell ref="BI375:BO375"/>
    <mergeCell ref="BP375:BV375"/>
    <mergeCell ref="AN374:AT374"/>
    <mergeCell ref="AU374:BA374"/>
    <mergeCell ref="BB374:BH374"/>
    <mergeCell ref="BI374:BO374"/>
    <mergeCell ref="BP374:BV374"/>
    <mergeCell ref="A375:D375"/>
    <mergeCell ref="E375:K375"/>
    <mergeCell ref="L375:R375"/>
    <mergeCell ref="S375:Y375"/>
    <mergeCell ref="Z375:AF375"/>
    <mergeCell ref="A373:D374"/>
    <mergeCell ref="E373:K374"/>
    <mergeCell ref="L373:Y373"/>
    <mergeCell ref="Z373:BA373"/>
    <mergeCell ref="BB373:BV373"/>
    <mergeCell ref="BW373:CC374"/>
    <mergeCell ref="AU377:BA377"/>
    <mergeCell ref="BB377:BH377"/>
    <mergeCell ref="BI377:BO377"/>
    <mergeCell ref="BP377:BV377"/>
    <mergeCell ref="BW377:CC377"/>
    <mergeCell ref="A378:D378"/>
    <mergeCell ref="E378:K378"/>
    <mergeCell ref="L378:R378"/>
    <mergeCell ref="S378:Y378"/>
    <mergeCell ref="Z378:AF378"/>
    <mergeCell ref="BI376:BO376"/>
    <mergeCell ref="BP376:BV376"/>
    <mergeCell ref="BW376:CC376"/>
    <mergeCell ref="A377:D377"/>
    <mergeCell ref="E377:K377"/>
    <mergeCell ref="L377:R377"/>
    <mergeCell ref="S377:Y377"/>
    <mergeCell ref="Z377:AF377"/>
    <mergeCell ref="AG377:AM377"/>
    <mergeCell ref="AN377:AT377"/>
    <mergeCell ref="BI379:BO379"/>
    <mergeCell ref="BP379:BV379"/>
    <mergeCell ref="BW379:CC379"/>
    <mergeCell ref="A380:D380"/>
    <mergeCell ref="E380:K380"/>
    <mergeCell ref="L380:R380"/>
    <mergeCell ref="S380:Y380"/>
    <mergeCell ref="Z380:AF380"/>
    <mergeCell ref="AG380:AM380"/>
    <mergeCell ref="AN380:AT380"/>
    <mergeCell ref="BW378:CC378"/>
    <mergeCell ref="A379:D379"/>
    <mergeCell ref="E379:K379"/>
    <mergeCell ref="L379:R379"/>
    <mergeCell ref="S379:Y379"/>
    <mergeCell ref="Z379:AF379"/>
    <mergeCell ref="AG379:AM379"/>
    <mergeCell ref="AN379:AT379"/>
    <mergeCell ref="AU379:BA379"/>
    <mergeCell ref="BB379:BH379"/>
    <mergeCell ref="AG378:AM378"/>
    <mergeCell ref="AN378:AT378"/>
    <mergeCell ref="AU378:BA378"/>
    <mergeCell ref="BB378:BH378"/>
    <mergeCell ref="BI378:BO378"/>
    <mergeCell ref="BP378:BV378"/>
    <mergeCell ref="BW381:CC381"/>
    <mergeCell ref="A382:D382"/>
    <mergeCell ref="E382:K382"/>
    <mergeCell ref="L382:R382"/>
    <mergeCell ref="S382:Y382"/>
    <mergeCell ref="Z382:AF382"/>
    <mergeCell ref="AG382:AM382"/>
    <mergeCell ref="AN382:AT382"/>
    <mergeCell ref="AU382:BA382"/>
    <mergeCell ref="BB382:BH382"/>
    <mergeCell ref="AG381:AM381"/>
    <mergeCell ref="AN381:AT381"/>
    <mergeCell ref="AU381:BA381"/>
    <mergeCell ref="BB381:BH381"/>
    <mergeCell ref="BI381:BO381"/>
    <mergeCell ref="BP381:BV381"/>
    <mergeCell ref="AU380:BA380"/>
    <mergeCell ref="BB380:BH380"/>
    <mergeCell ref="BI380:BO380"/>
    <mergeCell ref="BP380:BV380"/>
    <mergeCell ref="BW380:CC380"/>
    <mergeCell ref="A381:D381"/>
    <mergeCell ref="E381:K381"/>
    <mergeCell ref="L381:R381"/>
    <mergeCell ref="S381:Y381"/>
    <mergeCell ref="Z381:AF381"/>
    <mergeCell ref="AU383:BA383"/>
    <mergeCell ref="BB383:BH383"/>
    <mergeCell ref="BI383:BO383"/>
    <mergeCell ref="BP383:BV383"/>
    <mergeCell ref="BW383:CC383"/>
    <mergeCell ref="A384:D384"/>
    <mergeCell ref="E384:K384"/>
    <mergeCell ref="L384:R384"/>
    <mergeCell ref="S384:Y384"/>
    <mergeCell ref="Z384:AF384"/>
    <mergeCell ref="BI382:BO382"/>
    <mergeCell ref="BP382:BV382"/>
    <mergeCell ref="BW382:CC382"/>
    <mergeCell ref="A383:D383"/>
    <mergeCell ref="E383:K383"/>
    <mergeCell ref="L383:R383"/>
    <mergeCell ref="S383:Y383"/>
    <mergeCell ref="Z383:AF383"/>
    <mergeCell ref="AG383:AM383"/>
    <mergeCell ref="AN383:AT383"/>
    <mergeCell ref="BI385:BO385"/>
    <mergeCell ref="BP385:BV385"/>
    <mergeCell ref="BW385:CC385"/>
    <mergeCell ref="A386:D386"/>
    <mergeCell ref="E386:K386"/>
    <mergeCell ref="L386:R386"/>
    <mergeCell ref="S386:Y386"/>
    <mergeCell ref="Z386:AF386"/>
    <mergeCell ref="AG386:AM386"/>
    <mergeCell ref="AN386:AT386"/>
    <mergeCell ref="BW384:CC384"/>
    <mergeCell ref="A385:D385"/>
    <mergeCell ref="E385:K385"/>
    <mergeCell ref="L385:R385"/>
    <mergeCell ref="S385:Y385"/>
    <mergeCell ref="Z385:AF385"/>
    <mergeCell ref="AG385:AM385"/>
    <mergeCell ref="AN385:AT385"/>
    <mergeCell ref="AU385:BA385"/>
    <mergeCell ref="BB385:BH385"/>
    <mergeCell ref="AG384:AM384"/>
    <mergeCell ref="AN384:AT384"/>
    <mergeCell ref="AU384:BA384"/>
    <mergeCell ref="BB384:BH384"/>
    <mergeCell ref="BI384:BO384"/>
    <mergeCell ref="BP384:BV384"/>
    <mergeCell ref="A393:I393"/>
    <mergeCell ref="J393:AG393"/>
    <mergeCell ref="AH393:BE393"/>
    <mergeCell ref="BF393:CC393"/>
    <mergeCell ref="A394:I394"/>
    <mergeCell ref="J394:AG394"/>
    <mergeCell ref="AH394:BE394"/>
    <mergeCell ref="BF394:CC394"/>
    <mergeCell ref="A391:I391"/>
    <mergeCell ref="J391:AG391"/>
    <mergeCell ref="AH391:BE391"/>
    <mergeCell ref="BF391:CC391"/>
    <mergeCell ref="A392:I392"/>
    <mergeCell ref="J392:AG392"/>
    <mergeCell ref="AH392:BE392"/>
    <mergeCell ref="BF392:CC392"/>
    <mergeCell ref="AU386:BA386"/>
    <mergeCell ref="BB386:BH386"/>
    <mergeCell ref="BI386:BO386"/>
    <mergeCell ref="BP386:BV386"/>
    <mergeCell ref="BW386:CC386"/>
    <mergeCell ref="A390:I390"/>
    <mergeCell ref="J390:AG390"/>
    <mergeCell ref="AH390:BE390"/>
    <mergeCell ref="BF390:CC390"/>
    <mergeCell ref="A399:I399"/>
    <mergeCell ref="J399:AG399"/>
    <mergeCell ref="AH399:BE399"/>
    <mergeCell ref="BF399:CC399"/>
    <mergeCell ref="A400:I400"/>
    <mergeCell ref="J400:AG400"/>
    <mergeCell ref="AH400:BE400"/>
    <mergeCell ref="BF400:CC400"/>
    <mergeCell ref="A397:I397"/>
    <mergeCell ref="J397:AG397"/>
    <mergeCell ref="AH397:BE397"/>
    <mergeCell ref="BF397:CC397"/>
    <mergeCell ref="A398:I398"/>
    <mergeCell ref="J398:AG398"/>
    <mergeCell ref="AH398:BE398"/>
    <mergeCell ref="BF398:CC398"/>
    <mergeCell ref="A395:I395"/>
    <mergeCell ref="J395:AG395"/>
    <mergeCell ref="AH395:BE395"/>
    <mergeCell ref="BF395:CC395"/>
    <mergeCell ref="A396:I396"/>
    <mergeCell ref="J396:AG396"/>
    <mergeCell ref="AH396:BE396"/>
    <mergeCell ref="BF396:CC396"/>
    <mergeCell ref="A413:D413"/>
    <mergeCell ref="E413:O413"/>
    <mergeCell ref="P413:AD413"/>
    <mergeCell ref="AE413:AS413"/>
    <mergeCell ref="AT413:BH413"/>
    <mergeCell ref="BI413:CC413"/>
    <mergeCell ref="A403:I403"/>
    <mergeCell ref="J403:AG403"/>
    <mergeCell ref="AH403:BE403"/>
    <mergeCell ref="BF403:CC403"/>
    <mergeCell ref="A404:I404"/>
    <mergeCell ref="J404:AG404"/>
    <mergeCell ref="AH404:BE404"/>
    <mergeCell ref="BF404:CC404"/>
    <mergeCell ref="A401:I401"/>
    <mergeCell ref="J401:AG401"/>
    <mergeCell ref="AH401:BE401"/>
    <mergeCell ref="BF401:CC401"/>
    <mergeCell ref="A402:I402"/>
    <mergeCell ref="J402:AG402"/>
    <mergeCell ref="AH402:BE402"/>
    <mergeCell ref="BF402:CC402"/>
    <mergeCell ref="A416:D416"/>
    <mergeCell ref="E416:O416"/>
    <mergeCell ref="P416:AD416"/>
    <mergeCell ref="AE416:AS416"/>
    <mergeCell ref="AT416:BH416"/>
    <mergeCell ref="BI416:CC416"/>
    <mergeCell ref="A415:D415"/>
    <mergeCell ref="E415:O415"/>
    <mergeCell ref="P415:AD415"/>
    <mergeCell ref="AE415:AS415"/>
    <mergeCell ref="AT415:BH415"/>
    <mergeCell ref="BI415:CC415"/>
    <mergeCell ref="A414:D414"/>
    <mergeCell ref="E414:O414"/>
    <mergeCell ref="P414:AD414"/>
    <mergeCell ref="AE414:AS414"/>
    <mergeCell ref="AT414:BH414"/>
    <mergeCell ref="BI414:CC414"/>
    <mergeCell ref="AN430:AW430"/>
    <mergeCell ref="AX430:BG430"/>
    <mergeCell ref="BH430:BQ430"/>
    <mergeCell ref="A419:D419"/>
    <mergeCell ref="E419:O419"/>
    <mergeCell ref="P419:AD419"/>
    <mergeCell ref="AE419:AS419"/>
    <mergeCell ref="AT419:BH419"/>
    <mergeCell ref="BI419:CC419"/>
    <mergeCell ref="A418:D418"/>
    <mergeCell ref="E418:O418"/>
    <mergeCell ref="P418:AD418"/>
    <mergeCell ref="AE418:AS418"/>
    <mergeCell ref="AT418:BH418"/>
    <mergeCell ref="BI418:CC418"/>
    <mergeCell ref="A417:D417"/>
    <mergeCell ref="E417:O417"/>
    <mergeCell ref="P417:AD417"/>
    <mergeCell ref="AE417:AS417"/>
    <mergeCell ref="AT417:BH417"/>
    <mergeCell ref="BI417:CC417"/>
    <mergeCell ref="BH432:BQ432"/>
    <mergeCell ref="BR432:CC432"/>
    <mergeCell ref="A433:I433"/>
    <mergeCell ref="J433:S433"/>
    <mergeCell ref="T433:AC433"/>
    <mergeCell ref="AD433:AM433"/>
    <mergeCell ref="AN433:AW433"/>
    <mergeCell ref="AX433:BG433"/>
    <mergeCell ref="BH433:BQ433"/>
    <mergeCell ref="BR433:CC433"/>
    <mergeCell ref="A432:I432"/>
    <mergeCell ref="J432:S432"/>
    <mergeCell ref="T432:AC432"/>
    <mergeCell ref="AD432:AM432"/>
    <mergeCell ref="AN432:AW432"/>
    <mergeCell ref="AX432:BG432"/>
    <mergeCell ref="BR430:CC430"/>
    <mergeCell ref="A431:I431"/>
    <mergeCell ref="J431:S431"/>
    <mergeCell ref="T431:AC431"/>
    <mergeCell ref="AD431:AM431"/>
    <mergeCell ref="AN431:AW431"/>
    <mergeCell ref="AX431:BG431"/>
    <mergeCell ref="BH431:BQ431"/>
    <mergeCell ref="BR431:CC431"/>
    <mergeCell ref="A429:I430"/>
    <mergeCell ref="J429:AM429"/>
    <mergeCell ref="AN429:BQ429"/>
    <mergeCell ref="BR429:CC429"/>
    <mergeCell ref="J430:S430"/>
    <mergeCell ref="T430:AC430"/>
    <mergeCell ref="AD430:AM430"/>
    <mergeCell ref="A436:CC436"/>
    <mergeCell ref="BH434:BQ434"/>
    <mergeCell ref="BR434:CC434"/>
    <mergeCell ref="A435:I435"/>
    <mergeCell ref="J435:S435"/>
    <mergeCell ref="T435:AC435"/>
    <mergeCell ref="AD435:AM435"/>
    <mergeCell ref="AN435:AW435"/>
    <mergeCell ref="AX435:BG435"/>
    <mergeCell ref="BH435:BQ435"/>
    <mergeCell ref="BR435:CC435"/>
    <mergeCell ref="A434:I434"/>
    <mergeCell ref="J434:S434"/>
    <mergeCell ref="T434:AC434"/>
    <mergeCell ref="AD434:AM434"/>
    <mergeCell ref="AN434:AW434"/>
    <mergeCell ref="AX434:BG434"/>
  </mergeCells>
  <printOptions horizontalCentered="1"/>
  <pageMargins left="0.35" right="0.35" top="1" bottom="0.75" header="0.3" footer="0.3"/>
  <pageSetup paperSize="9" scale="68" orientation="portrait" r:id="rId1"/>
  <headerFooter>
    <oddHeader>&amp;L&amp;G</oddHead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20</vt:i4>
      </vt:variant>
    </vt:vector>
  </HeadingPairs>
  <TitlesOfParts>
    <vt:vector size="44" baseType="lpstr">
      <vt:lpstr>Monthly Dashboard Report</vt:lpstr>
      <vt:lpstr>Cover </vt:lpstr>
      <vt:lpstr>Index</vt:lpstr>
      <vt:lpstr>1-Executive Project Summary</vt:lpstr>
      <vt:lpstr>2-Schedule</vt:lpstr>
      <vt:lpstr>3-Engineering</vt:lpstr>
      <vt:lpstr>4-Procurement</vt:lpstr>
      <vt:lpstr>4.1-Logs</vt:lpstr>
      <vt:lpstr>4.2-Long Lead Tracking</vt:lpstr>
      <vt:lpstr>5-QA-QC</vt:lpstr>
      <vt:lpstr>6-Construction</vt:lpstr>
      <vt:lpstr>7-Project Scope +Revenue Detail</vt:lpstr>
      <vt:lpstr>7.1-Payment-Detail</vt:lpstr>
      <vt:lpstr>7.2-Scope Management</vt:lpstr>
      <vt:lpstr>7.3-sub-con</vt:lpstr>
      <vt:lpstr>7.4-Back Chargs detail</vt:lpstr>
      <vt:lpstr>8-HSE</vt:lpstr>
      <vt:lpstr>9-Budget-Cost-ETC-EAC</vt:lpstr>
      <vt:lpstr>10-Resources</vt:lpstr>
      <vt:lpstr>11-Account</vt:lpstr>
      <vt:lpstr>12-Store</vt:lpstr>
      <vt:lpstr>13-AOC</vt:lpstr>
      <vt:lpstr>14-Close-out</vt:lpstr>
      <vt:lpstr>Sub</vt:lpstr>
      <vt:lpstr>'10-Resources'!Print_Area</vt:lpstr>
      <vt:lpstr>'12-Store'!Print_Area</vt:lpstr>
      <vt:lpstr>'13-AOC'!Print_Area</vt:lpstr>
      <vt:lpstr>'1-Executive Project Summary'!Print_Area</vt:lpstr>
      <vt:lpstr>'2-Schedule'!Print_Area</vt:lpstr>
      <vt:lpstr>'3-Engineering'!Print_Area</vt:lpstr>
      <vt:lpstr>'4-Procurement'!Print_Area</vt:lpstr>
      <vt:lpstr>'5-QA-QC'!Print_Area</vt:lpstr>
      <vt:lpstr>'7.1-Payment-Detail'!Print_Area</vt:lpstr>
      <vt:lpstr>'7.2-Scope Management'!Print_Area</vt:lpstr>
      <vt:lpstr>'7.3-sub-con'!Print_Area</vt:lpstr>
      <vt:lpstr>'7-Project Scope +Revenue Detail'!Print_Area</vt:lpstr>
      <vt:lpstr>'8-HSE'!Print_Area</vt:lpstr>
      <vt:lpstr>'9-Budget-Cost-ETC-EAC'!Print_Area</vt:lpstr>
      <vt:lpstr>'Cover '!Print_Area</vt:lpstr>
      <vt:lpstr>Index!Print_Area</vt:lpstr>
      <vt:lpstr>'Monthly Dashboard Report'!Print_Area</vt:lpstr>
      <vt:lpstr>Sub!Print_Area</vt:lpstr>
      <vt:lpstr>'7.1-Payment-Detail'!Print_Titles</vt:lpstr>
      <vt:lpstr>'7.2-Scope Management'!Print_Titles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s.rasul</dc:creator>
  <cp:lastModifiedBy>Nabil</cp:lastModifiedBy>
  <cp:lastPrinted>2016-04-24T08:35:14Z</cp:lastPrinted>
  <dcterms:created xsi:type="dcterms:W3CDTF">2014-09-25T08:52:13Z</dcterms:created>
  <dcterms:modified xsi:type="dcterms:W3CDTF">2016-05-15T08:04:14Z</dcterms:modified>
</cp:coreProperties>
</file>