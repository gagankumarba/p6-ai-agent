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9405"/>
  </bookViews>
  <sheets>
    <sheet name="Dashboard" sheetId="1" r:id="rId1"/>
    <sheet name="Project Summary" sheetId="2" r:id="rId2"/>
    <sheet name="Daily Manpower" sheetId="3" r:id="rId3"/>
    <sheet name="Sheet4" sheetId="4" r:id="rId4"/>
  </sheets>
  <definedNames>
    <definedName name="_xlnm._FilterDatabase" localSheetId="2" hidden="1">'Daily Manpower'!$B$2:$P$640</definedName>
    <definedName name="_xlnm.Print_Area" localSheetId="0">Dashboard!$B$2:$AB$37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8" i="1"/>
  <c r="C10" i="2"/>
  <c r="D14" i="1" s="1"/>
  <c r="C8" i="2"/>
  <c r="C9" i="2" s="1"/>
  <c r="D13" i="1" s="1"/>
  <c r="C7" i="2"/>
  <c r="D11" i="1" s="1"/>
  <c r="B15" i="1"/>
  <c r="B14" i="1"/>
  <c r="B13" i="1"/>
  <c r="B12" i="1"/>
  <c r="B11" i="1"/>
  <c r="B10" i="1"/>
  <c r="B9" i="1"/>
  <c r="B8" i="1"/>
  <c r="B7" i="1"/>
  <c r="B6" i="1"/>
  <c r="C27" i="2"/>
  <c r="C26" i="2"/>
  <c r="C25" i="2"/>
  <c r="D12" i="1" l="1"/>
  <c r="C28" i="2"/>
  <c r="I12" i="2"/>
  <c r="I14" i="2" s="1"/>
  <c r="J12" i="2"/>
  <c r="O33" i="3"/>
  <c r="I13" i="2" s="1"/>
  <c r="I15" i="2" s="1"/>
  <c r="O122" i="3"/>
  <c r="O92" i="3"/>
  <c r="O610" i="3"/>
  <c r="O640" i="3"/>
  <c r="O61" i="3"/>
  <c r="J13" i="2" s="1"/>
  <c r="O579" i="3"/>
  <c r="O548" i="3"/>
  <c r="O518" i="3"/>
  <c r="O487" i="3"/>
  <c r="O457" i="3"/>
  <c r="O426" i="3"/>
  <c r="O398" i="3"/>
  <c r="O367" i="3"/>
  <c r="O336" i="3"/>
  <c r="O306" i="3"/>
  <c r="O275" i="3"/>
  <c r="O245" i="3"/>
  <c r="O214" i="3"/>
  <c r="O183" i="3"/>
  <c r="O153" i="3"/>
  <c r="J14" i="2" l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J15" i="2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C3" i="2"/>
  <c r="D7" i="1" s="1"/>
  <c r="AB2" i="1"/>
  <c r="C17" i="2" l="1"/>
  <c r="C16" i="2" l="1"/>
  <c r="I6" i="2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I5" i="2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D6" i="1" l="1"/>
</calcChain>
</file>

<file path=xl/sharedStrings.xml><?xml version="1.0" encoding="utf-8"?>
<sst xmlns="http://schemas.openxmlformats.org/spreadsheetml/2006/main" count="75" uniqueCount="62">
  <si>
    <t>PROJECT SUMMARY</t>
  </si>
  <si>
    <t>Contract Commencement</t>
  </si>
  <si>
    <t>Contract Completion</t>
  </si>
  <si>
    <t>Slippage to Baseline</t>
  </si>
  <si>
    <t>Elapsed Duration</t>
  </si>
  <si>
    <t>Contract Duration</t>
  </si>
  <si>
    <t>Remaining Duration</t>
  </si>
  <si>
    <t>Planned Progress (%)</t>
  </si>
  <si>
    <t>Actual Progress (%)</t>
  </si>
  <si>
    <t>Variation (%)</t>
  </si>
  <si>
    <t>PROGRESS CURVE</t>
  </si>
  <si>
    <t>DATE</t>
  </si>
  <si>
    <t>CURRENT PROGRESS</t>
  </si>
  <si>
    <t>CRITICAL ISSUE</t>
  </si>
  <si>
    <t>PROGRESS PHOTO'S</t>
  </si>
  <si>
    <t>TIME CHART</t>
  </si>
  <si>
    <t>Month</t>
  </si>
  <si>
    <t>Planned</t>
  </si>
  <si>
    <t>Actual</t>
  </si>
  <si>
    <t>Planned Cum.</t>
  </si>
  <si>
    <t>Actual Cum.</t>
  </si>
  <si>
    <t>Prequalification</t>
  </si>
  <si>
    <t>Materials</t>
  </si>
  <si>
    <t>Shop Drawings</t>
  </si>
  <si>
    <t>Description</t>
  </si>
  <si>
    <t>Total</t>
  </si>
  <si>
    <t>Planned till date</t>
  </si>
  <si>
    <t>Approved</t>
  </si>
  <si>
    <t>Rejected</t>
  </si>
  <si>
    <t>TECHNICAL SUBMITALS SUMMARY</t>
  </si>
  <si>
    <t>RFI'S &amp; NCR</t>
  </si>
  <si>
    <t xml:space="preserve">RFI </t>
  </si>
  <si>
    <t>NCR</t>
  </si>
  <si>
    <t>Raised</t>
  </si>
  <si>
    <t>Replied</t>
  </si>
  <si>
    <t>Status</t>
  </si>
  <si>
    <t>RESOURCE HISTOGRAM</t>
  </si>
  <si>
    <t>PROJECT STATUS</t>
  </si>
  <si>
    <t>Elapsed Dur %</t>
  </si>
  <si>
    <t>Remaining Dur %</t>
  </si>
  <si>
    <t>Steel Fixer</t>
  </si>
  <si>
    <t>Helper</t>
  </si>
  <si>
    <t>Date</t>
  </si>
  <si>
    <t>Carpenter</t>
  </si>
  <si>
    <t>Mason</t>
  </si>
  <si>
    <t>Rigger</t>
  </si>
  <si>
    <t>Electrician</t>
  </si>
  <si>
    <t>Guinter</t>
  </si>
  <si>
    <t>Waterproof Tech.</t>
  </si>
  <si>
    <t>Welder</t>
  </si>
  <si>
    <t>Plumber</t>
  </si>
  <si>
    <t>Painter</t>
  </si>
  <si>
    <t xml:space="preserve">Actual </t>
  </si>
  <si>
    <t>Plan</t>
  </si>
  <si>
    <t>Progress Curve</t>
  </si>
  <si>
    <t>Resource Histogram</t>
  </si>
  <si>
    <t>Under Review</t>
  </si>
  <si>
    <t>Submitted till date</t>
  </si>
  <si>
    <t>Forecast Completion</t>
  </si>
  <si>
    <t>PROJECT NAME - MIDREX TOLEDO HBI, OHIO USA</t>
  </si>
  <si>
    <t>CLIENT NAME - MIDREX INT</t>
  </si>
  <si>
    <t xml:space="preserve"> STEEL CONTRACTOR -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</si>
</sst>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d\-mmm\-yy;@"/>
    <numFmt numFmtId="165" formatCode="[$-409]mmm\-yy;@"/>
    <numFmt numFmtId="166" formatCode="0\ \d\a\y\s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5" fillId="2" borderId="13" applyNumberFormat="0" applyAlignment="0" applyProtection="0"/>
    <xf numFmtId="0" fontId="6" fillId="0" borderId="0"/>
  </cellStyleXfs>
  <cellXfs count="93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6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5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9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9" fontId="9" fillId="0" borderId="0" xfId="1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6" borderId="0" xfId="0" applyFill="1"/>
    <xf numFmtId="0" fontId="1" fillId="6" borderId="0" xfId="0" applyFont="1" applyFill="1"/>
    <xf numFmtId="0" fontId="10" fillId="0" borderId="0" xfId="0" applyFont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6" fontId="7" fillId="0" borderId="1" xfId="2" applyNumberFormat="1" applyFont="1" applyFill="1" applyBorder="1" applyAlignment="1">
      <alignment horizontal="center" vertical="center"/>
    </xf>
    <xf numFmtId="10" fontId="8" fillId="0" borderId="1" xfId="1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</cellXfs>
  <cellStyles count="4">
    <cellStyle name="Check Cell" xfId="2" builtinId="23"/>
    <cellStyle name="Normal" xfId="0" builtinId="0"/>
    <cellStyle name="Normal 135" xfId="3"/>
    <cellStyle name="Percent" xfId="1" builtinId="5"/>
  </cellStyles>
  <dxfs count="2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Summary'!$H$12</c:f>
              <c:strCache>
                <c:ptCount val="1"/>
                <c:pt idx="0">
                  <c:v>Planned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'Project Summary'!$I$11:$AB$11</c:f>
              <c:numCache>
                <c:formatCode>[$-409]mmm\-yy;@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'Project Summary'!$I$12:$AB$12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val>
        </c:ser>
        <c:ser>
          <c:idx val="1"/>
          <c:order val="1"/>
          <c:tx>
            <c:strRef>
              <c:f>'Project Summary'!$H$13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'Project Summary'!$I$11:$AB$11</c:f>
              <c:numCache>
                <c:formatCode>[$-409]mmm\-yy;@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'Project Summary'!$I$13:$AB$13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44317056"/>
        <c:axId val="144332288"/>
      </c:barChart>
      <c:lineChart>
        <c:grouping val="standard"/>
        <c:varyColors val="0"/>
        <c:ser>
          <c:idx val="2"/>
          <c:order val="2"/>
          <c:tx>
            <c:strRef>
              <c:f>'Project Summary'!$H$14</c:f>
              <c:strCache>
                <c:ptCount val="1"/>
                <c:pt idx="0">
                  <c:v>Planned Cum.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'Project Summary'!$I$11:$AB$11</c:f>
              <c:numCache>
                <c:formatCode>[$-409]mmm\-yy;@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'Project Summary'!$I$14:$AB$14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'Project Summary'!$H$15</c:f>
              <c:strCache>
                <c:ptCount val="1"/>
                <c:pt idx="0">
                  <c:v>Actual Cum.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'Project Summary'!$I$11:$AB$11</c:f>
              <c:numCache>
                <c:formatCode>[$-409]mmm\-yy;@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'Project Summary'!$I$15:$AB$15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47904"/>
        <c:axId val="144333824"/>
      </c:lineChart>
      <c:dateAx>
        <c:axId val="144317056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32288"/>
        <c:crosses val="autoZero"/>
        <c:auto val="1"/>
        <c:lblOffset val="100"/>
        <c:baseTimeUnit val="months"/>
      </c:dateAx>
      <c:valAx>
        <c:axId val="144332288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17056"/>
        <c:crosses val="autoZero"/>
        <c:crossBetween val="between"/>
      </c:valAx>
      <c:valAx>
        <c:axId val="144333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7904"/>
        <c:crosses val="max"/>
        <c:crossBetween val="between"/>
      </c:valAx>
      <c:dateAx>
        <c:axId val="144347904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4433382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/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explosion val="1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'Project Summary'!$B$16:$B$17</c:f>
              <c:strCache>
                <c:ptCount val="2"/>
                <c:pt idx="0">
                  <c:v>Elapsed Dur %</c:v>
                </c:pt>
                <c:pt idx="1">
                  <c:v>Remaining Dur %</c:v>
                </c:pt>
              </c:strCache>
            </c:strRef>
          </c:cat>
          <c:val>
            <c:numRef>
              <c:f>'Project Summary'!$C$16:$C$17</c:f>
              <c:numCache>
                <c:formatCode>0%</c:formatCode>
                <c:ptCount val="2"/>
                <c:pt idx="0">
                  <c:v>2.205128205128205E-3</c:v>
                </c:pt>
                <c:pt idx="1">
                  <c:v>2.4615384615384616E-3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96526380712971"/>
          <c:y val="0.61471278181825706"/>
          <c:w val="0.29341242478832258"/>
          <c:h val="0.343499718337456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Summary'!$H$3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'Project Summary'!$I$2:$AB$2</c:f>
              <c:numCache>
                <c:formatCode>[$-409]mmm\-yy;@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'Project Summary'!$I$3:$AB$3</c:f>
              <c:numCache>
                <c:formatCode>0</c:formatCode>
                <c:ptCount val="20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val>
        </c:ser>
        <c:ser>
          <c:idx val="1"/>
          <c:order val="1"/>
          <c:tx>
            <c:strRef>
              <c:f>'Project Summary'!$H$4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'Project Summary'!$I$2:$AB$2</c:f>
              <c:numCache>
                <c:formatCode>[$-409]mmm\-yy;@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'Project Summary'!$I$4:$AB$4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624640"/>
        <c:axId val="142626176"/>
      </c:barChart>
      <c:lineChart>
        <c:grouping val="standard"/>
        <c:varyColors val="0"/>
        <c:ser>
          <c:idx val="2"/>
          <c:order val="2"/>
          <c:tx>
            <c:strRef>
              <c:f>'Project Summary'!$H$5</c:f>
              <c:strCache>
                <c:ptCount val="1"/>
                <c:pt idx="0">
                  <c:v>Planned Cum.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'Project Summary'!$I$2:$AB$2</c:f>
              <c:numCache>
                <c:formatCode>[$-409]mmm\-yy;@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'Project Summary'!$I$5:$AB$5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'Project Summary'!$H$6</c:f>
              <c:strCache>
                <c:ptCount val="1"/>
                <c:pt idx="0">
                  <c:v>Actual Cum.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'Project Summary'!$I$2:$AB$2</c:f>
              <c:numCache>
                <c:formatCode>[$-409]mmm\-yy;@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'Project Summary'!$I$6:$AB$6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29504"/>
        <c:axId val="142627968"/>
      </c:lineChart>
      <c:dateAx>
        <c:axId val="14262464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26176"/>
        <c:crosses val="autoZero"/>
        <c:auto val="1"/>
        <c:lblOffset val="100"/>
        <c:baseTimeUnit val="months"/>
      </c:dateAx>
      <c:valAx>
        <c:axId val="14262617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24640"/>
        <c:crosses val="autoZero"/>
        <c:crossBetween val="between"/>
      </c:valAx>
      <c:valAx>
        <c:axId val="142627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29504"/>
        <c:crosses val="max"/>
        <c:crossBetween val="between"/>
      </c:valAx>
      <c:dateAx>
        <c:axId val="142629504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426279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'Project Summary'!$B$19:$B$20</c:f>
              <c:strCache>
                <c:ptCount val="2"/>
                <c:pt idx="0">
                  <c:v>Planned Progress (%)</c:v>
                </c:pt>
                <c:pt idx="1">
                  <c:v>Actual Progress (%)</c:v>
                </c:pt>
              </c:strCache>
            </c:strRef>
          </c:cat>
          <c:val>
            <c:numRef>
              <c:f>'Project Summary'!$C$19:$C$20</c:f>
              <c:numCache>
                <c:formatCode>0%</c:formatCode>
                <c:ptCount val="2"/>
                <c:pt idx="0">
                  <c:v>0.43</c:v>
                </c:pt>
                <c:pt idx="1">
                  <c:v>0.48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80542288757181"/>
          <c:y val="0.62732625408171139"/>
          <c:w val="0.34556927346685962"/>
          <c:h val="0.345119132818892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23446</xdr:colOff>
      <xdr:row>16</xdr:row>
      <xdr:rowOff>26895</xdr:rowOff>
    </xdr:from>
    <xdr:to>
      <xdr:col>18</xdr:col>
      <xdr:colOff>427892</xdr:colOff>
      <xdr:row>25</xdr:row>
      <xdr:rowOff>233082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17418</xdr:colOff>
      <xdr:row>22</xdr:row>
      <xdr:rowOff>16334</xdr:rowOff>
    </xdr:from>
    <xdr:to>
      <xdr:col>4</xdr:col>
      <xdr:colOff>465910</xdr:colOff>
      <xdr:row>25</xdr:row>
      <xdr:rowOff>239485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17930</xdr:colOff>
      <xdr:row>5</xdr:row>
      <xdr:rowOff>35858</xdr:rowOff>
    </xdr:from>
    <xdr:to>
      <xdr:col>18</xdr:col>
      <xdr:colOff>439270</xdr:colOff>
      <xdr:row>14</xdr:row>
      <xdr:rowOff>224117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17583</xdr:colOff>
      <xdr:row>17</xdr:row>
      <xdr:rowOff>21771</xdr:rowOff>
    </xdr:from>
    <xdr:to>
      <xdr:col>4</xdr:col>
      <xdr:colOff>465908</xdr:colOff>
      <xdr:row>20</xdr:row>
      <xdr:rowOff>240324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9"/>
  <sheetViews>
    <sheetView tabSelected="1" view="pageBreakPreview" zoomScale="90" zoomScaleNormal="55" zoomScaleSheetLayoutView="90" workbookViewId="0">
      <selection activeCell="AD6" sqref="AD6"/>
    </sheetView>
  </sheetViews>
  <sheetFormatPr defaultColWidth="8.85546875" defaultRowHeight="15" x14ac:dyDescent="0.25"/>
  <cols>
    <col min="1" max="1" width="3.42578125" style="3" customWidth="1"/>
    <col min="2" max="2" width="13.7109375" style="3" customWidth="1"/>
    <col min="3" max="8" width="7" style="3" customWidth="1"/>
    <col min="9" max="19" width="6.5703125" style="3" customWidth="1"/>
    <col min="20" max="20" width="4.140625" style="3" customWidth="1"/>
    <col min="21" max="26" width="6.7109375" style="3" customWidth="1"/>
    <col min="27" max="28" width="9.7109375" style="3" customWidth="1"/>
    <col min="29" max="44" width="6.7109375" style="3" customWidth="1"/>
    <col min="45" max="16384" width="8.85546875" style="3"/>
  </cols>
  <sheetData>
    <row r="1" spans="2:28" s="40" customFormat="1" ht="18" customHeight="1" x14ac:dyDescent="0.2">
      <c r="B1" s="40">
        <v>1</v>
      </c>
      <c r="C1" s="40">
        <v>2</v>
      </c>
      <c r="D1" s="40">
        <v>3</v>
      </c>
      <c r="E1" s="40">
        <v>4</v>
      </c>
      <c r="F1" s="40">
        <v>5</v>
      </c>
      <c r="G1" s="40">
        <v>6</v>
      </c>
      <c r="H1" s="40">
        <v>7</v>
      </c>
      <c r="I1" s="40">
        <v>8</v>
      </c>
      <c r="J1" s="40">
        <v>9</v>
      </c>
      <c r="K1" s="40">
        <v>10</v>
      </c>
      <c r="L1" s="40">
        <v>11</v>
      </c>
      <c r="M1" s="40">
        <v>12</v>
      </c>
      <c r="N1" s="40">
        <v>13</v>
      </c>
      <c r="O1" s="40">
        <v>14</v>
      </c>
      <c r="P1" s="40">
        <v>15</v>
      </c>
      <c r="Q1" s="40">
        <v>16</v>
      </c>
      <c r="R1" s="40">
        <v>17</v>
      </c>
      <c r="S1" s="40">
        <v>18</v>
      </c>
      <c r="T1" s="40">
        <v>19</v>
      </c>
      <c r="U1" s="40">
        <v>20</v>
      </c>
      <c r="V1" s="40">
        <v>21</v>
      </c>
      <c r="W1" s="40">
        <v>22</v>
      </c>
      <c r="X1" s="40">
        <v>23</v>
      </c>
      <c r="Y1" s="40">
        <v>24</v>
      </c>
      <c r="Z1" s="40">
        <v>25</v>
      </c>
      <c r="AA1" s="40">
        <v>26</v>
      </c>
      <c r="AB1" s="40">
        <v>27</v>
      </c>
    </row>
    <row r="2" spans="2:28" ht="19.899999999999999" customHeight="1" x14ac:dyDescent="0.25">
      <c r="B2" s="45" t="s">
        <v>59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1" t="s">
        <v>60</v>
      </c>
      <c r="N2" s="42"/>
      <c r="O2" s="42"/>
      <c r="P2" s="42"/>
      <c r="Q2" s="42"/>
      <c r="R2" s="42"/>
      <c r="S2" s="42"/>
      <c r="T2" s="45" t="s">
        <v>61</v>
      </c>
      <c r="U2" s="45"/>
      <c r="V2" s="45"/>
      <c r="W2" s="45"/>
      <c r="X2" s="45"/>
      <c r="Y2" s="45"/>
      <c r="Z2" s="45"/>
      <c r="AA2" s="45" t="s">
        <v>11</v>
      </c>
      <c r="AB2" s="92">
        <f ca="1">TODAY()</f>
        <v>43146</v>
      </c>
    </row>
    <row r="3" spans="2:28" ht="19.899999999999999" customHeight="1" x14ac:dyDescent="0.25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3"/>
      <c r="N3" s="44"/>
      <c r="O3" s="44"/>
      <c r="P3" s="44"/>
      <c r="Q3" s="44"/>
      <c r="R3" s="44"/>
      <c r="S3" s="44"/>
      <c r="T3" s="45"/>
      <c r="U3" s="45"/>
      <c r="V3" s="45"/>
      <c r="W3" s="45"/>
      <c r="X3" s="45"/>
      <c r="Y3" s="45"/>
      <c r="Z3" s="45"/>
      <c r="AA3" s="45"/>
      <c r="AB3" s="92"/>
    </row>
    <row r="4" spans="2:28" ht="10.15" customHeight="1" x14ac:dyDescent="0.25"/>
    <row r="5" spans="2:28" s="5" customFormat="1" ht="25.15" customHeight="1" x14ac:dyDescent="0.2">
      <c r="B5" s="61" t="s">
        <v>0</v>
      </c>
      <c r="C5" s="62"/>
      <c r="D5" s="62"/>
      <c r="E5" s="63"/>
      <c r="F5" s="61" t="s">
        <v>10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  <c r="T5" s="91" t="s">
        <v>12</v>
      </c>
      <c r="U5" s="91"/>
      <c r="V5" s="91"/>
      <c r="W5" s="91"/>
      <c r="X5" s="91"/>
      <c r="Y5" s="91"/>
      <c r="Z5" s="91"/>
      <c r="AA5" s="91"/>
      <c r="AB5" s="91"/>
    </row>
    <row r="6" spans="2:28" s="5" customFormat="1" ht="19.899999999999999" customHeight="1" x14ac:dyDescent="0.2">
      <c r="B6" s="85" t="str">
        <f>'Project Summary'!B2</f>
        <v>Contract Commencement</v>
      </c>
      <c r="C6" s="85"/>
      <c r="D6" s="88">
        <f>'Project Summary'!C2</f>
        <v>42736</v>
      </c>
      <c r="E6" s="88"/>
      <c r="F6" s="73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5"/>
      <c r="T6" s="8">
        <v>1</v>
      </c>
      <c r="U6" s="47"/>
      <c r="V6" s="90"/>
      <c r="W6" s="90"/>
      <c r="X6" s="90"/>
      <c r="Y6" s="90"/>
      <c r="Z6" s="48"/>
      <c r="AA6" s="9"/>
      <c r="AB6" s="9"/>
    </row>
    <row r="7" spans="2:28" s="5" customFormat="1" ht="19.899999999999999" customHeight="1" x14ac:dyDescent="0.2">
      <c r="B7" s="86" t="str">
        <f>'Project Summary'!B3</f>
        <v>Contract Completion</v>
      </c>
      <c r="C7" s="87"/>
      <c r="D7" s="89">
        <f>'Project Summary'!C3</f>
        <v>43099</v>
      </c>
      <c r="E7" s="89"/>
      <c r="F7" s="76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8"/>
      <c r="T7" s="8">
        <v>2</v>
      </c>
      <c r="U7" s="47"/>
      <c r="V7" s="90"/>
      <c r="W7" s="90"/>
      <c r="X7" s="90"/>
      <c r="Y7" s="90"/>
      <c r="Z7" s="48"/>
      <c r="AA7" s="9"/>
      <c r="AB7" s="9"/>
    </row>
    <row r="8" spans="2:28" s="5" customFormat="1" ht="19.899999999999999" customHeight="1" x14ac:dyDescent="0.2">
      <c r="B8" s="86" t="str">
        <f>'Project Summary'!B4</f>
        <v>Contract Duration</v>
      </c>
      <c r="C8" s="87"/>
      <c r="D8" s="82">
        <f>'Project Summary'!C4</f>
        <v>345</v>
      </c>
      <c r="E8" s="82"/>
      <c r="F8" s="76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/>
      <c r="T8" s="8">
        <v>3</v>
      </c>
      <c r="U8" s="47"/>
      <c r="V8" s="90"/>
      <c r="W8" s="90"/>
      <c r="X8" s="90"/>
      <c r="Y8" s="90"/>
      <c r="Z8" s="48"/>
      <c r="AA8" s="9"/>
      <c r="AB8" s="9"/>
    </row>
    <row r="9" spans="2:28" s="5" customFormat="1" ht="19.899999999999999" customHeight="1" x14ac:dyDescent="0.2">
      <c r="B9" s="86" t="str">
        <f>'Project Summary'!B5</f>
        <v>Elapsed Duration</v>
      </c>
      <c r="C9" s="87"/>
      <c r="D9" s="82">
        <f>'Project Summary'!C5</f>
        <v>150</v>
      </c>
      <c r="E9" s="82"/>
      <c r="F9" s="76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/>
      <c r="T9" s="8">
        <v>4</v>
      </c>
      <c r="U9" s="47"/>
      <c r="V9" s="90"/>
      <c r="W9" s="90"/>
      <c r="X9" s="90"/>
      <c r="Y9" s="90"/>
      <c r="Z9" s="48"/>
      <c r="AA9" s="9"/>
      <c r="AB9" s="9"/>
    </row>
    <row r="10" spans="2:28" s="5" customFormat="1" ht="19.899999999999999" customHeight="1" x14ac:dyDescent="0.2">
      <c r="B10" s="86" t="str">
        <f>'Project Summary'!B6</f>
        <v>Remaining Duration</v>
      </c>
      <c r="C10" s="87"/>
      <c r="D10" s="82">
        <f>'Project Summary'!C6</f>
        <v>195</v>
      </c>
      <c r="E10" s="82"/>
      <c r="F10" s="76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8"/>
      <c r="T10" s="8">
        <v>5</v>
      </c>
      <c r="U10" s="47"/>
      <c r="V10" s="90"/>
      <c r="W10" s="90"/>
      <c r="X10" s="90"/>
      <c r="Y10" s="90"/>
      <c r="Z10" s="48"/>
      <c r="AA10" s="9"/>
      <c r="AB10" s="9"/>
    </row>
    <row r="11" spans="2:28" s="5" customFormat="1" ht="19.899999999999999" customHeight="1" x14ac:dyDescent="0.2">
      <c r="B11" s="86" t="str">
        <f>'Project Summary'!B7</f>
        <v>Planned Progress (%)</v>
      </c>
      <c r="C11" s="87"/>
      <c r="D11" s="83">
        <f>'Project Summary'!C7</f>
        <v>0.43</v>
      </c>
      <c r="E11" s="83"/>
      <c r="F11" s="76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8"/>
      <c r="T11" s="8">
        <v>6</v>
      </c>
      <c r="U11" s="47"/>
      <c r="V11" s="90"/>
      <c r="W11" s="90"/>
      <c r="X11" s="90"/>
      <c r="Y11" s="90"/>
      <c r="Z11" s="48"/>
      <c r="AA11" s="9"/>
      <c r="AB11" s="9"/>
    </row>
    <row r="12" spans="2:28" s="5" customFormat="1" ht="19.899999999999999" customHeight="1" x14ac:dyDescent="0.2">
      <c r="B12" s="86" t="str">
        <f>'Project Summary'!B8</f>
        <v>Actual Progress (%)</v>
      </c>
      <c r="C12" s="87"/>
      <c r="D12" s="83">
        <f>'Project Summary'!C8</f>
        <v>0.48</v>
      </c>
      <c r="E12" s="83"/>
      <c r="F12" s="76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8"/>
      <c r="T12" s="8">
        <v>7</v>
      </c>
      <c r="U12" s="47"/>
      <c r="V12" s="90"/>
      <c r="W12" s="90"/>
      <c r="X12" s="90"/>
      <c r="Y12" s="90"/>
      <c r="Z12" s="48"/>
      <c r="AA12" s="9"/>
      <c r="AB12" s="9"/>
    </row>
    <row r="13" spans="2:28" s="5" customFormat="1" ht="19.899999999999999" customHeight="1" x14ac:dyDescent="0.2">
      <c r="B13" s="86" t="str">
        <f>'Project Summary'!B9</f>
        <v>Variation (%)</v>
      </c>
      <c r="C13" s="87"/>
      <c r="D13" s="83">
        <f>'Project Summary'!C9</f>
        <v>-4.9999999999999989E-2</v>
      </c>
      <c r="E13" s="83"/>
      <c r="F13" s="76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8"/>
      <c r="T13" s="8">
        <v>8</v>
      </c>
      <c r="U13" s="47"/>
      <c r="V13" s="90"/>
      <c r="W13" s="90"/>
      <c r="X13" s="90"/>
      <c r="Y13" s="90"/>
      <c r="Z13" s="48"/>
      <c r="AA13" s="9"/>
      <c r="AB13" s="9"/>
    </row>
    <row r="14" spans="2:28" s="5" customFormat="1" ht="19.899999999999999" customHeight="1" x14ac:dyDescent="0.2">
      <c r="B14" s="86" t="str">
        <f>'Project Summary'!B10</f>
        <v>Slippage to Baseline</v>
      </c>
      <c r="C14" s="87"/>
      <c r="D14" s="82">
        <f>'Project Summary'!C10</f>
        <v>-14</v>
      </c>
      <c r="E14" s="82"/>
      <c r="F14" s="76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8"/>
      <c r="T14" s="8">
        <v>9</v>
      </c>
      <c r="U14" s="47"/>
      <c r="V14" s="90"/>
      <c r="W14" s="90"/>
      <c r="X14" s="90"/>
      <c r="Y14" s="90"/>
      <c r="Z14" s="48"/>
      <c r="AA14" s="9"/>
      <c r="AB14" s="9"/>
    </row>
    <row r="15" spans="2:28" s="5" customFormat="1" ht="19.899999999999999" customHeight="1" x14ac:dyDescent="0.2">
      <c r="B15" s="86" t="str">
        <f>'Project Summary'!B11</f>
        <v>Forecast Completion</v>
      </c>
      <c r="C15" s="87"/>
      <c r="D15" s="83"/>
      <c r="E15" s="83"/>
      <c r="F15" s="79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1"/>
      <c r="T15" s="8">
        <v>10</v>
      </c>
      <c r="U15" s="47"/>
      <c r="V15" s="90"/>
      <c r="W15" s="90"/>
      <c r="X15" s="90"/>
      <c r="Y15" s="90"/>
      <c r="Z15" s="48"/>
      <c r="AA15" s="9"/>
      <c r="AB15" s="9"/>
    </row>
    <row r="16" spans="2:28" s="5" customFormat="1" ht="25.15" customHeight="1" x14ac:dyDescent="0.2">
      <c r="B16" s="61" t="s">
        <v>0</v>
      </c>
      <c r="C16" s="62"/>
      <c r="D16" s="62"/>
      <c r="E16" s="63"/>
      <c r="F16" s="61" t="s">
        <v>36</v>
      </c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3"/>
      <c r="T16" s="91" t="s">
        <v>13</v>
      </c>
      <c r="U16" s="91"/>
      <c r="V16" s="91"/>
      <c r="W16" s="91"/>
      <c r="X16" s="91"/>
      <c r="Y16" s="91"/>
      <c r="Z16" s="91"/>
      <c r="AA16" s="91"/>
      <c r="AB16" s="91"/>
    </row>
    <row r="17" spans="2:28" s="5" customFormat="1" ht="19.899999999999999" customHeight="1" x14ac:dyDescent="0.2">
      <c r="B17" s="58" t="s">
        <v>37</v>
      </c>
      <c r="C17" s="59"/>
      <c r="D17" s="59"/>
      <c r="E17" s="60"/>
      <c r="F17" s="64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6"/>
      <c r="T17" s="8">
        <v>1</v>
      </c>
      <c r="U17" s="47"/>
      <c r="V17" s="90"/>
      <c r="W17" s="90"/>
      <c r="X17" s="90"/>
      <c r="Y17" s="90"/>
      <c r="Z17" s="48"/>
      <c r="AA17" s="9"/>
      <c r="AB17" s="9"/>
    </row>
    <row r="18" spans="2:28" s="5" customFormat="1" ht="19.899999999999999" customHeight="1" x14ac:dyDescent="0.2">
      <c r="B18" s="49"/>
      <c r="C18" s="50"/>
      <c r="D18" s="50"/>
      <c r="E18" s="51"/>
      <c r="F18" s="67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9"/>
      <c r="T18" s="8">
        <v>2</v>
      </c>
      <c r="U18" s="47"/>
      <c r="V18" s="90"/>
      <c r="W18" s="90"/>
      <c r="X18" s="90"/>
      <c r="Y18" s="90"/>
      <c r="Z18" s="48"/>
      <c r="AA18" s="9"/>
      <c r="AB18" s="9"/>
    </row>
    <row r="19" spans="2:28" s="5" customFormat="1" ht="19.899999999999999" customHeight="1" x14ac:dyDescent="0.2">
      <c r="B19" s="52"/>
      <c r="C19" s="53"/>
      <c r="D19" s="53"/>
      <c r="E19" s="54"/>
      <c r="F19" s="67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9"/>
      <c r="T19" s="8">
        <v>3</v>
      </c>
      <c r="U19" s="47"/>
      <c r="V19" s="90"/>
      <c r="W19" s="90"/>
      <c r="X19" s="90"/>
      <c r="Y19" s="90"/>
      <c r="Z19" s="48"/>
      <c r="AA19" s="9"/>
      <c r="AB19" s="9"/>
    </row>
    <row r="20" spans="2:28" s="5" customFormat="1" ht="19.899999999999999" customHeight="1" x14ac:dyDescent="0.2">
      <c r="B20" s="52"/>
      <c r="C20" s="53"/>
      <c r="D20" s="53"/>
      <c r="E20" s="54"/>
      <c r="F20" s="67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9"/>
      <c r="T20" s="8">
        <v>4</v>
      </c>
      <c r="U20" s="47"/>
      <c r="V20" s="90"/>
      <c r="W20" s="90"/>
      <c r="X20" s="90"/>
      <c r="Y20" s="90"/>
      <c r="Z20" s="48"/>
      <c r="AA20" s="9"/>
      <c r="AB20" s="9"/>
    </row>
    <row r="21" spans="2:28" s="5" customFormat="1" ht="19.899999999999999" customHeight="1" x14ac:dyDescent="0.2">
      <c r="B21" s="55"/>
      <c r="C21" s="56"/>
      <c r="D21" s="56"/>
      <c r="E21" s="57"/>
      <c r="F21" s="67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9"/>
      <c r="T21" s="8">
        <v>5</v>
      </c>
      <c r="U21" s="47"/>
      <c r="V21" s="90"/>
      <c r="W21" s="90"/>
      <c r="X21" s="90"/>
      <c r="Y21" s="90"/>
      <c r="Z21" s="48"/>
      <c r="AA21" s="9"/>
      <c r="AB21" s="9"/>
    </row>
    <row r="22" spans="2:28" s="5" customFormat="1" ht="19.899999999999999" customHeight="1" x14ac:dyDescent="0.2">
      <c r="B22" s="58" t="s">
        <v>15</v>
      </c>
      <c r="C22" s="59"/>
      <c r="D22" s="59"/>
      <c r="E22" s="60"/>
      <c r="F22" s="67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9"/>
      <c r="T22" s="8">
        <v>6</v>
      </c>
      <c r="U22" s="47"/>
      <c r="V22" s="90"/>
      <c r="W22" s="90"/>
      <c r="X22" s="90"/>
      <c r="Y22" s="90"/>
      <c r="Z22" s="48"/>
      <c r="AA22" s="9"/>
      <c r="AB22" s="9"/>
    </row>
    <row r="23" spans="2:28" s="5" customFormat="1" ht="19.899999999999999" customHeight="1" x14ac:dyDescent="0.2">
      <c r="B23" s="49"/>
      <c r="C23" s="50"/>
      <c r="D23" s="50"/>
      <c r="E23" s="51"/>
      <c r="F23" s="67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9"/>
      <c r="T23" s="8">
        <v>7</v>
      </c>
      <c r="U23" s="47"/>
      <c r="V23" s="90"/>
      <c r="W23" s="90"/>
      <c r="X23" s="90"/>
      <c r="Y23" s="90"/>
      <c r="Z23" s="48"/>
      <c r="AA23" s="9"/>
      <c r="AB23" s="9"/>
    </row>
    <row r="24" spans="2:28" s="5" customFormat="1" ht="19.899999999999999" customHeight="1" x14ac:dyDescent="0.2">
      <c r="B24" s="52"/>
      <c r="C24" s="53"/>
      <c r="D24" s="53"/>
      <c r="E24" s="54"/>
      <c r="F24" s="67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9"/>
      <c r="T24" s="8">
        <v>8</v>
      </c>
      <c r="U24" s="47"/>
      <c r="V24" s="90"/>
      <c r="W24" s="90"/>
      <c r="X24" s="90"/>
      <c r="Y24" s="90"/>
      <c r="Z24" s="48"/>
      <c r="AA24" s="9"/>
      <c r="AB24" s="9"/>
    </row>
    <row r="25" spans="2:28" s="5" customFormat="1" ht="19.899999999999999" customHeight="1" x14ac:dyDescent="0.2">
      <c r="B25" s="52"/>
      <c r="C25" s="53"/>
      <c r="D25" s="53"/>
      <c r="E25" s="54"/>
      <c r="F25" s="67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9"/>
      <c r="T25" s="8">
        <v>9</v>
      </c>
      <c r="U25" s="47"/>
      <c r="V25" s="90"/>
      <c r="W25" s="90"/>
      <c r="X25" s="90"/>
      <c r="Y25" s="90"/>
      <c r="Z25" s="48"/>
      <c r="AA25" s="9"/>
      <c r="AB25" s="9"/>
    </row>
    <row r="26" spans="2:28" s="5" customFormat="1" ht="19.899999999999999" customHeight="1" x14ac:dyDescent="0.2">
      <c r="B26" s="55"/>
      <c r="C26" s="56"/>
      <c r="D26" s="56"/>
      <c r="E26" s="57"/>
      <c r="F26" s="70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2"/>
      <c r="T26" s="8">
        <v>10</v>
      </c>
      <c r="U26" s="47"/>
      <c r="V26" s="90"/>
      <c r="W26" s="90"/>
      <c r="X26" s="90"/>
      <c r="Y26" s="90"/>
      <c r="Z26" s="48"/>
      <c r="AA26" s="9"/>
      <c r="AB26" s="9"/>
    </row>
    <row r="27" spans="2:28" s="5" customFormat="1" ht="25.15" customHeight="1" x14ac:dyDescent="0.2">
      <c r="B27" s="61" t="s">
        <v>29</v>
      </c>
      <c r="C27" s="62"/>
      <c r="D27" s="62"/>
      <c r="E27" s="62"/>
      <c r="F27" s="62"/>
      <c r="G27" s="62"/>
      <c r="H27" s="63"/>
      <c r="I27" s="61" t="s">
        <v>14</v>
      </c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3"/>
    </row>
    <row r="28" spans="2:28" s="5" customFormat="1" ht="40.15" customHeight="1" x14ac:dyDescent="0.25">
      <c r="B28" s="6" t="s">
        <v>24</v>
      </c>
      <c r="C28" s="6" t="s">
        <v>25</v>
      </c>
      <c r="D28" s="18" t="s">
        <v>26</v>
      </c>
      <c r="E28" s="18" t="s">
        <v>57</v>
      </c>
      <c r="F28" s="18" t="s">
        <v>27</v>
      </c>
      <c r="G28" s="18" t="s">
        <v>28</v>
      </c>
      <c r="H28" s="18" t="s">
        <v>56</v>
      </c>
      <c r="I28" s="21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3"/>
    </row>
    <row r="29" spans="2:28" s="5" customFormat="1" ht="19.899999999999999" customHeight="1" x14ac:dyDescent="0.25">
      <c r="B29" s="6" t="s">
        <v>21</v>
      </c>
      <c r="C29" s="8">
        <v>24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24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6"/>
    </row>
    <row r="30" spans="2:28" s="5" customFormat="1" ht="19.899999999999999" customHeight="1" x14ac:dyDescent="0.25">
      <c r="B30" s="6" t="s">
        <v>22</v>
      </c>
      <c r="C30" s="8">
        <v>67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24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6"/>
    </row>
    <row r="31" spans="2:28" s="5" customFormat="1" ht="19.899999999999999" customHeight="1" x14ac:dyDescent="0.25">
      <c r="B31" s="6" t="s">
        <v>23</v>
      </c>
      <c r="C31" s="8">
        <v>112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24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6"/>
    </row>
    <row r="32" spans="2:28" s="5" customFormat="1" ht="19.899999999999999" customHeight="1" x14ac:dyDescent="0.25">
      <c r="B32" s="84" t="s">
        <v>30</v>
      </c>
      <c r="C32" s="84"/>
      <c r="D32" s="84"/>
      <c r="E32" s="84"/>
      <c r="F32" s="84"/>
      <c r="G32" s="84"/>
      <c r="H32" s="84"/>
      <c r="I32" s="24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6"/>
    </row>
    <row r="33" spans="2:28" s="5" customFormat="1" ht="19.899999999999999" customHeight="1" x14ac:dyDescent="0.25">
      <c r="B33" s="8" t="s">
        <v>24</v>
      </c>
      <c r="C33" s="46" t="s">
        <v>33</v>
      </c>
      <c r="D33" s="46"/>
      <c r="E33" s="46" t="s">
        <v>34</v>
      </c>
      <c r="F33" s="46"/>
      <c r="G33" s="9" t="s">
        <v>35</v>
      </c>
      <c r="H33" s="10"/>
      <c r="I33" s="24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6"/>
    </row>
    <row r="34" spans="2:28" s="5" customFormat="1" ht="19.899999999999999" customHeight="1" x14ac:dyDescent="0.25">
      <c r="B34" s="8" t="s">
        <v>31</v>
      </c>
      <c r="C34" s="47"/>
      <c r="D34" s="48"/>
      <c r="E34" s="47"/>
      <c r="F34" s="48"/>
      <c r="G34" s="9"/>
      <c r="H34" s="7"/>
      <c r="I34" s="24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6"/>
    </row>
    <row r="35" spans="2:28" s="5" customFormat="1" ht="19.899999999999999" customHeight="1" x14ac:dyDescent="0.25">
      <c r="B35" s="8" t="s">
        <v>32</v>
      </c>
      <c r="C35" s="47"/>
      <c r="D35" s="48"/>
      <c r="E35" s="47"/>
      <c r="F35" s="48"/>
      <c r="G35" s="9"/>
      <c r="H35" s="7"/>
      <c r="I35" s="24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6"/>
    </row>
    <row r="36" spans="2:28" s="5" customFormat="1" ht="19.899999999999999" customHeight="1" x14ac:dyDescent="0.25">
      <c r="B36" s="11"/>
      <c r="C36" s="12"/>
      <c r="D36" s="12"/>
      <c r="E36" s="12"/>
      <c r="F36" s="12"/>
      <c r="G36" s="12"/>
      <c r="H36" s="13"/>
      <c r="I36" s="27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9"/>
    </row>
    <row r="37" spans="2:28" s="5" customFormat="1" ht="6.6" customHeight="1" x14ac:dyDescent="0.2"/>
    <row r="38" spans="2:28" s="5" customFormat="1" ht="19.899999999999999" customHeight="1" x14ac:dyDescent="0.2"/>
    <row r="39" spans="2:28" s="5" customFormat="1" ht="19.899999999999999" customHeight="1" x14ac:dyDescent="0.2"/>
  </sheetData>
  <mergeCells count="66">
    <mergeCell ref="T16:AB16"/>
    <mergeCell ref="I27:AB27"/>
    <mergeCell ref="AB2:AB3"/>
    <mergeCell ref="T5:AB5"/>
    <mergeCell ref="AA2:AA3"/>
    <mergeCell ref="U6:Z6"/>
    <mergeCell ref="B2:L3"/>
    <mergeCell ref="U7:Z7"/>
    <mergeCell ref="U8:Z8"/>
    <mergeCell ref="U9:Z9"/>
    <mergeCell ref="U10:Z10"/>
    <mergeCell ref="U11:Z11"/>
    <mergeCell ref="U12:Z12"/>
    <mergeCell ref="U13:Z13"/>
    <mergeCell ref="D6:E6"/>
    <mergeCell ref="D7:E7"/>
    <mergeCell ref="D8:E8"/>
    <mergeCell ref="D15:E15"/>
    <mergeCell ref="U26:Z26"/>
    <mergeCell ref="U23:Z23"/>
    <mergeCell ref="U24:Z24"/>
    <mergeCell ref="U25:Z25"/>
    <mergeCell ref="U17:Z17"/>
    <mergeCell ref="U19:Z19"/>
    <mergeCell ref="U20:Z20"/>
    <mergeCell ref="U14:Z14"/>
    <mergeCell ref="U15:Z15"/>
    <mergeCell ref="U21:Z21"/>
    <mergeCell ref="U22:Z22"/>
    <mergeCell ref="U18:Z18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C35:D35"/>
    <mergeCell ref="E35:F35"/>
    <mergeCell ref="E34:F34"/>
    <mergeCell ref="B18:E21"/>
    <mergeCell ref="B22:E22"/>
    <mergeCell ref="B23:E26"/>
    <mergeCell ref="F17:S26"/>
    <mergeCell ref="B17:E17"/>
    <mergeCell ref="B32:H32"/>
    <mergeCell ref="B27:H27"/>
    <mergeCell ref="M2:S3"/>
    <mergeCell ref="T2:Z3"/>
    <mergeCell ref="C33:D33"/>
    <mergeCell ref="E33:F33"/>
    <mergeCell ref="C34:D34"/>
    <mergeCell ref="F16:S16"/>
    <mergeCell ref="B5:E5"/>
    <mergeCell ref="F5:S5"/>
    <mergeCell ref="F6:S15"/>
    <mergeCell ref="B16:E16"/>
    <mergeCell ref="D9:E9"/>
    <mergeCell ref="D10:E10"/>
    <mergeCell ref="D11:E11"/>
    <mergeCell ref="D12:E12"/>
    <mergeCell ref="D13:E13"/>
    <mergeCell ref="D14:E14"/>
  </mergeCells>
  <conditionalFormatting sqref="D13:E13">
    <cfRule type="cellIs" dxfId="1" priority="2" operator="lessThan">
      <formula>0.001</formula>
    </cfRule>
  </conditionalFormatting>
  <conditionalFormatting sqref="D14:E14">
    <cfRule type="cellIs" dxfId="0" priority="1" operator="lessThan">
      <formula>-1</formula>
    </cfRule>
  </conditionalFormatting>
  <pageMargins left="1" right="0.7" top="0.75" bottom="0.75" header="0.3" footer="0.3"/>
  <pageSetup paperSize="8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9"/>
  <sheetViews>
    <sheetView workbookViewId="0">
      <selection activeCell="C32" sqref="C32"/>
    </sheetView>
  </sheetViews>
  <sheetFormatPr defaultRowHeight="15" x14ac:dyDescent="0.25"/>
  <cols>
    <col min="2" max="2" width="22.5703125" bestFit="1" customWidth="1"/>
    <col min="3" max="3" width="10.85546875" style="15" customWidth="1"/>
    <col min="8" max="8" width="12.140625" bestFit="1" customWidth="1"/>
  </cols>
  <sheetData>
    <row r="1" spans="2:28" ht="14.45" x14ac:dyDescent="0.3">
      <c r="H1" s="39" t="s">
        <v>54</v>
      </c>
      <c r="I1" s="38"/>
      <c r="J1" s="38"/>
    </row>
    <row r="2" spans="2:28" ht="14.45" x14ac:dyDescent="0.3">
      <c r="B2" s="4" t="s">
        <v>1</v>
      </c>
      <c r="C2" s="2">
        <v>42736</v>
      </c>
      <c r="H2" s="4" t="s">
        <v>16</v>
      </c>
      <c r="I2" s="19">
        <v>42736</v>
      </c>
      <c r="J2" s="19">
        <v>42767</v>
      </c>
      <c r="K2" s="19">
        <v>42795</v>
      </c>
      <c r="L2" s="19">
        <v>42826</v>
      </c>
      <c r="M2" s="19">
        <v>42856</v>
      </c>
      <c r="N2" s="19">
        <v>42887</v>
      </c>
      <c r="O2" s="19">
        <v>42917</v>
      </c>
      <c r="P2" s="19">
        <v>42948</v>
      </c>
      <c r="Q2" s="19">
        <v>42979</v>
      </c>
      <c r="R2" s="19">
        <v>43009</v>
      </c>
      <c r="S2" s="19">
        <v>43040</v>
      </c>
      <c r="T2" s="19">
        <v>43070</v>
      </c>
      <c r="U2" s="19">
        <v>43101</v>
      </c>
      <c r="V2" s="19">
        <v>43132</v>
      </c>
      <c r="W2" s="19">
        <v>43160</v>
      </c>
      <c r="X2" s="19">
        <v>43191</v>
      </c>
      <c r="Y2" s="19">
        <v>43221</v>
      </c>
      <c r="Z2" s="19">
        <v>43252</v>
      </c>
      <c r="AA2" s="19">
        <v>43282</v>
      </c>
      <c r="AB2" s="19">
        <v>43313</v>
      </c>
    </row>
    <row r="3" spans="2:28" ht="14.45" x14ac:dyDescent="0.3">
      <c r="B3" s="4" t="s">
        <v>2</v>
      </c>
      <c r="C3" s="2">
        <f>C2+(365+2)-4</f>
        <v>43099</v>
      </c>
      <c r="H3" s="4" t="s">
        <v>17</v>
      </c>
      <c r="I3" s="20">
        <v>0</v>
      </c>
      <c r="J3" s="37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</row>
    <row r="4" spans="2:28" ht="14.45" x14ac:dyDescent="0.3">
      <c r="B4" s="4" t="s">
        <v>5</v>
      </c>
      <c r="C4" s="1">
        <v>345</v>
      </c>
      <c r="H4" s="4" t="s">
        <v>18</v>
      </c>
      <c r="I4" s="37">
        <v>0</v>
      </c>
      <c r="J4" s="37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</row>
    <row r="5" spans="2:28" ht="14.45" x14ac:dyDescent="0.3">
      <c r="B5" s="4" t="s">
        <v>4</v>
      </c>
      <c r="C5" s="1">
        <v>150</v>
      </c>
      <c r="H5" s="4" t="s">
        <v>19</v>
      </c>
      <c r="I5" s="20">
        <f>I3</f>
        <v>0</v>
      </c>
      <c r="J5" s="20">
        <f>I5+J3</f>
        <v>0</v>
      </c>
      <c r="K5" s="20">
        <f t="shared" ref="K5:AB6" si="0">J5+K3</f>
        <v>0</v>
      </c>
      <c r="L5" s="20">
        <f t="shared" si="0"/>
        <v>0</v>
      </c>
      <c r="M5" s="20">
        <f t="shared" si="0"/>
        <v>0</v>
      </c>
      <c r="N5" s="20">
        <f t="shared" si="0"/>
        <v>0</v>
      </c>
      <c r="O5" s="20">
        <f t="shared" si="0"/>
        <v>0</v>
      </c>
      <c r="P5" s="20">
        <f t="shared" si="0"/>
        <v>0</v>
      </c>
      <c r="Q5" s="20">
        <f t="shared" si="0"/>
        <v>0</v>
      </c>
      <c r="R5" s="20">
        <f t="shared" si="0"/>
        <v>0</v>
      </c>
      <c r="S5" s="20">
        <f t="shared" si="0"/>
        <v>0</v>
      </c>
      <c r="T5" s="20">
        <f t="shared" si="0"/>
        <v>0</v>
      </c>
      <c r="U5" s="20">
        <f t="shared" si="0"/>
        <v>0</v>
      </c>
      <c r="V5" s="20">
        <f t="shared" si="0"/>
        <v>0</v>
      </c>
      <c r="W5" s="20">
        <f t="shared" si="0"/>
        <v>0</v>
      </c>
      <c r="X5" s="20">
        <f t="shared" si="0"/>
        <v>0</v>
      </c>
      <c r="Y5" s="20">
        <f t="shared" si="0"/>
        <v>0</v>
      </c>
      <c r="Z5" s="20">
        <f t="shared" si="0"/>
        <v>0</v>
      </c>
      <c r="AA5" s="20">
        <f t="shared" si="0"/>
        <v>0</v>
      </c>
      <c r="AB5" s="20">
        <f t="shared" si="0"/>
        <v>0</v>
      </c>
    </row>
    <row r="6" spans="2:28" ht="14.45" x14ac:dyDescent="0.3">
      <c r="B6" s="4" t="s">
        <v>6</v>
      </c>
      <c r="C6" s="1">
        <v>195</v>
      </c>
      <c r="H6" s="4" t="s">
        <v>20</v>
      </c>
      <c r="I6" s="20">
        <f>I4</f>
        <v>0</v>
      </c>
      <c r="J6" s="20">
        <f>I6+J4</f>
        <v>0</v>
      </c>
      <c r="K6" s="20">
        <f t="shared" si="0"/>
        <v>0</v>
      </c>
      <c r="L6" s="20">
        <f t="shared" si="0"/>
        <v>0</v>
      </c>
      <c r="M6" s="20">
        <f t="shared" si="0"/>
        <v>0</v>
      </c>
      <c r="N6" s="20">
        <f t="shared" si="0"/>
        <v>0</v>
      </c>
      <c r="O6" s="20">
        <f t="shared" si="0"/>
        <v>0</v>
      </c>
      <c r="P6" s="20">
        <f t="shared" si="0"/>
        <v>0</v>
      </c>
      <c r="Q6" s="20">
        <f t="shared" si="0"/>
        <v>0</v>
      </c>
      <c r="R6" s="20">
        <f t="shared" si="0"/>
        <v>0</v>
      </c>
      <c r="S6" s="20">
        <f t="shared" si="0"/>
        <v>0</v>
      </c>
      <c r="T6" s="20">
        <f t="shared" si="0"/>
        <v>0</v>
      </c>
      <c r="U6" s="20">
        <f t="shared" si="0"/>
        <v>0</v>
      </c>
      <c r="V6" s="20">
        <f t="shared" si="0"/>
        <v>0</v>
      </c>
      <c r="W6" s="20">
        <f t="shared" si="0"/>
        <v>0</v>
      </c>
      <c r="X6" s="20">
        <f t="shared" si="0"/>
        <v>0</v>
      </c>
      <c r="Y6" s="20">
        <f t="shared" si="0"/>
        <v>0</v>
      </c>
      <c r="Z6" s="20">
        <f t="shared" si="0"/>
        <v>0</v>
      </c>
      <c r="AA6" s="20">
        <f t="shared" si="0"/>
        <v>0</v>
      </c>
      <c r="AB6" s="20">
        <f t="shared" si="0"/>
        <v>0</v>
      </c>
    </row>
    <row r="7" spans="2:28" ht="14.45" x14ac:dyDescent="0.3">
      <c r="B7" s="4" t="s">
        <v>7</v>
      </c>
      <c r="C7" s="14">
        <f>C19</f>
        <v>0.43</v>
      </c>
    </row>
    <row r="8" spans="2:28" ht="14.45" x14ac:dyDescent="0.3">
      <c r="B8" s="4" t="s">
        <v>8</v>
      </c>
      <c r="C8" s="14">
        <f>C20</f>
        <v>0.48</v>
      </c>
    </row>
    <row r="9" spans="2:28" ht="14.45" x14ac:dyDescent="0.3">
      <c r="B9" s="4" t="s">
        <v>9</v>
      </c>
      <c r="C9" s="14">
        <f>C7-C8</f>
        <v>-4.9999999999999989E-2</v>
      </c>
    </row>
    <row r="10" spans="2:28" ht="14.45" x14ac:dyDescent="0.3">
      <c r="B10" s="4" t="s">
        <v>3</v>
      </c>
      <c r="C10" s="1">
        <f>-14</f>
        <v>-14</v>
      </c>
      <c r="H10" s="39" t="s">
        <v>55</v>
      </c>
      <c r="I10" s="38"/>
      <c r="J10" s="38"/>
    </row>
    <row r="11" spans="2:28" ht="14.45" x14ac:dyDescent="0.3">
      <c r="B11" s="4" t="s">
        <v>58</v>
      </c>
      <c r="C11" s="14"/>
      <c r="H11" s="4" t="s">
        <v>16</v>
      </c>
      <c r="I11" s="19">
        <v>42736</v>
      </c>
      <c r="J11" s="19">
        <v>42767</v>
      </c>
      <c r="K11" s="19">
        <v>42795</v>
      </c>
      <c r="L11" s="19">
        <v>42826</v>
      </c>
      <c r="M11" s="19">
        <v>42856</v>
      </c>
      <c r="N11" s="19">
        <v>42887</v>
      </c>
      <c r="O11" s="19">
        <v>42917</v>
      </c>
      <c r="P11" s="19">
        <v>42948</v>
      </c>
      <c r="Q11" s="19">
        <v>42979</v>
      </c>
      <c r="R11" s="19">
        <v>43009</v>
      </c>
      <c r="S11" s="19">
        <v>43040</v>
      </c>
      <c r="T11" s="19">
        <v>43070</v>
      </c>
      <c r="U11" s="19">
        <v>43101</v>
      </c>
      <c r="V11" s="19">
        <v>43132</v>
      </c>
      <c r="W11" s="19">
        <v>43160</v>
      </c>
      <c r="X11" s="19">
        <v>43191</v>
      </c>
      <c r="Y11" s="19">
        <v>43221</v>
      </c>
      <c r="Z11" s="19">
        <v>43252</v>
      </c>
      <c r="AA11" s="19">
        <v>43282</v>
      </c>
      <c r="AB11" s="19">
        <v>43313</v>
      </c>
    </row>
    <row r="12" spans="2:28" ht="14.45" x14ac:dyDescent="0.3">
      <c r="H12" s="4" t="s">
        <v>17</v>
      </c>
      <c r="I12" s="37">
        <f>'Daily Manpower'!P33</f>
        <v>0</v>
      </c>
      <c r="J12" s="37">
        <f>'Daily Manpower'!P61</f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</row>
    <row r="13" spans="2:28" ht="14.45" x14ac:dyDescent="0.3">
      <c r="H13" s="4" t="s">
        <v>18</v>
      </c>
      <c r="I13" s="37">
        <f>'Daily Manpower'!O33</f>
        <v>0</v>
      </c>
      <c r="J13" s="37">
        <f>'Daily Manpower'!O61</f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</row>
    <row r="14" spans="2:28" ht="14.45" x14ac:dyDescent="0.3">
      <c r="H14" s="4" t="s">
        <v>19</v>
      </c>
      <c r="I14" s="20">
        <f>I12</f>
        <v>0</v>
      </c>
      <c r="J14" s="20">
        <f>I14+J12</f>
        <v>0</v>
      </c>
      <c r="K14" s="20">
        <f t="shared" ref="K14:K15" si="1">J14+K12</f>
        <v>0</v>
      </c>
      <c r="L14" s="20">
        <f t="shared" ref="L14:L15" si="2">K14+L12</f>
        <v>0</v>
      </c>
      <c r="M14" s="20">
        <f t="shared" ref="M14:M15" si="3">L14+M12</f>
        <v>0</v>
      </c>
      <c r="N14" s="20">
        <f t="shared" ref="N14:N15" si="4">M14+N12</f>
        <v>0</v>
      </c>
      <c r="O14" s="20">
        <f t="shared" ref="O14:O15" si="5">N14+O12</f>
        <v>0</v>
      </c>
      <c r="P14" s="20">
        <f t="shared" ref="P14:P15" si="6">O14+P12</f>
        <v>0</v>
      </c>
      <c r="Q14" s="20">
        <f t="shared" ref="Q14:Q15" si="7">P14+Q12</f>
        <v>0</v>
      </c>
      <c r="R14" s="20">
        <f t="shared" ref="R14:R15" si="8">Q14+R12</f>
        <v>0</v>
      </c>
      <c r="S14" s="20">
        <f t="shared" ref="S14:S15" si="9">R14+S12</f>
        <v>0</v>
      </c>
      <c r="T14" s="20">
        <f t="shared" ref="T14:T15" si="10">S14+T12</f>
        <v>0</v>
      </c>
      <c r="U14" s="20">
        <f t="shared" ref="U14:U15" si="11">T14+U12</f>
        <v>0</v>
      </c>
      <c r="V14" s="20">
        <f t="shared" ref="V14:V15" si="12">U14+V12</f>
        <v>0</v>
      </c>
      <c r="W14" s="20">
        <f t="shared" ref="W14:W15" si="13">V14+W12</f>
        <v>0</v>
      </c>
      <c r="X14" s="20">
        <f t="shared" ref="X14:X15" si="14">W14+X12</f>
        <v>0</v>
      </c>
      <c r="Y14" s="20">
        <f t="shared" ref="Y14:Y15" si="15">X14+Y12</f>
        <v>0</v>
      </c>
      <c r="Z14" s="20">
        <f t="shared" ref="Z14:Z15" si="16">Y14+Z12</f>
        <v>0</v>
      </c>
      <c r="AA14" s="20">
        <f t="shared" ref="AA14:AA15" si="17">Z14+AA12</f>
        <v>0</v>
      </c>
      <c r="AB14" s="20">
        <f t="shared" ref="AB14:AB15" si="18">AA14+AB12</f>
        <v>0</v>
      </c>
    </row>
    <row r="15" spans="2:28" ht="14.45" x14ac:dyDescent="0.3">
      <c r="H15" s="4" t="s">
        <v>20</v>
      </c>
      <c r="I15" s="20">
        <f>I13</f>
        <v>0</v>
      </c>
      <c r="J15" s="20">
        <f>I15+J13</f>
        <v>0</v>
      </c>
      <c r="K15" s="20">
        <f t="shared" si="1"/>
        <v>0</v>
      </c>
      <c r="L15" s="20">
        <f t="shared" si="2"/>
        <v>0</v>
      </c>
      <c r="M15" s="20">
        <f t="shared" si="3"/>
        <v>0</v>
      </c>
      <c r="N15" s="20">
        <f t="shared" si="4"/>
        <v>0</v>
      </c>
      <c r="O15" s="20">
        <f t="shared" si="5"/>
        <v>0</v>
      </c>
      <c r="P15" s="20">
        <f t="shared" si="6"/>
        <v>0</v>
      </c>
      <c r="Q15" s="20">
        <f t="shared" si="7"/>
        <v>0</v>
      </c>
      <c r="R15" s="20">
        <f t="shared" si="8"/>
        <v>0</v>
      </c>
      <c r="S15" s="20">
        <f t="shared" si="9"/>
        <v>0</v>
      </c>
      <c r="T15" s="20">
        <f t="shared" si="10"/>
        <v>0</v>
      </c>
      <c r="U15" s="20">
        <f t="shared" si="11"/>
        <v>0</v>
      </c>
      <c r="V15" s="20">
        <f t="shared" si="12"/>
        <v>0</v>
      </c>
      <c r="W15" s="20">
        <f t="shared" si="13"/>
        <v>0</v>
      </c>
      <c r="X15" s="20">
        <f t="shared" si="14"/>
        <v>0</v>
      </c>
      <c r="Y15" s="20">
        <f t="shared" si="15"/>
        <v>0</v>
      </c>
      <c r="Z15" s="20">
        <f t="shared" si="16"/>
        <v>0</v>
      </c>
      <c r="AA15" s="20">
        <f t="shared" si="17"/>
        <v>0</v>
      </c>
      <c r="AB15" s="20">
        <f t="shared" si="18"/>
        <v>0</v>
      </c>
    </row>
    <row r="16" spans="2:28" ht="14.45" x14ac:dyDescent="0.3">
      <c r="B16" s="16" t="s">
        <v>38</v>
      </c>
      <c r="C16" s="17">
        <f>C7/C6</f>
        <v>2.205128205128205E-3</v>
      </c>
    </row>
    <row r="17" spans="2:3" ht="14.45" x14ac:dyDescent="0.3">
      <c r="B17" s="16" t="s">
        <v>39</v>
      </c>
      <c r="C17" s="17">
        <f>C8/C6</f>
        <v>2.4615384615384616E-3</v>
      </c>
    </row>
    <row r="19" spans="2:3" x14ac:dyDescent="0.25">
      <c r="B19" s="16" t="s">
        <v>7</v>
      </c>
      <c r="C19" s="17">
        <v>0.43</v>
      </c>
    </row>
    <row r="20" spans="2:3" x14ac:dyDescent="0.25">
      <c r="B20" s="16" t="s">
        <v>8</v>
      </c>
      <c r="C20" s="17">
        <v>0.48</v>
      </c>
    </row>
    <row r="21" spans="2:3" x14ac:dyDescent="0.25">
      <c r="B21" s="16"/>
      <c r="C21" s="17"/>
    </row>
    <row r="23" spans="2:3" x14ac:dyDescent="0.25">
      <c r="B23" s="4"/>
      <c r="C23" s="1">
        <v>345</v>
      </c>
    </row>
    <row r="24" spans="2:3" x14ac:dyDescent="0.25">
      <c r="B24" s="4"/>
      <c r="C24" s="1">
        <v>150</v>
      </c>
    </row>
    <row r="25" spans="2:3" x14ac:dyDescent="0.25">
      <c r="B25" s="4"/>
      <c r="C25" s="1">
        <f>C23-C24</f>
        <v>195</v>
      </c>
    </row>
    <row r="26" spans="2:3" x14ac:dyDescent="0.25">
      <c r="B26" s="4" t="s">
        <v>7</v>
      </c>
      <c r="C26" s="14">
        <f>C36</f>
        <v>0</v>
      </c>
    </row>
    <row r="27" spans="2:3" x14ac:dyDescent="0.25">
      <c r="B27" s="4" t="s">
        <v>8</v>
      </c>
      <c r="C27" s="14">
        <f>C37</f>
        <v>0</v>
      </c>
    </row>
    <row r="28" spans="2:3" x14ac:dyDescent="0.25">
      <c r="B28" s="4" t="s">
        <v>9</v>
      </c>
      <c r="C28" s="14">
        <f>C26-C27</f>
        <v>0</v>
      </c>
    </row>
    <row r="29" spans="2:3" x14ac:dyDescent="0.25">
      <c r="B29" s="4" t="s">
        <v>3</v>
      </c>
      <c r="C29" s="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40"/>
  <sheetViews>
    <sheetView workbookViewId="0">
      <pane ySplit="2" topLeftCell="A57" activePane="bottomLeft" state="frozen"/>
      <selection pane="bottomLeft" activeCell="O92" sqref="O92"/>
    </sheetView>
  </sheetViews>
  <sheetFormatPr defaultRowHeight="15" x14ac:dyDescent="0.25"/>
  <cols>
    <col min="2" max="2" width="8.85546875" style="15"/>
    <col min="3" max="13" width="8.7109375" style="15" customWidth="1"/>
    <col min="14" max="14" width="2.5703125" style="15" customWidth="1"/>
    <col min="15" max="17" width="8.85546875" style="15"/>
  </cols>
  <sheetData>
    <row r="2" spans="2:17" s="31" customFormat="1" ht="25.15" customHeight="1" x14ac:dyDescent="0.3">
      <c r="B2" s="32" t="s">
        <v>42</v>
      </c>
      <c r="C2" s="32" t="s">
        <v>40</v>
      </c>
      <c r="D2" s="32" t="s">
        <v>43</v>
      </c>
      <c r="E2" s="32" t="s">
        <v>44</v>
      </c>
      <c r="F2" s="32" t="s">
        <v>49</v>
      </c>
      <c r="G2" s="32" t="s">
        <v>41</v>
      </c>
      <c r="H2" s="32" t="s">
        <v>45</v>
      </c>
      <c r="I2" s="32" t="s">
        <v>46</v>
      </c>
      <c r="J2" s="32" t="s">
        <v>50</v>
      </c>
      <c r="K2" s="32" t="s">
        <v>51</v>
      </c>
      <c r="L2" s="32" t="s">
        <v>47</v>
      </c>
      <c r="M2" s="33" t="s">
        <v>48</v>
      </c>
      <c r="N2" s="30"/>
      <c r="O2" s="32" t="s">
        <v>52</v>
      </c>
      <c r="P2" s="32" t="s">
        <v>53</v>
      </c>
      <c r="Q2" s="30"/>
    </row>
    <row r="3" spans="2:17" ht="14.45" x14ac:dyDescent="0.3">
      <c r="B3" s="34">
        <v>42736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2:17" ht="14.45" x14ac:dyDescent="0.3">
      <c r="B4" s="34">
        <v>42737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2:17" ht="14.45" x14ac:dyDescent="0.3">
      <c r="B5" s="34">
        <v>42738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2:17" ht="14.45" x14ac:dyDescent="0.3">
      <c r="B6" s="34">
        <v>42739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2:17" ht="14.45" x14ac:dyDescent="0.3">
      <c r="B7" s="34">
        <v>42740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2:17" ht="14.45" x14ac:dyDescent="0.3">
      <c r="B8" s="34">
        <v>42741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2:17" ht="14.45" x14ac:dyDescent="0.3">
      <c r="B9" s="34">
        <v>42742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2:17" ht="14.45" x14ac:dyDescent="0.3">
      <c r="B10" s="34">
        <v>42743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2:17" ht="14.45" x14ac:dyDescent="0.3">
      <c r="B11" s="34">
        <v>42744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2:17" ht="14.45" x14ac:dyDescent="0.3">
      <c r="B12" s="34">
        <v>42745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2:17" ht="14.45" x14ac:dyDescent="0.3">
      <c r="B13" s="34">
        <v>42746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2:17" ht="14.45" x14ac:dyDescent="0.3">
      <c r="B14" s="34">
        <v>42747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2:17" ht="14.45" x14ac:dyDescent="0.3">
      <c r="B15" s="34">
        <v>42748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2:17" ht="14.45" x14ac:dyDescent="0.3">
      <c r="B16" s="34">
        <v>42749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2:13" ht="14.45" x14ac:dyDescent="0.3">
      <c r="B17" s="34">
        <v>42750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pans="2:13" x14ac:dyDescent="0.25">
      <c r="B18" s="34">
        <v>42751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2:13" x14ac:dyDescent="0.25">
      <c r="B19" s="34">
        <v>42752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2:13" x14ac:dyDescent="0.25">
      <c r="B20" s="34">
        <v>42753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2:13" x14ac:dyDescent="0.25">
      <c r="B21" s="34">
        <v>42754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 spans="2:13" x14ac:dyDescent="0.25">
      <c r="B22" s="34">
        <v>42755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 spans="2:13" x14ac:dyDescent="0.25">
      <c r="B23" s="34">
        <v>42756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 spans="2:13" x14ac:dyDescent="0.25">
      <c r="B24" s="34">
        <v>42757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 spans="2:13" x14ac:dyDescent="0.25">
      <c r="B25" s="34">
        <v>42758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 spans="2:13" x14ac:dyDescent="0.25">
      <c r="B26" s="34">
        <v>42759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2:13" x14ac:dyDescent="0.25">
      <c r="B27" s="34">
        <v>42760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2:13" x14ac:dyDescent="0.25">
      <c r="B28" s="34">
        <v>42761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2:13" x14ac:dyDescent="0.25">
      <c r="B29" s="34">
        <v>42762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2:13" x14ac:dyDescent="0.25">
      <c r="B30" s="34">
        <v>42763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2:13" x14ac:dyDescent="0.25">
      <c r="B31" s="34">
        <v>42764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2:13" x14ac:dyDescent="0.25">
      <c r="B32" s="34">
        <v>42765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2:16" x14ac:dyDescent="0.25">
      <c r="B33" s="34">
        <v>42766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O33" s="36">
        <f>IFERROR(SUM(C3:M33),0)</f>
        <v>0</v>
      </c>
      <c r="P33" s="36">
        <v>0</v>
      </c>
    </row>
    <row r="34" spans="2:16" x14ac:dyDescent="0.25">
      <c r="B34" s="34">
        <v>42767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2:16" x14ac:dyDescent="0.25">
      <c r="B35" s="34">
        <v>42768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2:16" x14ac:dyDescent="0.25">
      <c r="B36" s="34">
        <v>42769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2:16" x14ac:dyDescent="0.25">
      <c r="B37" s="34">
        <v>42770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2:16" x14ac:dyDescent="0.25">
      <c r="B38" s="34">
        <v>42771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2:16" x14ac:dyDescent="0.25">
      <c r="B39" s="34">
        <v>42772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2:16" x14ac:dyDescent="0.25">
      <c r="B40" s="34">
        <v>42773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2:16" x14ac:dyDescent="0.25">
      <c r="B41" s="34">
        <v>42774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2:16" x14ac:dyDescent="0.25">
      <c r="B42" s="34">
        <v>42775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2:16" x14ac:dyDescent="0.25">
      <c r="B43" s="34">
        <v>42776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2:16" x14ac:dyDescent="0.25">
      <c r="B44" s="34">
        <v>42777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2:16" x14ac:dyDescent="0.25">
      <c r="B45" s="34">
        <v>42778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2:16" x14ac:dyDescent="0.25">
      <c r="B46" s="34">
        <v>42779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2:16" x14ac:dyDescent="0.25">
      <c r="B47" s="34">
        <v>42780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2:16" x14ac:dyDescent="0.25">
      <c r="B48" s="34">
        <v>42781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2:16" x14ac:dyDescent="0.25">
      <c r="B49" s="34">
        <v>42782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2:16" x14ac:dyDescent="0.25">
      <c r="B50" s="34">
        <v>42783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2:16" x14ac:dyDescent="0.25">
      <c r="B51" s="34">
        <v>42784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2:16" x14ac:dyDescent="0.25">
      <c r="B52" s="34">
        <v>42785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2:16" x14ac:dyDescent="0.25">
      <c r="B53" s="34">
        <v>42786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2:16" x14ac:dyDescent="0.25">
      <c r="B54" s="34">
        <v>42787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2:16" x14ac:dyDescent="0.25">
      <c r="B55" s="34">
        <v>42788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</row>
    <row r="56" spans="2:16" x14ac:dyDescent="0.25">
      <c r="B56" s="34">
        <v>42789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2:16" x14ac:dyDescent="0.25">
      <c r="B57" s="34">
        <v>42790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</row>
    <row r="58" spans="2:16" x14ac:dyDescent="0.25">
      <c r="B58" s="34">
        <v>42791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2:16" x14ac:dyDescent="0.25">
      <c r="B59" s="34">
        <v>42792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</row>
    <row r="60" spans="2:16" x14ac:dyDescent="0.25">
      <c r="B60" s="34">
        <v>42793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spans="2:16" x14ac:dyDescent="0.25">
      <c r="B61" s="34">
        <v>42794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O61" s="36">
        <f>IFERROR(AVERAGE(C34:M61),0)</f>
        <v>0</v>
      </c>
      <c r="P61" s="36">
        <v>0</v>
      </c>
    </row>
    <row r="62" spans="2:16" x14ac:dyDescent="0.25">
      <c r="B62" s="34">
        <v>42795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2:16" x14ac:dyDescent="0.25">
      <c r="B63" s="34">
        <v>42796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2:16" x14ac:dyDescent="0.25">
      <c r="B64" s="34">
        <v>42797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2:13" x14ac:dyDescent="0.25">
      <c r="B65" s="34">
        <v>42798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spans="2:13" x14ac:dyDescent="0.25">
      <c r="B66" s="34">
        <v>42799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spans="2:13" x14ac:dyDescent="0.25">
      <c r="B67" s="34">
        <v>42800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spans="2:13" x14ac:dyDescent="0.25">
      <c r="B68" s="34">
        <v>42801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</row>
    <row r="69" spans="2:13" x14ac:dyDescent="0.25">
      <c r="B69" s="34">
        <v>42802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</row>
    <row r="70" spans="2:13" x14ac:dyDescent="0.25">
      <c r="B70" s="34">
        <v>42803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spans="2:13" x14ac:dyDescent="0.25">
      <c r="B71" s="34">
        <v>42804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</row>
    <row r="72" spans="2:13" x14ac:dyDescent="0.25">
      <c r="B72" s="34">
        <v>42805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2:13" x14ac:dyDescent="0.25">
      <c r="B73" s="34">
        <v>42806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</row>
    <row r="74" spans="2:13" x14ac:dyDescent="0.25">
      <c r="B74" s="34">
        <v>42807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5" spans="2:13" x14ac:dyDescent="0.25">
      <c r="B75" s="34">
        <v>42808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</row>
    <row r="76" spans="2:13" x14ac:dyDescent="0.25">
      <c r="B76" s="34">
        <v>42809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</row>
    <row r="77" spans="2:13" x14ac:dyDescent="0.25">
      <c r="B77" s="34">
        <v>42810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</row>
    <row r="78" spans="2:13" x14ac:dyDescent="0.25">
      <c r="B78" s="34">
        <v>42811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</row>
    <row r="79" spans="2:13" x14ac:dyDescent="0.25">
      <c r="B79" s="34">
        <v>42812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</row>
    <row r="80" spans="2:13" x14ac:dyDescent="0.25">
      <c r="B80" s="34">
        <v>42813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</row>
    <row r="81" spans="2:16" x14ac:dyDescent="0.25">
      <c r="B81" s="34">
        <v>42814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</row>
    <row r="82" spans="2:16" x14ac:dyDescent="0.25">
      <c r="B82" s="34">
        <v>42815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</row>
    <row r="83" spans="2:16" x14ac:dyDescent="0.25">
      <c r="B83" s="34">
        <v>42816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</row>
    <row r="84" spans="2:16" x14ac:dyDescent="0.25">
      <c r="B84" s="34">
        <v>42817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</row>
    <row r="85" spans="2:16" x14ac:dyDescent="0.25">
      <c r="B85" s="34">
        <v>42818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</row>
    <row r="86" spans="2:16" x14ac:dyDescent="0.25">
      <c r="B86" s="34">
        <v>42819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spans="2:16" x14ac:dyDescent="0.25">
      <c r="B87" s="34">
        <v>42820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</row>
    <row r="88" spans="2:16" x14ac:dyDescent="0.25">
      <c r="B88" s="34">
        <v>42821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</row>
    <row r="89" spans="2:16" x14ac:dyDescent="0.25">
      <c r="B89" s="34">
        <v>42822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</row>
    <row r="90" spans="2:16" x14ac:dyDescent="0.25">
      <c r="B90" s="34">
        <v>42823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</row>
    <row r="91" spans="2:16" x14ac:dyDescent="0.25">
      <c r="B91" s="34">
        <v>42824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</row>
    <row r="92" spans="2:16" x14ac:dyDescent="0.25">
      <c r="B92" s="34">
        <v>42825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O92" s="36">
        <f>IFERROR(AVERAGE(C62:M92),0)</f>
        <v>0</v>
      </c>
      <c r="P92" s="36"/>
    </row>
    <row r="93" spans="2:16" x14ac:dyDescent="0.25">
      <c r="B93" s="34">
        <v>42826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</row>
    <row r="94" spans="2:16" x14ac:dyDescent="0.25">
      <c r="B94" s="34">
        <v>42827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</row>
    <row r="95" spans="2:16" x14ac:dyDescent="0.25">
      <c r="B95" s="34">
        <v>42828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</row>
    <row r="96" spans="2:16" x14ac:dyDescent="0.25">
      <c r="B96" s="34">
        <v>42829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</row>
    <row r="97" spans="2:13" x14ac:dyDescent="0.25">
      <c r="B97" s="34">
        <v>42830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</row>
    <row r="98" spans="2:13" x14ac:dyDescent="0.25">
      <c r="B98" s="34">
        <v>42831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</row>
    <row r="99" spans="2:13" x14ac:dyDescent="0.25">
      <c r="B99" s="34">
        <v>42832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</row>
    <row r="100" spans="2:13" x14ac:dyDescent="0.25">
      <c r="B100" s="34">
        <v>42833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spans="2:13" x14ac:dyDescent="0.25">
      <c r="B101" s="34">
        <v>42834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</row>
    <row r="102" spans="2:13" x14ac:dyDescent="0.25">
      <c r="B102" s="34">
        <v>42835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</row>
    <row r="103" spans="2:13" x14ac:dyDescent="0.25">
      <c r="B103" s="34">
        <v>42836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</row>
    <row r="104" spans="2:13" x14ac:dyDescent="0.25">
      <c r="B104" s="34">
        <v>42837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</row>
    <row r="105" spans="2:13" x14ac:dyDescent="0.25">
      <c r="B105" s="34">
        <v>42838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</row>
    <row r="106" spans="2:13" x14ac:dyDescent="0.25">
      <c r="B106" s="34">
        <v>42839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</row>
    <row r="107" spans="2:13" x14ac:dyDescent="0.25">
      <c r="B107" s="34">
        <v>42840</v>
      </c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</row>
    <row r="108" spans="2:13" x14ac:dyDescent="0.25">
      <c r="B108" s="34">
        <v>42841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</row>
    <row r="109" spans="2:13" x14ac:dyDescent="0.25">
      <c r="B109" s="34">
        <v>42842</v>
      </c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</row>
    <row r="110" spans="2:13" x14ac:dyDescent="0.25">
      <c r="B110" s="34">
        <v>42843</v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</row>
    <row r="111" spans="2:13" x14ac:dyDescent="0.25">
      <c r="B111" s="34">
        <v>42844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</row>
    <row r="112" spans="2:13" x14ac:dyDescent="0.25">
      <c r="B112" s="34">
        <v>42845</v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</row>
    <row r="113" spans="2:16" x14ac:dyDescent="0.25">
      <c r="B113" s="34">
        <v>42846</v>
      </c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2:16" x14ac:dyDescent="0.25">
      <c r="B114" s="34">
        <v>42847</v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2:16" x14ac:dyDescent="0.25">
      <c r="B115" s="34">
        <v>42848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2:16" x14ac:dyDescent="0.25">
      <c r="B116" s="34">
        <v>42849</v>
      </c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2:16" x14ac:dyDescent="0.25">
      <c r="B117" s="34">
        <v>42850</v>
      </c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2:16" x14ac:dyDescent="0.25">
      <c r="B118" s="34">
        <v>42851</v>
      </c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2:16" x14ac:dyDescent="0.25">
      <c r="B119" s="34">
        <v>42852</v>
      </c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2:16" x14ac:dyDescent="0.25">
      <c r="B120" s="34">
        <v>42853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2:16" x14ac:dyDescent="0.25">
      <c r="B121" s="34">
        <v>42854</v>
      </c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2:16" x14ac:dyDescent="0.25">
      <c r="B122" s="34">
        <v>42855</v>
      </c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O122" s="36">
        <f>IFERROR(AVERAGE(C93:M122),0)</f>
        <v>0</v>
      </c>
      <c r="P122" s="36"/>
    </row>
    <row r="123" spans="2:16" x14ac:dyDescent="0.25">
      <c r="B123" s="34">
        <v>42856</v>
      </c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2:16" x14ac:dyDescent="0.25">
      <c r="B124" s="34">
        <v>42857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2:16" x14ac:dyDescent="0.25">
      <c r="B125" s="34">
        <v>42858</v>
      </c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2:16" x14ac:dyDescent="0.25">
      <c r="B126" s="34">
        <v>42859</v>
      </c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2:16" x14ac:dyDescent="0.25">
      <c r="B127" s="34">
        <v>42860</v>
      </c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2:16" x14ac:dyDescent="0.25">
      <c r="B128" s="34">
        <v>42861</v>
      </c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2:13" x14ac:dyDescent="0.25">
      <c r="B129" s="34">
        <v>42862</v>
      </c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2:13" x14ac:dyDescent="0.25">
      <c r="B130" s="34">
        <v>42863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2:13" x14ac:dyDescent="0.25">
      <c r="B131" s="34">
        <v>42864</v>
      </c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2:13" x14ac:dyDescent="0.25">
      <c r="B132" s="34">
        <v>42865</v>
      </c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2:13" x14ac:dyDescent="0.25">
      <c r="B133" s="34">
        <v>42866</v>
      </c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2:13" x14ac:dyDescent="0.25">
      <c r="B134" s="34">
        <v>42867</v>
      </c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2:13" x14ac:dyDescent="0.25">
      <c r="B135" s="34">
        <v>42868</v>
      </c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2:13" x14ac:dyDescent="0.25">
      <c r="B136" s="34">
        <v>42869</v>
      </c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2:13" x14ac:dyDescent="0.25">
      <c r="B137" s="34">
        <v>42870</v>
      </c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2:13" x14ac:dyDescent="0.25">
      <c r="B138" s="34">
        <v>42871</v>
      </c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  <row r="139" spans="2:13" x14ac:dyDescent="0.25">
      <c r="B139" s="34">
        <v>42872</v>
      </c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</row>
    <row r="140" spans="2:13" x14ac:dyDescent="0.25">
      <c r="B140" s="34">
        <v>42873</v>
      </c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</row>
    <row r="141" spans="2:13" x14ac:dyDescent="0.25">
      <c r="B141" s="34">
        <v>42874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</row>
    <row r="142" spans="2:13" x14ac:dyDescent="0.25">
      <c r="B142" s="34">
        <v>42875</v>
      </c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2:13" x14ac:dyDescent="0.25">
      <c r="B143" s="34">
        <v>42876</v>
      </c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2:13" x14ac:dyDescent="0.25">
      <c r="B144" s="34">
        <v>42877</v>
      </c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2:16" x14ac:dyDescent="0.25">
      <c r="B145" s="34">
        <v>42878</v>
      </c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2:16" x14ac:dyDescent="0.25">
      <c r="B146" s="34">
        <v>42879</v>
      </c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2:16" x14ac:dyDescent="0.25">
      <c r="B147" s="34">
        <v>42880</v>
      </c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2:16" x14ac:dyDescent="0.25">
      <c r="B148" s="34">
        <v>42881</v>
      </c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</row>
    <row r="149" spans="2:16" x14ac:dyDescent="0.25">
      <c r="B149" s="34">
        <v>42882</v>
      </c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</row>
    <row r="150" spans="2:16" x14ac:dyDescent="0.25">
      <c r="B150" s="34">
        <v>42883</v>
      </c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</row>
    <row r="151" spans="2:16" x14ac:dyDescent="0.25">
      <c r="B151" s="34">
        <v>42884</v>
      </c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</row>
    <row r="152" spans="2:16" x14ac:dyDescent="0.25">
      <c r="B152" s="34">
        <v>42885</v>
      </c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</row>
    <row r="153" spans="2:16" x14ac:dyDescent="0.25">
      <c r="B153" s="34">
        <v>42886</v>
      </c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O153" s="36" t="e">
        <f>AVERAGE(C123:M153)</f>
        <v>#DIV/0!</v>
      </c>
      <c r="P153" s="36"/>
    </row>
    <row r="154" spans="2:16" x14ac:dyDescent="0.25">
      <c r="B154" s="34">
        <v>42887</v>
      </c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</row>
    <row r="155" spans="2:16" x14ac:dyDescent="0.25">
      <c r="B155" s="34">
        <v>42888</v>
      </c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2:16" x14ac:dyDescent="0.25">
      <c r="B156" s="34">
        <v>42889</v>
      </c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2:16" x14ac:dyDescent="0.25">
      <c r="B157" s="34">
        <v>42890</v>
      </c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2:16" x14ac:dyDescent="0.25">
      <c r="B158" s="34">
        <v>42891</v>
      </c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2:16" x14ac:dyDescent="0.25">
      <c r="B159" s="34">
        <v>42892</v>
      </c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2:16" x14ac:dyDescent="0.25">
      <c r="B160" s="34">
        <v>42893</v>
      </c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2:13" x14ac:dyDescent="0.25">
      <c r="B161" s="34">
        <v>42894</v>
      </c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2:13" x14ac:dyDescent="0.25">
      <c r="B162" s="34">
        <v>42895</v>
      </c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2:13" x14ac:dyDescent="0.25">
      <c r="B163" s="34">
        <v>42896</v>
      </c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2:13" x14ac:dyDescent="0.25">
      <c r="B164" s="34">
        <v>42897</v>
      </c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2:13" x14ac:dyDescent="0.25">
      <c r="B165" s="34">
        <v>42898</v>
      </c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2:13" x14ac:dyDescent="0.25">
      <c r="B166" s="34">
        <v>42899</v>
      </c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2:13" x14ac:dyDescent="0.25">
      <c r="B167" s="34">
        <v>42900</v>
      </c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2:13" x14ac:dyDescent="0.25">
      <c r="B168" s="34">
        <v>42901</v>
      </c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2:13" x14ac:dyDescent="0.25">
      <c r="B169" s="34">
        <v>42902</v>
      </c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2:13" x14ac:dyDescent="0.25">
      <c r="B170" s="34">
        <v>42903</v>
      </c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2:13" x14ac:dyDescent="0.25">
      <c r="B171" s="34">
        <v>42904</v>
      </c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2:13" x14ac:dyDescent="0.25">
      <c r="B172" s="34">
        <v>42905</v>
      </c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2:13" x14ac:dyDescent="0.25">
      <c r="B173" s="34">
        <v>42906</v>
      </c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2:13" x14ac:dyDescent="0.25">
      <c r="B174" s="34">
        <v>42907</v>
      </c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2:13" x14ac:dyDescent="0.25">
      <c r="B175" s="34">
        <v>42908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2:13" x14ac:dyDescent="0.25">
      <c r="B176" s="34">
        <v>42909</v>
      </c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2:16" x14ac:dyDescent="0.25">
      <c r="B177" s="34">
        <v>42910</v>
      </c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2:16" x14ac:dyDescent="0.25">
      <c r="B178" s="34">
        <v>42911</v>
      </c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2:16" x14ac:dyDescent="0.25">
      <c r="B179" s="34">
        <v>42912</v>
      </c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2:16" x14ac:dyDescent="0.25">
      <c r="B180" s="34">
        <v>42913</v>
      </c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2:16" x14ac:dyDescent="0.25">
      <c r="B181" s="34">
        <v>42914</v>
      </c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2:16" x14ac:dyDescent="0.25">
      <c r="B182" s="34">
        <v>42915</v>
      </c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2:16" x14ac:dyDescent="0.25">
      <c r="B183" s="34">
        <v>42916</v>
      </c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O183" s="36" t="e">
        <f>AVERAGE(C154:M183)</f>
        <v>#DIV/0!</v>
      </c>
      <c r="P183" s="36"/>
    </row>
    <row r="184" spans="2:16" x14ac:dyDescent="0.25">
      <c r="B184" s="34">
        <v>42917</v>
      </c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2:16" x14ac:dyDescent="0.25">
      <c r="B185" s="34">
        <v>42918</v>
      </c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2:16" x14ac:dyDescent="0.25">
      <c r="B186" s="34">
        <v>42919</v>
      </c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2:16" x14ac:dyDescent="0.25">
      <c r="B187" s="34">
        <v>42920</v>
      </c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2:16" x14ac:dyDescent="0.25">
      <c r="B188" s="34">
        <v>42921</v>
      </c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2:16" x14ac:dyDescent="0.25">
      <c r="B189" s="34">
        <v>42922</v>
      </c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2:16" x14ac:dyDescent="0.25">
      <c r="B190" s="34">
        <v>42923</v>
      </c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2:16" x14ac:dyDescent="0.25">
      <c r="B191" s="34">
        <v>42924</v>
      </c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2:16" x14ac:dyDescent="0.25">
      <c r="B192" s="34">
        <v>42925</v>
      </c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2:13" x14ac:dyDescent="0.25">
      <c r="B193" s="34">
        <v>42926</v>
      </c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2:13" x14ac:dyDescent="0.25">
      <c r="B194" s="34">
        <v>42927</v>
      </c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2:13" x14ac:dyDescent="0.25">
      <c r="B195" s="34">
        <v>42928</v>
      </c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2:13" x14ac:dyDescent="0.25">
      <c r="B196" s="34">
        <v>42929</v>
      </c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2:13" x14ac:dyDescent="0.25">
      <c r="B197" s="34">
        <v>42930</v>
      </c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2:13" x14ac:dyDescent="0.25">
      <c r="B198" s="34">
        <v>42931</v>
      </c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2:13" x14ac:dyDescent="0.25">
      <c r="B199" s="34">
        <v>42932</v>
      </c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2:13" x14ac:dyDescent="0.25">
      <c r="B200" s="34">
        <v>42933</v>
      </c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2:13" x14ac:dyDescent="0.25">
      <c r="B201" s="34">
        <v>42934</v>
      </c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</row>
    <row r="202" spans="2:13" x14ac:dyDescent="0.25">
      <c r="B202" s="34">
        <v>42935</v>
      </c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</row>
    <row r="203" spans="2:13" x14ac:dyDescent="0.25">
      <c r="B203" s="34">
        <v>42936</v>
      </c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</row>
    <row r="204" spans="2:13" x14ac:dyDescent="0.25">
      <c r="B204" s="34">
        <v>42937</v>
      </c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</row>
    <row r="205" spans="2:13" x14ac:dyDescent="0.25">
      <c r="B205" s="34">
        <v>42938</v>
      </c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</row>
    <row r="206" spans="2:13" x14ac:dyDescent="0.25">
      <c r="B206" s="34">
        <v>42939</v>
      </c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</row>
    <row r="207" spans="2:13" x14ac:dyDescent="0.25">
      <c r="B207" s="34">
        <v>42940</v>
      </c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</row>
    <row r="208" spans="2:13" x14ac:dyDescent="0.25">
      <c r="B208" s="34">
        <v>42941</v>
      </c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</row>
    <row r="209" spans="2:16" x14ac:dyDescent="0.25">
      <c r="B209" s="34">
        <v>42942</v>
      </c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</row>
    <row r="210" spans="2:16" x14ac:dyDescent="0.25">
      <c r="B210" s="34">
        <v>42943</v>
      </c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</row>
    <row r="211" spans="2:16" x14ac:dyDescent="0.25">
      <c r="B211" s="34">
        <v>42944</v>
      </c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</row>
    <row r="212" spans="2:16" x14ac:dyDescent="0.25">
      <c r="B212" s="34">
        <v>42945</v>
      </c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</row>
    <row r="213" spans="2:16" x14ac:dyDescent="0.25">
      <c r="B213" s="34">
        <v>42946</v>
      </c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</row>
    <row r="214" spans="2:16" x14ac:dyDescent="0.25">
      <c r="B214" s="34">
        <v>42947</v>
      </c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O214" s="36" t="e">
        <f>AVERAGE(C184:M214)</f>
        <v>#DIV/0!</v>
      </c>
      <c r="P214" s="36"/>
    </row>
    <row r="215" spans="2:16" x14ac:dyDescent="0.25">
      <c r="B215" s="34">
        <v>42948</v>
      </c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</row>
    <row r="216" spans="2:16" x14ac:dyDescent="0.25">
      <c r="B216" s="34">
        <v>42949</v>
      </c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</row>
    <row r="217" spans="2:16" x14ac:dyDescent="0.25">
      <c r="B217" s="34">
        <v>42950</v>
      </c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</row>
    <row r="218" spans="2:16" x14ac:dyDescent="0.25">
      <c r="B218" s="34">
        <v>42951</v>
      </c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</row>
    <row r="219" spans="2:16" x14ac:dyDescent="0.25">
      <c r="B219" s="34">
        <v>42952</v>
      </c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</row>
    <row r="220" spans="2:16" x14ac:dyDescent="0.25">
      <c r="B220" s="34">
        <v>42953</v>
      </c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</row>
    <row r="221" spans="2:16" x14ac:dyDescent="0.25">
      <c r="B221" s="34">
        <v>42954</v>
      </c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</row>
    <row r="222" spans="2:16" x14ac:dyDescent="0.25">
      <c r="B222" s="34">
        <v>42955</v>
      </c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</row>
    <row r="223" spans="2:16" x14ac:dyDescent="0.25">
      <c r="B223" s="34">
        <v>42956</v>
      </c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</row>
    <row r="224" spans="2:16" x14ac:dyDescent="0.25">
      <c r="B224" s="34">
        <v>42957</v>
      </c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</row>
    <row r="225" spans="2:13" x14ac:dyDescent="0.25">
      <c r="B225" s="34">
        <v>42958</v>
      </c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</row>
    <row r="226" spans="2:13" x14ac:dyDescent="0.25">
      <c r="B226" s="34">
        <v>42959</v>
      </c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</row>
    <row r="227" spans="2:13" x14ac:dyDescent="0.25">
      <c r="B227" s="34">
        <v>42960</v>
      </c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</row>
    <row r="228" spans="2:13" x14ac:dyDescent="0.25">
      <c r="B228" s="34">
        <v>42961</v>
      </c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</row>
    <row r="229" spans="2:13" x14ac:dyDescent="0.25">
      <c r="B229" s="34">
        <v>42962</v>
      </c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</row>
    <row r="230" spans="2:13" x14ac:dyDescent="0.25">
      <c r="B230" s="34">
        <v>42963</v>
      </c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</row>
    <row r="231" spans="2:13" x14ac:dyDescent="0.25">
      <c r="B231" s="34">
        <v>42964</v>
      </c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</row>
    <row r="232" spans="2:13" x14ac:dyDescent="0.25">
      <c r="B232" s="34">
        <v>42965</v>
      </c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</row>
    <row r="233" spans="2:13" x14ac:dyDescent="0.25">
      <c r="B233" s="34">
        <v>42966</v>
      </c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</row>
    <row r="234" spans="2:13" x14ac:dyDescent="0.25">
      <c r="B234" s="34">
        <v>42967</v>
      </c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</row>
    <row r="235" spans="2:13" x14ac:dyDescent="0.25">
      <c r="B235" s="34">
        <v>42968</v>
      </c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</row>
    <row r="236" spans="2:13" x14ac:dyDescent="0.25">
      <c r="B236" s="34">
        <v>42969</v>
      </c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</row>
    <row r="237" spans="2:13" x14ac:dyDescent="0.25">
      <c r="B237" s="34">
        <v>42970</v>
      </c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</row>
    <row r="238" spans="2:13" x14ac:dyDescent="0.25">
      <c r="B238" s="34">
        <v>42971</v>
      </c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</row>
    <row r="239" spans="2:13" x14ac:dyDescent="0.25">
      <c r="B239" s="34">
        <v>42972</v>
      </c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</row>
    <row r="240" spans="2:13" x14ac:dyDescent="0.25">
      <c r="B240" s="34">
        <v>42973</v>
      </c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</row>
    <row r="241" spans="2:16" x14ac:dyDescent="0.25">
      <c r="B241" s="34">
        <v>42974</v>
      </c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</row>
    <row r="242" spans="2:16" x14ac:dyDescent="0.25">
      <c r="B242" s="34">
        <v>42975</v>
      </c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</row>
    <row r="243" spans="2:16" x14ac:dyDescent="0.25">
      <c r="B243" s="34">
        <v>42976</v>
      </c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</row>
    <row r="244" spans="2:16" x14ac:dyDescent="0.25">
      <c r="B244" s="34">
        <v>42977</v>
      </c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</row>
    <row r="245" spans="2:16" x14ac:dyDescent="0.25">
      <c r="B245" s="34">
        <v>42978</v>
      </c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O245" s="36" t="e">
        <f>AVERAGE(C215:M245)</f>
        <v>#DIV/0!</v>
      </c>
      <c r="P245" s="36"/>
    </row>
    <row r="246" spans="2:16" x14ac:dyDescent="0.25">
      <c r="B246" s="34">
        <v>42979</v>
      </c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</row>
    <row r="247" spans="2:16" x14ac:dyDescent="0.25">
      <c r="B247" s="34">
        <v>42980</v>
      </c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</row>
    <row r="248" spans="2:16" x14ac:dyDescent="0.25">
      <c r="B248" s="34">
        <v>42981</v>
      </c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</row>
    <row r="249" spans="2:16" x14ac:dyDescent="0.25">
      <c r="B249" s="34">
        <v>42982</v>
      </c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</row>
    <row r="250" spans="2:16" x14ac:dyDescent="0.25">
      <c r="B250" s="34">
        <v>42983</v>
      </c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</row>
    <row r="251" spans="2:16" x14ac:dyDescent="0.25">
      <c r="B251" s="34">
        <v>42984</v>
      </c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</row>
    <row r="252" spans="2:16" x14ac:dyDescent="0.25">
      <c r="B252" s="34">
        <v>42985</v>
      </c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</row>
    <row r="253" spans="2:16" x14ac:dyDescent="0.25">
      <c r="B253" s="34">
        <v>42986</v>
      </c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</row>
    <row r="254" spans="2:16" x14ac:dyDescent="0.25">
      <c r="B254" s="34">
        <v>42987</v>
      </c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</row>
    <row r="255" spans="2:16" x14ac:dyDescent="0.25">
      <c r="B255" s="34">
        <v>42988</v>
      </c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</row>
    <row r="256" spans="2:16" x14ac:dyDescent="0.25">
      <c r="B256" s="34">
        <v>42989</v>
      </c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</row>
    <row r="257" spans="2:13" x14ac:dyDescent="0.25">
      <c r="B257" s="34">
        <v>42990</v>
      </c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</row>
    <row r="258" spans="2:13" x14ac:dyDescent="0.25">
      <c r="B258" s="34">
        <v>42991</v>
      </c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</row>
    <row r="259" spans="2:13" x14ac:dyDescent="0.25">
      <c r="B259" s="34">
        <v>42992</v>
      </c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</row>
    <row r="260" spans="2:13" x14ac:dyDescent="0.25">
      <c r="B260" s="34">
        <v>42993</v>
      </c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</row>
    <row r="261" spans="2:13" x14ac:dyDescent="0.25">
      <c r="B261" s="34">
        <v>42994</v>
      </c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</row>
    <row r="262" spans="2:13" x14ac:dyDescent="0.25">
      <c r="B262" s="34">
        <v>42995</v>
      </c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</row>
    <row r="263" spans="2:13" x14ac:dyDescent="0.25">
      <c r="B263" s="34">
        <v>42996</v>
      </c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</row>
    <row r="264" spans="2:13" x14ac:dyDescent="0.25">
      <c r="B264" s="34">
        <v>42997</v>
      </c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</row>
    <row r="265" spans="2:13" x14ac:dyDescent="0.25">
      <c r="B265" s="34">
        <v>42998</v>
      </c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</row>
    <row r="266" spans="2:13" x14ac:dyDescent="0.25">
      <c r="B266" s="34">
        <v>42999</v>
      </c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</row>
    <row r="267" spans="2:13" x14ac:dyDescent="0.25">
      <c r="B267" s="34">
        <v>43000</v>
      </c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</row>
    <row r="268" spans="2:13" x14ac:dyDescent="0.25">
      <c r="B268" s="34">
        <v>43001</v>
      </c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</row>
    <row r="269" spans="2:13" x14ac:dyDescent="0.25">
      <c r="B269" s="34">
        <v>43002</v>
      </c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</row>
    <row r="270" spans="2:13" x14ac:dyDescent="0.25">
      <c r="B270" s="34">
        <v>43003</v>
      </c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</row>
    <row r="271" spans="2:13" x14ac:dyDescent="0.25">
      <c r="B271" s="34">
        <v>43004</v>
      </c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</row>
    <row r="272" spans="2:13" x14ac:dyDescent="0.25">
      <c r="B272" s="34">
        <v>43005</v>
      </c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</row>
    <row r="273" spans="2:16" x14ac:dyDescent="0.25">
      <c r="B273" s="34">
        <v>43006</v>
      </c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</row>
    <row r="274" spans="2:16" x14ac:dyDescent="0.25">
      <c r="B274" s="34">
        <v>43007</v>
      </c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</row>
    <row r="275" spans="2:16" x14ac:dyDescent="0.25">
      <c r="B275" s="34">
        <v>43008</v>
      </c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O275" s="36" t="e">
        <f>AVERAGE(C246:M275)</f>
        <v>#DIV/0!</v>
      </c>
      <c r="P275" s="36"/>
    </row>
    <row r="276" spans="2:16" x14ac:dyDescent="0.25">
      <c r="B276" s="34">
        <v>43009</v>
      </c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</row>
    <row r="277" spans="2:16" x14ac:dyDescent="0.25">
      <c r="B277" s="34">
        <v>43010</v>
      </c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</row>
    <row r="278" spans="2:16" x14ac:dyDescent="0.25">
      <c r="B278" s="34">
        <v>43011</v>
      </c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</row>
    <row r="279" spans="2:16" x14ac:dyDescent="0.25">
      <c r="B279" s="34">
        <v>43012</v>
      </c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</row>
    <row r="280" spans="2:16" x14ac:dyDescent="0.25">
      <c r="B280" s="34">
        <v>43013</v>
      </c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</row>
    <row r="281" spans="2:16" x14ac:dyDescent="0.25">
      <c r="B281" s="34">
        <v>43014</v>
      </c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</row>
    <row r="282" spans="2:16" x14ac:dyDescent="0.25">
      <c r="B282" s="34">
        <v>43015</v>
      </c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</row>
    <row r="283" spans="2:16" x14ac:dyDescent="0.25">
      <c r="B283" s="34">
        <v>43016</v>
      </c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</row>
    <row r="284" spans="2:16" x14ac:dyDescent="0.25">
      <c r="B284" s="34">
        <v>43017</v>
      </c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</row>
    <row r="285" spans="2:16" x14ac:dyDescent="0.25">
      <c r="B285" s="34">
        <v>43018</v>
      </c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</row>
    <row r="286" spans="2:16" x14ac:dyDescent="0.25">
      <c r="B286" s="34">
        <v>43019</v>
      </c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</row>
    <row r="287" spans="2:16" x14ac:dyDescent="0.25">
      <c r="B287" s="34">
        <v>43020</v>
      </c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</row>
    <row r="288" spans="2:16" x14ac:dyDescent="0.25">
      <c r="B288" s="34">
        <v>43021</v>
      </c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</row>
    <row r="289" spans="2:13" x14ac:dyDescent="0.25">
      <c r="B289" s="34">
        <v>43022</v>
      </c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</row>
    <row r="290" spans="2:13" x14ac:dyDescent="0.25">
      <c r="B290" s="34">
        <v>43023</v>
      </c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</row>
    <row r="291" spans="2:13" x14ac:dyDescent="0.25">
      <c r="B291" s="34">
        <v>43024</v>
      </c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</row>
    <row r="292" spans="2:13" x14ac:dyDescent="0.25">
      <c r="B292" s="34">
        <v>43025</v>
      </c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</row>
    <row r="293" spans="2:13" x14ac:dyDescent="0.25">
      <c r="B293" s="34">
        <v>43026</v>
      </c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</row>
    <row r="294" spans="2:13" x14ac:dyDescent="0.25">
      <c r="B294" s="34">
        <v>43027</v>
      </c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</row>
    <row r="295" spans="2:13" x14ac:dyDescent="0.25">
      <c r="B295" s="34">
        <v>43028</v>
      </c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</row>
    <row r="296" spans="2:13" x14ac:dyDescent="0.25">
      <c r="B296" s="34">
        <v>43029</v>
      </c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</row>
    <row r="297" spans="2:13" x14ac:dyDescent="0.25">
      <c r="B297" s="34">
        <v>43030</v>
      </c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</row>
    <row r="298" spans="2:13" x14ac:dyDescent="0.25">
      <c r="B298" s="34">
        <v>43031</v>
      </c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</row>
    <row r="299" spans="2:13" x14ac:dyDescent="0.25">
      <c r="B299" s="34">
        <v>43032</v>
      </c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</row>
    <row r="300" spans="2:13" x14ac:dyDescent="0.25">
      <c r="B300" s="34">
        <v>43033</v>
      </c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</row>
    <row r="301" spans="2:13" x14ac:dyDescent="0.25">
      <c r="B301" s="34">
        <v>43034</v>
      </c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</row>
    <row r="302" spans="2:13" x14ac:dyDescent="0.25">
      <c r="B302" s="34">
        <v>43035</v>
      </c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</row>
    <row r="303" spans="2:13" x14ac:dyDescent="0.25">
      <c r="B303" s="34">
        <v>43036</v>
      </c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</row>
    <row r="304" spans="2:13" x14ac:dyDescent="0.25">
      <c r="B304" s="34">
        <v>43037</v>
      </c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</row>
    <row r="305" spans="2:16" x14ac:dyDescent="0.25">
      <c r="B305" s="34">
        <v>43038</v>
      </c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</row>
    <row r="306" spans="2:16" x14ac:dyDescent="0.25">
      <c r="B306" s="34">
        <v>43039</v>
      </c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O306" s="36" t="e">
        <f>AVERAGE(C276:M306)</f>
        <v>#DIV/0!</v>
      </c>
      <c r="P306" s="36"/>
    </row>
    <row r="307" spans="2:16" x14ac:dyDescent="0.25">
      <c r="B307" s="34">
        <v>43040</v>
      </c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</row>
    <row r="308" spans="2:16" x14ac:dyDescent="0.25">
      <c r="B308" s="34">
        <v>43041</v>
      </c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</row>
    <row r="309" spans="2:16" x14ac:dyDescent="0.25">
      <c r="B309" s="34">
        <v>43042</v>
      </c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</row>
    <row r="310" spans="2:16" x14ac:dyDescent="0.25">
      <c r="B310" s="34">
        <v>43043</v>
      </c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</row>
    <row r="311" spans="2:16" x14ac:dyDescent="0.25">
      <c r="B311" s="34">
        <v>43044</v>
      </c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</row>
    <row r="312" spans="2:16" x14ac:dyDescent="0.25">
      <c r="B312" s="34">
        <v>43045</v>
      </c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</row>
    <row r="313" spans="2:16" x14ac:dyDescent="0.25">
      <c r="B313" s="34">
        <v>43046</v>
      </c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</row>
    <row r="314" spans="2:16" x14ac:dyDescent="0.25">
      <c r="B314" s="34">
        <v>43047</v>
      </c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</row>
    <row r="315" spans="2:16" x14ac:dyDescent="0.25">
      <c r="B315" s="34">
        <v>43048</v>
      </c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</row>
    <row r="316" spans="2:16" x14ac:dyDescent="0.25">
      <c r="B316" s="34">
        <v>43049</v>
      </c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</row>
    <row r="317" spans="2:16" x14ac:dyDescent="0.25">
      <c r="B317" s="34">
        <v>43050</v>
      </c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</row>
    <row r="318" spans="2:16" x14ac:dyDescent="0.25">
      <c r="B318" s="34">
        <v>43051</v>
      </c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</row>
    <row r="319" spans="2:16" x14ac:dyDescent="0.25">
      <c r="B319" s="34">
        <v>43052</v>
      </c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</row>
    <row r="320" spans="2:16" x14ac:dyDescent="0.25">
      <c r="B320" s="34">
        <v>43053</v>
      </c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</row>
    <row r="321" spans="2:16" x14ac:dyDescent="0.25">
      <c r="B321" s="34">
        <v>43054</v>
      </c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</row>
    <row r="322" spans="2:16" x14ac:dyDescent="0.25">
      <c r="B322" s="34">
        <v>43055</v>
      </c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</row>
    <row r="323" spans="2:16" x14ac:dyDescent="0.25">
      <c r="B323" s="34">
        <v>43056</v>
      </c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</row>
    <row r="324" spans="2:16" x14ac:dyDescent="0.25">
      <c r="B324" s="34">
        <v>43057</v>
      </c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</row>
    <row r="325" spans="2:16" x14ac:dyDescent="0.25">
      <c r="B325" s="34">
        <v>43058</v>
      </c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</row>
    <row r="326" spans="2:16" x14ac:dyDescent="0.25">
      <c r="B326" s="34">
        <v>43059</v>
      </c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</row>
    <row r="327" spans="2:16" x14ac:dyDescent="0.25">
      <c r="B327" s="34">
        <v>43060</v>
      </c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</row>
    <row r="328" spans="2:16" x14ac:dyDescent="0.25">
      <c r="B328" s="34">
        <v>43061</v>
      </c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</row>
    <row r="329" spans="2:16" x14ac:dyDescent="0.25">
      <c r="B329" s="34">
        <v>43062</v>
      </c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</row>
    <row r="330" spans="2:16" x14ac:dyDescent="0.25">
      <c r="B330" s="34">
        <v>43063</v>
      </c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</row>
    <row r="331" spans="2:16" x14ac:dyDescent="0.25">
      <c r="B331" s="34">
        <v>43064</v>
      </c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</row>
    <row r="332" spans="2:16" x14ac:dyDescent="0.25">
      <c r="B332" s="34">
        <v>43065</v>
      </c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</row>
    <row r="333" spans="2:16" x14ac:dyDescent="0.25">
      <c r="B333" s="34">
        <v>43066</v>
      </c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</row>
    <row r="334" spans="2:16" x14ac:dyDescent="0.25">
      <c r="B334" s="34">
        <v>43067</v>
      </c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</row>
    <row r="335" spans="2:16" x14ac:dyDescent="0.25">
      <c r="B335" s="34">
        <v>43068</v>
      </c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</row>
    <row r="336" spans="2:16" x14ac:dyDescent="0.25">
      <c r="B336" s="34">
        <v>43069</v>
      </c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O336" s="36" t="e">
        <f>AVERAGE(C307:M336)</f>
        <v>#DIV/0!</v>
      </c>
      <c r="P336" s="36"/>
    </row>
    <row r="337" spans="2:13" x14ac:dyDescent="0.25">
      <c r="B337" s="34">
        <v>43070</v>
      </c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</row>
    <row r="338" spans="2:13" x14ac:dyDescent="0.25">
      <c r="B338" s="34">
        <v>43071</v>
      </c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</row>
    <row r="339" spans="2:13" x14ac:dyDescent="0.25">
      <c r="B339" s="34">
        <v>43072</v>
      </c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</row>
    <row r="340" spans="2:13" x14ac:dyDescent="0.25">
      <c r="B340" s="34">
        <v>43073</v>
      </c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</row>
    <row r="341" spans="2:13" x14ac:dyDescent="0.25">
      <c r="B341" s="34">
        <v>43074</v>
      </c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</row>
    <row r="342" spans="2:13" x14ac:dyDescent="0.25">
      <c r="B342" s="34">
        <v>43075</v>
      </c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</row>
    <row r="343" spans="2:13" x14ac:dyDescent="0.25">
      <c r="B343" s="34">
        <v>43076</v>
      </c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</row>
    <row r="344" spans="2:13" x14ac:dyDescent="0.25">
      <c r="B344" s="34">
        <v>43077</v>
      </c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</row>
    <row r="345" spans="2:13" x14ac:dyDescent="0.25">
      <c r="B345" s="34">
        <v>43078</v>
      </c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</row>
    <row r="346" spans="2:13" x14ac:dyDescent="0.25">
      <c r="B346" s="34">
        <v>43079</v>
      </c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</row>
    <row r="347" spans="2:13" x14ac:dyDescent="0.25">
      <c r="B347" s="34">
        <v>43080</v>
      </c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</row>
    <row r="348" spans="2:13" x14ac:dyDescent="0.25">
      <c r="B348" s="34">
        <v>43081</v>
      </c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</row>
    <row r="349" spans="2:13" x14ac:dyDescent="0.25">
      <c r="B349" s="34">
        <v>43082</v>
      </c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</row>
    <row r="350" spans="2:13" x14ac:dyDescent="0.25">
      <c r="B350" s="34">
        <v>43083</v>
      </c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</row>
    <row r="351" spans="2:13" x14ac:dyDescent="0.25">
      <c r="B351" s="34">
        <v>43084</v>
      </c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</row>
    <row r="352" spans="2:13" x14ac:dyDescent="0.25">
      <c r="B352" s="34">
        <v>43085</v>
      </c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</row>
    <row r="353" spans="2:16" x14ac:dyDescent="0.25">
      <c r="B353" s="34">
        <v>43086</v>
      </c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</row>
    <row r="354" spans="2:16" x14ac:dyDescent="0.25">
      <c r="B354" s="34">
        <v>43087</v>
      </c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</row>
    <row r="355" spans="2:16" x14ac:dyDescent="0.25">
      <c r="B355" s="34">
        <v>43088</v>
      </c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</row>
    <row r="356" spans="2:16" x14ac:dyDescent="0.25">
      <c r="B356" s="34">
        <v>43089</v>
      </c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</row>
    <row r="357" spans="2:16" x14ac:dyDescent="0.25">
      <c r="B357" s="34">
        <v>43090</v>
      </c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</row>
    <row r="358" spans="2:16" x14ac:dyDescent="0.25">
      <c r="B358" s="34">
        <v>43091</v>
      </c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</row>
    <row r="359" spans="2:16" x14ac:dyDescent="0.25">
      <c r="B359" s="34">
        <v>43092</v>
      </c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</row>
    <row r="360" spans="2:16" x14ac:dyDescent="0.25">
      <c r="B360" s="34">
        <v>43093</v>
      </c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</row>
    <row r="361" spans="2:16" x14ac:dyDescent="0.25">
      <c r="B361" s="34">
        <v>43094</v>
      </c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</row>
    <row r="362" spans="2:16" x14ac:dyDescent="0.25">
      <c r="B362" s="34">
        <v>43095</v>
      </c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</row>
    <row r="363" spans="2:16" x14ac:dyDescent="0.25">
      <c r="B363" s="34">
        <v>43096</v>
      </c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</row>
    <row r="364" spans="2:16" x14ac:dyDescent="0.25">
      <c r="B364" s="34">
        <v>43097</v>
      </c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</row>
    <row r="365" spans="2:16" x14ac:dyDescent="0.25">
      <c r="B365" s="34">
        <v>43098</v>
      </c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</row>
    <row r="366" spans="2:16" x14ac:dyDescent="0.25">
      <c r="B366" s="34">
        <v>43099</v>
      </c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</row>
    <row r="367" spans="2:16" x14ac:dyDescent="0.25">
      <c r="B367" s="34">
        <v>43100</v>
      </c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O367" s="36" t="e">
        <f>AVERAGE(C337:M367)</f>
        <v>#DIV/0!</v>
      </c>
      <c r="P367" s="36"/>
    </row>
    <row r="368" spans="2:16" x14ac:dyDescent="0.25">
      <c r="B368" s="34">
        <v>43101</v>
      </c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</row>
    <row r="369" spans="2:13" x14ac:dyDescent="0.25">
      <c r="B369" s="34">
        <v>43102</v>
      </c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</row>
    <row r="370" spans="2:13" x14ac:dyDescent="0.25">
      <c r="B370" s="34">
        <v>43103</v>
      </c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</row>
    <row r="371" spans="2:13" x14ac:dyDescent="0.25">
      <c r="B371" s="34">
        <v>43104</v>
      </c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</row>
    <row r="372" spans="2:13" x14ac:dyDescent="0.25">
      <c r="B372" s="34">
        <v>43105</v>
      </c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</row>
    <row r="373" spans="2:13" x14ac:dyDescent="0.25">
      <c r="B373" s="34">
        <v>43106</v>
      </c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</row>
    <row r="374" spans="2:13" x14ac:dyDescent="0.25">
      <c r="B374" s="34">
        <v>43107</v>
      </c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</row>
    <row r="375" spans="2:13" x14ac:dyDescent="0.25">
      <c r="B375" s="34">
        <v>43108</v>
      </c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</row>
    <row r="376" spans="2:13" x14ac:dyDescent="0.25">
      <c r="B376" s="34">
        <v>43109</v>
      </c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</row>
    <row r="377" spans="2:13" x14ac:dyDescent="0.25">
      <c r="B377" s="34">
        <v>43110</v>
      </c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</row>
    <row r="378" spans="2:13" x14ac:dyDescent="0.25">
      <c r="B378" s="34">
        <v>43111</v>
      </c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</row>
    <row r="379" spans="2:13" x14ac:dyDescent="0.25">
      <c r="B379" s="34">
        <v>43112</v>
      </c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</row>
    <row r="380" spans="2:13" x14ac:dyDescent="0.25">
      <c r="B380" s="34">
        <v>43113</v>
      </c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</row>
    <row r="381" spans="2:13" x14ac:dyDescent="0.25">
      <c r="B381" s="34">
        <v>43114</v>
      </c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</row>
    <row r="382" spans="2:13" x14ac:dyDescent="0.25">
      <c r="B382" s="34">
        <v>43115</v>
      </c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</row>
    <row r="383" spans="2:13" x14ac:dyDescent="0.25">
      <c r="B383" s="34">
        <v>43116</v>
      </c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</row>
    <row r="384" spans="2:13" x14ac:dyDescent="0.25">
      <c r="B384" s="34">
        <v>43117</v>
      </c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</row>
    <row r="385" spans="2:16" x14ac:dyDescent="0.25">
      <c r="B385" s="34">
        <v>43118</v>
      </c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</row>
    <row r="386" spans="2:16" x14ac:dyDescent="0.25">
      <c r="B386" s="34">
        <v>43119</v>
      </c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</row>
    <row r="387" spans="2:16" x14ac:dyDescent="0.25">
      <c r="B387" s="34">
        <v>43120</v>
      </c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</row>
    <row r="388" spans="2:16" x14ac:dyDescent="0.25">
      <c r="B388" s="34">
        <v>43121</v>
      </c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</row>
    <row r="389" spans="2:16" x14ac:dyDescent="0.25">
      <c r="B389" s="34">
        <v>43122</v>
      </c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</row>
    <row r="390" spans="2:16" x14ac:dyDescent="0.25">
      <c r="B390" s="34">
        <v>43123</v>
      </c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</row>
    <row r="391" spans="2:16" x14ac:dyDescent="0.25">
      <c r="B391" s="34">
        <v>43124</v>
      </c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</row>
    <row r="392" spans="2:16" x14ac:dyDescent="0.25">
      <c r="B392" s="34">
        <v>43125</v>
      </c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</row>
    <row r="393" spans="2:16" x14ac:dyDescent="0.25">
      <c r="B393" s="34">
        <v>43126</v>
      </c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</row>
    <row r="394" spans="2:16" x14ac:dyDescent="0.25">
      <c r="B394" s="34">
        <v>43127</v>
      </c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</row>
    <row r="395" spans="2:16" x14ac:dyDescent="0.25">
      <c r="B395" s="34">
        <v>43128</v>
      </c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</row>
    <row r="396" spans="2:16" x14ac:dyDescent="0.25">
      <c r="B396" s="34">
        <v>43129</v>
      </c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</row>
    <row r="397" spans="2:16" x14ac:dyDescent="0.25">
      <c r="B397" s="34">
        <v>43130</v>
      </c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</row>
    <row r="398" spans="2:16" x14ac:dyDescent="0.25">
      <c r="B398" s="34">
        <v>43131</v>
      </c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O398" s="36" t="e">
        <f>AVERAGE(C368:M398)</f>
        <v>#DIV/0!</v>
      </c>
      <c r="P398" s="36"/>
    </row>
    <row r="399" spans="2:16" x14ac:dyDescent="0.25">
      <c r="B399" s="34">
        <v>43132</v>
      </c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</row>
    <row r="400" spans="2:16" x14ac:dyDescent="0.25">
      <c r="B400" s="34">
        <v>43133</v>
      </c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</row>
    <row r="401" spans="2:13" x14ac:dyDescent="0.25">
      <c r="B401" s="34">
        <v>43134</v>
      </c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</row>
    <row r="402" spans="2:13" x14ac:dyDescent="0.25">
      <c r="B402" s="34">
        <v>43135</v>
      </c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</row>
    <row r="403" spans="2:13" x14ac:dyDescent="0.25">
      <c r="B403" s="34">
        <v>43136</v>
      </c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</row>
    <row r="404" spans="2:13" x14ac:dyDescent="0.25">
      <c r="B404" s="34">
        <v>43137</v>
      </c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</row>
    <row r="405" spans="2:13" x14ac:dyDescent="0.25">
      <c r="B405" s="34">
        <v>43138</v>
      </c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</row>
    <row r="406" spans="2:13" x14ac:dyDescent="0.25">
      <c r="B406" s="34">
        <v>43139</v>
      </c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</row>
    <row r="407" spans="2:13" x14ac:dyDescent="0.25">
      <c r="B407" s="34">
        <v>43140</v>
      </c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</row>
    <row r="408" spans="2:13" x14ac:dyDescent="0.25">
      <c r="B408" s="34">
        <v>43141</v>
      </c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</row>
    <row r="409" spans="2:13" x14ac:dyDescent="0.25">
      <c r="B409" s="34">
        <v>43142</v>
      </c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</row>
    <row r="410" spans="2:13" x14ac:dyDescent="0.25">
      <c r="B410" s="34">
        <v>43143</v>
      </c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</row>
    <row r="411" spans="2:13" x14ac:dyDescent="0.25">
      <c r="B411" s="34">
        <v>43144</v>
      </c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</row>
    <row r="412" spans="2:13" x14ac:dyDescent="0.25">
      <c r="B412" s="34">
        <v>43145</v>
      </c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</row>
    <row r="413" spans="2:13" x14ac:dyDescent="0.25">
      <c r="B413" s="34">
        <v>43146</v>
      </c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</row>
    <row r="414" spans="2:13" x14ac:dyDescent="0.25">
      <c r="B414" s="34">
        <v>43147</v>
      </c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</row>
    <row r="415" spans="2:13" x14ac:dyDescent="0.25">
      <c r="B415" s="34">
        <v>43148</v>
      </c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</row>
    <row r="416" spans="2:13" x14ac:dyDescent="0.25">
      <c r="B416" s="34">
        <v>43149</v>
      </c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</row>
    <row r="417" spans="2:16" x14ac:dyDescent="0.25">
      <c r="B417" s="34">
        <v>43150</v>
      </c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</row>
    <row r="418" spans="2:16" x14ac:dyDescent="0.25">
      <c r="B418" s="34">
        <v>43151</v>
      </c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</row>
    <row r="419" spans="2:16" x14ac:dyDescent="0.25">
      <c r="B419" s="34">
        <v>43152</v>
      </c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</row>
    <row r="420" spans="2:16" x14ac:dyDescent="0.25">
      <c r="B420" s="34">
        <v>43153</v>
      </c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</row>
    <row r="421" spans="2:16" x14ac:dyDescent="0.25">
      <c r="B421" s="34">
        <v>43154</v>
      </c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</row>
    <row r="422" spans="2:16" x14ac:dyDescent="0.25">
      <c r="B422" s="34">
        <v>43155</v>
      </c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</row>
    <row r="423" spans="2:16" x14ac:dyDescent="0.25">
      <c r="B423" s="34">
        <v>43156</v>
      </c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</row>
    <row r="424" spans="2:16" x14ac:dyDescent="0.25">
      <c r="B424" s="34">
        <v>43157</v>
      </c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</row>
    <row r="425" spans="2:16" x14ac:dyDescent="0.25">
      <c r="B425" s="34">
        <v>43158</v>
      </c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</row>
    <row r="426" spans="2:16" x14ac:dyDescent="0.25">
      <c r="B426" s="34">
        <v>43159</v>
      </c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O426" s="36" t="e">
        <f>AVERAGE(C399:M426)</f>
        <v>#DIV/0!</v>
      </c>
      <c r="P426" s="36"/>
    </row>
    <row r="427" spans="2:16" x14ac:dyDescent="0.25">
      <c r="B427" s="34">
        <v>43160</v>
      </c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</row>
    <row r="428" spans="2:16" x14ac:dyDescent="0.25">
      <c r="B428" s="34">
        <v>43161</v>
      </c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</row>
    <row r="429" spans="2:16" x14ac:dyDescent="0.25">
      <c r="B429" s="34">
        <v>43162</v>
      </c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</row>
    <row r="430" spans="2:16" x14ac:dyDescent="0.25">
      <c r="B430" s="34">
        <v>43163</v>
      </c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</row>
    <row r="431" spans="2:16" x14ac:dyDescent="0.25">
      <c r="B431" s="34">
        <v>43164</v>
      </c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</row>
    <row r="432" spans="2:16" x14ac:dyDescent="0.25">
      <c r="B432" s="34">
        <v>43165</v>
      </c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</row>
    <row r="433" spans="2:13" x14ac:dyDescent="0.25">
      <c r="B433" s="34">
        <v>43166</v>
      </c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</row>
    <row r="434" spans="2:13" x14ac:dyDescent="0.25">
      <c r="B434" s="34">
        <v>43167</v>
      </c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</row>
    <row r="435" spans="2:13" x14ac:dyDescent="0.25">
      <c r="B435" s="34">
        <v>43168</v>
      </c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</row>
    <row r="436" spans="2:13" x14ac:dyDescent="0.25">
      <c r="B436" s="34">
        <v>43169</v>
      </c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</row>
    <row r="437" spans="2:13" x14ac:dyDescent="0.25">
      <c r="B437" s="34">
        <v>43170</v>
      </c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</row>
    <row r="438" spans="2:13" x14ac:dyDescent="0.25">
      <c r="B438" s="34">
        <v>43171</v>
      </c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</row>
    <row r="439" spans="2:13" x14ac:dyDescent="0.25">
      <c r="B439" s="34">
        <v>43172</v>
      </c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</row>
    <row r="440" spans="2:13" x14ac:dyDescent="0.25">
      <c r="B440" s="34">
        <v>43173</v>
      </c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</row>
    <row r="441" spans="2:13" x14ac:dyDescent="0.25">
      <c r="B441" s="34">
        <v>43174</v>
      </c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</row>
    <row r="442" spans="2:13" x14ac:dyDescent="0.25">
      <c r="B442" s="34">
        <v>43175</v>
      </c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</row>
    <row r="443" spans="2:13" x14ac:dyDescent="0.25">
      <c r="B443" s="34">
        <v>43176</v>
      </c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</row>
    <row r="444" spans="2:13" x14ac:dyDescent="0.25">
      <c r="B444" s="34">
        <v>43177</v>
      </c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</row>
    <row r="445" spans="2:13" x14ac:dyDescent="0.25">
      <c r="B445" s="34">
        <v>43178</v>
      </c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</row>
    <row r="446" spans="2:13" x14ac:dyDescent="0.25">
      <c r="B446" s="34">
        <v>43179</v>
      </c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</row>
    <row r="447" spans="2:13" x14ac:dyDescent="0.25">
      <c r="B447" s="34">
        <v>43180</v>
      </c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</row>
    <row r="448" spans="2:13" x14ac:dyDescent="0.25">
      <c r="B448" s="34">
        <v>43181</v>
      </c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</row>
    <row r="449" spans="2:16" x14ac:dyDescent="0.25">
      <c r="B449" s="34">
        <v>43182</v>
      </c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</row>
    <row r="450" spans="2:16" x14ac:dyDescent="0.25">
      <c r="B450" s="34">
        <v>43183</v>
      </c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</row>
    <row r="451" spans="2:16" x14ac:dyDescent="0.25">
      <c r="B451" s="34">
        <v>43184</v>
      </c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</row>
    <row r="452" spans="2:16" x14ac:dyDescent="0.25">
      <c r="B452" s="34">
        <v>43185</v>
      </c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</row>
    <row r="453" spans="2:16" x14ac:dyDescent="0.25">
      <c r="B453" s="34">
        <v>43186</v>
      </c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</row>
    <row r="454" spans="2:16" x14ac:dyDescent="0.25">
      <c r="B454" s="34">
        <v>43187</v>
      </c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</row>
    <row r="455" spans="2:16" x14ac:dyDescent="0.25">
      <c r="B455" s="34">
        <v>43188</v>
      </c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</row>
    <row r="456" spans="2:16" x14ac:dyDescent="0.25">
      <c r="B456" s="34">
        <v>43189</v>
      </c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</row>
    <row r="457" spans="2:16" x14ac:dyDescent="0.25">
      <c r="B457" s="34">
        <v>43190</v>
      </c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O457" s="36" t="e">
        <f>AVERAGE(C427:M457)</f>
        <v>#DIV/0!</v>
      </c>
      <c r="P457" s="36"/>
    </row>
    <row r="458" spans="2:16" x14ac:dyDescent="0.25">
      <c r="B458" s="34">
        <v>43191</v>
      </c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</row>
    <row r="459" spans="2:16" x14ac:dyDescent="0.25">
      <c r="B459" s="34">
        <v>43192</v>
      </c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</row>
    <row r="460" spans="2:16" x14ac:dyDescent="0.25">
      <c r="B460" s="34">
        <v>43193</v>
      </c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</row>
    <row r="461" spans="2:16" x14ac:dyDescent="0.25">
      <c r="B461" s="34">
        <v>43194</v>
      </c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</row>
    <row r="462" spans="2:16" x14ac:dyDescent="0.25">
      <c r="B462" s="34">
        <v>43195</v>
      </c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</row>
    <row r="463" spans="2:16" x14ac:dyDescent="0.25">
      <c r="B463" s="34">
        <v>43196</v>
      </c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</row>
    <row r="464" spans="2:16" x14ac:dyDescent="0.25">
      <c r="B464" s="34">
        <v>43197</v>
      </c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</row>
    <row r="465" spans="2:13" x14ac:dyDescent="0.25">
      <c r="B465" s="34">
        <v>43198</v>
      </c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</row>
    <row r="466" spans="2:13" x14ac:dyDescent="0.25">
      <c r="B466" s="34">
        <v>43199</v>
      </c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</row>
    <row r="467" spans="2:13" x14ac:dyDescent="0.25">
      <c r="B467" s="34">
        <v>43200</v>
      </c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</row>
    <row r="468" spans="2:13" x14ac:dyDescent="0.25">
      <c r="B468" s="34">
        <v>43201</v>
      </c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</row>
    <row r="469" spans="2:13" x14ac:dyDescent="0.25">
      <c r="B469" s="34">
        <v>43202</v>
      </c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</row>
    <row r="470" spans="2:13" x14ac:dyDescent="0.25">
      <c r="B470" s="34">
        <v>43203</v>
      </c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</row>
    <row r="471" spans="2:13" x14ac:dyDescent="0.25">
      <c r="B471" s="34">
        <v>43204</v>
      </c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</row>
    <row r="472" spans="2:13" x14ac:dyDescent="0.25">
      <c r="B472" s="34">
        <v>43205</v>
      </c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</row>
    <row r="473" spans="2:13" x14ac:dyDescent="0.25">
      <c r="B473" s="34">
        <v>43206</v>
      </c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</row>
    <row r="474" spans="2:13" x14ac:dyDescent="0.25">
      <c r="B474" s="34">
        <v>43207</v>
      </c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</row>
    <row r="475" spans="2:13" x14ac:dyDescent="0.25">
      <c r="B475" s="34">
        <v>43208</v>
      </c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</row>
    <row r="476" spans="2:13" x14ac:dyDescent="0.25">
      <c r="B476" s="34">
        <v>43209</v>
      </c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</row>
    <row r="477" spans="2:13" x14ac:dyDescent="0.25">
      <c r="B477" s="34">
        <v>43210</v>
      </c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</row>
    <row r="478" spans="2:13" x14ac:dyDescent="0.25">
      <c r="B478" s="34">
        <v>43211</v>
      </c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</row>
    <row r="479" spans="2:13" x14ac:dyDescent="0.25">
      <c r="B479" s="34">
        <v>43212</v>
      </c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</row>
    <row r="480" spans="2:13" x14ac:dyDescent="0.25">
      <c r="B480" s="34">
        <v>43213</v>
      </c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</row>
    <row r="481" spans="2:16" x14ac:dyDescent="0.25">
      <c r="B481" s="34">
        <v>43214</v>
      </c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</row>
    <row r="482" spans="2:16" x14ac:dyDescent="0.25">
      <c r="B482" s="34">
        <v>43215</v>
      </c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</row>
    <row r="483" spans="2:16" x14ac:dyDescent="0.25">
      <c r="B483" s="34">
        <v>43216</v>
      </c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</row>
    <row r="484" spans="2:16" x14ac:dyDescent="0.25">
      <c r="B484" s="34">
        <v>43217</v>
      </c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</row>
    <row r="485" spans="2:16" x14ac:dyDescent="0.25">
      <c r="B485" s="34">
        <v>43218</v>
      </c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</row>
    <row r="486" spans="2:16" x14ac:dyDescent="0.25">
      <c r="B486" s="34">
        <v>43219</v>
      </c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</row>
    <row r="487" spans="2:16" x14ac:dyDescent="0.25">
      <c r="B487" s="34">
        <v>43220</v>
      </c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O487" s="36" t="e">
        <f>AVERAGE(C458:M487)</f>
        <v>#DIV/0!</v>
      </c>
      <c r="P487" s="36"/>
    </row>
    <row r="488" spans="2:16" x14ac:dyDescent="0.25">
      <c r="B488" s="34">
        <v>43221</v>
      </c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</row>
    <row r="489" spans="2:16" x14ac:dyDescent="0.25">
      <c r="B489" s="34">
        <v>43222</v>
      </c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</row>
    <row r="490" spans="2:16" x14ac:dyDescent="0.25">
      <c r="B490" s="34">
        <v>43223</v>
      </c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</row>
    <row r="491" spans="2:16" x14ac:dyDescent="0.25">
      <c r="B491" s="34">
        <v>43224</v>
      </c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</row>
    <row r="492" spans="2:16" x14ac:dyDescent="0.25">
      <c r="B492" s="34">
        <v>43225</v>
      </c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</row>
    <row r="493" spans="2:16" x14ac:dyDescent="0.25">
      <c r="B493" s="34">
        <v>43226</v>
      </c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</row>
    <row r="494" spans="2:16" x14ac:dyDescent="0.25">
      <c r="B494" s="34">
        <v>43227</v>
      </c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</row>
    <row r="495" spans="2:16" x14ac:dyDescent="0.25">
      <c r="B495" s="34">
        <v>43228</v>
      </c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</row>
    <row r="496" spans="2:16" x14ac:dyDescent="0.25">
      <c r="B496" s="34">
        <v>43229</v>
      </c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</row>
    <row r="497" spans="2:13" x14ac:dyDescent="0.25">
      <c r="B497" s="34">
        <v>43230</v>
      </c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</row>
    <row r="498" spans="2:13" x14ac:dyDescent="0.25">
      <c r="B498" s="34">
        <v>43231</v>
      </c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</row>
    <row r="499" spans="2:13" x14ac:dyDescent="0.25">
      <c r="B499" s="34">
        <v>43232</v>
      </c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</row>
    <row r="500" spans="2:13" x14ac:dyDescent="0.25">
      <c r="B500" s="34">
        <v>43233</v>
      </c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</row>
    <row r="501" spans="2:13" x14ac:dyDescent="0.25">
      <c r="B501" s="34">
        <v>43234</v>
      </c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</row>
    <row r="502" spans="2:13" x14ac:dyDescent="0.25">
      <c r="B502" s="34">
        <v>43235</v>
      </c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</row>
    <row r="503" spans="2:13" x14ac:dyDescent="0.25">
      <c r="B503" s="34">
        <v>43236</v>
      </c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</row>
    <row r="504" spans="2:13" x14ac:dyDescent="0.25">
      <c r="B504" s="34">
        <v>43237</v>
      </c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</row>
    <row r="505" spans="2:13" x14ac:dyDescent="0.25">
      <c r="B505" s="34">
        <v>43238</v>
      </c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</row>
    <row r="506" spans="2:13" x14ac:dyDescent="0.25">
      <c r="B506" s="34">
        <v>43239</v>
      </c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</row>
    <row r="507" spans="2:13" x14ac:dyDescent="0.25">
      <c r="B507" s="34">
        <v>43240</v>
      </c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</row>
    <row r="508" spans="2:13" x14ac:dyDescent="0.25">
      <c r="B508" s="34">
        <v>43241</v>
      </c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</row>
    <row r="509" spans="2:13" x14ac:dyDescent="0.25">
      <c r="B509" s="34">
        <v>43242</v>
      </c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</row>
    <row r="510" spans="2:13" x14ac:dyDescent="0.25">
      <c r="B510" s="34">
        <v>43243</v>
      </c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</row>
    <row r="511" spans="2:13" x14ac:dyDescent="0.25">
      <c r="B511" s="34">
        <v>43244</v>
      </c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</row>
    <row r="512" spans="2:13" x14ac:dyDescent="0.25">
      <c r="B512" s="34">
        <v>43245</v>
      </c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</row>
    <row r="513" spans="2:16" x14ac:dyDescent="0.25">
      <c r="B513" s="34">
        <v>43246</v>
      </c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</row>
    <row r="514" spans="2:16" x14ac:dyDescent="0.25">
      <c r="B514" s="34">
        <v>43247</v>
      </c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</row>
    <row r="515" spans="2:16" x14ac:dyDescent="0.25">
      <c r="B515" s="34">
        <v>43248</v>
      </c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</row>
    <row r="516" spans="2:16" x14ac:dyDescent="0.25">
      <c r="B516" s="34">
        <v>43249</v>
      </c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</row>
    <row r="517" spans="2:16" x14ac:dyDescent="0.25">
      <c r="B517" s="34">
        <v>43250</v>
      </c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</row>
    <row r="518" spans="2:16" x14ac:dyDescent="0.25">
      <c r="B518" s="34">
        <v>43251</v>
      </c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O518" s="36" t="e">
        <f>AVERAGE(C488:M518)</f>
        <v>#DIV/0!</v>
      </c>
      <c r="P518" s="36"/>
    </row>
    <row r="519" spans="2:16" x14ac:dyDescent="0.25">
      <c r="B519" s="34">
        <v>43252</v>
      </c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</row>
    <row r="520" spans="2:16" x14ac:dyDescent="0.25">
      <c r="B520" s="34">
        <v>43253</v>
      </c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</row>
    <row r="521" spans="2:16" x14ac:dyDescent="0.25">
      <c r="B521" s="34">
        <v>43254</v>
      </c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</row>
    <row r="522" spans="2:16" x14ac:dyDescent="0.25">
      <c r="B522" s="34">
        <v>43255</v>
      </c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</row>
    <row r="523" spans="2:16" x14ac:dyDescent="0.25">
      <c r="B523" s="34">
        <v>43256</v>
      </c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</row>
    <row r="524" spans="2:16" x14ac:dyDescent="0.25">
      <c r="B524" s="34">
        <v>43257</v>
      </c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</row>
    <row r="525" spans="2:16" x14ac:dyDescent="0.25">
      <c r="B525" s="34">
        <v>43258</v>
      </c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</row>
    <row r="526" spans="2:16" x14ac:dyDescent="0.25">
      <c r="B526" s="34">
        <v>43259</v>
      </c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</row>
    <row r="527" spans="2:16" x14ac:dyDescent="0.25">
      <c r="B527" s="34">
        <v>43260</v>
      </c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</row>
    <row r="528" spans="2:16" x14ac:dyDescent="0.25">
      <c r="B528" s="34">
        <v>43261</v>
      </c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</row>
    <row r="529" spans="2:13" x14ac:dyDescent="0.25">
      <c r="B529" s="34">
        <v>43262</v>
      </c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</row>
    <row r="530" spans="2:13" x14ac:dyDescent="0.25">
      <c r="B530" s="34">
        <v>43263</v>
      </c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</row>
    <row r="531" spans="2:13" x14ac:dyDescent="0.25">
      <c r="B531" s="34">
        <v>43264</v>
      </c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</row>
    <row r="532" spans="2:13" x14ac:dyDescent="0.25">
      <c r="B532" s="34">
        <v>43265</v>
      </c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</row>
    <row r="533" spans="2:13" x14ac:dyDescent="0.25">
      <c r="B533" s="34">
        <v>43266</v>
      </c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</row>
    <row r="534" spans="2:13" x14ac:dyDescent="0.25">
      <c r="B534" s="34">
        <v>43267</v>
      </c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</row>
    <row r="535" spans="2:13" x14ac:dyDescent="0.25">
      <c r="B535" s="34">
        <v>43268</v>
      </c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</row>
    <row r="536" spans="2:13" x14ac:dyDescent="0.25">
      <c r="B536" s="34">
        <v>43269</v>
      </c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</row>
    <row r="537" spans="2:13" x14ac:dyDescent="0.25">
      <c r="B537" s="34">
        <v>43270</v>
      </c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</row>
    <row r="538" spans="2:13" x14ac:dyDescent="0.25">
      <c r="B538" s="34">
        <v>43271</v>
      </c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</row>
    <row r="539" spans="2:13" x14ac:dyDescent="0.25">
      <c r="B539" s="34">
        <v>43272</v>
      </c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</row>
    <row r="540" spans="2:13" x14ac:dyDescent="0.25">
      <c r="B540" s="34">
        <v>43273</v>
      </c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</row>
    <row r="541" spans="2:13" x14ac:dyDescent="0.25">
      <c r="B541" s="34">
        <v>43274</v>
      </c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</row>
    <row r="542" spans="2:13" x14ac:dyDescent="0.25">
      <c r="B542" s="34">
        <v>43275</v>
      </c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</row>
    <row r="543" spans="2:13" x14ac:dyDescent="0.25">
      <c r="B543" s="34">
        <v>43276</v>
      </c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</row>
    <row r="544" spans="2:13" x14ac:dyDescent="0.25">
      <c r="B544" s="34">
        <v>43277</v>
      </c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</row>
    <row r="545" spans="2:16" x14ac:dyDescent="0.25">
      <c r="B545" s="34">
        <v>43278</v>
      </c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</row>
    <row r="546" spans="2:16" x14ac:dyDescent="0.25">
      <c r="B546" s="34">
        <v>43279</v>
      </c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</row>
    <row r="547" spans="2:16" x14ac:dyDescent="0.25">
      <c r="B547" s="34">
        <v>43280</v>
      </c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</row>
    <row r="548" spans="2:16" x14ac:dyDescent="0.25">
      <c r="B548" s="34">
        <v>43281</v>
      </c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O548" s="36" t="e">
        <f>AVERAGE(C519:M548)</f>
        <v>#DIV/0!</v>
      </c>
      <c r="P548" s="36"/>
    </row>
    <row r="549" spans="2:16" x14ac:dyDescent="0.25">
      <c r="B549" s="34">
        <v>43282</v>
      </c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</row>
    <row r="550" spans="2:16" x14ac:dyDescent="0.25">
      <c r="B550" s="34">
        <v>43283</v>
      </c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</row>
    <row r="551" spans="2:16" x14ac:dyDescent="0.25">
      <c r="B551" s="34">
        <v>43284</v>
      </c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</row>
    <row r="552" spans="2:16" x14ac:dyDescent="0.25">
      <c r="B552" s="34">
        <v>43285</v>
      </c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</row>
    <row r="553" spans="2:16" x14ac:dyDescent="0.25">
      <c r="B553" s="34">
        <v>43286</v>
      </c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</row>
    <row r="554" spans="2:16" x14ac:dyDescent="0.25">
      <c r="B554" s="34">
        <v>43287</v>
      </c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</row>
    <row r="555" spans="2:16" x14ac:dyDescent="0.25">
      <c r="B555" s="34">
        <v>43288</v>
      </c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</row>
    <row r="556" spans="2:16" x14ac:dyDescent="0.25">
      <c r="B556" s="34">
        <v>43289</v>
      </c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</row>
    <row r="557" spans="2:16" x14ac:dyDescent="0.25">
      <c r="B557" s="34">
        <v>43290</v>
      </c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</row>
    <row r="558" spans="2:16" x14ac:dyDescent="0.25">
      <c r="B558" s="34">
        <v>43291</v>
      </c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</row>
    <row r="559" spans="2:16" x14ac:dyDescent="0.25">
      <c r="B559" s="34">
        <v>43292</v>
      </c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</row>
    <row r="560" spans="2:16" x14ac:dyDescent="0.25">
      <c r="B560" s="34">
        <v>43293</v>
      </c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</row>
    <row r="561" spans="2:13" x14ac:dyDescent="0.25">
      <c r="B561" s="34">
        <v>43294</v>
      </c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</row>
    <row r="562" spans="2:13" x14ac:dyDescent="0.25">
      <c r="B562" s="34">
        <v>43295</v>
      </c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</row>
    <row r="563" spans="2:13" x14ac:dyDescent="0.25">
      <c r="B563" s="34">
        <v>43296</v>
      </c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</row>
    <row r="564" spans="2:13" x14ac:dyDescent="0.25">
      <c r="B564" s="34">
        <v>43297</v>
      </c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</row>
    <row r="565" spans="2:13" x14ac:dyDescent="0.25">
      <c r="B565" s="34">
        <v>43298</v>
      </c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</row>
    <row r="566" spans="2:13" x14ac:dyDescent="0.25">
      <c r="B566" s="34">
        <v>43299</v>
      </c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</row>
    <row r="567" spans="2:13" x14ac:dyDescent="0.25">
      <c r="B567" s="34">
        <v>43300</v>
      </c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</row>
    <row r="568" spans="2:13" x14ac:dyDescent="0.25">
      <c r="B568" s="34">
        <v>43301</v>
      </c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</row>
    <row r="569" spans="2:13" x14ac:dyDescent="0.25">
      <c r="B569" s="34">
        <v>43302</v>
      </c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</row>
    <row r="570" spans="2:13" x14ac:dyDescent="0.25">
      <c r="B570" s="34">
        <v>43303</v>
      </c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</row>
    <row r="571" spans="2:13" x14ac:dyDescent="0.25">
      <c r="B571" s="34">
        <v>43304</v>
      </c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</row>
    <row r="572" spans="2:13" x14ac:dyDescent="0.25">
      <c r="B572" s="34">
        <v>43305</v>
      </c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</row>
    <row r="573" spans="2:13" x14ac:dyDescent="0.25">
      <c r="B573" s="34">
        <v>43306</v>
      </c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</row>
    <row r="574" spans="2:13" x14ac:dyDescent="0.25">
      <c r="B574" s="34">
        <v>43307</v>
      </c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</row>
    <row r="575" spans="2:13" x14ac:dyDescent="0.25">
      <c r="B575" s="34">
        <v>43308</v>
      </c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</row>
    <row r="576" spans="2:13" x14ac:dyDescent="0.25">
      <c r="B576" s="34">
        <v>43309</v>
      </c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</row>
    <row r="577" spans="2:16" x14ac:dyDescent="0.25">
      <c r="B577" s="34">
        <v>43310</v>
      </c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</row>
    <row r="578" spans="2:16" x14ac:dyDescent="0.25">
      <c r="B578" s="34">
        <v>43311</v>
      </c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</row>
    <row r="579" spans="2:16" x14ac:dyDescent="0.25">
      <c r="B579" s="34">
        <v>43312</v>
      </c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O579" s="36" t="e">
        <f>AVERAGE(C549:M579)</f>
        <v>#DIV/0!</v>
      </c>
      <c r="P579" s="36"/>
    </row>
    <row r="580" spans="2:16" x14ac:dyDescent="0.25">
      <c r="B580" s="34">
        <v>43313</v>
      </c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</row>
    <row r="581" spans="2:16" x14ac:dyDescent="0.25">
      <c r="B581" s="34">
        <v>43314</v>
      </c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</row>
    <row r="582" spans="2:16" x14ac:dyDescent="0.25">
      <c r="B582" s="34">
        <v>43315</v>
      </c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</row>
    <row r="583" spans="2:16" x14ac:dyDescent="0.25">
      <c r="B583" s="34">
        <v>43316</v>
      </c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</row>
    <row r="584" spans="2:16" x14ac:dyDescent="0.25">
      <c r="B584" s="34">
        <v>43317</v>
      </c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</row>
    <row r="585" spans="2:16" x14ac:dyDescent="0.25">
      <c r="B585" s="34">
        <v>43318</v>
      </c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</row>
    <row r="586" spans="2:16" x14ac:dyDescent="0.25">
      <c r="B586" s="34">
        <v>43319</v>
      </c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</row>
    <row r="587" spans="2:16" x14ac:dyDescent="0.25">
      <c r="B587" s="34">
        <v>43320</v>
      </c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</row>
    <row r="588" spans="2:16" x14ac:dyDescent="0.25">
      <c r="B588" s="34">
        <v>43321</v>
      </c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</row>
    <row r="589" spans="2:16" x14ac:dyDescent="0.25">
      <c r="B589" s="34">
        <v>43322</v>
      </c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</row>
    <row r="590" spans="2:16" x14ac:dyDescent="0.25">
      <c r="B590" s="34">
        <v>43323</v>
      </c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</row>
    <row r="591" spans="2:16" x14ac:dyDescent="0.25">
      <c r="B591" s="34">
        <v>43324</v>
      </c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</row>
    <row r="592" spans="2:16" x14ac:dyDescent="0.25">
      <c r="B592" s="34">
        <v>43325</v>
      </c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</row>
    <row r="593" spans="2:13" x14ac:dyDescent="0.25">
      <c r="B593" s="34">
        <v>43326</v>
      </c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</row>
    <row r="594" spans="2:13" x14ac:dyDescent="0.25">
      <c r="B594" s="34">
        <v>43327</v>
      </c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</row>
    <row r="595" spans="2:13" x14ac:dyDescent="0.25">
      <c r="B595" s="34">
        <v>43328</v>
      </c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</row>
    <row r="596" spans="2:13" x14ac:dyDescent="0.25">
      <c r="B596" s="34">
        <v>43329</v>
      </c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</row>
    <row r="597" spans="2:13" x14ac:dyDescent="0.25">
      <c r="B597" s="34">
        <v>43330</v>
      </c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</row>
    <row r="598" spans="2:13" x14ac:dyDescent="0.25">
      <c r="B598" s="34">
        <v>43331</v>
      </c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</row>
    <row r="599" spans="2:13" x14ac:dyDescent="0.25">
      <c r="B599" s="34">
        <v>43332</v>
      </c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</row>
    <row r="600" spans="2:13" x14ac:dyDescent="0.25">
      <c r="B600" s="34">
        <v>43333</v>
      </c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</row>
    <row r="601" spans="2:13" x14ac:dyDescent="0.25">
      <c r="B601" s="34">
        <v>43334</v>
      </c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</row>
    <row r="602" spans="2:13" x14ac:dyDescent="0.25">
      <c r="B602" s="34">
        <v>43335</v>
      </c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</row>
    <row r="603" spans="2:13" x14ac:dyDescent="0.25">
      <c r="B603" s="34">
        <v>43336</v>
      </c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</row>
    <row r="604" spans="2:13" x14ac:dyDescent="0.25">
      <c r="B604" s="34">
        <v>43337</v>
      </c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</row>
    <row r="605" spans="2:13" x14ac:dyDescent="0.25">
      <c r="B605" s="34">
        <v>43338</v>
      </c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</row>
    <row r="606" spans="2:13" x14ac:dyDescent="0.25">
      <c r="B606" s="34">
        <v>43339</v>
      </c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</row>
    <row r="607" spans="2:13" x14ac:dyDescent="0.25">
      <c r="B607" s="34">
        <v>43340</v>
      </c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</row>
    <row r="608" spans="2:13" x14ac:dyDescent="0.25">
      <c r="B608" s="34">
        <v>43341</v>
      </c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</row>
    <row r="609" spans="2:16" x14ac:dyDescent="0.25">
      <c r="B609" s="34">
        <v>43342</v>
      </c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</row>
    <row r="610" spans="2:16" x14ac:dyDescent="0.25">
      <c r="B610" s="34">
        <v>43343</v>
      </c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O610" s="36">
        <f>IFERROR(AVERAGE(C580:M610),0)</f>
        <v>0</v>
      </c>
      <c r="P610" s="36"/>
    </row>
    <row r="611" spans="2:16" x14ac:dyDescent="0.25">
      <c r="B611" s="34">
        <v>43344</v>
      </c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</row>
    <row r="612" spans="2:16" x14ac:dyDescent="0.25">
      <c r="B612" s="34">
        <v>43345</v>
      </c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</row>
    <row r="613" spans="2:16" x14ac:dyDescent="0.25">
      <c r="B613" s="34">
        <v>43346</v>
      </c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</row>
    <row r="614" spans="2:16" x14ac:dyDescent="0.25">
      <c r="B614" s="34">
        <v>43347</v>
      </c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</row>
    <row r="615" spans="2:16" x14ac:dyDescent="0.25">
      <c r="B615" s="34">
        <v>43348</v>
      </c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</row>
    <row r="616" spans="2:16" x14ac:dyDescent="0.25">
      <c r="B616" s="34">
        <v>43349</v>
      </c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</row>
    <row r="617" spans="2:16" x14ac:dyDescent="0.25">
      <c r="B617" s="34">
        <v>43350</v>
      </c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</row>
    <row r="618" spans="2:16" x14ac:dyDescent="0.25">
      <c r="B618" s="34">
        <v>43351</v>
      </c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</row>
    <row r="619" spans="2:16" x14ac:dyDescent="0.25">
      <c r="B619" s="34">
        <v>43352</v>
      </c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</row>
    <row r="620" spans="2:16" x14ac:dyDescent="0.25">
      <c r="B620" s="34">
        <v>43353</v>
      </c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</row>
    <row r="621" spans="2:16" x14ac:dyDescent="0.25">
      <c r="B621" s="34">
        <v>43354</v>
      </c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</row>
    <row r="622" spans="2:16" x14ac:dyDescent="0.25">
      <c r="B622" s="34">
        <v>43355</v>
      </c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</row>
    <row r="623" spans="2:16" x14ac:dyDescent="0.25">
      <c r="B623" s="34">
        <v>43356</v>
      </c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</row>
    <row r="624" spans="2:16" x14ac:dyDescent="0.25">
      <c r="B624" s="34">
        <v>43357</v>
      </c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</row>
    <row r="625" spans="2:16" x14ac:dyDescent="0.25">
      <c r="B625" s="34">
        <v>43358</v>
      </c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</row>
    <row r="626" spans="2:16" x14ac:dyDescent="0.25">
      <c r="B626" s="34">
        <v>43359</v>
      </c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</row>
    <row r="627" spans="2:16" x14ac:dyDescent="0.25">
      <c r="B627" s="34">
        <v>43360</v>
      </c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</row>
    <row r="628" spans="2:16" x14ac:dyDescent="0.25">
      <c r="B628" s="34">
        <v>43361</v>
      </c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</row>
    <row r="629" spans="2:16" x14ac:dyDescent="0.25">
      <c r="B629" s="34">
        <v>43362</v>
      </c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</row>
    <row r="630" spans="2:16" x14ac:dyDescent="0.25">
      <c r="B630" s="34">
        <v>43363</v>
      </c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</row>
    <row r="631" spans="2:16" x14ac:dyDescent="0.25">
      <c r="B631" s="34">
        <v>43364</v>
      </c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</row>
    <row r="632" spans="2:16" x14ac:dyDescent="0.25">
      <c r="B632" s="34">
        <v>43365</v>
      </c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</row>
    <row r="633" spans="2:16" x14ac:dyDescent="0.25">
      <c r="B633" s="34">
        <v>43366</v>
      </c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</row>
    <row r="634" spans="2:16" x14ac:dyDescent="0.25">
      <c r="B634" s="34">
        <v>43367</v>
      </c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</row>
    <row r="635" spans="2:16" x14ac:dyDescent="0.25">
      <c r="B635" s="34">
        <v>43368</v>
      </c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</row>
    <row r="636" spans="2:16" x14ac:dyDescent="0.25">
      <c r="B636" s="34">
        <v>43369</v>
      </c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</row>
    <row r="637" spans="2:16" x14ac:dyDescent="0.25">
      <c r="B637" s="34">
        <v>43370</v>
      </c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</row>
    <row r="638" spans="2:16" x14ac:dyDescent="0.25">
      <c r="B638" s="34">
        <v>43371</v>
      </c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</row>
    <row r="639" spans="2:16" x14ac:dyDescent="0.25">
      <c r="B639" s="34">
        <v>43372</v>
      </c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</row>
    <row r="640" spans="2:16" x14ac:dyDescent="0.25">
      <c r="B640" s="34">
        <v>43373</v>
      </c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O640" s="36">
        <f>IFERROR(AVERAGE(C611:M640),0)</f>
        <v>0</v>
      </c>
      <c r="P640" s="36"/>
    </row>
  </sheetData>
  <autoFilter ref="B2:P640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9" sqref="J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Project Summary</vt:lpstr>
      <vt:lpstr>Daily Manpower</vt:lpstr>
      <vt:lpstr>Sheet4</vt:lpstr>
      <vt:lpstr>Dashboard!Print_Area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Naik</dc:creator>
  <cp:lastModifiedBy>Nitesh Naik</cp:lastModifiedBy>
  <cp:lastPrinted>2017-10-12T10:09:39Z</cp:lastPrinted>
  <dcterms:created xsi:type="dcterms:W3CDTF">2017-06-12T08:40:55Z</dcterms:created>
  <dcterms:modified xsi:type="dcterms:W3CDTF">2018-02-15T06:06:24Z</dcterms:modified>
</cp:coreProperties>
</file>